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24226"/>
  <mc:AlternateContent xmlns:mc="http://schemas.openxmlformats.org/markup-compatibility/2006">
    <mc:Choice Requires="x15">
      <x15ac:absPath xmlns:x15ac="http://schemas.microsoft.com/office/spreadsheetml/2010/11/ac" url="C:\Users\Admin\Desktop\عبدالله الدرع\CMH_01\02_BOQ\"/>
    </mc:Choice>
  </mc:AlternateContent>
  <xr:revisionPtr revIDLastSave="0" documentId="13_ncr:1_{175B3F01-C299-49DE-ADC3-627FACFD55B4}" xr6:coauthVersionLast="36" xr6:coauthVersionMax="47" xr10:uidLastSave="{00000000-0000-0000-0000-000000000000}"/>
  <bookViews>
    <workbookView xWindow="-105" yWindow="-105" windowWidth="23250" windowHeight="12450" tabRatio="643" xr2:uid="{00000000-000D-0000-FFFF-FFFF00000000}"/>
  </bookViews>
  <sheets>
    <sheet name="BOQ" sheetId="4" r:id="rId1"/>
    <sheet name="Sheet2" sheetId="9" state="hidden" r:id="rId2"/>
  </sheets>
  <definedNames>
    <definedName name="_xlnm.Print_Area" localSheetId="0">BOQ!$A$1:$G$1789</definedName>
    <definedName name="_xlnm.Print_Titles" localSheetId="0">BOQ!$1:$7</definedName>
  </definedNames>
  <calcPr calcId="191029"/>
</workbook>
</file>

<file path=xl/calcChain.xml><?xml version="1.0" encoding="utf-8"?>
<calcChain xmlns="http://schemas.openxmlformats.org/spreadsheetml/2006/main">
  <c r="A7" i="9" l="1"/>
  <c r="A3" i="9"/>
  <c r="A4" i="9"/>
  <c r="A5" i="9"/>
  <c r="A6" i="9"/>
  <c r="A8" i="9"/>
  <c r="A9" i="9"/>
  <c r="A10" i="9"/>
  <c r="A11" i="9"/>
  <c r="A12" i="9"/>
  <c r="A13" i="9"/>
  <c r="A14" i="9"/>
  <c r="A15" i="9"/>
  <c r="A16" i="9"/>
  <c r="A17" i="9"/>
  <c r="A2" i="9"/>
  <c r="H299" i="4" l="1"/>
  <c r="G136" i="4"/>
  <c r="G857" i="4" l="1"/>
  <c r="G836" i="4"/>
  <c r="G842" i="4" s="1"/>
  <c r="G848" i="4" s="1"/>
  <c r="G852" i="4" s="1"/>
  <c r="G821" i="4"/>
  <c r="G806" i="4"/>
  <c r="G790" i="4"/>
  <c r="G774" i="4"/>
  <c r="G758" i="4"/>
  <c r="G742" i="4"/>
  <c r="G726" i="4"/>
  <c r="G710" i="4"/>
  <c r="G697" i="4"/>
  <c r="G684" i="4"/>
  <c r="G644" i="4"/>
  <c r="G627" i="4"/>
  <c r="G608" i="4"/>
  <c r="G593" i="4"/>
  <c r="G563" i="4"/>
  <c r="G551" i="4"/>
  <c r="G535" i="4"/>
  <c r="G518" i="4"/>
  <c r="G501" i="4"/>
  <c r="G482" i="4"/>
  <c r="G465" i="4"/>
  <c r="G449" i="4"/>
  <c r="G429" i="4"/>
  <c r="G413" i="4"/>
  <c r="G396" i="4"/>
  <c r="G380" i="4"/>
  <c r="G359" i="4"/>
  <c r="G342" i="4"/>
  <c r="G332" i="4"/>
  <c r="G319" i="4"/>
  <c r="G306" i="4"/>
  <c r="G295" i="4"/>
  <c r="G278" i="4"/>
  <c r="G271" i="4"/>
  <c r="G261" i="4"/>
  <c r="G253" i="4"/>
  <c r="G244" i="4"/>
  <c r="G236" i="4"/>
  <c r="G229" i="4"/>
  <c r="G221" i="4"/>
  <c r="G213" i="4"/>
  <c r="G202" i="4"/>
  <c r="G189" i="4"/>
  <c r="G179" i="4"/>
  <c r="G169" i="4"/>
  <c r="G156" i="4"/>
  <c r="G145" i="4"/>
  <c r="G128" i="4"/>
  <c r="G119" i="4"/>
  <c r="G112" i="4"/>
  <c r="G672" i="4"/>
  <c r="G659" i="4"/>
  <c r="G578" i="4"/>
</calcChain>
</file>

<file path=xl/sharedStrings.xml><?xml version="1.0" encoding="utf-8"?>
<sst xmlns="http://schemas.openxmlformats.org/spreadsheetml/2006/main" count="945" uniqueCount="416">
  <si>
    <t>م</t>
  </si>
  <si>
    <t>بيــــــــــــــــــــــــــان الأعمــــــــــــــــــــــــــــــــــــال</t>
  </si>
  <si>
    <t>الوحدة</t>
  </si>
  <si>
    <t>اجـمـــــالي الصــفــــــحــــــة</t>
  </si>
  <si>
    <t>الكميه حسب العقد</t>
  </si>
  <si>
    <t>ملاحظات</t>
  </si>
  <si>
    <t>المملكة العربية السعودية</t>
  </si>
  <si>
    <t>إســـــم الإستشاري : الإداره العامه للمشروعات</t>
  </si>
  <si>
    <t>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number)-AR-001هدم وإزالة الجدران وتشمل  جميع أنواع جدران الطوب  والقواطع الجبسية و الخشبية و الزجاجية  بحسب المخططات المعتمدة وتعليمات المهندس المشرف.</t>
  </si>
  <si>
    <t>صبة خرسانية مع شبكة حديد بقطر 8 مم  بأبعاد 10*10 سم  مخدومة بالمسطرين والقدة لتعطي سطحا ناعما في الفناء الوسطي. ويشمل السعر الدفان وأي مواد أو أعمال يتطلبها تنفيذ العمل حسب المواصفات والمخططات وتعليمات المهندس المشرف.</t>
  </si>
  <si>
    <t>صبة أسمنتية كطبقة حماية للعزل في الأماكن الرطبة. ويشمل السعر وأي مواد أو أعمال يتطلبها تنفيذ العمل حسب المواصفات والمخططات وتعليمات المهندس المشرف.</t>
  </si>
  <si>
    <t>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 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 Ref drawing: 07-MRA-DD-(as per floor number) وتعليمات المهندس المشرف 04200Ar-100</t>
  </si>
  <si>
    <t>توريد وبناء مباني من البلوك  مقاوم للحريق شاملا المونة والفواصل وأربطة التثبيت والتسليح الرأسي وعتبات جميع الفتحات وعزل الجدران المزدوجة المفرّغة والمكملات ويتم توريد البلوك بالموقع علىقواعد خشبية مغطاه بالبلاستيك ويستمر على هذه الحالة حتى يبدأ استخدامه للبناء على أن يكون ذو ابعاد بطول 40سم وسماكة حسب المطلوب وارتفاع 20سم وان تكون صلد سليم نظيف وذو زوايا خارجية قائمة يستعمل لبناء الحوائط حسب ما هو موضح بالمخططات مع التكحيل ويكون  مطابق للمواصفات حسب النوعيه المطلوبة والسعر يشمل كل مايلزم للبناء من البلوك الكامل والقطع الخاصة سواء 5.0 أو 25.0 ، كذلك القطع الخاصة بتمديد المواسير بحيث لا يتم تكسير البلوك أثناء الاستخدام للبناء على الأطلاق ، بالإضافة إلى كافة المواد والاكسسوارات والسقايل واستعمال الشبك الممدد والتسليح بواسطة خوابير معدنية والمرابط المعدنية ويشمل السعر أي مواد أو أعمال يتطلبها استكمال العمل حسب المواصفات  القسمRef drawing: 07-MRA-DD-(as per floor number) وتعليمات المهندس المشرف 04200-Ar-100</t>
  </si>
  <si>
    <t xml:space="preserve">توريد وتركيب درابزين من الزجاج السيكوريت سمك 12 مم مثبت بالارضيات للفناء الداخلي المفتوح بارتفاع 600مم شاملاً إطار الدرابزين من الالمنيوم )u-channel( مقاس 40مم × 30مم ثخانة2مم )لون اسود 9005RAL ( ويشمل السعر الاكسسوارات وأي مواد أو أعمال يتطلبها تشطيب العمل حسب المواصفات والمخططات. </t>
  </si>
  <si>
    <t>توريد وتركيب درابزين من الزجاج السيكوريت سمك 12 مم مثبت بالارضيات للفناء الوسطي الاساسي 1100 مم شاملاإًطار الدرابزين من الالمنيوم )u-channel(  مقاس80مم × 40مم )لون اسود 9005RAL ( ويشمل السعر الاكسسوارات وأي مواد أو أعمال يتطلبها تشطيب العمل حسب المواصفات والمخططات وتعليمات المهندس المشرف</t>
  </si>
  <si>
    <t>إعادة دهان هاندرايل من الحديد  بالايبوكسي ويشمل ازالة الدهان القديم  بالترميل )Sand Plasting( حسب  المواصفات والاصول الفنيه وتعليمات المهندس المشرف.</t>
  </si>
  <si>
    <t>تجديد وترميم ودهان وتلميع البوابات الحديدية الرئيسية في المدخل الغربي )مدخل الوزير( والبوابة الرئيسية في المدخل الشمالي )مدخل الموظفين( وتشمل الأعمال ما يلي:تجديد وترميم أبواب الحديد، سنفرة الأبواب، عمل طبقة تأسيس ناري للأبواب، تعشيقة الأبواب مع تلميع الزخرفة، دهان وتلميع الأجزاء نهاية الزخرفة بمواد أيبوكسي + دهان ماء الذهب المركز للأطراف الخارجية + تلميع خارجي بمادة البوليريثان، المحافظة على نظافة المكان وإزالة المخلفات. حسب الاصول الفنيه وتعليمات المهندس المشرف</t>
  </si>
  <si>
    <t>توريد وتركيب اسقف شبكة حديد مش )طلاء بودرة بالفرن لون اسود( سماكة 2 ملم مع تيوب حديد ابعاد 4*8 سم وسماكة 3ملم  ، مثبتة بنظام تعليق متصلة بالسقف الخرساني حسب الرسومات والمناظير وتعليمات المهندس المشرف.Ref drawing: 07-MRA-DD-G.F-AR-200</t>
  </si>
  <si>
    <t>توريد وتركيب اسقف شبكة حديد مش )طلاء بودرة بالفرن لون ابيض(سماكة 2 ملم مع تيوب حديد ابعاد 4*8 سم وسماكة 3ملم  ، مثبتة بنظام تعليق متصلة بالسقف الخرساني حسب الرسومات والمناظير وتعليمات المهندس المشرفRef drawing: 07-MRA-DD-G.F-AR-200</t>
  </si>
  <si>
    <t>توريد وتركيب تيوبات حديد ابعاد 4*4 سم وسماكة 2ملم مع أرفف فوق الكاونتر في منطقة المطبخ. )طلاء بودرة بالفرن لون اسود(مقاس: طول 4400 ملم، ارتفاع 2000 ملم و عرض 600 ملم</t>
  </si>
  <si>
    <t>توريد وتركيب تيوبات حديد ابعاد 4*4 سم وسماكة 2ملم مع أرفف فوق الكاونتر في منطقة المطبخ. )طلاء بودرة بالفرن لون اسود(مقاس: طول 3100 ملم، ارتفاع 2000 ملم و عرض 600 ملم</t>
  </si>
  <si>
    <t>توريد وتركيب تيوب حدبد مربع مقاس 30ملم* 30ملم سماكة 2 ملم كإيطار للوحات )طلاء بودرة بالفرن لون اسود( مقاس 3050x1250 ممRef drawing: 07-MRA-DD-G.F-AR-607.L</t>
  </si>
  <si>
    <t>توريد وتركيب كشك من هيكل حديدي متكون من تيوبات 10*10-مم وسماكة 6مم مع مع صاج مفرّغ بالليزرعلى شكل مثلثات مدهون بطلاء بني معتق ويشمل إضاءة مخفية حسب التصميم والرسومات  مقاس 5300x3400 مم وارتفاع 3000 مم.Ref drawing: 07-MRA-DD-G.F-AR-902</t>
  </si>
  <si>
    <t>خزانة مفتوحة مصنوعة من تيوبات حديد 20X20 ملم وسماكة 2 ملم )طلاء بودرة بالفرن لون اسود( مع أرفف من خشب ال mdf مع قشرة السنديان حسب التصميم والرسومات وتعليمات المهندس المشرف.Ref drawing: 07-MRA-DD-G.F-AR-607.C عرضx 400mm ارتفاع x 2600mm طول 13350mm</t>
  </si>
  <si>
    <t>توريد وتركيب هيكل حديدي تيوبات 20*100 مم وسماكة 2مم مثبت بالسقف والأرض مع شبكة حديد مش )طلاء بودرة بالفرن لون اسود( يشمل هيكل حديدي للمقاعد إضافة الى القماش اللازم ،  حسب الرسومات والمناظير وتعليمات المهندس المشرف.مقاس      Ref drawing: 07-MRA-DD-G.F-AR-607.B: طول 4300 ملم، ارتفاع 2400 ملم و عرض 1800 ملم</t>
  </si>
  <si>
    <t>توريد وتركيب هيكل حديدي تيوبات 20*100 مم وسماكة 2مم مثبت بالسقف والأرض مع شبكة حديد مش )طلاء بودرة بالفرن لون اسود( يشمل هيكل حديدي للمقاعد إضافة الى القماش اللازم ،  حسب الرسومات والمناظير وتعليمات المهندس المشرف.Ref drawing: 07-MRA-DD-G.F-AR-607.Bمقاس: طول 3100 ملم، ارتفاع 2400 ملم و عرض 1800 ملم</t>
  </si>
  <si>
    <t>توريد وتركيب شبكة حديد مش )طلاء بودرة بالفرن لون اسود(   مع تيوب حديد 50X50 ملم وسماكة 2 ملم لمنطقة القهوة والسعر يشمل طاولات الحديد في الوسط. مقاس 760X2750 ملم.Ref drawing: 07-MRA-DD-G.F-AR-607.A</t>
  </si>
  <si>
    <t>توريد وتركيب وزرات خشب )Mdf( مع قشرة جوز بارتفاع 100مم وسمك 12مم شاملا التثبيت والدهانات والتشطيب والتلميع. ويشمل السعر أي مواد أو أعمال يتطلبها انهاء العمل طبقا للموضح بالمواصفات والمخططات وتعليمات المهندس المشرف .Ref drawing: 07-MRA-DD-(as per floor number)-AR-301</t>
  </si>
  <si>
    <t>توريد وتركيب وزرات خشب )Mdf( مع قشرة ،وينغي بارتفاع 100مم وسمك 12مم شاملا التثبيت والدهانات والتشطيب والتلميع. ويشمل السعر أي مواد أو أعمال يتطلبها انهاء العمل طبقا للموضح بالمواصفات والمخططات وتعليمات المهندس المشرفRef drawing: 07-MRA-DD-(as per floor number)-AR-301</t>
  </si>
  <si>
    <t>تصنيع وتركيب جدار خشبي ) Mdf(  مع قشرة السنديان المطلي بدهان ابيض تثبت على هيكل معدني، مع تصميم  فتحات على شكل مثلثات مضاءة من الداخل واحجام بمستويات مختلفة، حسب المناظير والرسومات وتعليمات المهندس المشرف.Code: WDP1-01,WDP1-02,WDP1-02.A</t>
  </si>
  <si>
    <t>تصنيع وتركيب لوح خشبي بشكل طولي من  الـ )Mdf(  مع قشرة الجوز او ما يتناسب مع العينة المتفق عليها طول 25سم وعرض 10سم وارتفاع 270 سم الى جانب الابواب الزجاجية حسب المناظير والرسومات وتعليمات المهندس المشرف.Code: WDP2-08</t>
  </si>
  <si>
    <t>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العامود الخرساني بدهان رمادي على شكل وهيئة الأسطح الاسمنتية )matt( بتصميم مع غروف حسب الرسومات والمناظير وتعليمات المهندس المشرف.Code: WDP3-04</t>
  </si>
  <si>
    <t>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القواطع الجبسية بدهان رمادي بيج  )matt( ، وبتصميم مع غروف حسب الرسومات والمناظير وتعليمات المهندس المشرف.Code: WPD4-01,WDP4-01.A</t>
  </si>
  <si>
    <t>م3</t>
  </si>
  <si>
    <t>م2</t>
  </si>
  <si>
    <t>م.ط</t>
  </si>
  <si>
    <t>عدد</t>
  </si>
  <si>
    <t>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مثبتة على القواطع الجبسية مع قشرة صناعية بحسب العينة الموافق عليها وغروف حسب الرسومات والمناظير وتعليمات المهندس المشرفCode: WDP2</t>
  </si>
  <si>
    <t>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مثبتة على االقواطع الجبسية بدهان رمادي على شكل وهيئة الأسطح الاسمنتية ) matt( مع تصميم بفتحات حسب الرسومات والمناظير وتعليمات المهندس المشرف.Code: WDP3-01, WDP3-02, WDP3-03</t>
  </si>
  <si>
    <t>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مع قشرة السنديان المطلي بدهان ابيض  مع غروف وفتحات إضاءة مخفية مغلفة من الداخل بطبقة Acrylic مغشى  حسب الرسومات والمناظير وتعليمات المهندس المشرف.Code: WDP1-03, WDP1-04, WDP1-05, WDP1-06</t>
  </si>
  <si>
    <t>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بدهان رمادي   مع غروف وفتحات إضاءة مخفية مغلفة من الداخل بطبقة Acrylic مغشى  حسب الرسومات والمناظير وتعليمات المهندس المشرف.Code: WDP5</t>
  </si>
  <si>
    <t>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 Mdf(  ، المطلي بدهان رمادي  Code: WDP6</t>
  </si>
  <si>
    <t>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number)-AR-600 to 07-MRA-DD (as per floor number)-AR-604كسوة من خشب الـ) Mdf(  ، مع قشرة  )walnut( لمدخل كبار الشخصيات ومكتب مدير مكتب معالي الوزير     حسب الرسومات والمناظير وتعليمات المهندس المشرف.Code: WDP7</t>
  </si>
  <si>
    <t>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صناعية بلون رمادي بيج لمنطقة معالي الوزير   حسب الرسومات والمناظير وتعليمات المهندس المشرف.Code: WDP8</t>
  </si>
  <si>
    <t>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ال )wenge( بشكل pattern مفرغة من الداخل مع ايطار خشبي ملبس بجلد لون بيج ومثبتة على الجدار الخشبي  لمنطقة معالي الوزير  حسب الرسومات والمناظير  وتعليمات المهندس المشرف.Code: P1</t>
  </si>
  <si>
    <t>تصنيع وتركيب كسوة من الخشب للجدران ويكون النمط والحجم كما هو موضح بالرسومات ويشمل السعر أي مواد أو أعمال يتطلبها إنهاء العمل حسب المواصفات والمخططات وتعليمات المهندس المشرف. Ref drawing: 07-MRA-DD-(as per floor number)-AR-600 to 07-MRA-DD-(as  per floor number)-AR-604كسوة من خشب الـ)Mdf(  ،  مع قشرة ال )wenge( بشكل pattern مفرغة من الداخل مع ايطار خشبي ومثبتة على الجدار الخشبي  لمنطقة التنفيذيين حسب الرسومات والمناظير وتعليمات المهندس المشرف.Code: P2</t>
  </si>
  <si>
    <t>تصنيع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 سقف من خشب الـ)Mdf( ،  مطلي بدهان أبيض بشكل pattern مفرغة من الداخل  ومثبتة على ألواح خشبية مع قشرة الجوز مثبتة بنظام تعليق متصلة بالسقف الخرساني  لمنطقة معالي الوزير حسب الرسومات والمناظير وتعليمات المهندس المشرف.Code: WDC-04</t>
  </si>
  <si>
    <t>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 من من خشب الـ)Mdf(  مع قشرة صناعية بحسب العينة الموافق عليها وغروف مثبتة بنظام تعليق متصلة بالسقف الخرساني حسب الرسومات والمناظير وتعليمات المهندس المشرف.Code: WDC-01 &amp; WDC-02</t>
  </si>
  <si>
    <t>تصنيع وتركيب كسوة من الخشب للاسقف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number)-AR-200سطح خشبي03-WDC من من خشب الـ)Mdf( على شكل مربعات بسماكة تصميم  5سم، وفتحات على شكل مثلث مع اضاءة مخفية مغلفة من الاعلى بطبقة Acrylic شفاف مغشى سماكة 4مم مثبتة بنظام تعليق متصلة بالسقف الخرساني حسب الرسومات والمناظير وتعليمات المهندس المشرف.Code: WDC-03</t>
  </si>
  <si>
    <t>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خشبية01-WDC و 02-WDC من خشب الـ ) Mdf ( متداخلة الالوان من قشرة صناعية بحسب  العينة الموافق عليها والدهان الرمادي  على شكل وهيئة الاسطح الاسمنتية مثبتة على القواطع الجبسية مع اضاءة مخفية ومفصلات ومقابض مخفية وتصميم حسب الرسومات والمناظير وتعليمات المهندس المشرف.</t>
  </si>
  <si>
    <t>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خشبية03-WDC  من خشب الـ ) Mdf (  مع قشرة صناعية بحسب العينة الموافق عليها مثبتة على القواطع الجبسية  مع غروف ومفصلات ومقابض مخفية ،  حسب الرسومات والمناظير</t>
  </si>
  <si>
    <t>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خشبية04-WDC   من خشب الـ ) Mdf (  مطلية بدهان رمادي على شكل وهيئة الاسطح الاسمنتية مع غروف ومفصلات ومقابض مخفية ، وارفف مفتوحة من قشرة الجوز ،واضاءة مخفية ، مثبتة على الجدار الخارجي حسب الرسومات والمناظير  وتعليمات المهندس المشرف.</t>
  </si>
  <si>
    <t>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 خزانة خشبية05-WDC  من خشب الـ ) Mdf (  مع قشرة الوينغي الداكنة مع أرفف وإضاءة مخفية، أبواب الخزائن زجاجية   ribbed glass(مع إيطار خشبي وغروف ومفصلات ومقابض مخفية لمنطقة معالي الوزير حسب الرسومات والمناظير وتعليمات المهندس المشرف.</t>
  </si>
  <si>
    <t xml:space="preserve">تصنيع وتركيب خزائن خشبية ويكون النمط والحجم كما هو موضح بالرسومات ويشمل السعر أي مواد أو أعمال يتطلبها إنهاء العمل حسب المواصفات والمخططات وتعليمات المهندس المشرف.Ref drawing: 07-MRA-DD-(as per floor number)-AR-605خزانة خشبية06-WDC   من خشب الـ ) Mdf (  مع قشرة الوينغي الداكنة مع أرفف وإضاءة مخفية، أبواب الخزائن زجاجية )black tinted clear glass(مع إيطار خشبي وغروف ومفصلات ومقابض مخفية لمنطقة معالي الوزير حسب الرسومات والمناظير وتعليمات المهندس المشرف. </t>
  </si>
  <si>
    <t xml:space="preserve"> توريد وتنفيذ طبقتين من غشاء عازل للمياه من الـبيتومين ثخانة 4 مم للأماكن الرطبة وحتى ارتفاع 10   سم على الجدران المحيطة ويشمل تحضير السطوح ومواد حشو الزوايا وطبقات الحماية جيوتكستايل الأفُقية والعمودية. ويشمل السعر أي مواد وأعمال مطلوبة لاستكمال العمل حسب المواصفات والمخططات.وتعليمات المهندس المشرف</t>
  </si>
  <si>
    <t>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t>
  </si>
  <si>
    <t>Ref drawing: 07-MRA-DD-(as per floor number)-AR-801 بعرض 1000 مم وارتفاع 2700 مم  GD01باب ضلفة واحدة  نموذج</t>
  </si>
  <si>
    <t>توريد وتركيب باب زجاجي من نوع سيكوريت بسمك 12مم ويشمل السعر التثبيت والاطار من الالمنيوم الأسود المطلي بدهان بودرة بالفرن والخردوات وماكينة دفاش للإغلاق الذاتي مع ملصقات بحسب التصميم. ويشمل السعر أي مواد أو أعمال يتطلبها استكمال العمل حسب المواصفات والمخططات وتعليمات االمهندس المشرف.Ref drawing: 07-MRA-DD-(as per floor number)-AR-801 بعرض 1000 مم وارتفاع 2700 مم  GD01باب ضلفة واحدة  نموذج</t>
  </si>
  <si>
    <t xml:space="preserve">Ref drawing: 07-MRA-DD-(as per floor number)-AR-801   بعرض 1800 مم وارتفاع 2600 مم  GD02باب ضلفتين  نموذج </t>
  </si>
  <si>
    <t xml:space="preserve">Ref drawing: 07-MRA-DD-(as per floor number)-AR-801 بعرض 1800 مم وارتفاع 2100 مم  GD03باب ضلفتين  نموذج </t>
  </si>
  <si>
    <t>توريد وتركيب باب من قطاعات الخشب شبه المصمت بسمك 44مم مكون من قواطيع خشب داخليه بحشو  mdf مع قشرة الجوز  والحلق من الخشب السويدي المسطم المقاوم للرطوبة مع تشطيب نهائي من قشرة الجوز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t>
  </si>
  <si>
    <t xml:space="preserve">Ref drawing: 07-MRA-DD-(as per floor number)-AR-800 بعرض 2000 مم وارتفاع 2200 مم  WD07باب مروحة ضلفتين  نموذج </t>
  </si>
  <si>
    <t xml:space="preserve">Ref drawing: 07-MRA-DD-(as per floor number)-AR-800 بعرض1000 مم وارتفاع 2200 مم  WD06باب مروحة ضلفة واحدة  نموذج </t>
  </si>
  <si>
    <t xml:space="preserve">Ref drawing: 07-MRA-DD-(as per floor number)-AR-800 بعرض 900 مم وارتفاع 2200 مم  WD05باب مروحة ضلفة واحدة  نموذج </t>
  </si>
  <si>
    <t xml:space="preserve">Ref drawing: 07-MRA-DD-(as per floor number)-AR-800 بعرض 800 مم وارتفاع 2200 مم  WD04باب مروحة ضلفة واحدة  نموذج </t>
  </si>
  <si>
    <t xml:space="preserve">Ref drawing: 07-MRA-DD-(as per floor number)-AR-800 بعرض 1000 مم وارتفاع 3000 مم  WD015باب مروحة ضلفة واحدة  نموذج </t>
  </si>
  <si>
    <t>توريد وتركيب باب من قطاعات الخشب شبه المصمت بسمك 44مم مكون من قواطيع خشب داخليه بحشو  mdf مع قشرة السنديان المطلية بدهان أبيض  والحلق من الخشب السويدي المسطم المقاوم للرطوبة مخفي داخل الواجهة الخشبية والبند يشمل جميع الإكسسوارات اللازمه من مفصلات ودفاش من النوع المخفي ومقابض، ربل كاتم لصوت الإغلاق ودهانات و إنهاء جميع الأعمال على الوجه الأكمل طبقا للمخططات واصول الصناعة  والمواصفات الفنية وتعليمات االمهندس المشرف.</t>
  </si>
  <si>
    <t xml:space="preserve">Ref drawing: 07-MRA-DD-(as per floor number)-AR-800 بعرض 1000 مم وارتفاع 2200 مم  WD02باب مروحة ضلفة واحدة  نموذج </t>
  </si>
  <si>
    <t>توريد وتركيب باب من قطاعات الخشب شبه المصمت بسمك 44مم مكون من قواطيع خشب داخليه بحشو خفيف mdfوالمطلي بدهان رمادي على هيئة الأسطح الاسمنتية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t>
  </si>
  <si>
    <t xml:space="preserve">Ref drawing: 07-MRA-DD-(as per floor number)-AR-800 بعرض 900 مم وارتفاع 2200 مم  WD01باب مروحة ضلفة واحدة  نموذج </t>
  </si>
  <si>
    <t>توريد وتركيب باب من قطاعات الخشب شبه المصمت بسمك 44مم مكون من قواطيع خشب داخليه بحشو  mdfوالمطلي بدهان رمادي بيج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ربل كاتم لصوت الإغلاق ودهانات .و إنهاء جميع الأعمال على الوجه الأكمل طبقا للمخططات واصول الصناعة  والمواصفات الفنية وتعليمات االمهندس المشرف.</t>
  </si>
  <si>
    <t xml:space="preserve">Ref drawing: 07-MRA-DD-(as per floor number)-AR-800 بعرض900 مم وارتفاع 2200 مم  WD03باب مروحة ضلفة واحدة  نموذج </t>
  </si>
  <si>
    <t>توريد وتركيب باب من قطاعات الخشب شبه المصمت بسمك 44مم مكون من قواطيع خشب داخليه بحشو خفيف mdfوالمطلي بدهان أزرق بترولي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t>
  </si>
  <si>
    <t xml:space="preserve">Ref drawing: 07-MRA-DD-(as per floor number)-AR-800 بعرض 900 مم وارتفاع 2200 مم  WD08 باب مروحة ضلفة واحدة  نموذج </t>
  </si>
  <si>
    <t>توريد وتركيب باب من قطاعات الخشب شبه المصمت بسمك 44مم مكون من قواطيع خشب داخليه بحشو خفيف mdfوالمطلي بدهان رمادي فاتح والحلق من الخشب السويدي المسطم المقاوم للرطوبة مخفي داخل الواجهة القواطع الجبسية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t>
  </si>
  <si>
    <t xml:space="preserve">Ref drawing: 07-MRA-DD-(as per floor number)-AR-800 بعرض 900 مم وارتفاع 2200 مم  WD09 باب مروحة ضلفة واحدة  نموذج </t>
  </si>
  <si>
    <t xml:space="preserve">توريد وتركيب باب من قطاعات الخشب شبه المصمت بسمك 44مم مكون من قواطيع خشب داخليه بحشو  mdf مع قشرة السنديان المطلية بدهان بيج  والحلق من الخشب السويدي المسطم المقاوم للرطوبة مخفي داخل الواجهة الخشبية والبند يشمل جميع الإكسسوارات اللازمه من مفصلات ودفاش من النوع المخفي </t>
  </si>
  <si>
    <t>ومقابض، ربل كاتم لصوت الإغلاق ودهانات و إنهاء جميع الأعمال على الوجه الأكمل طبقا للمخططات واصول الصناعة  والمواصفات الفنية وتعليمات االمهندس المشرف.</t>
  </si>
  <si>
    <t xml:space="preserve">Ref drawing: 07-MRA-DD-(as per floor number)-AR-800 بعرض 1000 مم وارتفاع 2600 مم  WD010باب مروحة ضلفة واحدة  نموذج </t>
  </si>
  <si>
    <t>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t>
  </si>
  <si>
    <t>Ref drawing: 07-MRA-DD-sixth floor-AR-800</t>
  </si>
  <si>
    <t xml:space="preserve"> باب مروحة ضلفتين  نموذج 12WD  بعرض 2000 مم وارتفاع 3000 مم )VIP Zone (</t>
  </si>
  <si>
    <t>توريد وتركيب باب من الزجاج المضلعّ )ribbed glass( بأيطارات من الخشب المصمت سماكة 44 ملم مع قشرة الجوز الداكنة. والبند يشمل جميع الإكسسوارات اللازمه من مفصلات ودفاش من النوع المخفي ومقابض وربل كاتم لصوت الإغلاق ودهانات و إنهاء جميع الأعمال على الوجه الأكمل طبقا للمخططات واصول الصناعة  والمواصفات الفنية وتعليمات االمهندس المشرف.</t>
  </si>
  <si>
    <t xml:space="preserve"> باب مروحة ضلفة واحدة  نموذج 11WD  بعرض 1000 مم وارتفاع 3000 مم )VIP Zone(</t>
  </si>
  <si>
    <t xml:space="preserve"> تصميم على شكل وهيئة الباب   نموذج  WD11 A  بعرض 1000 مم وارتفاع 3000 مم )VIP </t>
  </si>
  <si>
    <t>)Zone</t>
  </si>
  <si>
    <t xml:space="preserve"> باب مروحة ضلفة واحدة  نموذج 13WD  بعرض 1000 مم وارتفاع 4000 مم )VIP Zone(</t>
  </si>
  <si>
    <t xml:space="preserve"> تصميم على شكل وهيئة الباب   نموذج  WD13 A  بعرض 1000 مم وارتفاع 4000 مم )VIP </t>
  </si>
  <si>
    <t xml:space="preserve"> باب مروحة ضلفة واحدة  نموذج 14WD  بعرض 900 مم وارتفاع 2400 مم )VIP Zone(</t>
  </si>
  <si>
    <t>توريد وتركيب قواطع زجاجيه داخليه من زجاج  سيكوريت عازل للصوت ثخانة 12مم مركّبة على مقاطع من  الألمنيوم )لون اسود 9005RAL (  مثبتة  بالسقف والأرض بإرتفاع 2700مم .ويشمل العمل الاطار والقوائم  والتثبيت بتيوب حديد ابعاد 4*8 سم وسماكة 2ملم  والملصقات بأماكن محددة حسب التصميم ، وفواصل البوليكاربونيت الجاف بين الألواح الزجاجية وقطع الإكسسوار ومانع التسرب والمواد الأخُرى المطلوبة لاستكمال التركيب حسب المخططات وتعليمات االمهندس المشرف.</t>
  </si>
  <si>
    <t>Ref. drawing: 07-MRA-DD-(as per floor number)-AR-802</t>
  </si>
  <si>
    <t>توريد وتركيب باب من قطاعات الحديد  بسمك 45 مم مقاوم للحريق 90 دقيقة،  مع طبقة من الصاج سماكة 2مم من الجهتين على اطار معدنى مجوف والسعر يشمل التكسية الخشبية بقشرة الجوز لضلفة الباب والإطار من جهة واحدة..ويشمل التوريد والتركيب والتثبيت  والمفصلات والمقابض   والدفاش والاكسسوارت من اجود الانواع  وكل مايلزم لانهاء العمل على اكمل وجه ة حسب المخططات وتعليمات االمهندس المشرف.</t>
  </si>
  <si>
    <t xml:space="preserve">Ref. drawing: 07-MRA-DD-(as per floor number)-AR-804 ضلفة واحدة عرض1000مم وإرتفاع 2200مم SD01 باب نموذج </t>
  </si>
  <si>
    <t xml:space="preserve">Ref. drawing: 07-MRA-DD-(as per floor number)-AR-804 ضلفة واحدة عرض1100مم وإرتفاع 2200مم SD02 باب نموذج </t>
  </si>
  <si>
    <t xml:space="preserve">تجديد وترميم الأبواب الحديدية وتشمل الأعمال ما يلي: ــ </t>
  </si>
  <si>
    <t>تجديد وترميم أبواب الحديد، سنفرة الأبواب، عمل طبقة تأسيس ناري للأبواب،  دهان وتلميع الأجزاء  + تلميع خارجي بمادة البوليريثان، المحافظة على نظافة المكان وإزالة المخلفات. حسب الاصول الفنيه وتعليمات المهندس المشرف.</t>
  </si>
  <si>
    <t>باب  ضلفتين عرض2000مم</t>
  </si>
  <si>
    <t>باب  ضلفة واحدة عرض1000مم</t>
  </si>
  <si>
    <t>طبقة من اللياسة الأسمنتية فوق الأسطح الخرسانية والجدران الداخلية  بسمك متوسط 20 مم على طبقات  طرطشة بسمك 5 مم وضهارة 15 مم حسب المواصفات مع المعالجة اليومية  بالمياه لمنع التنميلات ويتم عمل افريز بين البلوك والخرسانة يملئ بمواد قابلة للدهان والسعر يشمل كامل الأكسسوارات اللازمة من شبك معدني ممدد وزوايا ونهايات معدنية  ومواد الترابط  وعمل تجاويف في طبقة اللياسة بعمق 10مم عرض 10مم  في الاعمدة  وفي الجدران ان وجدت حسب الرسومات والمناظير وتعليمات المهندس المشرف ذلك حسب الاصول الفنية وتعليمات المهندس المشرف.</t>
  </si>
  <si>
    <t>لياسة الجدران والأعمدة الداخلية  وتشمل جميع الإكسسوارات بإرتفاع 20 سم أعلي الأسقف الجبسيه لزوم الجدران الداخلية</t>
  </si>
  <si>
    <t>Ref drawing: 07-MRA-DD-(as per floor number)-AR-100</t>
  </si>
  <si>
    <t>توريد وتركيب قاطع جداري ثخانة 100مم ذو الواح جبسية مقاومه للحريق  ثخانة 5.12مم تركب من الجهتين )طبقات مزدوجة( يشمل المسامير المعدنية و المزالج / الأعضاء المعدنية الساندة والسكك والغطاء العازل للصوت )صوف صخري( وكل الإكسسوارات حسب المخطط والمواصفات وتعليمات المهندس المشرف.</t>
  </si>
  <si>
    <t>تشمل اعمال الاسقف المستعارة على توريد وتركيب  نظام التعليق والاكسسوارات وكافة السكك والحمالات وبلاطات الاسقف بأنواعها وبالسماكات والنوعيات التي توضحها المخططات والمواصفات وعلى أن تكون من اجود الانواع بالاضافة إلى التنسيق بين البدايات والنهايات وتوزيع وحدات الانارة والتكييف مع الأخذ في الأعتبار فتحات الخدمة الضرورية لصيانة المعدات الميكانيكية أو الأجهزة  الكهربائية فوق السقف المعلق وتشمل نظام التعليق القوي التحمل  ومواد التثبيت وكافة الملحقات حسب المخططات والمواصفات وتعليمات المهندس المشرف.</t>
  </si>
  <si>
    <t>Ref. Drawings: 07-MRA-DD-(as per floor number)-AR-200</t>
  </si>
  <si>
    <t>توريد وتركيب أسقف معلقة من الالواح الجبسيه )01-GBC( ثخانة 12 مم المقاومة للحريق شاملة نظام التعليق وضبط الحواف والزوايا وأبواب لفتحات الكشف بالأسقف لأعمال الصيانة )أبواب جاهزة من النوع السهل الاستعمال والمزود بمفصلات مخفية( والإكسسوارات. ويشمل السعر أي مواد أو أعمال يتطلبها استكمال العمل حسب المواصفات والمخططات.</t>
  </si>
  <si>
    <t>توريد وتركيب أسقف معلقة من الالواح الجبسيه  )02-GBC( ثخانة 12 مم المقاومة للرطوبة شاملة نظام التعليق وضبط الحواف والزوايا وأبواب لفتحات الكشف بالأسقف لأعمال الصيانة )أبواب جاهزة من النوع السهل الاستعمال والمزود بمفصلات مخفية( واالإكسسوارات. ويشمل السعر أي مواد أو أعمال يتطلبها استكمال العمل حسب المواصفات والمخططات وتعليمات المهندس المشرف.</t>
  </si>
  <si>
    <t>Ref. Drawings: 07-MRA-DD-(as per floor number)-AR-200  مقاس )Mineral Fiber Acoustic False Ceiling( توريد وتركيب اسقف اصطناعية</t>
  </si>
  <si>
    <t>600×600مم  والسعر يشمل نظام التعليق من الحديد المجفلن مع جميع الاكسسوارات وكل مايلزم حسب المواصفات والمخططات وتعليمات الشركة المصنعة .</t>
  </si>
  <si>
    <t>توريد وتركيب اسقف معدنية على شكل مربعات بشكل سماكة 5سم)grey color powder coated( ، وفتحات على شكل مثلث مع اضاءة مخفية مغلفة من الاعلى بطبقة Acrylic شفاف مغشى سماكة 4مم مثبتة بنظام تعليق متصلة بالسقف الخرساني حسب الرسومات والمناظير.01-Code MTL</t>
  </si>
  <si>
    <t>Ref. Drawings: 07-MRA-DD-(as per floor number)-AR-700</t>
  </si>
  <si>
    <t xml:space="preserve"> أرضيات بورسلان 01-PT مقاس 600×600×12مم فرز اول بالمقاسات والالوان المطلوبة لدورات المياه الخاصة بمكاتب الوكلاء ومساعدين الوكلاء العامة ومنطقة التنفيذيين بالدور السادس  طبقاً للمخططات والمواصفات.</t>
  </si>
  <si>
    <t xml:space="preserve"> أرضيات بورسلان 02-PTمقاس 600×600×12مم فرز اول بالمقاسات والالوان المطلوبة لدورات المياه الخاصة بمكاتب المدراء العامين  طبقاً للمخططات والمواصفات.</t>
  </si>
  <si>
    <t xml:space="preserve"> أرضيات بورسلان03-PT مقاس 600×600×12مم فرز ثاني بالمقاسات والالوان المطلوبة لدورات المياة العامة  طبقاً للمخططات والمواصفات.</t>
  </si>
  <si>
    <t xml:space="preserve"> أرضيات بورسلان04-PT مقاس 600×600×12مم فرز ثاني بالمقاسات والالوان المطلوبة لغرف الأرشيف والمخازن والمطبخ طبقاً للمخططات والمواصفات.</t>
  </si>
  <si>
    <t>توريد وتركيب بلاط بورسلين للجدران يلصق بمادة الغراء يتم إعتمادها على اللياسة المنفذه أسفل اوعلى القواطع الاسمنتية هويكون البورسيلين من النوع الجيد والمتوفر  والسعر يشمل المادة اللاصقه ومادة السقاية  والديكور المطلوب ويتم التنفيذ طبقا للمخططات  واصول الصناعة وتعليمات المهندس المشرف.</t>
  </si>
  <si>
    <t xml:space="preserve"> جدران بورسلان(PW-01(type A,B &amp;C مقاس 600×300×12مم فرز اول بالمقاسات والالوان المطلوبة لدورات المياه الخاصة بمكاتب الوكلاء ومساعدين الوكلاء العامة ومنطقة التنفيذيين بالدور السادس  طبقاً للمخططات والمواصفات.</t>
  </si>
  <si>
    <t xml:space="preserve"> جدران بورسلان(PW-02(type A&amp;B مقاس 600×300×12مم فرز اول بالمقاسات والالوان المطلوبة لدورات المياه الخاصة بمكاتب المدراء العامين  طبقاً للمخططات والمواصفات.</t>
  </si>
  <si>
    <t xml:space="preserve"> جدران بورسلان (PW-03(type A&amp;B  مقاس 600×300×12مم فرز ثاني بالمقاسات والالوان المطلوبة لدورات المياة العامة  طبقاً للمخططات والمواصفات.</t>
  </si>
  <si>
    <t>توريد وتركيب بلاط سيراميك مزجج للجدران يلصق بمادة الغراء يتم إعتمادها على اللياسة المنفذه أسفل اوعلى القواطع الاسمنتية هويكون السيراميك المزجج من النوع الجيد والمتوفر  والسعر يشمل المادة اللاصقه ومادة السقاية  والديكور المطلوب ويتم التنفيذ طبقا للمخططات  واصول الصناعة وتعليمات المهندس المشرف.</t>
  </si>
  <si>
    <t xml:space="preserve">توريد وتركيب بلاط رخام للأرضيات ويكون  الرخام  المستخدم  فرز اول  من النوع المتجانس الألوان خالى من العيوب ذات صلادة سماكة 2سم مع عمل تشكيلات حسب المطلوب  ويتم التركيب على مونة </t>
  </si>
  <si>
    <t>مجففة ثم الدرع بالقدة والميزان  والفئة تشمل الصقل والجلاء مع بودرة الرخام المستخدم والتلميع 4 أوجه ويتم التركيب طبقا للمخططات والمواصفات الفنية وبحسب توجيهات واعتماد المهندس المشرف.</t>
  </si>
  <si>
    <t xml:space="preserve"> Ref. Drawings: 07-MRA-DD-(as per floor number)-AR-300</t>
  </si>
  <si>
    <t>رخام 01-MT رمادي غامق تندر غراي مقاس  1200× 300 مم لمنطقة القهوة و المدخل سماكة 20مم .</t>
  </si>
  <si>
    <t>رخام 03-MT رمادي بيترا غراي غراي مقاس 1200× 300 مم لمنطقة القهوة في الدور السادس سماكة 20مم</t>
  </si>
  <si>
    <t>رخام رمادي فاتح تندر غراي الواح مقاس 1000× 1000 مم بحسب اعتماد المهندس المشرف للممرات  سماكة 20مم</t>
  </si>
  <si>
    <t>رخام رمادي بيترا غراي للدور السادس ألواح مقاس 1000× 1000 مم بحسب اعتماد المهندس سماكة 20مم</t>
  </si>
  <si>
    <t>رخام 03-MR ثاسوس ابيض لحمام معالي الوزير مقاس 900×900 مم  بحسب اعتماد المهندس سماكة 20مم</t>
  </si>
  <si>
    <t>رخام تندر غراي فاتح للدرج في الفناء الوسطي ب عرض 30 سم وارتفاع 15 سم وطول 800 سم.</t>
  </si>
  <si>
    <t>معالجة وتنظيف وصقل وجلاء بلاط رخام الأرضيات والدرج مع بودرة الرخام المستخدم والتلميع 4 أوجه وملو الفواصل بمادة مقاومة للرطوبة والبكتيريا  والسعر يشمل جميع المواد والأعمال اللازمة لإتمام العمل المطلوب طبقا للمخططات والمواصفات الفنية وبحسب توجيهات واعتماد المهندس المشرف.</t>
  </si>
  <si>
    <t>رخام الأرضيات في المداخل و الممرات الرئيسية وبسطات الدرج.</t>
  </si>
  <si>
    <t>رخام الدرج )قائمة والسعر يشمل النائمة والحبسة (</t>
  </si>
  <si>
    <t>توريد وتركيب بلاط رخام للجدران يلصق بمادة الغراء يتم إعتمادها على اللياسة المنفذه أسفل اوعلى القواطع الاسمنتية هويكون  من النوع الجيد والمتوفر  والسعر يشمل المادة اللاصقه ومادة السقاية  والديكور المطلوب ويتم التنفيذ طبقا للمخططات  واصول الصناعة وتعليمات المهندس المشرف.</t>
  </si>
  <si>
    <t>رخام رمادي غامق تندر غراي مقاس 600×900 مم  سماكة  20مم  كإطار حول المصاعد</t>
  </si>
  <si>
    <t>Drawings: 07-MRA-DD-GF-AR-607 I &amp; 607 L</t>
  </si>
  <si>
    <t>رخام ابيض ثاسوس  سماكة 20مم على جدران دورات مياه منطقة معالي الوزير</t>
  </si>
  <si>
    <t>رخام أخضر داكن مثبت على قواطع السيمنت خلف مكاتب السكرتاريا وفي المدخل الرئيسي في منطقة معالي الوزير.</t>
  </si>
  <si>
    <t>Drawings: 07-MRA-DD-6TH-AR-650 B</t>
  </si>
  <si>
    <t>معالجة وتنظيف وصقل وجلاء بلاط رخام الحوائط والأعمدة والكمر و الوزرات مع بودرة الرخام المستخدم والتلميع 4 أوجه وملو الفواصل بمادة مقاومة للرطوبة والبكتيريا والسعر يشمل جميع المواد والأعمال اللازمة لإتمام العمل المطلوب طبقا للمخططات والمواصفات الفنية وبحسب توجيهات واعتماد المهندس المشرف.</t>
  </si>
  <si>
    <t>رخام  الحوائط والأعمدة والكمر والوزرات لمدخل كبار الشخصيات ومدخل الموظفين وعلى المصاعد وفي الممرات الرئيسية والوجهات الداخلية للفناء الوسطي.</t>
  </si>
  <si>
    <t>توريد وتركيب وزرة من الرخام  رمادي فاتح تندر غراي بسماكة 20مم 100*1000 مم والسعر يشمل التثبيت  بالغراء والشطف وكل ما يلزم لانهاء العمل حسب الاصول الفنية وتعليمات المهندس المشرف.</t>
  </si>
  <si>
    <t>Drawings: 07-MRA-DD-(as per floor number)-AR-301A</t>
  </si>
  <si>
    <t>معالجة وتنظيف و الصقل والجلاء  لبلاط  الموزايك للأرضيات والدرج ومحمل على البند الوزر  والبند يشمل معالجة اللحامات والسقاية وملو الفواصل بمادة مقاومة للرطوبة والبكتيريا  طبقا للمخططات والمواصفات الفنية وبحسب توجيهات واعتماد المهندس المشرف.</t>
  </si>
  <si>
    <t>الأرضيات الموزايكو في سلالم الخدمة وبسطات الدرج.</t>
  </si>
  <si>
    <t>موزايكو الدرج )قائمة والسعر يشمل النائمة والحبسة (</t>
  </si>
  <si>
    <t>توريد وتثبيت بلاطات من سجاد من أجود الأنواع المقاومة للحريق والبكتيريا وقابلة للخدمة الشاقّة والغسيل والغير قابلة لامتصاص السوائل، تنفذ على طبقة مونة اسمنتية حسب الحاجة على ان يتم الكشف على حالة الموقع من قبل المقاول على ارض الواقع ويشمل تحضير الطبقة السفلية القاعدية ومواد التثبيت وشريط الفصل حسب اللزوم وكل قطع الإكسسوار بحسب الألوان والخامات المعتمدة وبحسب تعليمات المهندس المشرف.</t>
  </si>
  <si>
    <t>Ref drawing: 07-MRA-DD-(as per floor number)-AR-300 مقاس 500×500 مم  لون رمادي لمنطقة المرور CT-01بلاط - سجاد</t>
  </si>
  <si>
    <t>Ref drawing: 07-MRA-DD-(as per floor number)-AR-300</t>
  </si>
  <si>
    <t>بلاط - سجاد 02-CT مقاس 500× 500 مم لون أزرق فاتح لمحطة العمل وغرفة الاجتماعات</t>
  </si>
  <si>
    <t>Ref drawing: 07-MRA-DD-(as per floor number)-AR-300 مقاس 500×500 مم لون بيج لمكتب المدير CT-03بلاط - سجاد</t>
  </si>
  <si>
    <t>Ref drawing: 07-MRA-DD-(as per floor number)-AR-300 مقاس 500×500 مم لمنطقة الاستقبال الرئيسية CT-04بلاط - سجاد</t>
  </si>
  <si>
    <t>بلاط - سجاد05-CT مقاس 500×500 مم لغرف خدمة العملاء مع تصميم بشكل مثلث وألوان مختلفة</t>
  </si>
  <si>
    <t>Ref drawing: 07-MRA-DD-(as per floor number)-AR-300 مقاس 500×500 مم لمركز الأعمال CT-06بلاط - سجاد</t>
  </si>
  <si>
    <t>بلاط - سجاد 01-CR مقاس 500×500 مم لمكتب الرئيس ونائب الرئيس والصالة والسكرتارية وغرفة الاجتماعات الكبيرة.</t>
  </si>
  <si>
    <t>بلاط - سجاد 02-CR مقاس 500×500 مم لمكتب الرئيس ونائب الرئيس على شكل مثلثات لون بيج، رمادي فاتح ورمادي غامق.</t>
  </si>
  <si>
    <t>300-Ref drawing: 07-MRA-DD-(as per floor number)-ARبلاط - سجاد 03-CR مقاس 500×500 مم للمدير العام ومنطقة السكرتارية</t>
  </si>
  <si>
    <t>توريد وتثبيت لفائف السجاد من أجود الأنواع المقاومة للحريق والبكتيريا وقابلة للخدمة الشاقّة والغسيل والغير قابلة لامتصاص السوائل، تنفذ على طبقة مونة اسمنتية حسب الحاجة على ان يتم الكشف على حالة الموقع من قبل المقاول على ارض الواقع ويشمل تحضير الطبقة السفلية القاعدية ومواد التثبيت وشريط الفصل حسب اللزوم وكل قطع الإكسسوارات بحسب الألوان والخامات المعتمدة وبحسب تعليمات المهندس المشرف.</t>
  </si>
  <si>
    <t>Ref drawing: 07-MRA-DD-(as per floor number)-AR-300 لمنطقة الصلاة CR-04 رولات السجاد</t>
  </si>
  <si>
    <t>رولات السجاد 05-CR لمدخل معالي الوزير في الدور الارضي، سجادة المراسم الملكية لون بنفسجي مع إضافة إطار بنقشة مزخرفة حسب المناظير الداخلية.</t>
  </si>
  <si>
    <t>رولات السجاد 06-CR للمدخل الرئيسي والثانوي في الدور الأرضي بلون بيج مع تصميم على شكل مثلثات حسب المناظير الداخلية.</t>
  </si>
  <si>
    <t>رولات السجاد 07-CR لمختصر معالي الوزير، غرفة الاجتماعات الخاصة بمعالي الوزير، غرفة الاجتماعات الرئيسية ومدير مكتب معالي الوزير.</t>
  </si>
  <si>
    <t>300-Ref drawing: 07-MRA-DD-(as per floor number)-ARرولات السجاد 08-CR لمنطقة انتظار كبار الشخصيات في الدور السادس</t>
  </si>
  <si>
    <t>300-Ref drawing: 07-MRA-DD-(as per floor number)-ARرولات السجاد 09-CR  لمكتب معالي الوزير، السكرتاريا ومنطقة الانتظار</t>
  </si>
  <si>
    <t>300-Ref drawing: 07-MRA-DD-(as per floor number)-ARرولات السجاد 10-CR  لغرفة اللاونج في منطقة التنفيذين في الدور السادس</t>
  </si>
  <si>
    <t xml:space="preserve">توريد وتثبيت باركيه laminated HDF ثخانة 9مم من أجود الأنواع المقاومة للحريق والبكتيريا وقابلة للخدمة الشاقّة والغسيل والغير قابلة لامتصاص السوائل، تنفذ على طبقة مونة اسمنتية حسب الحاجة على </t>
  </si>
  <si>
    <t xml:space="preserve">ان يتم الكشف على حالة الموقع من قبل المقاول على ارض الواقع ويشمل تحضير الطبقة السفلية القاعدية ومواد التثبيت وشريط الفصل حسب اللزوم وكل قطع الإكسسوار بحسب الألوان والخامات المعتمدة </t>
  </si>
  <si>
    <t>-Ref drawing: 07-MRA-DD-(as per floor number) .وبحسب تعليمات المهندس المشرف</t>
  </si>
  <si>
    <t>AR-300</t>
  </si>
  <si>
    <t>بلاط laminated HDF باركيه01-PQ  لمركز الأعمال والفناء الوسطي</t>
  </si>
  <si>
    <t xml:space="preserve">عمل صبة خرسانية من السرك سماكة 10 سم مع طبقة واحدة من شبك الحديد قطر 6مم. على أن تكون طبقة التشطيب النهائية بلون رمادي غامق على شكل الأسطح الاسمنتية  بحسب اللون والملمس المعتمد. </t>
  </si>
  <si>
    <t>وبحسب تعليمات المهندس المشرف.</t>
  </si>
  <si>
    <t>Code: CF-01</t>
  </si>
  <si>
    <t>Ref drawing: 07-MRA-DD-G.F-AR-300</t>
  </si>
  <si>
    <t>عمل صبة خرسانية من السرك سماكة 10 سم مع طبقة واحدة من شبك الحديد قطر 6مم. على أن تكون طبقة التشطيب النهائية بلون رمادي فاتح على شكل الأسطح الاسمنتية  بحسب اللون والملمس المعتمد وبحسب تعليمات المهندس المشرف.</t>
  </si>
  <si>
    <t>Code: CF-02</t>
  </si>
  <si>
    <t xml:space="preserve"> توريد وتركيب حجر للأرضيات ويكون  الحجر  المستخدم  فرز اول  من النوع المتجانس الألوان خالى من العيوب ذات صلادة سماكة 2سم مع عمل تشكيلات حسب المطلوب  ويتم التركيب على مونة مجففة ثم الدرع بالقدة والميزان  والفئة تشمل الصقل والجلاء مع بودرة الرخام المستخدم  ويتم التركيب طبقا للمخططات والمواصفات الفنية وبحسب تعليمات المهندس المشرف.</t>
  </si>
  <si>
    <t xml:space="preserve">حجر جرانيت اسود مع تشكيلات مثلثات من لون فاتح للنافورة الداخلية   01-ST حسب الموضح بالمخطط </t>
  </si>
  <si>
    <t xml:space="preserve">07MRA-DD-G.F-AR-301B </t>
  </si>
  <si>
    <t>توريد وتركيب حجر للأرضيات ويكون  الحجر  المستخدم  فرز اول  من النوع المتجانس الألوان خالى من العيوب ذات صلادة سماكة 2سم مع عمل تشكيلات حسب المطلوب  ويتم التركيب على مونة مجففة ثم الدرع بالقدة والميزان  والفئة تشمل الصقل والجلاء مع بودرة الرخام المستخدم  ويتم التركيب طبقا للمخططات والمواصفات الفنية وبحسب تعليمات المهندس المشرف.</t>
  </si>
  <si>
    <t>300-Ref. Drawings: 07-MRA-DD-(as per floor number)-AR حجر رياض ابيض كإطار حول الجلسات في الفناء الوسطي الاساسي 02-ST</t>
  </si>
  <si>
    <t xml:space="preserve"> تحضير وتنفيذ وعمل دهان عالي الجودة  للألواح الجبسية والألواح الإسمنتية  يشمل الوجه التحضيرى أساس ومعالجة الفواصل  بالمعجـون والشاش والمواد المخصص لتسكير فواصل الالواح الجبسية</t>
  </si>
  <si>
    <t xml:space="preserve"> والاسمنتية وان يكون نوع المعجون  متوافق مع مادة الدهان ثم الدهان ثلاثة أوجه باللون المطلوب علي أن يكون الدهان  قابل للغسيل ويتم التنفيذ طبقا للمخططات والمواصفات الفنية والعينات المعتمدة وبحسب.تعليمات المهندس المشرف</t>
  </si>
  <si>
    <t>دهان بلون رمادي بيج على الألواح الجبسية والألواح الاسمنتية 100-WPF</t>
  </si>
  <si>
    <t xml:space="preserve"> تحضير وتنفيذ عمل دهان عالية الجودة للحوائط الخرسانية الداخليه وعمل التشطيبات 600-WPF الاخيرة من دهان  البلاستيكي أكريليك ربع لامع  ثلاثة أوجه باللون المطلوب علي أن يكون الدهان  قابل للغسيل  يشمل الوجه التحضيرى عمل طبقة من التأسيس ) الاساس ( نوع أكريليك مقاوم للرطوبة والعوامل الجوية و يكون المعجون من طبقتين من مواد معتمدة ومن نفس نوعية الدهان كما يشمل العمل توريد وتنفيذ الدهانات ثلاثة أوجه من نوعية ضد الأحماض والكيماويات والتعفن ومع ضرورة جعل السطح نظيفا وجافا وخاليا تماما من الأتربة ومعالجة الشروخ وأي مواد عالقة على أن يتم إعتماد نوعية الدهان والتأكد من صلاحيتها من قبل المهندس المشرف ،.ويشمل السعر إزالة طبقات الدهانات القديمة ان وجدت ومع الحف والسنفرة للجدران. على ان يكون لون الاسقف  ولون الجدران بالالوان المحدد والمعتمدة بالمخططات  ويتم.التنفيذ طبقا للمخططات والمواصفات الفنية وبحسب تعليمات المهندس المشرف500-Ref drawing: 07-MRA-DD-3RD-AR</t>
  </si>
  <si>
    <t>دهان بلون رمادي خشن على هيئة الاسطح الاسمنتية مع غرووف  على الأعمدة</t>
  </si>
  <si>
    <t xml:space="preserve">تحضير وتنفيذ وعمل دهان عالي الجودة للحوائط  الداخليه والأسقف يشمل ترميم ومعالجة الشروخ وطبقات المعجون الازمة لتسوية السطح متوافق مع مادة الدهان ثم الدهان وجهان باللون المطلوب علي أن يكون المواد متوافقة مع الدهان الحالي و قابل للغسيل و يشمل عمل المرمات اللازمة للبياض  وازالة الدهان المتهالك أو الدهان القديم ان لزم الأمر مع الحف والسنفرة والسعر يشمل جميع الاعمال والمواد اللازمة لإتمام العمل ويتم التنفيذ طبقا للمخططات والمواصفات الفنية وبحسب تعليمات المهندس المشرف. </t>
  </si>
  <si>
    <t>Ref drawing: 07-MRA-DD-3RD-AR-500</t>
  </si>
  <si>
    <t>دهان لجدران وأسقف السلالم والجدران الداخلية بالمبنى.</t>
  </si>
  <si>
    <t>.دهان بلون رمادي اسمنتي على الألواح الجبسية والألواح الاسمنتية 200-WPF</t>
  </si>
  <si>
    <t>.دهان بلون رمادي فاتح  على الألواح الجبسية والألواح الاسمنتية 300-WPF</t>
  </si>
  <si>
    <t>.دهان بلون اصفر خردلي  على الألواح الجبسية والألواح الاسمنتية 400-WPF</t>
  </si>
  <si>
    <t>.دهان بلون ازرق أخضر  على الألواح الجبسية والألواح الاسمنتية 500-WPF</t>
  </si>
  <si>
    <t>.دهان بلون رمادي خشن على هيئة الاسطح الاسمنتية مع تجويف  على جدار البلوك 600-WPF</t>
  </si>
  <si>
    <t xml:space="preserve">تحضير وتنفيذ وعمل دهان عالي الجودة للأسقف الجبسية يشمل الوجه التحضيرى أساس ومعالجة الفواصل  بالمعجـون والشاش والمواد المخصص لتسكير فواصل الالواح الجبسية والاسمنتية وان يكون نوع </t>
  </si>
  <si>
    <t>المعجون  متوافق مع مادة الدهان ثم الدهان ثلاثة أوجه باللون المطلوب علي أن يكون الدهان  قابل للغسيل ويتم التنفيذ طبقا للمخططات والمواصفات الفنية والعينات المعتمدة وبحسب تعليمات المهندس المشرف.</t>
  </si>
  <si>
    <t>دهان  بلون ابيض</t>
  </si>
  <si>
    <t>دهان  بلون اصفر خردلي</t>
  </si>
  <si>
    <t>دهان  بلون ازرق تيل</t>
  </si>
  <si>
    <t>دهان  بلون ازرق فاتح</t>
  </si>
  <si>
    <t>بالمتر المسطح عمل دهان اكريليك مائي مرن عالي المتانة علي الاسطح الخرسانية وعلى الجدران  الظاهرة على السقف المفتوح  وكل التجهيزات الخاصة بالأعمال الميكانيكية والكهربائية باستثناء نظام الحريق. يشمل الوجه التحضيرى أساس  ثم  الدهان وجهين باللون المطلوب  مع نظافة الاسطح وازالة اى بروز بالخرسانات بالسقف ويتم التنفيذ طبقا للمخططات والمواصفاتة الفنية وعلي حسب تعليمات المهندس المشرف.</t>
  </si>
  <si>
    <t>Ref drawing: 07-MRA-DD-(as per floor number)-AR-200 &amp; 201 دهان  بلون اسود</t>
  </si>
  <si>
    <t>Ref drawing: 07-MRA-DD-(as per floor number)-AR-200 &amp; 201 دهان رمادي غلمق</t>
  </si>
  <si>
    <t>معالجة و دهان سقف الفناء الوسطى والبند يشمل أعمال ترميم  ودهان الألواح الجبسية مع تغيير التالف منها وفك ألواح التغطية الشفافة )ألواح اللكسان( الحالية وتوريد وتركيب ألواح جديدة ومحمل على البند فك وحدات الانارة الحالية وتوريد وتركيب ،حدات إنارة جديدة مناسبة على ان يقدم المقاول مقترح كامل لطريقة التنفيذ وعينات المواد للاعتماد من المهندس المشرف  قبل البدء بالاعمال والسعر يشمل كافة المواد والاعمال اللازمة لتنفيذ البند طبقاً لتوصيات المهندس المشرف</t>
  </si>
  <si>
    <t>توريد وتثبيت ورق جدران عالي الجودة على الألواح الجبسية بعد تأسيس الجدران واغلاق الفواصل والفتحات وتاسيس الجدار بدهان مناسب لاعمال ورق الجدران  حسب النوع . في منطقة التنفيذيين ومكتب مدير مكتب معالي الوزير في الدور السادس  ويتم التنفيذ طبقا للمخططات والمواصفات الفنية وبحسب تعليمات المهندس المشرف.</t>
  </si>
  <si>
    <t>توريد وتركيب مكملات )إكسسوارات( الحمامات ولوازمها من أجود الأنواع طبقا للمواصفات وبحسب تعليمات المهندس المشرف.</t>
  </si>
  <si>
    <t>جهاز تجفيف للأيدي كهربائي</t>
  </si>
  <si>
    <t>جهاز مناديل كهربائي</t>
  </si>
  <si>
    <t>موزع صابون سائل</t>
  </si>
  <si>
    <t>حاملة لفة ورق توليت</t>
  </si>
  <si>
    <t>مقابض لذوي الاحتياجات الخاصة  مكونه من مقبض خلفي 900 مم</t>
  </si>
  <si>
    <t>مقابض لذوي الاحتياجات الخاصة   مكونه من مقبض جانبي1100 مم</t>
  </si>
  <si>
    <t>طقم اكسسوارات لمكتب معالي الوزير شاملة اكسسوارات حوض المغسلة، ماسورة تعليق المناشف وحوامل المناشف، فرشاة الحمام، حامل ورق التواليت</t>
  </si>
  <si>
    <t>طقم اكسسوارات لمكتب الوكيل ومساعد الوكيل ومكاتب التنفيذيين في الدور السادس شاملة اكسسوارات حوض المغسلة، ماسورة تعليق المناشف وحوامل المناشف، فرش الحمام، حامل ورق التواليت</t>
  </si>
  <si>
    <t>طقم اكسسوارات لمكاتب المدراء العامين شاملة اكسسوارات حوض المغسلة، ماسورة تعليق المناشف وحوامل المناشف، فرش الحمام، حامل ورق التواليت</t>
  </si>
  <si>
    <t>توريد وتركيب مرآة وجه 6 مم ترُكّب بارزة عن الجدار مع شطف على كل الجهات طبقا للمواصفات وبحسب تعليمات المهندس المشرف.</t>
  </si>
  <si>
    <t>مقاس 1100 × 900 مم</t>
  </si>
  <si>
    <t>مقاس 1200 × 800 مم</t>
  </si>
  <si>
    <t>مقاس 1200 × 700 مم</t>
  </si>
  <si>
    <t xml:space="preserve">توريد وتركيب كاونتر لوحي للمغاسل كوريان عالي الكثافة سماكة 20 مم، يشمل الجزء الأمامي واللوح الواقي الخلفي  سماكة 20 مم حسب المحدد في المخططات والأقواس وأدوات التثبيت من الحديد المجلفن. </t>
  </si>
  <si>
    <t>و يشمل السعر أي مواد أو أعمال يتطلبها انهاء العمل طبقاً للموضح بالمواصفات والرسومات. ويشمل الأعمال الخشبية اللازمة للخزائن المرتبطة بالكاونتر حسب التصميم المطلوب وبحسب تعليمات المهندس المشرف.</t>
  </si>
  <si>
    <t>Ref drawing: 07-MRA-DD-(as per floor number)-AR-700 to 703 مقاس: 1250طول × عرض600 مم</t>
  </si>
  <si>
    <t>Ref drawing: 07-MRA-DD-(as per floor number)-AR-700 to 703 مقاس: 1200طول × عرض600 مم</t>
  </si>
  <si>
    <t xml:space="preserve"> مقاس: 1000طولRef drawing: 07-MRA-DD-(as per floor number)-AR-700 to 703 عرض600 مم ×</t>
  </si>
  <si>
    <t>Ref drawing: 07-MRA-DD-(as per floor number)-AR-700 to 703 مقاس: 3800طول × عرض600 مم</t>
  </si>
  <si>
    <t>Ref drawing: 07-MRA-DD-(as per floor number)-AR-700 to 703 مقاس: 1340طول × عرض600 مم</t>
  </si>
  <si>
    <t>Ref drawing: 07-MRA-DD-(as per floor number)-AR-700 to 703 مقاس: 1620طول × عرض600 مم</t>
  </si>
  <si>
    <t>Ref drawing: 07-MRA-DD-(as per floor number)-AR-700 to 703 مقاس: 1200طول × عرض500 مم</t>
  </si>
  <si>
    <t>خزانة مغسلة خشبية مقاومة للرطوبة من خشب الـ ) Mdf ( بسماكة 18 مم وارتفاع 400 مم من قشرة الجوز أو ما يتناسب مع العينة الموافق عليها  مثبتة على القواطع الجبسية مع اضاءة مخفية ومفصلات ومقابض مخفية وتصميم حسب الرسومات والمناظير وبحسب تعليمات المهندس المشرف.</t>
  </si>
  <si>
    <t>Ref drawing: 07-MRA-DD-(as per floor number)-AR-700 to 703 مقاس: 1000طول × عرض600 مم</t>
  </si>
  <si>
    <t xml:space="preserve"> 4400mm -طول x 1100mm - ارتفاع x 600mm -عرض</t>
  </si>
  <si>
    <t xml:space="preserve"> 3100mm -طول x 1100mm - ارتفاع x 600mm -عرض</t>
  </si>
  <si>
    <t>لوحات إرشاديه للإستقبال نوع  101ID</t>
  </si>
  <si>
    <t>لوحات إرشاديه للمكاتب نوع  102ID</t>
  </si>
  <si>
    <t>قواطع الحمامات مكونة من ألواح الفينوليك المضغوط ارتفاع 2 متر ذو المقاومة الشديدة للماء مع طبقة ميلامين بلون رمادي غامق مقاومة للخدش وسهلة التنظيف ، سمك الألواح هو  19 ملم ،. قواطع الحمامات تشمل إكسسوارات عالية الجودة ) مفصلات ذاتية الإغلاق وقفل ( والأبواب والاكسسوارات والعلاقات من الستانلس ستيل brushed finish وكل ما يلزم لانهاء العمل حسب الأصول الفنية والمواصفلت وتعليمات المهندس المشرف .</t>
  </si>
  <si>
    <t>Ref drawing: 07-MRA-DD-(as per floor number) AR-702 &amp; 703</t>
  </si>
  <si>
    <t>توريد و تركيب و اختبار رشاشات آلية اوتوماتيكية كما هو موصف رشاشات معلقة، ذات فتحة 2/1 بوصة، ومعامل 5.6 =K   ودرجة حرارة تشغيل 68 درجة مئوية</t>
  </si>
  <si>
    <t>توريد و تركيب و اختبار رشاشات آلية اوتوماتيكية كما هو موصف رشاشات عامودية، ذات فتحة 2/1 بوصة، ومعامل 5.6 =K   ودرجة حرارة تشغيل 68 درجة مئوية</t>
  </si>
  <si>
    <t>توريد و تركيب طفايات حريق قابلة للحمل كما هو محددنوع ABC ، سعة 6 كغ ، بودرة جافّة مرجع 1-FE</t>
  </si>
  <si>
    <t>توريد و تركيب نظام  غازي200FM لغرف الكهرباء و السنترال و ما يتطلبه النظام من تعديلاتمعمارية على ان يتم تقديمها للاعتماد من قبل مهندس المشرف  ،  مرجع 3-FE</t>
  </si>
  <si>
    <t>توريد و تركيب كبائن مكافحة الحريق class II مزوده بمحبس 5.1 بوصة و خرطوم قماشي من مادةمعتمدة و ايضا بها طفاية حريق ABC  سعة 6 كيلو</t>
  </si>
  <si>
    <t xml:space="preserve"> توريد و تركيب طفايات حريق  نوع 2Co ، سعة 6 كغ ، بودرة جافّة</t>
  </si>
  <si>
    <t xml:space="preserve">نظام إدارة المبنى BMS                                          </t>
  </si>
  <si>
    <t>كاشف إنذار حراري من النوع المعنون طبقا للمخططات  ومواصفات المشروع</t>
  </si>
  <si>
    <t xml:space="preserve"> وحدة إنذار حريق يدوية من النوع المعنون طبقا للمخططات  ومواصفات المشروع</t>
  </si>
  <si>
    <t>وحدة عزل )fault isolator( من النوع المعنون طبقا للمخططات  ومواصفات المشروع</t>
  </si>
  <si>
    <t>وحدة تحكم  )Control module( من النوع المعنون طبقا للمخططات  ومواصفات المشروع</t>
  </si>
  <si>
    <t>وحدة جرس إنذار حريق داخلى طبقا للمخططات  ومواصفات المشروع</t>
  </si>
  <si>
    <t>وحدة هاتف رجل الاطفاء حريق داخلى )fireman telephone Jack ( طبقا للمخططات  ومواصفات المشروع</t>
  </si>
  <si>
    <t>وحدات لاسلكية لتوفير خدمة شبكة المعلومات )Wireless Access Points(</t>
  </si>
  <si>
    <t>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بطاقات تعريف ذكية</t>
  </si>
  <si>
    <t>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قفل كهربائى لبابين      locks( door magnetic )Electro</t>
  </si>
  <si>
    <t>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قارىء من النوع التقاربى      ( reader card Proximity )</t>
  </si>
  <si>
    <t>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قفل كهربائى       locks( door magnetic )Electro</t>
  </si>
  <si>
    <t>توريد وتركيب واختبار نظام التحكم فى الدخول بروتوكول IP مع البرامج الخاصة بنظام التحكم بتقنية integration RFID dual ، مع المواسير والكابالت وكل الملحقات لضمان عمل النظام على الوجه االكمل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وحدة زر خروج من النوع button( )Push</t>
  </si>
  <si>
    <t xml:space="preserve">توريد وتركيب وإختبار نظام النداء الصوتي العام يتضمن كافة الكابالت و المواسير و العلب و النهايات مع كامل اكسسوارات التركيب الالزمة وتشغيل تجهيزات الصوت و تركيب المعدات الرئيسية بغرفة التحكم حسب المخططات و المواصفات وتعليمات الشركة المصنعة مشتمال على كل ما يلزم التمام العمل
و ربطه مع نظام الحريق و ادارة المبنى و يتكون من االتي -:
سماعة سقفية 6 وات
</t>
  </si>
  <si>
    <t>انة معدنية مع باب زجاجي مع قفل قياس 19 بوصة شاملة للمراوح وجميع االكسسوارات مع جهاز مكبر صوت و مكرفون لنظام النداء
الصوتي و جهاز التجميع والتحكم بنظام الصوت الرقمي متضمنا 8 مدخل يشمل التوصيالت و التركيبات
الالزمة لنهو العمل - 8 مخرج، مرتبط بنظام االنذار من الحريق ، ثنائي المراقبة ، مرتبط
بنظام التحكم بااللي للمبنى شامال لجميع المعدات و التوصيالت الالزمة.</t>
  </si>
  <si>
    <t>هيز وتركيب وإختبار لنظام الصوت و الصورة بغرفة اإلجتماعات conferance( )video ويتضمن كافة الكابالت و المواسير و العلب و النهايات مع كامل اكسسوارات التركيب الالزمة شامال و الملحقات
الالزمة ا لتعليمات ومواصفات إدارة الـ IT ، وعلى أن يحتوي لتجهيزات التالية:
تمديدات لكاميرا (FHD) IP سقفية عدد 2
سماعات سففية عدد 4
وحدة نداء (ميكرفون)
محطة عمل</t>
  </si>
  <si>
    <t xml:space="preserve">توريد وتركيب وإختبار المخارج اآلتية شاملة الكابالت 6A( )CAT والمواسير وعلب التوصيل وعلب السحب واألغطية و الوصالت cords Patch وخالفه حسب المواصفات ووفقا لما هو موضح بالمخططات مع جميع االكسسوارات لعمل النظام على أكمل وجه ومن أجود األنواع األصلية وحسب تعليمات ومواصفات إدارة الــ IT بالوزارة وكل ما يلزم من المخرج وحتى rack IT
على المقاول المعاينة و فحص الشبكة الحالية و االستفادة من التمديدات الحالية و دمجها مع التركيبات
الجديدة بعد عمل االختبارات الالزمة و بعد الموافقة من مهندس المشرف -:.
مخرج فردي حائطي مزود بعدد واحد مأخذ RJ-45
</t>
  </si>
  <si>
    <t>توريد وتركيب وإختبار المخارج اآلتية شاملة الكابالت 6A( )CAT والمواسير وعلب التوصيل وعلب السحب واألغطية و الوصالت cords Patch وخالفه حسب المواصفات ووفقا لما هو موضح بالمخططات مع جميع االكسسوارات لعمل النظام على أكمل وجه ومن أجود األنواع األصلية وحسب تعليمات ومواصفات إدارة الــ IT بالوزارة وكل ما يلزم من المخرج وحتى rack IT
على المقاول المعاينة و فحص الشبكة الحالية و االستفادة من التمديدات الحالية و دمجها مع التركيبات
الجديدة بعد عمل االختبارات الالزمة و بعد الموافقة من مهندس المشرف -:.
مخرج HDMI مع الكوابل الالزمة</t>
  </si>
  <si>
    <t>خزانة تجهيزات 42 U مقاس 2000×1000×800 ملم من أجود األنواع العالمية مع جميع االكسسوارات الالزمة من قاطع رئيسي 32( أمبير) وموزعات و مراوح و منظمات مسير الكوابل و كل
ما يلزم التمام العمل وحسب مواصفات وتعليمات إدارة الـ IT بالوزارة.</t>
  </si>
  <si>
    <t>لوحة توزيع رئيسية لنظام كابالت األلياف الضوئية Panel Patch Optical مزودة بعدد )12( موصل
من النوع Multimode</t>
  </si>
  <si>
    <t>لوحات توزيع كابالت نحاسية Panel Patch a 6 CAT مع الوصالت لعدد 24 مخرج</t>
  </si>
  <si>
    <t xml:space="preserve">توريد وتركيب وتوصيل جميع تمديدات كابالت األلياف الضوئية ( الفايبر) من نوع 12core - multimode من الموزعات الفرعية بكبائن األدوارإلى الموزع الرئيسى بغرفة الداتا الرئيسية وذلك حسب المواصفات القياسية والبند يشمل كافة وسائل وإكسسوارات التركيب والتثبيت و على المقاول تقديم
الحسابات لالعتمادها من قبل المهندس المشرف
</t>
  </si>
  <si>
    <t>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number)-AR-هدم وإزالة تشطيبات رخام أو بلاط بورسلان أو سيراميك  للأرضيات والجدران الحالية  بحسب المخططات المعتمدة وتعليمات المهندس المشرف.</t>
  </si>
  <si>
    <t>تشتمل على أعمال الهدم وإلإزالة والترحيل داخل أدوار المبنى والسعر يشمل نقل المخلفات الغير صالحه للمقالب العموميه ونقل المخلفات الصالحه لمخازن الجهه المالكهRef drawing: 07-MRA-DD-(as per floor number)-AR-001هدم وإزالة تشطيبات الأسقف المستعارة الحالية بما تشمل أسقف جبسية وبلاطات صناعية وأسقف معدنية  بحسب المخططات المعتمدة وتعليمات المهندس المشرف.</t>
  </si>
  <si>
    <t>تجديد وترميم الأبواب الحديدية وتشمل الأعمال ما يلي: ــ  تجديد وترميم أبواب الحديد، سنفرة الأبواب، عمل طبقة تأسيس ناري للأبواب،  دهان وتلميع الأجزاء  + تلميع خارجي بمادة البوليريثان، المحافظة على نظافة المكان وإزالة المخلفات. حسب الاصول الفنيه وتعليمات المهندس المشرف.</t>
  </si>
  <si>
    <t>باب  ضلفة واحدة عرض800مم</t>
  </si>
  <si>
    <t>تشمل اعمال الاسقف المستعارة على توريد وتركيب  نظام التعليق والاكسسوارات وكافة السكك والحمالات وبلاطات الاسقف بأنواعها وبالسماكات والنوعيات التي توضحها المخططات والمواصفات وعلى أن تكون من اجود الانواع بالاضافة إلى التنسيق بين البدايات والنهايات وتوزيع وحدات الانارة والتكييف مع الأخذ في الأعتبار فتحات الخدمة الضرورية لصيانة المعدات الميكانيكية أو الأجهزة  الكهربائية فوق السقف المعلق وتشمل نظام التعليق القوي التحمل  ومواد التثبيت وكافة الملحقات حسب المخططات والمواصفات وتعليمات المهندس المشرف.Ref drawing: 07-MRA-DD-(as per floor number)-AR-100</t>
  </si>
  <si>
    <t>تشمل اعمال الاسقف المستعارة على توريد وتركيب  نظام التعليق والاكسسوارات وكافة السكك والحمالات وبلاطات الاسقف بأنواعها وبالسماكات والنوعيات التي توضحها المخططات والمواصفات وعلى أن تكون من اجود الانواع بالاضافة إلى التنسيق بين البدايات والنهايات وتوزيع وحدات الانارة والتكيتشمل اعمال الاسقف المستعارة على توريد وتركيب  نظام التعليق والاكسسوارات وكافة السكك والحمالات وبلاطات الاسقف بأنواعها وبالسماكات والنوعيات التي توضحها المخططات والمواصفات وعلى أن تكون من اجود الانواع بالاضافة إلى التنسيق بين البدايات والنهايات وتوزيع وحدات الانارة والتكييف مع الأخذ في الأعتبار فتحات الخدمة الضرورية لصيانة المعدات الميكانيكية أو الأجهزة  الكهربائية فوق السقف المعلق وتشمل نظام التعليق القوي التحمل  ومواد التثبيت وكافة الملحقات حسب المخططات والمواصفات وتعليمات المهندس المشرف.يف مع الأخذ في الأعتبار فتحات الخدمة الضرورية لصيانة المعدات الميكانيكية أو الأجهزة  الكهربائية فوق السقف المعلق وتشمل نظام التعليق القوي التحمل  ومواد التثبيت وكافة الملحقات حسب المخططات والمواصفات وتعليمات المهندس المشرف.</t>
  </si>
  <si>
    <t>توريد وتركيب بورسلان للأرضيات، ويشمل السعر مونة للصق وتكون  من 350كجم/ م3رمل  ما لم يذكر خلاف ذلك من  مواد جاهزة معتمدة مسبقاً للصق السيراميك  علي الأرضيات.  ويشمل مواد التسوية  وضبط السطح  أفقياً بأستخدام القدة والميزان وتعمل اللحامات بمادة عازلة للمياه ومقاومة للميكروبات والسعر يشمل  التركيب وجميع ما يلزم من الأعمال لإنجاز العمل كاملا حسب المخططات والمواصفات الفنية وتعليمات المهندس المشرف.</t>
  </si>
  <si>
    <t xml:space="preserve"> وزرة من بورسلان بسماكة 12مم  100*600 مم والسعر يشمل التثبيت  بالغراء والشطف وكل ما يلزم لانهاء العمل حسب الاصول الفنية وتعليمات المهندس المشرف.Ref. Drawings: 07-MRA-DD-(as per floor number)-AR-300</t>
  </si>
  <si>
    <t>رخام 02-MT رمادي فاتح تندر غراي مقاس 1200× 300 مم لمنطقة القهوة و المدخل سماكة 20مم</t>
  </si>
  <si>
    <t xml:space="preserve">إســــــم المقـــــــاول : شركة الخليج المتطورة للمقاولات </t>
  </si>
  <si>
    <t>مشروع :تأهيل مقر وزارة الشؤون البلدية والقرويه والاسكان بالعلياِ</t>
  </si>
  <si>
    <t xml:space="preserve"> وتركيب وإختبار المخارج اآلتية شاملة الكابالت 6A( )CAT والمواسير وعلب التوصيل وعلب السحب واألغطية و الوصالت cords Patch وخالفه حسب المواصفات ووفقا لما هو موضح بالمخططات مع جميع االكسسوارات لعمل النظام على أكمل وجه ومن أجود الانواع األصلية وحسب تعليمات ومواصفات إدارة الــ IT بالوزارة وكل ما يلزم من المخرج وحتى rack IT
على المقاول المعاينة و فحص الشبكة الحالية و االستفادة من التمديدات الحالية و دمجها مع التركيبات
الجديدة بعد عمل االختبارات الالزمة و بعد الموافقة من مهندس المشرف -:.
مخرج فردي سقفى مزود بعدد واحد مأخذ RJ-45</t>
  </si>
  <si>
    <t xml:space="preserve">توريد وتركيب قاطع جداري ثخانة 100مم ذو الواح اسمنتية مقاوم للحريق  ثخانة 12مم تركب من الجهتين )طبقات مزدوجة(  لدورات المياه والأوفيس ويشمل المسامير المعدنية و المزالج / الأعضاء المعدنية الساندة والسكك والغطاء العازل للصوت )صوف صخري( وكل الاكسسوارات حسب المخطط والمواصفات وتعليمات المهندس المشرف. </t>
  </si>
  <si>
    <t xml:space="preserve">توريد وتركيب بورسلان للأرضيات، ويشمل السعر مونة للصق وتكون  من 350كجم/ م3رمل  ما لم يذكر خلاف ذلك من  مواد جاهزة معتمدة مسبقاً للصق السيراميك  علي الأرضيات.  ويشمل مواد التسوية  وضبط السطح  أفقياً بأستخدام القدة والميزان وتعمل اللحامات بمادة عازلة للمياه ومقاومة للميكروبات والسعر يشمل  التركيب وجميع ما يلزم من الأعمال لإنجاز العمل كاملا حسب المخططات والمواصفات الفنية وتعليمات المهندس المشرف. </t>
  </si>
  <si>
    <t xml:space="preserve"> توريد وتركيب بار كاونتر للمطعم من الرخام الأسود والوجه مطلي باللون الرمادي على شكل وهيئة.الأسطح الاسمنتية</t>
  </si>
  <si>
    <t>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t>
  </si>
  <si>
    <t>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لحجرة الإجتماعات نوع  103ID</t>
  </si>
  <si>
    <t>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للحمامات نوع  104ID</t>
  </si>
  <si>
    <t>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لمستوي السلالم نوع  105ID</t>
  </si>
  <si>
    <t>توريد وتركيب لوحات/لافتات داخلية حسب الأنظمة القياسية  للصانع وحسب الكتيّبات القياسية للّوحات، ويشمل السعر الأشكال البيانية )graphics( والمعلومات المكتوبة ونظام الأطُر وكل المواد والمكمّلات ذات الصلة المحددة في المخططات والمواصفات التفصيلية وبحسب تعليمات المهندس المشرف. لوحات إرشاديه لسلالم الخروج نوع  106ID</t>
  </si>
  <si>
    <t>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t>
  </si>
  <si>
    <t>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t>
  </si>
  <si>
    <t>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32مم</t>
  </si>
  <si>
    <t>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40 مم</t>
  </si>
  <si>
    <t>للمواسير داخل المبنى من مواسير متعددة الطبقات بولي بروبلين كما هو موصف تشمل كافة القطع التركيبية )مثل القارنات من الحديد الصلب الغير قابل للصدأ والأكواع /المنحنيات والتفريعات والدعامات( والصمامات ومخمدات الصدمة ومنافس الهواء الآلية و المحابس  وكافة الاكسسوارات اللازمة، كما هو مبين في المخططات لتركيب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الداخلية:قطر 50 مم</t>
  </si>
  <si>
    <t>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20 مم</t>
  </si>
  <si>
    <t>مواسير المياه الساخنة مؤلفة من عدة طبقات )بولي بروبلين معزولة( كما هو موصف مع العزل وتشمل كافة القطع التركيبية )مثل القارنات من الحديد الصلب الغير قابل للصدأ والأكواع / المنحنيات والتفريعات والدعامات( والصمامات ومخمدات الصدمة وكافة الاكسسوارات و المحابس  اللازمة لإنجاز تركيب مايلي من الأقطار الخارجية مع ربطه بالشبكة الحالية لاقرب نقطة و على المقاول تقديم المخططات التنفيذية و الحسابات الهيدروليكية و اعتمادها قبل البدا بالتنفيذ الاعمال من المهندس المشرف للاقطار  الداخلية :قطر 25 مم</t>
  </si>
  <si>
    <t>سخان مياه كهربائي فردي من الحديد المعزول بالزجاج من النوع الأفقي الذي يركب أعلى السقف المستعار يشمل كافة الإكسسوارات و التوصيلات و المحابس كما هو موصف وكما هو مبين في تفاصيل المشروع العامة وبالإستطاعات التالية:توريد و تركيب و اختبار سخان بسعة 30 لتر، وقدرة 2.1  كيلو وات، مرجع     1-EWH</t>
  </si>
  <si>
    <t>سخان مياه كهربائي فردي من الحديد المعزول بالزجاج من النوع الأفقي الذي يركب أعلى السقف المستعار يشمل كافة الإكسسوارات و التوصيلات و المحابس كما هو موصف وكما هو مبين في تفاصيل المشروع العامة وبالإستطاعات التالية:اعادة تركيب و اختبار السخان الحالي بسعة 100 ليتر   بعد الكشف و المعاينة و الفحص حسب تعليمات مهندس المشرف</t>
  </si>
  <si>
    <t>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50 مم</t>
  </si>
  <si>
    <t>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75 مم</t>
  </si>
  <si>
    <t>مواسير صرف وتهوية مصنوعة من 4UPVC class  ذات وصلات انضغاطية ومطاط كما هو موصف وتشمل التهوية من خلال السطح مع الغطاء و طبات التسليك، وكافة قطع التركيبات والعلاقات اللازمة لإستكمال تركيب مايلي من الأقطار الداخلية:قطر 110 مم</t>
  </si>
  <si>
    <t>صفاية أرضية )FD(، من PVC مع مصفاة معدنية  مطلية بالكروم شاملة سيفون كما هو موصف بالمقاسات التالية:مخرج قطر 75 مم</t>
  </si>
  <si>
    <t>صفاية أرضية )FD(، من PVC مع مصفاة معدنية  مطلية بالكروم شاملة سيفون كما هو موصف بالمقاسات التالية:صفاية' طولية أرضية )SD(،مع مصفاة  معدنية مطلية بالكروم شاملة سيفون مخرج قطر 50 مم</t>
  </si>
  <si>
    <t>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:حوض وجه على رخامة )مرجع 1-LAV ( من نفس نوع الرخام الصناعي كوريان للكاونتر والكاونتر محسوب في بند منفصل</t>
  </si>
  <si>
    <t>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:حوض وجه كامل مع العامود، )مرجع 2-LAV(</t>
  </si>
  <si>
    <t>الأدوات والتركيبات الصحية كما هو موصف وتشمل صمامات الزاوية والخلاطات و المصائد والوصلاتالمرنة و الانابيب القصيرة للتغذية والصرف والتهوية وكافة قطع الإكسسوار لإتمام تركيب ، علي ان تكونالاجهزة والتركيبات من النوع المرشد لاستهلاك المياه :حوض غسيل أواني للمطبخ بعين واحدة )مرجع 1-KS</t>
  </si>
  <si>
    <t>الأدوات والتركيبات الصحية كما هو موصف وتشمل صمامات الزاوية والخلاطات و المصائد والوصلاتالمرنة و الانابيب القصيرة للتغذية والصرف والتهوية وكافة قطع الإكسسوار لإتمام تركيب ، علي ان تكونالاجهزة والتركيبات من النوع المرشد لاستهلاك المياه :حوض وجه يركب على الكاونتر )مرجع 3-LAV (</t>
  </si>
  <si>
    <t>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:مرحاض افرنجي )مرجع 1-WWC  ( مثبت على الارض  مع خزان  طرد  مع زر دفق من الصلب الذي لا يصدأ ، مع غطاء للمرحاض مقاوم للبكتريا من نوع soft closing</t>
  </si>
  <si>
    <t>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:مرحاض افرنجي ) مرجع 2-WWC (  مثبت على الحائط بخزان  طرد مخفي مع زر دفق من الصلب الذي لا يصدأ - مع غطاء للمرحاض مقاوم للبكتريا من نوع soft closing</t>
  </si>
  <si>
    <t>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:مرحاض شرقي )مرجع EWC( مثبت على الحائط بخزان  طرد مخفي مع زر دفق من الصلب الذي لا يصدأ،</t>
  </si>
  <si>
    <t>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:مقبض رشاش مع الخرطوم وأداة التعليق، مرجع PS</t>
  </si>
  <si>
    <t>الأدوات والتركيبات الصحية كما هو موصف وتشمل صمامات الزاوية والخلاطات و المصائد والوصلات المرنة و الانابيب القصيرة للتغذية والصرف والتهوية وكافة قطع الإكسسوار لإتمام تركيب ، علي ان تكون الاجهزة والتركيبات من النوع المرشد لاستهلاك المياه :خلاط مياة  يركب على الحوض</t>
  </si>
  <si>
    <t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25 mm dia.</t>
  </si>
  <si>
    <t>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32</t>
  </si>
  <si>
    <t>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40</t>
  </si>
  <si>
    <t>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50</t>
  </si>
  <si>
    <t>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63</t>
  </si>
  <si>
    <t>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80</t>
  </si>
  <si>
    <t>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100</t>
  </si>
  <si>
    <t>توريد و تركيب انابيب فولاذية سوداء 40.sch ، يشمل العمل كافة قطع التركيبات مثل الأكواع  والتيهات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.ويشمل البند جميع ما يلزم لاتمام الأعمال طبقا للمواصفات و طبقا لمتطلبات الNFPA  ومتطلبات الدفاع المدني من الكشف على الشبكة الحالية وفحصها كما هو موضح على المخططات و على المقاول تقديم المخططات التنفيذية و اعتمادها قبل بدء بالتنفيذ من المهندس المشرف كما هو موصف للأقطار التالية:.mm dia 150</t>
  </si>
  <si>
    <t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32 mm dia.</t>
  </si>
  <si>
    <t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40 mm dia.</t>
  </si>
  <si>
    <t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50 mm dia.</t>
  </si>
  <si>
    <t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63 mm dia.</t>
  </si>
  <si>
    <t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ومتطلبات الدفاعNFPA  ويشمل البند جميع ما يلزم لاتمام الأعمال طبقا للمواصفات و طبقا لمتطلبات ال المدني من الكشف على الشبكة الحالية وفحصها كما هو موضح على المخططات و على المقاول تقديم:المخططات التنفيذية و اعتمادها قبل بدء بالتنفيذ من المهندس المشرف كما هو موصف للأقطار التالية 80 mm dia.</t>
  </si>
  <si>
    <t xml:space="preserve"> يشمل العمل كافة قطع التركيبات مثل الأكواع  والتيهات ، 40. schتوريد و تركيب انابيب فولاذية سوداء والوصلات والقارنات والنقاصات/المخفضات ومنافس الهواء الآلية وتكون الوصلات من نوع  فيكتوليك او ما يماثلها للأقطار 50 مم أو أكبر، و تكون الوصلات قلووظ للأقطار أقل من 50 مم، والبند يشمل  العلاقات والدعامات للمواسير و المحابس  و الصرف ان لزم والدهان  لكامل الشبكة كما يلزم لاتمام العمل. و بناء على توجيهات مهندس المشرف 100 mm dia.</t>
  </si>
  <si>
    <t>توريد و تركيب و اختبار رشاشات آلية اوتوماتيكية كما هو موصف رشاشات من النوع المخفي، ذات فتحة 2/1 بوصة، ومعامل 5.6 =K   ودرجة حرارة تشغيل 68 درجة مئوية</t>
  </si>
  <si>
    <t>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01-VAV ، اجمالي الهواء 0-250 ) ق/د( استطاعة التخزين 5.1 )ك/و(</t>
  </si>
  <si>
    <t>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02-VAV ، اجمالي الهواء 0-500 ) ق/د( استطاعة التخزين 2 )ك/و(</t>
  </si>
  <si>
    <t xml:space="preserve">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03-VAV ، اجمالي الهواء 0-750 ) ق/د( استطاعة التخزين 3 )ك/و( </t>
  </si>
  <si>
    <t>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04-VAV ، اجمالي الهواء 0-1000 ) ق/د( استطاعة التخزين 5.3 )ك/و(</t>
  </si>
  <si>
    <t>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05-VAV ، اجمالي الهواء 0-1500 ) ق/د( استطاعة التخزين 5.3 )ك/و(</t>
  </si>
  <si>
    <t>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06-VAV ، اجمالي الهواء 0-2000 ) ق/د( استطاعة التخزين 6.3 )ك/و(</t>
  </si>
  <si>
    <t>وحدات VAV من أعلى العلامات التجارية جودة )BYPASS TYPE( مع سخان كهربائي ، ترموستات إلكتروني رقمي للغرفة ، فليكس. توصيلات ، تثبيت ، دعم ، عازل اهتزاز مع كافة الملحقات المطلوبة حسب المواصفات والرسومات. 07-VAV ، اجمالي الهواء 0-2500 ) ق/د( استطاعة التخزين 7.3 )ك/و(</t>
  </si>
  <si>
    <t>فك و ترحيل VAV الموجودة حاليا  و تركيبها حسب المخطط  المعدل و حسب تعليمات المهندس المشرف. على المقاول معاينة الوحدات الموجودة و الاستفادة بإعادة تركيبها بعد عمل الفحوصات و الاختبارات المناسبة لحسن ضمان عملها و حسب تعليمات المهندس المشرف</t>
  </si>
  <si>
    <t>فك وإعادة تهيئة و اصلاح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t>
  </si>
  <si>
    <t>توريد و تصنيع و تركيب أعمال مجاري  من الصفائح المعدنية المجلفنه )90G( للهواء الداخل والراجع والهواء النقي وقناة السحب حسب المواصفات القياسية SMACNA وتشمل التيهات/القطعة التائية والكوع/المرفق والتفريعات والتحويلة والدعامة وحمالة التعليق. ويجب أخذ الطول على امتداد خط المركز فوق كل قطع التركيبات، ومن المفهوم بأن السعر الإفرادي لأعمال مجاري الهواء/الأقنية محمل عليه كل دعامات حامل التعليق ومخمّد الصوت والحريق وكل قطع الإكسسوار عزل الحراري )فايبرغلاس( ثخانة 25 مم وبكثافة 24 كغ/م3 مع مانع تبخر من الألمنيوم المقوّى حسب المخططات والمواصفات و حسب تعليمات مهندس المشرف.</t>
  </si>
  <si>
    <t>ناشرة هواء ذات فتحات طولية  للهواء الداخل مصنعة من الألمنيوم المشكل بالبثق ومطلية بمسحوق البولستركاملة، مخمدات صوت ذات أرياش متضادّة ،وصندوق حجمى معزول من الداخل بعازل صوتى وميكانيزم للتحكم فى الهواء من واجهة الناشر وكل قطع الأكسسوار حسب المواصفات والمخططات مع توفير عينات للاعتماد من مهندس المشرف. ثلاثة فتحات / ثقب 25مم عرض</t>
  </si>
  <si>
    <t>ناشرة هواء ذات فتحات طولية للهواء الراجع مصنعة من الألمنيوم المشكل بالبثق ومطلية بمسحوق البولستركاملة، وكل قطع الأكسسوار حسب المواصفات والمخططات مع توفير عينات للاعتماد من مهندس المشرف. ثلاثة فتحات / ثقب 25مم عرض</t>
  </si>
  <si>
    <t xml:space="preserve"> جريلات تغذية من الالومينيوم مغطاة ببودرة البوليستر كاملة وجميع الملحقات حسب المخططات..والمواصفات مع توفير عينات للاعتماد من مهندس المشرف 600mm X 600mm</t>
  </si>
  <si>
    <t xml:space="preserve"> جريلات رجوع من الالومينيوم مغطاة ببودرة البوليستر كاملة وجميع الملحقات حسب المخططات.والمواصفات مع توفير عينات للاعتماد من مهندس المشرف 600mm X 600mm</t>
  </si>
  <si>
    <t xml:space="preserve"> جريلات لسحب الهواء من الالمونيوم مغطاة ببودرة البوليستر كاملة بجميع ملحقات التركيب وحسب.المخططات والمواصفات مع توفير عينات للاعتماد من مهندس المشرف 150mm X 150MM</t>
  </si>
  <si>
    <t>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المشرف.Dia 150 mm</t>
  </si>
  <si>
    <t>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 Dia 200 mm</t>
  </si>
  <si>
    <t>وصلات هواء مرنة مع الكلبسات المعدنية، والبراغي، والملحقات الضرورية. العزل يجب أن يكون بسماكة 25 مم وكثافة 16 كغ/م3 لناشرات الهواء الخطية ويجب ان يطابق كود الحريق NFPA 90A حسب المواصفات والمخططات مع توفير عينات للاعتماد من مهندس المشرف. Dia 250 mm</t>
  </si>
  <si>
    <t xml:space="preserve"> توريد و تركيب مراوح سحب الهواء )طرد مركزي فوق السطح ( تشمل عمليات الاختبار و الموازنة : تشمل عمليات التوريد و التركيب و الاختبار و التثبيت مراوح سحب الهواء )طرد مركزي فوق السطح ( سعة 6500 قدم مكعب بالدقيقة</t>
  </si>
  <si>
    <t xml:space="preserve"> توريد و تركيب مراوح سحب الهواء )طرد مركزي فوق السطح ( تشمل عمليات الاختبار و الموازنة : تشمل عمليات التوريد و التركيب و الاختبار و التثبيت مراوح سحب الهواء )طرد مركزي فوق السطح ( سعة 7500 قدم مكعب بالدقيقة</t>
  </si>
  <si>
    <t xml:space="preserve"> توريد و تركيب مراوح سحب الهواء )طرد مركزي فوق السطح ( تشمل عمليات الاختبار و الموازنة : تشمل عمليات التوريد و التركيب و الاختبار و التثبيت مراوح سحب الهواء )طرد مركزي فوق السطح ( سعة9000  قدم مكعب بالدقيقة</t>
  </si>
  <si>
    <t>الموازنة والضبط والتهيئة لتشغيل أنظمة تكييف الهواء ،و يجب ان تحتوي على جميع التجهيزات والادوات المطلوبة لإجراء الاختبار والتهيئة للتشغيل والتشغيل مع ضبط كميات الهواء وموازنة الهواء  لنظام التكييف، ويجب ايضا ان تكون مد ة الاختبار حسب متطلبات المنظمات العالمية مثل )NEBB( كما هو  مطلوب بالكود السعودي و اشري ASHREE ويجب ان يكون المقاول المختص عضوا فى احد المنظمات مع تقديم الشهادة لذلك.</t>
  </si>
  <si>
    <t xml:space="preserve"> تصميم وتوريد وتركيب نظام لإدارة المبنى أتوماتيكياً على أن يكون نظام التشغيل )OPEN PROTOCOL ( حسب توصيات الاستشارى المشرف وذلك للتحكم في تشغيل ومراقبة الانظمة الميكانيكية والكهربائية التالية :                                                  ـ التشلرات والمراوح ووحدات مناولة الهواء ووحدات ملف المروحة ومضخات المياه ووحدة ضخ الهواء وإنظمة الحريق والتحكم في الأنظمة والمعدات الميكانيكية بالمبنى - والتحكم في تشغيل ومتابعة حالة اللوحات الكهربائية الرئيسية والثانوية والمصاعد وكل الأنظمة التي يراها الاستشاري لأزمة مع الأخذ في الاعتبار قابلية التوسع في المباني المستقبلية .توريد وتركيب وتوصيل نظام إدارة المباني ) BMS ( لأنظمة HVAC ، وأنظمة السباكة ، ونظام الحريق ، والأنظمة الكهربائية والخدمات الخارجية ، كاملة بما في ذلك وحدات التحكم ونقاط التحكم والأسلاك والقنوات وصناديق السحب وصناديق التوصيل الثانوية وجميع عمليات التثبيت الضرورية مستلزمات؛ كل ما هو محدد ومفصل على الرسومات والموصوفة في المواصفات. والنظام يجب ان يتضمن البرامج واجهزة التحكم واجهزة المواقع ونقاط التحكم والاسلاك المتصلة بباقي الانظمة والمواسير وعلب السحب وعلب التوصيل الثانوية وجميع اكسسوارات ومتطلبات التركيبات الضرورية وهذه الاجهزة يجب ان يتم توصيلها مع جميع انظمة شبكة IP سواء من خلال تمكين اجهزة IP او من خلال بوابة IP او الموزع ويجب ان تشمل وحدات التحكم الطرفية التركيبات الضرورية والبرمجة والدمج عند اللزوم لتأسيس الاتصال والتعامل بين اجهزة التركيبات الالكتروميكانيكية وانظمة السلامة وانظمة الامن حسب اوامر ونظام التشغيل ووفقا لنظام وحسب تعليمات مهندس المشرف و يجب ان يتوافق النظام مع الانظمة الحالية للترشيد و المراقبة و يكون النظام لكامل المبني</t>
  </si>
  <si>
    <t>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اللازمة.PP-1,  200 A ,MCCB</t>
  </si>
  <si>
    <t>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 PP-2, 200 A , MCCB</t>
  </si>
  <si>
    <t>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 PP-3, 200 A , MCCB</t>
  </si>
  <si>
    <t>توريد وتركيب واختبار لوحات إنارة وتغذية، 380 فولت، 3 أطوار، 60 هيرتز، مركبة على الحائط وموصّلة بالكامل، مختبرة وموضوعة في التشغيل حسب المواصفات والمخططات وتشمل خطوط النقل الأرضية وأجهزة الحماية وتوصيل نهايات الكابلات والأعمال المدنية اللازمة.PP-4, 200 A , MCCB</t>
  </si>
  <si>
    <t>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الجدار، من النوع المؤرض، 15 أمبير، 230 فولت، طور واحد، قطبين، 3 أسلاك.</t>
  </si>
  <si>
    <t>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مقبس ثنائي سقفى، من النوع المؤرض، 15 أمبير، 230 فولت، طور واحد، قطبين، 3 أسلاك.</t>
  </si>
  <si>
    <t>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الارض، من النوع المؤرض، 15 أمبير، 230 فولت، طور واحد، قطبين، 3 أسلاك.</t>
  </si>
  <si>
    <t xml:space="preserve">توريد وتركيب مقابس طاقة مربوطة بأسلاك 4 مم2 كحد أدنى وتشمل الأجهزة و والأسلاك والمواسير والعلب ودعامات التثبيت ، من اللوحات الى نقاط المقابس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.مقبس أحادي، مركب على الجدار، من النوع المؤرض، 15 أمبير، 230 فولت، طور واحد، قطبين، 3 أسلاك. RESIDUAL CURRENT DEVICE, 30mA TRIPPING( </t>
  </si>
  <si>
    <t xml:space="preserve"> توريد وتركيب واختبار وفحص نقاط قوى للمقابس الكهربائية المتعددة الاستخدام بأسلاك نحاسية معزولة وذات مقطع لا يقل عن 6 مم2  في مواسير ويشتمل على المقبس و الاسلاك و PVC بمادة البلاستيك العلب وأعمال التثبيت والدعائم وكل الملحقات من لوحة التوزيع حتى المخارج وفقا للمخططات.والمواصفات الفنية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مخرج مقبس متعدد الاستخدام ومؤرض 30 أمبير ، 230 فولت 3 أسلاك ، 1 فاز ، للمطبخ</t>
  </si>
  <si>
    <t xml:space="preserve"> توريد وتركيب واختبار وفحص نقاط قوى للمقابس الكهربائية المتعددة الاستخدام بأسلاك نحاسية معزولة وذات مقطع لا يقل عن 6 مم2  في مواسير ويشتمل على المقبس و الاسلاك و PVC بمادة البلاستيك العلب وأعمال التثبيت والدعائم وكل الملحقات من لوحة التوزيع حتى المخارج وفقا للمخططات.والمواصفات الفنية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المشرفمخرج  ومؤرض 30 أمبير ، 230 فولت 3 أسلاك ، 1 فاز لمجفف الأيدي</t>
  </si>
  <si>
    <t>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)A(  )تحتوى على  4 قوى &amp; 4 داتا (</t>
  </si>
  <si>
    <t>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)B(   )تحتوى على 2 قوى &amp; 2 داتا (</t>
  </si>
  <si>
    <t>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)1FB(   )تحتوى على 1 قوى (</t>
  </si>
  <si>
    <t>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المقابس + )ب( مآخذ للهاتف والبيانات ذات كابلات CAT 6A UTP وحتى كابينة الداتا  وحسب مواصفات إدارة الـ IT  بالوزارة.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النوع )2FB(   )تحتوى على 2 قوى (</t>
  </si>
  <si>
    <t xml:space="preserve"> 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وحتى كابينة الداتا  وحسب CAT 6A UTP المقابس + )ب( مآخذ للهاتف والبيانات ذات كابلات .بالوزارة IT  مواصفات إدارة الـ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Type JB 1U  ( 2 power &amp; 1 data )</t>
  </si>
  <si>
    <t xml:space="preserve"> 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وحتى كابينة الداتا  وحسب CAT 6A UTP المقابس + )ب( مآخذ للهاتف والبيانات ذات كابلات .بالوزارة IT  مواصفات إدارة الـ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Type JB 2U  ( 4 power &amp; 2 data )</t>
  </si>
  <si>
    <t xml:space="preserve"> توريد وتركيب وإختبار وفحص علبة خدمة من نوعية ممتازة تحتوى على  ) أ ( مقابس تغذية أرضية مزدوجة ذات أسلاك 4 مم2 كحد أدنى مركبة على الأرض وتشمل أسلاك التأريض من اللوحة حتى وحتى كابينة الداتا  وحسب CAT 6A UTP المقابس + )ب( مآخذ للهاتف والبيانات ذات كابلات .بالوزارة IT  مواصفات إدارة الـ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Type JB 4U ( 8 power &amp; 4 data )</t>
  </si>
  <si>
    <t xml:space="preserve"> توريد وتركيب واختبار والتشغيل التجريبي لمفاتيح فصل على الحمل من النوع عالية التحمل مع ماسورة  التثبيت المعدنية المرنة والمانعة لنفاذ السوائل، وقطع الإكسسوارعلى المقاول المعاينة و فحص الشبكة الحالية و الاستفادة من التمديدات الحالية و دمجها مع التركيبات الجديدة بعد عمل الاختبارات اللازمة و بعدالموافقة من مهندس المشرف  وبالإستطاعات التالية 30 A, 250 V, 2P</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</si>
  <si>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</si>
  <si>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</si>
  <si>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A1E</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</si>
  <si>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A2</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</si>
  <si>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A3</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</si>
  <si>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A4</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</si>
  <si>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A5</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</si>
  <si>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A6</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</si>
  <si>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A7</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</si>
  <si>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A8</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</si>
  <si>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B1</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</si>
  <si>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B2</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</si>
  <si>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C1</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</si>
  <si>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C2</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</si>
  <si>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C3</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</si>
  <si>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C4</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</si>
  <si>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C5</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</si>
  <si>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C6</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</si>
  <si>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C7</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</si>
  <si>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D1</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</si>
  <si>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D2</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</si>
  <si>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D3</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</si>
  <si>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D4</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</si>
  <si>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E1</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</si>
  <si>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E2</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</si>
  <si>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E3</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</si>
  <si>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LB1</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</si>
  <si>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LB2</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</si>
  <si>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LB3</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</si>
  <si>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LB4</t>
  </si>
  <si>
    <t xml:space="preserve"> توريد وتركيب وتوصيل وإختبار وفحص اجهزة الإنارة ويشمل اللمبات وأقواس التركيب وحبال التعليق وعلبEMT أو PVC  وقطع الأكسسوار و ايضا نقاط الانارة متضمنة مواسير/أقنية قاسية عالية التحمل ذات أسلاك لاتقل عن 0.4 مم2 لنقطة الإنارة وتوصيل أطراف أسلاك التأريض،وكل الأعمال المساعدة كما.هو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LB5</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</si>
  <si>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LB6</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</si>
  <si>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LB7</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</si>
  <si>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ES-1</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</si>
  <si>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E3</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</si>
  <si>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P1</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</si>
  <si>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T1</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</si>
  <si>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CH-1</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</si>
  <si>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 Type CH-2</t>
  </si>
  <si>
    <t>توريد وتركيب وتوصيل وإختبار وفحص اجهزة الإنارة ويشمل اللمبات وأقواس التركيب وحبال التعليق وقطع الأكسسوار و ايضا نقاط الانارة متضمنة مواسير/أقنية قاسية عالية التحمل PVC  أوEMT وعلب ذات أسلاك لاتقل عن 0.4 مم2 لنقطة الإنارة وتوصيل أطراف أسلاك التأريض،وكل الأعمال المساعدة كما هو محدد وموضح في المخططات. على المقاول المعاينة و فحص الشبكة الحالية و الاستفادة من التمديدات الحالية و دمجها  علما بان البند يشمل جميع الوصلات و الاسلاك و الكابلات اللازمة لنهو العمل  بعد عمل الاختبارات اللازمة و بعد الموافقة من مهندس المشرف .Type CH-3</t>
  </si>
  <si>
    <t>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مفتاح أحادي ، أحادي الكباّس، 10 أمبير</t>
  </si>
  <si>
    <t>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أحادي ، ثنائي الكباّس، 10 أمبير</t>
  </si>
  <si>
    <t>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ثلاثي ، ثلاثي الكباّس، 10 أمبير</t>
  </si>
  <si>
    <t>توريد وتركيب وتوصيل واختبار مفاتيح التحكم بالإنارة / أزرار كبس 10 أمبير، 230 فولت، وتشمل كل المواسير معزولة ب  PVC وأسلاك نحاس  0.4 مم2 حتى وحدات الانارة حسب الموضح على المخططات وحسب المواصفات.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.مفتاح ثنائي ، ثنائي الكباّس، 10 أمبير</t>
  </si>
  <si>
    <t xml:space="preserve"> توريد وتركيب وتوصيل وتجريب مفاتيح ذات أضواء دليلية وتشمل الماسورة والأسلاك حسب المبيّن على.المخططات و ذلك لسخانات المياه  وحسب المواصفات 20 Amp., 230 V, 1PH</t>
  </si>
  <si>
    <t>توريد وتركيب و فحص وتسليم نظام انذار حريق معنون  يتضمن لوحة إنذار رئيسية مرتبطة بحاسب مع طابعة  مزود  ببرنامج مصنع خصيصاً لهذا النوع من الأنظمة  قادر على التوافق مع نظام المراقبة التلفزيونية  و التحكم بالدخول و المراقبة . و ذلك باستخدام كوابل مخصصة لأنظمة إنذار الحريق ذات غلاف خارجي من نوع LSOH و يجب أن لا يقل الناقل عن Cx1.5mm2   و يتم التركيب ضمن مواسير من النوع EMT    و تشمل اعمال المدنية إن لزم ذلك  وكل ما يلزم لإتمام العمل على اكمل وجه. على المقاول المعاينة و فحص الشبكة الحالية و الاستفادة من التمديدات الحالية و دمجها مع التركيبات الجديدة بعد عمل الاختبارات اللازمة و بعد الموافقة من مهندس المشرف . على المقاول عمل ربط  انذار الحريق مع نظام ادارة المبنى BMS</t>
  </si>
  <si>
    <t>عن طريق مقاول متخصص ذو خبرة كبيرة في هذا المجال ويقدم للاعتماد من إدارة الـ IT بالوزارة و يربط النظام مع الانظمة المعنية بالتحكم و الموازنة و يشمل البند جميع الوصلات و الكابلات و غيرها من المتطلبات الخاصة بنهو النظام كاملا توريد وتركيب واختبارنقاط كاميرا مراقبة داخلية سقفية و جميع ما يلزم من توصيلات و تركيبات و خلافة  لنهو النظام .</t>
  </si>
  <si>
    <t>توريد وتركيب واختبار نظام التحكم فى الدخول بروتوكول IP  مع البرامج الخاصة بنظام التحكم بتقنية dual RFID integration ، مع المواسير والكابلات وكل الملحقات لضمان عمل النظام على الوجه الاكمل وحسب المواصفات والمخططات وتعليمات الشركة المصنعة وتعليمات ومواصفات إدارة الـ IT بالوزارة و كل ما يلزم من مواد وأعمال كهربائية و مدنية مع تقديم ضمان من المصنع لمدة )3 سنوات( لكافة مكونات النظام وخدمة الصيانة من مراكز المصنع بالمملكة ، ويحتوي النظام علي البنود التالية :  لوحة التحكم الرئيسية فى الابواب )IASC( ذات دارة خرج  )poE - ( IP</t>
  </si>
  <si>
    <t>رقم البند</t>
  </si>
  <si>
    <t>الكمية</t>
  </si>
  <si>
    <t>السعر</t>
  </si>
  <si>
    <t>المجموع</t>
  </si>
  <si>
    <t xml:space="preserve"> كاشف انذار دخان من النوع المعنون طبقا للمخططات  ومواصفات المشروع</t>
  </si>
  <si>
    <t>الاستشاري :شركة الشبانات للاستشارات المهنية</t>
  </si>
  <si>
    <t>جدول الكميات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</si>
</sst>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 _ر_._س_._‏_-;\-* #,##0.00\ _ر_._س_._‏_-;_-* &quot;-&quot;??\ _ر_._س_._‏_-;_-@_-"/>
    <numFmt numFmtId="164" formatCode="_-* #,##0.00_-;\-* #,##0.00_-;_-* &quot;-&quot;??_-;_-@_-"/>
    <numFmt numFmtId="165" formatCode="_-* #,##0.00_-;_-* #,##0.00\-;_-* &quot;-&quot;??_-;_-@_-"/>
    <numFmt numFmtId="168" formatCode="&quot;ج.م.‏&quot;\ #,##0_-;&quot;ج.م.‏&quot;\ #,##0\-"/>
  </numFmts>
  <fonts count="32">
    <font>
      <sz val="10"/>
      <name val="Arial"/>
      <charset val="178"/>
    </font>
    <font>
      <sz val="11"/>
      <color theme="1"/>
      <name val="Calibri"/>
      <family val="2"/>
      <scheme val="minor"/>
    </font>
    <font>
      <sz val="10"/>
      <name val="Arial"/>
      <family val="2"/>
    </font>
    <font>
      <b/>
      <sz val="24"/>
      <name val="DecoType Naskh Variants"/>
      <charset val="178"/>
    </font>
    <font>
      <sz val="8"/>
      <name val="Arial"/>
      <family val="2"/>
    </font>
    <font>
      <sz val="11"/>
      <color indexed="8"/>
      <name val="Calibri"/>
      <family val="2"/>
      <charset val="178"/>
    </font>
    <font>
      <sz val="11"/>
      <color indexed="8"/>
      <name val="Calibri"/>
      <family val="2"/>
    </font>
    <font>
      <sz val="12"/>
      <name val="Times New Roman"/>
      <family val="1"/>
    </font>
    <font>
      <sz val="10"/>
      <name val="Helv"/>
      <charset val="178"/>
    </font>
    <font>
      <b/>
      <sz val="11"/>
      <color indexed="52"/>
      <name val="Calibri"/>
      <family val="2"/>
      <charset val="178"/>
    </font>
    <font>
      <sz val="10"/>
      <name val="Arial"/>
      <family val="2"/>
      <charset val="178"/>
    </font>
    <font>
      <b/>
      <sz val="20"/>
      <name val="Adobe Arabic"/>
      <family val="1"/>
    </font>
    <font>
      <b/>
      <sz val="26"/>
      <name val="Adobe Arabic"/>
      <family val="1"/>
    </font>
    <font>
      <b/>
      <sz val="28"/>
      <name val="Adobe Arabic"/>
      <family val="1"/>
    </font>
    <font>
      <b/>
      <sz val="36"/>
      <name val="Adobe Arabic"/>
      <family val="1"/>
    </font>
    <font>
      <sz val="11"/>
      <color theme="1"/>
      <name val="Calibri"/>
      <family val="2"/>
      <scheme val="minor"/>
    </font>
    <font>
      <sz val="11"/>
      <color rgb="FF9C0006"/>
      <name val="Calibri"/>
      <family val="2"/>
      <charset val="178"/>
      <scheme val="minor"/>
    </font>
    <font>
      <b/>
      <sz val="11"/>
      <color rgb="FFFA7D00"/>
      <name val="Calibri"/>
      <family val="2"/>
      <scheme val="minor"/>
    </font>
    <font>
      <b/>
      <sz val="11"/>
      <color theme="0"/>
      <name val="Calibri"/>
      <family val="2"/>
      <scheme val="minor"/>
    </font>
    <font>
      <sz val="11"/>
      <color theme="1"/>
      <name val="Calibri"/>
      <family val="2"/>
      <charset val="178"/>
      <scheme val="minor"/>
    </font>
    <font>
      <b/>
      <sz val="13"/>
      <color theme="3"/>
      <name val="Calibri"/>
      <family val="2"/>
      <scheme val="minor"/>
    </font>
    <font>
      <u/>
      <sz val="11"/>
      <color theme="10"/>
      <name val="Calibri"/>
      <family val="2"/>
      <charset val="178"/>
      <scheme val="minor"/>
    </font>
    <font>
      <b/>
      <sz val="20"/>
      <name val="Calibri"/>
      <family val="2"/>
      <scheme val="minor"/>
    </font>
    <font>
      <b/>
      <sz val="24"/>
      <name val="Cambria"/>
      <family val="1"/>
      <scheme val="major"/>
    </font>
    <font>
      <b/>
      <sz val="24"/>
      <name val="Calibri"/>
      <family val="2"/>
      <scheme val="minor"/>
    </font>
    <font>
      <b/>
      <sz val="15"/>
      <name val="Calibri"/>
      <family val="2"/>
      <scheme val="minor"/>
    </font>
    <font>
      <b/>
      <sz val="22"/>
      <name val="Cambria"/>
      <family val="1"/>
      <scheme val="major"/>
    </font>
    <font>
      <b/>
      <sz val="20"/>
      <color rgb="FF000000"/>
      <name val="Adobe Arabic"/>
      <family val="1"/>
    </font>
    <font>
      <b/>
      <sz val="26"/>
      <color rgb="FFFF0000"/>
      <name val="Adobe Arabic"/>
      <family val="1"/>
    </font>
    <font>
      <b/>
      <sz val="28"/>
      <name val="Cambria"/>
      <family val="1"/>
      <scheme val="major"/>
    </font>
    <font>
      <b/>
      <sz val="14"/>
      <name val="Arial"/>
      <family val="2"/>
    </font>
    <font>
      <sz val="10"/>
      <color rgb="FF000000"/>
      <name val="Times New Roman"/>
      <family val="1"/>
    </font>
  </fonts>
  <fills count="11">
    <fill>
      <patternFill patternType="none"/>
    </fill>
    <fill>
      <patternFill patternType="gray125"/>
    </fill>
    <fill>
      <patternFill patternType="solid">
        <fgColor indexed="22"/>
        <bgColor indexed="31"/>
      </patternFill>
    </fill>
    <fill>
      <patternFill patternType="solid">
        <fgColor indexed="26"/>
        <bgColor indexed="9"/>
      </patternFill>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0"/>
        <bgColor indexed="64"/>
      </patternFill>
    </fill>
    <fill>
      <patternFill patternType="solid">
        <fgColor rgb="FFFFFF00"/>
        <bgColor indexed="64"/>
      </patternFill>
    </fill>
    <fill>
      <patternFill patternType="solid">
        <fgColor theme="6" tint="0.39997558519241921"/>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ck">
        <color indexed="64"/>
      </right>
      <top/>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s>
  <cellStyleXfs count="722">
    <xf numFmtId="0" fontId="0" fillId="0" borderId="0"/>
    <xf numFmtId="0" fontId="2" fillId="0" borderId="0"/>
    <xf numFmtId="0" fontId="2" fillId="0" borderId="0"/>
    <xf numFmtId="0" fontId="16" fillId="4" borderId="0" applyNumberFormat="0" applyBorder="0" applyAlignment="0" applyProtection="0"/>
    <xf numFmtId="0" fontId="17" fillId="5" borderId="17" applyNumberFormat="0" applyAlignment="0" applyProtection="0"/>
    <xf numFmtId="0" fontId="18" fillId="6" borderId="18" applyNumberFormat="0" applyAlignment="0" applyProtection="0"/>
    <xf numFmtId="164" fontId="2" fillId="0" borderId="0" applyFont="0" applyFill="0" applyBorder="0" applyAlignment="0" applyProtection="0"/>
    <xf numFmtId="164" fontId="15" fillId="0" borderId="0" applyFont="0" applyFill="0" applyBorder="0" applyAlignment="0" applyProtection="0"/>
    <xf numFmtId="168" fontId="5" fillId="0" borderId="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5" fontId="2" fillId="0" borderId="0" applyFill="0" applyBorder="0" applyAlignment="0" applyProtection="0"/>
    <xf numFmtId="165" fontId="2" fillId="0" borderId="0" applyFill="0" applyBorder="0" applyAlignment="0" applyProtection="0"/>
    <xf numFmtId="165" fontId="2" fillId="0" borderId="0" applyFill="0" applyBorder="0" applyAlignment="0" applyProtection="0"/>
    <xf numFmtId="165" fontId="6" fillId="0" borderId="0" applyFont="0" applyFill="0" applyBorder="0" applyAlignment="0" applyProtection="0"/>
    <xf numFmtId="165" fontId="2" fillId="0" borderId="0" applyFill="0" applyBorder="0" applyAlignment="0" applyProtection="0"/>
    <xf numFmtId="164" fontId="15" fillId="0" borderId="0" applyFont="0" applyFill="0" applyBorder="0" applyAlignment="0" applyProtection="0"/>
    <xf numFmtId="165" fontId="2" fillId="0" borderId="0" applyFont="0" applyFill="0" applyBorder="0" applyAlignment="0" applyProtection="0"/>
    <xf numFmtId="0" fontId="9" fillId="2" borderId="1" applyNumberFormat="0" applyAlignment="0" applyProtection="0"/>
    <xf numFmtId="0" fontId="20" fillId="0" borderId="19" applyNumberFormat="0" applyFill="0" applyAlignment="0" applyProtection="0"/>
    <xf numFmtId="0" fontId="21" fillId="0" borderId="0" applyNumberFormat="0" applyFill="0" applyBorder="0" applyAlignment="0" applyProtection="0"/>
    <xf numFmtId="0" fontId="2"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 fillId="0" borderId="0"/>
    <xf numFmtId="0" fontId="10" fillId="0" borderId="0"/>
    <xf numFmtId="0" fontId="2" fillId="0" borderId="0"/>
    <xf numFmtId="0" fontId="15" fillId="0" borderId="0"/>
    <xf numFmtId="0" fontId="2" fillId="0" borderId="0"/>
    <xf numFmtId="0" fontId="5" fillId="0" borderId="0"/>
    <xf numFmtId="0" fontId="2" fillId="0" borderId="0"/>
    <xf numFmtId="0" fontId="2" fillId="0" borderId="0"/>
    <xf numFmtId="0" fontId="15" fillId="0" borderId="0"/>
    <xf numFmtId="0" fontId="2" fillId="0" borderId="0"/>
    <xf numFmtId="0" fontId="2" fillId="0" borderId="0"/>
    <xf numFmtId="0" fontId="2" fillId="0" borderId="0"/>
    <xf numFmtId="0" fontId="19" fillId="0" borderId="0"/>
    <xf numFmtId="0" fontId="19" fillId="0" borderId="0"/>
    <xf numFmtId="0" fontId="15" fillId="0" borderId="0"/>
    <xf numFmtId="0" fontId="15" fillId="0" borderId="0"/>
    <xf numFmtId="0" fontId="2" fillId="0" borderId="0"/>
    <xf numFmtId="0" fontId="2" fillId="0" borderId="0"/>
    <xf numFmtId="0" fontId="19" fillId="0" borderId="0"/>
    <xf numFmtId="0" fontId="6" fillId="7" borderId="20" applyNumberFormat="0" applyFont="0" applyAlignment="0" applyProtection="0"/>
    <xf numFmtId="0" fontId="5" fillId="3" borderId="2" applyNumberFormat="0" applyAlignment="0" applyProtection="0"/>
    <xf numFmtId="0" fontId="5" fillId="3" borderId="2" applyNumberFormat="0" applyAlignment="0" applyProtection="0"/>
    <xf numFmtId="0" fontId="6" fillId="7" borderId="20" applyNumberFormat="0" applyFont="0" applyAlignment="0" applyProtection="0"/>
    <xf numFmtId="9" fontId="6" fillId="0" borderId="0" applyFont="0" applyFill="0" applyBorder="0" applyAlignment="0" applyProtection="0"/>
    <xf numFmtId="9" fontId="19" fillId="0" borderId="0" applyFont="0" applyFill="0" applyBorder="0" applyAlignment="0" applyProtection="0"/>
    <xf numFmtId="9" fontId="15" fillId="0" borderId="0" applyFont="0" applyFill="0" applyBorder="0" applyAlignment="0" applyProtection="0"/>
    <xf numFmtId="0" fontId="8" fillId="0" borderId="0"/>
    <xf numFmtId="0" fontId="15" fillId="7" borderId="20" applyNumberFormat="0" applyFont="0" applyAlignment="0" applyProtection="0"/>
    <xf numFmtId="0" fontId="1" fillId="0" borderId="0"/>
    <xf numFmtId="0" fontId="31" fillId="0" borderId="0"/>
  </cellStyleXfs>
  <cellXfs count="144">
    <xf numFmtId="0" fontId="0" fillId="0" borderId="0" xfId="0"/>
    <xf numFmtId="0" fontId="24" fillId="0" borderId="0" xfId="0" applyFont="1" applyAlignment="1" applyProtection="1">
      <alignment horizontal="center" vertical="center"/>
      <protection hidden="1"/>
    </xf>
    <xf numFmtId="0" fontId="13" fillId="0" borderId="0" xfId="0" applyFont="1" applyAlignment="1" applyProtection="1">
      <alignment horizontal="right" vertical="center" readingOrder="2"/>
      <protection hidden="1"/>
    </xf>
    <xf numFmtId="0" fontId="25" fillId="0" borderId="0" xfId="0" applyFont="1" applyAlignment="1" applyProtection="1">
      <alignment horizontal="center" vertical="center"/>
      <protection hidden="1"/>
    </xf>
    <xf numFmtId="0" fontId="3" fillId="0" borderId="0" xfId="0" applyFont="1" applyAlignment="1" applyProtection="1">
      <alignment vertical="center" readingOrder="2"/>
      <protection hidden="1"/>
    </xf>
    <xf numFmtId="2" fontId="12" fillId="0" borderId="0" xfId="0" applyNumberFormat="1" applyFont="1" applyAlignment="1" applyProtection="1">
      <alignment vertical="center" readingOrder="2"/>
      <protection hidden="1"/>
    </xf>
    <xf numFmtId="4" fontId="11" fillId="8" borderId="3" xfId="709" applyNumberFormat="1" applyFont="1" applyFill="1" applyBorder="1" applyAlignment="1" applyProtection="1">
      <alignment horizontal="right" vertical="center" wrapText="1"/>
      <protection hidden="1"/>
    </xf>
    <xf numFmtId="0" fontId="26" fillId="8" borderId="3" xfId="0" applyFont="1" applyFill="1" applyBorder="1" applyAlignment="1" applyProtection="1">
      <alignment horizontal="center" vertical="center" wrapText="1" readingOrder="2"/>
      <protection hidden="1"/>
    </xf>
    <xf numFmtId="2" fontId="12" fillId="0" borderId="3" xfId="0" applyNumberFormat="1" applyFont="1" applyBorder="1" applyAlignment="1" applyProtection="1">
      <alignment horizontal="center" vertical="center"/>
      <protection hidden="1"/>
    </xf>
    <xf numFmtId="0" fontId="11" fillId="8" borderId="3" xfId="0" applyFont="1" applyFill="1" applyBorder="1" applyAlignment="1" applyProtection="1">
      <alignment horizontal="right" vertical="center" wrapText="1"/>
      <protection hidden="1"/>
    </xf>
    <xf numFmtId="2" fontId="12" fillId="9" borderId="3" xfId="0" applyNumberFormat="1" applyFont="1" applyFill="1" applyBorder="1" applyAlignment="1" applyProtection="1">
      <alignment horizontal="center" vertical="center" readingOrder="2"/>
      <protection hidden="1"/>
    </xf>
    <xf numFmtId="0" fontId="11" fillId="0" borderId="3" xfId="709" applyFont="1" applyBorder="1" applyAlignment="1" applyProtection="1">
      <alignment horizontal="right" vertical="center" wrapText="1"/>
      <protection hidden="1"/>
    </xf>
    <xf numFmtId="0" fontId="26" fillId="0" borderId="3" xfId="0" applyFont="1" applyBorder="1" applyAlignment="1" applyProtection="1">
      <alignment horizontal="center" vertical="center" wrapText="1" readingOrder="2"/>
      <protection hidden="1"/>
    </xf>
    <xf numFmtId="4" fontId="11" fillId="0" borderId="3" xfId="709" applyNumberFormat="1" applyFont="1" applyBorder="1" applyAlignment="1" applyProtection="1">
      <alignment horizontal="right" vertical="center" wrapText="1"/>
      <protection hidden="1"/>
    </xf>
    <xf numFmtId="4" fontId="11" fillId="0" borderId="3" xfId="20" applyNumberFormat="1" applyFont="1" applyFill="1" applyBorder="1" applyAlignment="1" applyProtection="1">
      <alignment horizontal="right" vertical="center" wrapText="1"/>
      <protection hidden="1"/>
    </xf>
    <xf numFmtId="4" fontId="11" fillId="0" borderId="7" xfId="709" applyNumberFormat="1" applyFont="1" applyBorder="1" applyAlignment="1" applyProtection="1">
      <alignment horizontal="right" vertical="center" wrapText="1"/>
      <protection hidden="1"/>
    </xf>
    <xf numFmtId="0" fontId="26" fillId="0" borderId="7" xfId="0" applyFont="1" applyBorder="1" applyAlignment="1" applyProtection="1">
      <alignment horizontal="center" vertical="center" wrapText="1" readingOrder="2"/>
      <protection hidden="1"/>
    </xf>
    <xf numFmtId="0" fontId="27" fillId="0" borderId="3" xfId="709" applyFont="1" applyBorder="1" applyAlignment="1" applyProtection="1">
      <alignment vertical="center" wrapText="1"/>
      <protection hidden="1"/>
    </xf>
    <xf numFmtId="0" fontId="25" fillId="8" borderId="0" xfId="0" applyFont="1" applyFill="1" applyAlignment="1" applyProtection="1">
      <alignment horizontal="center" vertical="center"/>
      <protection hidden="1"/>
    </xf>
    <xf numFmtId="4" fontId="11" fillId="0" borderId="8" xfId="709" applyNumberFormat="1" applyFont="1" applyBorder="1" applyAlignment="1" applyProtection="1">
      <alignment horizontal="right" vertical="center" wrapText="1"/>
      <protection hidden="1"/>
    </xf>
    <xf numFmtId="4" fontId="11" fillId="0" borderId="9" xfId="709" applyNumberFormat="1" applyFont="1" applyBorder="1" applyAlignment="1" applyProtection="1">
      <alignment horizontal="right" vertical="center" wrapText="1"/>
      <protection hidden="1"/>
    </xf>
    <xf numFmtId="4" fontId="11" fillId="0" borderId="9" xfId="709" applyNumberFormat="1" applyFont="1" applyBorder="1" applyAlignment="1" applyProtection="1">
      <alignment horizontal="center" vertical="center" wrapText="1"/>
      <protection hidden="1"/>
    </xf>
    <xf numFmtId="2" fontId="28" fillId="9" borderId="3" xfId="704" applyNumberFormat="1" applyFont="1" applyFill="1" applyBorder="1" applyAlignment="1" applyProtection="1">
      <alignment horizontal="center" vertical="center"/>
      <protection hidden="1"/>
    </xf>
    <xf numFmtId="2" fontId="12" fillId="0" borderId="8" xfId="0" applyNumberFormat="1" applyFont="1" applyBorder="1" applyAlignment="1" applyProtection="1">
      <alignment horizontal="center" vertical="center"/>
      <protection hidden="1"/>
    </xf>
    <xf numFmtId="4" fontId="11" fillId="8" borderId="8" xfId="709" applyNumberFormat="1" applyFont="1" applyFill="1" applyBorder="1" applyAlignment="1" applyProtection="1">
      <alignment horizontal="right" vertical="center" wrapText="1"/>
      <protection hidden="1"/>
    </xf>
    <xf numFmtId="4" fontId="11" fillId="8" borderId="9" xfId="709" applyNumberFormat="1" applyFont="1" applyFill="1" applyBorder="1" applyAlignment="1" applyProtection="1">
      <alignment horizontal="center" vertical="center" wrapText="1"/>
      <protection hidden="1"/>
    </xf>
    <xf numFmtId="4" fontId="11" fillId="0" borderId="8" xfId="709" applyNumberFormat="1" applyFont="1" applyBorder="1" applyAlignment="1" applyProtection="1">
      <alignment horizontal="center" vertical="center" wrapText="1"/>
      <protection hidden="1"/>
    </xf>
    <xf numFmtId="4" fontId="11" fillId="0" borderId="7" xfId="709" applyNumberFormat="1" applyFont="1" applyBorder="1" applyAlignment="1" applyProtection="1">
      <alignment horizontal="center" vertical="center" wrapText="1"/>
      <protection hidden="1"/>
    </xf>
    <xf numFmtId="4" fontId="11" fillId="0" borderId="9" xfId="709" applyNumberFormat="1" applyFont="1" applyBorder="1" applyAlignment="1" applyProtection="1">
      <alignment vertical="center" wrapText="1"/>
      <protection hidden="1"/>
    </xf>
    <xf numFmtId="0" fontId="27" fillId="0" borderId="7" xfId="0" applyFont="1" applyBorder="1" applyAlignment="1" applyProtection="1">
      <alignment horizontal="center" vertical="center" wrapText="1" readingOrder="2"/>
      <protection hidden="1"/>
    </xf>
    <xf numFmtId="2" fontId="28" fillId="9" borderId="7" xfId="704" applyNumberFormat="1" applyFont="1" applyFill="1" applyBorder="1" applyAlignment="1" applyProtection="1">
      <alignment horizontal="center" vertical="center"/>
      <protection hidden="1"/>
    </xf>
    <xf numFmtId="0" fontId="22" fillId="0" borderId="0" xfId="0" applyFont="1" applyAlignment="1" applyProtection="1">
      <alignment horizontal="right" vertical="center"/>
      <protection hidden="1"/>
    </xf>
    <xf numFmtId="0" fontId="26" fillId="0" borderId="0" xfId="0" applyFont="1" applyAlignment="1" applyProtection="1">
      <alignment horizontal="center" vertical="center"/>
      <protection hidden="1"/>
    </xf>
    <xf numFmtId="2" fontId="12" fillId="0" borderId="0" xfId="0" applyNumberFormat="1" applyFont="1" applyAlignment="1" applyProtection="1">
      <alignment horizontal="center" vertical="center"/>
      <protection hidden="1"/>
    </xf>
    <xf numFmtId="4" fontId="11" fillId="0" borderId="10" xfId="709" applyNumberFormat="1" applyFont="1" applyBorder="1" applyAlignment="1" applyProtection="1">
      <alignment horizontal="right" vertical="center" wrapText="1"/>
      <protection hidden="1"/>
    </xf>
    <xf numFmtId="4" fontId="11" fillId="0" borderId="0" xfId="709" applyNumberFormat="1" applyFont="1" applyAlignment="1" applyProtection="1">
      <alignment horizontal="right" vertical="center" wrapText="1"/>
      <protection hidden="1"/>
    </xf>
    <xf numFmtId="4" fontId="11" fillId="0" borderId="5" xfId="709" applyNumberFormat="1" applyFont="1" applyBorder="1" applyAlignment="1" applyProtection="1">
      <alignment horizontal="right" vertical="center" wrapText="1"/>
      <protection hidden="1"/>
    </xf>
    <xf numFmtId="4" fontId="11" fillId="0" borderId="11" xfId="709" applyNumberFormat="1" applyFont="1" applyBorder="1" applyAlignment="1" applyProtection="1">
      <alignment horizontal="right" vertical="center" wrapText="1"/>
      <protection hidden="1"/>
    </xf>
    <xf numFmtId="4" fontId="11" fillId="0" borderId="12" xfId="709" applyNumberFormat="1" applyFont="1" applyBorder="1" applyAlignment="1" applyProtection="1">
      <alignment horizontal="right" vertical="center" wrapText="1"/>
      <protection hidden="1"/>
    </xf>
    <xf numFmtId="4" fontId="11" fillId="0" borderId="7" xfId="709" applyNumberFormat="1" applyFont="1" applyBorder="1" applyAlignment="1" applyProtection="1">
      <alignment horizontal="right" vertical="center" wrapText="1" readingOrder="1"/>
      <protection hidden="1"/>
    </xf>
    <xf numFmtId="0" fontId="26" fillId="0" borderId="14" xfId="0" applyFont="1" applyBorder="1" applyAlignment="1" applyProtection="1">
      <alignment horizontal="center" vertical="center" wrapText="1" readingOrder="2"/>
      <protection hidden="1"/>
    </xf>
    <xf numFmtId="0" fontId="26" fillId="8" borderId="14" xfId="0" applyFont="1" applyFill="1" applyBorder="1" applyAlignment="1" applyProtection="1">
      <alignment horizontal="center" vertical="center" wrapText="1" readingOrder="2"/>
      <protection hidden="1"/>
    </xf>
    <xf numFmtId="4" fontId="11" fillId="8" borderId="9" xfId="709" applyNumberFormat="1" applyFont="1" applyFill="1" applyBorder="1" applyAlignment="1" applyProtection="1">
      <alignment horizontal="right" vertical="center" wrapText="1"/>
      <protection hidden="1"/>
    </xf>
    <xf numFmtId="0" fontId="26" fillId="0" borderId="6" xfId="0" applyFont="1" applyBorder="1" applyAlignment="1" applyProtection="1">
      <alignment horizontal="center" vertical="center" wrapText="1" readingOrder="2"/>
      <protection hidden="1"/>
    </xf>
    <xf numFmtId="2" fontId="12" fillId="0" borderId="15" xfId="0" applyNumberFormat="1" applyFont="1" applyBorder="1" applyAlignment="1" applyProtection="1">
      <alignment horizontal="center" vertical="center"/>
      <protection hidden="1"/>
    </xf>
    <xf numFmtId="2" fontId="12" fillId="8" borderId="3" xfId="0" applyNumberFormat="1" applyFont="1" applyFill="1" applyBorder="1" applyAlignment="1" applyProtection="1">
      <alignment horizontal="center" vertical="center"/>
      <protection hidden="1"/>
    </xf>
    <xf numFmtId="4" fontId="11" fillId="8" borderId="8" xfId="709" applyNumberFormat="1" applyFont="1" applyFill="1" applyBorder="1" applyAlignment="1" applyProtection="1">
      <alignment horizontal="center" vertical="center" wrapText="1"/>
      <protection hidden="1"/>
    </xf>
    <xf numFmtId="4" fontId="11" fillId="8" borderId="7" xfId="709" applyNumberFormat="1" applyFont="1" applyFill="1" applyBorder="1" applyAlignment="1" applyProtection="1">
      <alignment horizontal="center" vertical="center" wrapText="1"/>
      <protection hidden="1"/>
    </xf>
    <xf numFmtId="4" fontId="11" fillId="8" borderId="7" xfId="709" applyNumberFormat="1" applyFont="1" applyFill="1" applyBorder="1" applyAlignment="1" applyProtection="1">
      <alignment horizontal="right" vertical="center" wrapText="1"/>
      <protection hidden="1"/>
    </xf>
    <xf numFmtId="4" fontId="11" fillId="8" borderId="9" xfId="709" applyNumberFormat="1" applyFont="1" applyFill="1" applyBorder="1" applyAlignment="1" applyProtection="1">
      <alignment horizontal="right" vertical="top" wrapText="1"/>
      <protection hidden="1"/>
    </xf>
    <xf numFmtId="2" fontId="23" fillId="8" borderId="0" xfId="0" applyNumberFormat="1" applyFont="1" applyFill="1" applyAlignment="1" applyProtection="1">
      <alignment horizontal="center" vertical="center"/>
      <protection hidden="1"/>
    </xf>
    <xf numFmtId="0" fontId="30" fillId="0" borderId="3" xfId="0" applyFont="1" applyBorder="1" applyAlignment="1">
      <alignment horizontal="center" vertical="center"/>
    </xf>
    <xf numFmtId="2" fontId="23" fillId="0" borderId="3" xfId="696" applyNumberFormat="1" applyFont="1" applyBorder="1" applyAlignment="1" applyProtection="1">
      <alignment horizontal="center" vertical="center" readingOrder="2"/>
      <protection hidden="1"/>
    </xf>
    <xf numFmtId="2" fontId="23" fillId="8" borderId="3" xfId="696" applyNumberFormat="1" applyFont="1" applyFill="1" applyBorder="1" applyAlignment="1" applyProtection="1">
      <alignment horizontal="center" vertical="center" readingOrder="2"/>
      <protection hidden="1"/>
    </xf>
    <xf numFmtId="2" fontId="12" fillId="0" borderId="7" xfId="0" applyNumberFormat="1" applyFont="1" applyBorder="1" applyAlignment="1" applyProtection="1">
      <alignment horizontal="center" vertical="center" readingOrder="2"/>
      <protection hidden="1"/>
    </xf>
    <xf numFmtId="2" fontId="12" fillId="0" borderId="3" xfId="0" applyNumberFormat="1" applyFont="1" applyBorder="1" applyAlignment="1" applyProtection="1">
      <alignment horizontal="center" vertical="center" readingOrder="2"/>
      <protection hidden="1"/>
    </xf>
    <xf numFmtId="0" fontId="25" fillId="9" borderId="0" xfId="0" applyFont="1" applyFill="1" applyAlignment="1" applyProtection="1">
      <alignment horizontal="center" vertical="center"/>
      <protection hidden="1"/>
    </xf>
    <xf numFmtId="2" fontId="23" fillId="0" borderId="3" xfId="0" applyNumberFormat="1" applyFont="1" applyBorder="1" applyAlignment="1" applyProtection="1">
      <alignment horizontal="center" vertical="center" readingOrder="2"/>
      <protection hidden="1"/>
    </xf>
    <xf numFmtId="0" fontId="11" fillId="0" borderId="3" xfId="0" applyFont="1" applyBorder="1" applyAlignment="1" applyProtection="1">
      <alignment horizontal="center" vertical="center" readingOrder="2"/>
      <protection hidden="1"/>
    </xf>
    <xf numFmtId="0" fontId="11" fillId="8" borderId="3" xfId="0" applyFont="1" applyFill="1" applyBorder="1" applyAlignment="1" applyProtection="1">
      <alignment horizontal="center" vertical="center" readingOrder="2"/>
      <protection hidden="1"/>
    </xf>
    <xf numFmtId="0" fontId="11" fillId="8" borderId="7" xfId="0" applyFont="1" applyFill="1" applyBorder="1" applyAlignment="1" applyProtection="1">
      <alignment horizontal="center" vertical="center" readingOrder="2"/>
      <protection hidden="1"/>
    </xf>
    <xf numFmtId="0" fontId="25" fillId="0" borderId="0" xfId="0" applyFont="1" applyAlignment="1" applyProtection="1">
      <alignment horizontal="center" vertical="center" readingOrder="2"/>
      <protection hidden="1"/>
    </xf>
    <xf numFmtId="0" fontId="22" fillId="0" borderId="0" xfId="0" applyFont="1" applyAlignment="1" applyProtection="1">
      <alignment horizontal="center" vertical="center" readingOrder="2"/>
      <protection hidden="1"/>
    </xf>
    <xf numFmtId="0" fontId="11" fillId="0" borderId="13" xfId="0" applyFont="1" applyBorder="1" applyAlignment="1" applyProtection="1">
      <alignment horizontal="center" vertical="center" readingOrder="2"/>
      <protection hidden="1"/>
    </xf>
    <xf numFmtId="0" fontId="11" fillId="0" borderId="8" xfId="0" applyFont="1" applyBorder="1" applyAlignment="1" applyProtection="1">
      <alignment horizontal="center" vertical="center" readingOrder="2"/>
      <protection hidden="1"/>
    </xf>
    <xf numFmtId="2" fontId="12" fillId="0" borderId="16" xfId="0" applyNumberFormat="1" applyFont="1" applyBorder="1" applyAlignment="1" applyProtection="1">
      <alignment horizontal="center" vertical="center"/>
      <protection hidden="1"/>
    </xf>
    <xf numFmtId="2" fontId="23" fillId="8" borderId="8" xfId="7" applyNumberFormat="1" applyFont="1" applyFill="1" applyBorder="1" applyAlignment="1" applyProtection="1">
      <alignment horizontal="center" vertical="center" readingOrder="2"/>
      <protection locked="0" hidden="1"/>
    </xf>
    <xf numFmtId="2" fontId="23" fillId="0" borderId="3" xfId="704" applyNumberFormat="1" applyFont="1" applyBorder="1" applyAlignment="1" applyProtection="1">
      <alignment horizontal="center" vertical="center" readingOrder="2"/>
      <protection hidden="1"/>
    </xf>
    <xf numFmtId="2" fontId="23" fillId="0" borderId="8" xfId="7" applyNumberFormat="1" applyFont="1" applyFill="1" applyBorder="1" applyAlignment="1" applyProtection="1">
      <alignment horizontal="center" vertical="center" readingOrder="2"/>
      <protection locked="0" hidden="1"/>
    </xf>
    <xf numFmtId="2" fontId="23" fillId="0" borderId="3" xfId="7" applyNumberFormat="1" applyFont="1" applyFill="1" applyBorder="1" applyAlignment="1" applyProtection="1">
      <alignment horizontal="center" vertical="center" readingOrder="2"/>
      <protection locked="0" hidden="1"/>
    </xf>
    <xf numFmtId="2" fontId="23" fillId="0" borderId="7" xfId="704" applyNumberFormat="1" applyFont="1" applyBorder="1" applyAlignment="1" applyProtection="1">
      <alignment horizontal="center" vertical="center" readingOrder="2"/>
      <protection hidden="1"/>
    </xf>
    <xf numFmtId="2" fontId="12" fillId="0" borderId="0" xfId="0" applyNumberFormat="1" applyFont="1" applyAlignment="1" applyProtection="1">
      <alignment horizontal="center" vertical="center" wrapText="1"/>
      <protection hidden="1"/>
    </xf>
    <xf numFmtId="2" fontId="12" fillId="0" borderId="0" xfId="0" applyNumberFormat="1" applyFont="1" applyAlignment="1" applyProtection="1">
      <alignment horizontal="center" vertical="center" wrapText="1" readingOrder="2"/>
      <protection hidden="1"/>
    </xf>
    <xf numFmtId="2" fontId="12" fillId="0" borderId="0" xfId="0" applyNumberFormat="1" applyFont="1" applyAlignment="1" applyProtection="1">
      <alignment horizontal="center" vertical="center" readingOrder="2"/>
      <protection hidden="1"/>
    </xf>
    <xf numFmtId="0" fontId="11" fillId="9" borderId="4" xfId="0" applyFont="1" applyFill="1" applyBorder="1" applyAlignment="1" applyProtection="1">
      <alignment horizontal="center" vertical="center"/>
      <protection hidden="1"/>
    </xf>
    <xf numFmtId="0" fontId="11" fillId="9" borderId="11" xfId="0" applyFont="1" applyFill="1" applyBorder="1" applyAlignment="1" applyProtection="1">
      <alignment horizontal="center" vertical="center"/>
      <protection hidden="1"/>
    </xf>
    <xf numFmtId="2" fontId="23" fillId="0" borderId="8" xfId="7" applyNumberFormat="1" applyFont="1" applyFill="1" applyBorder="1" applyAlignment="1" applyProtection="1">
      <alignment horizontal="center" vertical="center" readingOrder="2"/>
      <protection locked="0" hidden="1"/>
    </xf>
    <xf numFmtId="2" fontId="23" fillId="0" borderId="7" xfId="7" applyNumberFormat="1" applyFont="1" applyFill="1" applyBorder="1" applyAlignment="1" applyProtection="1">
      <alignment horizontal="center" vertical="center" readingOrder="2"/>
      <protection locked="0" hidden="1"/>
    </xf>
    <xf numFmtId="0" fontId="11" fillId="0" borderId="8" xfId="0" applyFont="1" applyBorder="1" applyAlignment="1" applyProtection="1">
      <alignment horizontal="center" vertical="center" readingOrder="2"/>
      <protection hidden="1"/>
    </xf>
    <xf numFmtId="0" fontId="11" fillId="0" borderId="7" xfId="0" applyFont="1" applyBorder="1" applyAlignment="1" applyProtection="1">
      <alignment horizontal="center" vertical="center" readingOrder="2"/>
      <protection hidden="1"/>
    </xf>
    <xf numFmtId="0" fontId="26" fillId="8" borderId="8" xfId="0" applyFont="1" applyFill="1" applyBorder="1" applyAlignment="1" applyProtection="1">
      <alignment horizontal="center" vertical="center" wrapText="1" readingOrder="2"/>
      <protection hidden="1"/>
    </xf>
    <xf numFmtId="0" fontId="26" fillId="8" borderId="9" xfId="0" applyFont="1" applyFill="1" applyBorder="1" applyAlignment="1" applyProtection="1">
      <alignment horizontal="center" vertical="center" wrapText="1" readingOrder="2"/>
      <protection hidden="1"/>
    </xf>
    <xf numFmtId="0" fontId="26" fillId="8" borderId="7" xfId="0" applyFont="1" applyFill="1" applyBorder="1" applyAlignment="1" applyProtection="1">
      <alignment horizontal="center" vertical="center" wrapText="1" readingOrder="2"/>
      <protection hidden="1"/>
    </xf>
    <xf numFmtId="0" fontId="11" fillId="0" borderId="9" xfId="0" applyFont="1" applyBorder="1" applyAlignment="1" applyProtection="1">
      <alignment horizontal="center" vertical="center" readingOrder="2"/>
      <protection hidden="1"/>
    </xf>
    <xf numFmtId="0" fontId="26" fillId="0" borderId="8" xfId="0" applyFont="1" applyBorder="1" applyAlignment="1" applyProtection="1">
      <alignment horizontal="center" vertical="center" wrapText="1" readingOrder="2"/>
      <protection hidden="1"/>
    </xf>
    <xf numFmtId="0" fontId="26" fillId="0" borderId="9" xfId="0" applyFont="1" applyBorder="1" applyAlignment="1" applyProtection="1">
      <alignment horizontal="center" vertical="center" wrapText="1" readingOrder="2"/>
      <protection hidden="1"/>
    </xf>
    <xf numFmtId="0" fontId="26" fillId="0" borderId="7" xfId="0" applyFont="1" applyBorder="1" applyAlignment="1" applyProtection="1">
      <alignment horizontal="center" vertical="center" wrapText="1" readingOrder="2"/>
      <protection hidden="1"/>
    </xf>
    <xf numFmtId="2" fontId="23" fillId="8" borderId="8" xfId="7" applyNumberFormat="1" applyFont="1" applyFill="1" applyBorder="1" applyAlignment="1" applyProtection="1">
      <alignment horizontal="center" vertical="center" readingOrder="2"/>
      <protection locked="0" hidden="1"/>
    </xf>
    <xf numFmtId="2" fontId="23" fillId="8" borderId="9" xfId="7" applyNumberFormat="1" applyFont="1" applyFill="1" applyBorder="1" applyAlignment="1" applyProtection="1">
      <alignment horizontal="center" vertical="center" readingOrder="2"/>
      <protection locked="0" hidden="1"/>
    </xf>
    <xf numFmtId="2" fontId="23" fillId="8" borderId="7" xfId="7" applyNumberFormat="1" applyFont="1" applyFill="1" applyBorder="1" applyAlignment="1" applyProtection="1">
      <alignment horizontal="center" vertical="center" readingOrder="2"/>
      <protection locked="0" hidden="1"/>
    </xf>
    <xf numFmtId="4" fontId="11" fillId="0" borderId="8" xfId="709" applyNumberFormat="1" applyFont="1" applyBorder="1" applyAlignment="1" applyProtection="1">
      <alignment horizontal="center" vertical="center" wrapText="1"/>
      <protection hidden="1"/>
    </xf>
    <xf numFmtId="4" fontId="11" fillId="0" borderId="7" xfId="709" applyNumberFormat="1" applyFont="1" applyBorder="1" applyAlignment="1" applyProtection="1">
      <alignment horizontal="center" vertical="center" wrapText="1"/>
      <protection hidden="1"/>
    </xf>
    <xf numFmtId="2" fontId="12" fillId="0" borderId="8" xfId="0" applyNumberFormat="1" applyFont="1" applyBorder="1" applyAlignment="1" applyProtection="1">
      <alignment horizontal="center" vertical="center"/>
      <protection hidden="1"/>
    </xf>
    <xf numFmtId="2" fontId="12" fillId="0" borderId="9" xfId="0" applyNumberFormat="1" applyFont="1" applyBorder="1" applyAlignment="1" applyProtection="1">
      <alignment horizontal="center" vertical="center"/>
      <protection hidden="1"/>
    </xf>
    <xf numFmtId="2" fontId="12" fillId="0" borderId="7" xfId="0" applyNumberFormat="1" applyFont="1" applyBorder="1" applyAlignment="1" applyProtection="1">
      <alignment horizontal="center" vertical="center"/>
      <protection hidden="1"/>
    </xf>
    <xf numFmtId="2" fontId="23" fillId="0" borderId="9" xfId="7" applyNumberFormat="1" applyFont="1" applyFill="1" applyBorder="1" applyAlignment="1" applyProtection="1">
      <alignment horizontal="center" vertical="center" readingOrder="2"/>
      <protection locked="0" hidden="1"/>
    </xf>
    <xf numFmtId="4" fontId="11" fillId="0" borderId="9" xfId="709" applyNumberFormat="1" applyFont="1" applyBorder="1" applyAlignment="1" applyProtection="1">
      <alignment horizontal="center" vertical="center" wrapText="1"/>
      <protection hidden="1"/>
    </xf>
    <xf numFmtId="2" fontId="12" fillId="0" borderId="3" xfId="0" applyNumberFormat="1" applyFont="1" applyBorder="1" applyAlignment="1" applyProtection="1">
      <alignment horizontal="center" vertical="center"/>
      <protection hidden="1"/>
    </xf>
    <xf numFmtId="0" fontId="26" fillId="0" borderId="3" xfId="0" applyFont="1" applyBorder="1" applyAlignment="1" applyProtection="1">
      <alignment horizontal="center" vertical="center" wrapText="1" readingOrder="2"/>
      <protection hidden="1"/>
    </xf>
    <xf numFmtId="0" fontId="11" fillId="0" borderId="3" xfId="0" applyFont="1" applyBorder="1" applyAlignment="1" applyProtection="1">
      <alignment horizontal="center" vertical="center" readingOrder="2"/>
      <protection hidden="1"/>
    </xf>
    <xf numFmtId="2" fontId="23" fillId="0" borderId="3" xfId="0" applyNumberFormat="1" applyFont="1" applyBorder="1" applyAlignment="1" applyProtection="1">
      <alignment horizontal="center" vertical="center" readingOrder="2"/>
      <protection hidden="1"/>
    </xf>
    <xf numFmtId="2" fontId="23" fillId="0" borderId="8" xfId="0" applyNumberFormat="1" applyFont="1" applyBorder="1" applyAlignment="1" applyProtection="1">
      <alignment horizontal="center" vertical="center" readingOrder="2"/>
      <protection hidden="1"/>
    </xf>
    <xf numFmtId="2" fontId="23" fillId="0" borderId="9" xfId="0" applyNumberFormat="1" applyFont="1" applyBorder="1" applyAlignment="1" applyProtection="1">
      <alignment horizontal="center" vertical="center" readingOrder="2"/>
      <protection hidden="1"/>
    </xf>
    <xf numFmtId="2" fontId="23" fillId="0" borderId="7" xfId="0" applyNumberFormat="1" applyFont="1" applyBorder="1" applyAlignment="1" applyProtection="1">
      <alignment horizontal="center" vertical="center" readingOrder="2"/>
      <protection hidden="1"/>
    </xf>
    <xf numFmtId="2" fontId="23" fillId="8" borderId="3" xfId="7" applyNumberFormat="1" applyFont="1" applyFill="1" applyBorder="1" applyAlignment="1" applyProtection="1">
      <alignment horizontal="center" vertical="center" readingOrder="2"/>
      <protection locked="0" hidden="1"/>
    </xf>
    <xf numFmtId="0" fontId="26" fillId="8" borderId="3" xfId="0" applyFont="1" applyFill="1" applyBorder="1" applyAlignment="1" applyProtection="1">
      <alignment horizontal="center" vertical="center" wrapText="1" readingOrder="2"/>
      <protection hidden="1"/>
    </xf>
    <xf numFmtId="0" fontId="11" fillId="8" borderId="3" xfId="0" applyFont="1" applyFill="1" applyBorder="1" applyAlignment="1" applyProtection="1">
      <alignment horizontal="center" vertical="center" readingOrder="2"/>
      <protection hidden="1"/>
    </xf>
    <xf numFmtId="2" fontId="23" fillId="0" borderId="3" xfId="7" applyNumberFormat="1" applyFont="1" applyFill="1" applyBorder="1" applyAlignment="1" applyProtection="1">
      <alignment horizontal="center" vertical="center" readingOrder="2"/>
      <protection locked="0" hidden="1"/>
    </xf>
    <xf numFmtId="0" fontId="11" fillId="8" borderId="8" xfId="0" applyFont="1" applyFill="1" applyBorder="1" applyAlignment="1" applyProtection="1">
      <alignment horizontal="center" vertical="center" readingOrder="2"/>
      <protection hidden="1"/>
    </xf>
    <xf numFmtId="0" fontId="11" fillId="8" borderId="9" xfId="0" applyFont="1" applyFill="1" applyBorder="1" applyAlignment="1" applyProtection="1">
      <alignment horizontal="center" vertical="center" readingOrder="2"/>
      <protection hidden="1"/>
    </xf>
    <xf numFmtId="0" fontId="11" fillId="8" borderId="7" xfId="0" applyFont="1" applyFill="1" applyBorder="1" applyAlignment="1" applyProtection="1">
      <alignment horizontal="center" vertical="center" readingOrder="2"/>
      <protection hidden="1"/>
    </xf>
    <xf numFmtId="2" fontId="12" fillId="8" borderId="8" xfId="0" applyNumberFormat="1" applyFont="1" applyFill="1" applyBorder="1" applyAlignment="1" applyProtection="1">
      <alignment horizontal="center" vertical="center"/>
      <protection hidden="1"/>
    </xf>
    <xf numFmtId="2" fontId="12" fillId="8" borderId="9" xfId="0" applyNumberFormat="1" applyFont="1" applyFill="1" applyBorder="1" applyAlignment="1" applyProtection="1">
      <alignment horizontal="center" vertical="center"/>
      <protection hidden="1"/>
    </xf>
    <xf numFmtId="2" fontId="12" fillId="8" borderId="7" xfId="0" applyNumberFormat="1" applyFont="1" applyFill="1" applyBorder="1" applyAlignment="1" applyProtection="1">
      <alignment horizontal="center" vertical="center"/>
      <protection hidden="1"/>
    </xf>
    <xf numFmtId="4" fontId="11" fillId="8" borderId="8" xfId="709" applyNumberFormat="1" applyFont="1" applyFill="1" applyBorder="1" applyAlignment="1" applyProtection="1">
      <alignment horizontal="center" vertical="center" wrapText="1"/>
      <protection hidden="1"/>
    </xf>
    <xf numFmtId="4" fontId="11" fillId="8" borderId="9" xfId="709" applyNumberFormat="1" applyFont="1" applyFill="1" applyBorder="1" applyAlignment="1" applyProtection="1">
      <alignment horizontal="center" vertical="center" wrapText="1"/>
      <protection hidden="1"/>
    </xf>
    <xf numFmtId="4" fontId="11" fillId="8" borderId="7" xfId="709" applyNumberFormat="1" applyFont="1" applyFill="1" applyBorder="1" applyAlignment="1" applyProtection="1">
      <alignment horizontal="center" vertical="center" wrapText="1"/>
      <protection hidden="1"/>
    </xf>
    <xf numFmtId="2" fontId="23" fillId="8" borderId="8" xfId="696" applyNumberFormat="1" applyFont="1" applyFill="1" applyBorder="1" applyAlignment="1" applyProtection="1">
      <alignment horizontal="center" vertical="center" readingOrder="2"/>
      <protection hidden="1"/>
    </xf>
    <xf numFmtId="2" fontId="23" fillId="8" borderId="9" xfId="696" applyNumberFormat="1" applyFont="1" applyFill="1" applyBorder="1" applyAlignment="1" applyProtection="1">
      <alignment horizontal="center" vertical="center" readingOrder="2"/>
      <protection hidden="1"/>
    </xf>
    <xf numFmtId="2" fontId="23" fillId="0" borderId="8" xfId="704" applyNumberFormat="1" applyFont="1" applyBorder="1" applyAlignment="1" applyProtection="1">
      <alignment horizontal="center" vertical="center" readingOrder="2"/>
      <protection hidden="1"/>
    </xf>
    <xf numFmtId="2" fontId="23" fillId="0" borderId="9" xfId="704" applyNumberFormat="1" applyFont="1" applyBorder="1" applyAlignment="1" applyProtection="1">
      <alignment horizontal="center" vertical="center" readingOrder="2"/>
      <protection hidden="1"/>
    </xf>
    <xf numFmtId="2" fontId="23" fillId="0" borderId="3" xfId="704" applyNumberFormat="1" applyFont="1" applyBorder="1" applyAlignment="1" applyProtection="1">
      <alignment horizontal="center" vertical="center" readingOrder="2"/>
      <protection hidden="1"/>
    </xf>
    <xf numFmtId="2" fontId="23" fillId="8" borderId="7" xfId="696" applyNumberFormat="1" applyFont="1" applyFill="1" applyBorder="1" applyAlignment="1" applyProtection="1">
      <alignment horizontal="center" vertical="center" readingOrder="2"/>
      <protection hidden="1"/>
    </xf>
    <xf numFmtId="2" fontId="23" fillId="0" borderId="7" xfId="704" applyNumberFormat="1" applyFont="1" applyBorder="1" applyAlignment="1" applyProtection="1">
      <alignment horizontal="center" vertical="center" readingOrder="2"/>
      <protection hidden="1"/>
    </xf>
    <xf numFmtId="0" fontId="11" fillId="9" borderId="3" xfId="0" applyFont="1" applyFill="1" applyBorder="1" applyAlignment="1" applyProtection="1">
      <alignment horizontal="center" vertical="center"/>
      <protection hidden="1"/>
    </xf>
    <xf numFmtId="0" fontId="14" fillId="10" borderId="3" xfId="0" applyFont="1" applyFill="1" applyBorder="1" applyAlignment="1" applyProtection="1">
      <alignment horizontal="center" vertical="center" wrapText="1" readingOrder="2"/>
      <protection hidden="1"/>
    </xf>
    <xf numFmtId="2" fontId="23" fillId="10" borderId="8" xfId="0" applyNumberFormat="1" applyFont="1" applyFill="1" applyBorder="1" applyAlignment="1" applyProtection="1">
      <alignment horizontal="center" vertical="center" wrapText="1" readingOrder="2"/>
      <protection hidden="1"/>
    </xf>
    <xf numFmtId="2" fontId="23" fillId="10" borderId="7" xfId="0" applyNumberFormat="1" applyFont="1" applyFill="1" applyBorder="1" applyAlignment="1" applyProtection="1">
      <alignment horizontal="center" vertical="center" wrapText="1" readingOrder="2"/>
      <protection hidden="1"/>
    </xf>
    <xf numFmtId="2" fontId="26" fillId="10" borderId="8" xfId="0" applyNumberFormat="1" applyFont="1" applyFill="1" applyBorder="1" applyAlignment="1" applyProtection="1">
      <alignment horizontal="center" vertical="center" wrapText="1" readingOrder="2"/>
      <protection hidden="1"/>
    </xf>
    <xf numFmtId="2" fontId="26" fillId="10" borderId="7" xfId="0" applyNumberFormat="1" applyFont="1" applyFill="1" applyBorder="1" applyAlignment="1" applyProtection="1">
      <alignment horizontal="center" vertical="center" wrapText="1" readingOrder="2"/>
      <protection hidden="1"/>
    </xf>
    <xf numFmtId="0" fontId="12" fillId="0" borderId="0" xfId="0" applyFont="1" applyAlignment="1" applyProtection="1">
      <alignment horizontal="center" vertical="center" readingOrder="2"/>
      <protection hidden="1"/>
    </xf>
    <xf numFmtId="2" fontId="29" fillId="10" borderId="8" xfId="0" applyNumberFormat="1" applyFont="1" applyFill="1" applyBorder="1" applyAlignment="1" applyProtection="1">
      <alignment horizontal="center" vertical="center" wrapText="1" readingOrder="2"/>
      <protection hidden="1"/>
    </xf>
    <xf numFmtId="2" fontId="29" fillId="10" borderId="7" xfId="0" applyNumberFormat="1" applyFont="1" applyFill="1" applyBorder="1" applyAlignment="1" applyProtection="1">
      <alignment horizontal="center" vertical="center" wrapText="1" readingOrder="2"/>
      <protection hidden="1"/>
    </xf>
    <xf numFmtId="0" fontId="13" fillId="0" borderId="0" xfId="0" applyFont="1" applyAlignment="1" applyProtection="1">
      <alignment horizontal="right" vertical="center" readingOrder="2"/>
      <protection hidden="1"/>
    </xf>
    <xf numFmtId="2" fontId="12" fillId="8" borderId="3" xfId="0" applyNumberFormat="1" applyFont="1" applyFill="1" applyBorder="1" applyAlignment="1" applyProtection="1">
      <alignment horizontal="center" vertical="center"/>
      <protection hidden="1"/>
    </xf>
    <xf numFmtId="2" fontId="23" fillId="8" borderId="8" xfId="704" applyNumberFormat="1" applyFont="1" applyFill="1" applyBorder="1" applyAlignment="1" applyProtection="1">
      <alignment horizontal="center" vertical="center" readingOrder="2"/>
      <protection hidden="1"/>
    </xf>
    <xf numFmtId="2" fontId="23" fillId="8" borderId="9" xfId="704" applyNumberFormat="1" applyFont="1" applyFill="1" applyBorder="1" applyAlignment="1" applyProtection="1">
      <alignment horizontal="center" vertical="center" readingOrder="2"/>
      <protection hidden="1"/>
    </xf>
    <xf numFmtId="0" fontId="12" fillId="0" borderId="3" xfId="0" applyFont="1" applyBorder="1" applyAlignment="1" applyProtection="1">
      <alignment horizontal="center" vertical="center" wrapText="1" readingOrder="2"/>
      <protection hidden="1"/>
    </xf>
    <xf numFmtId="0" fontId="12" fillId="0" borderId="8" xfId="0" applyFont="1" applyBorder="1" applyAlignment="1" applyProtection="1">
      <alignment horizontal="center" vertical="center" wrapText="1" readingOrder="2"/>
      <protection hidden="1"/>
    </xf>
    <xf numFmtId="0" fontId="12" fillId="0" borderId="9" xfId="0" applyFont="1" applyBorder="1" applyAlignment="1" applyProtection="1">
      <alignment horizontal="center" vertical="center" wrapText="1" readingOrder="2"/>
      <protection hidden="1"/>
    </xf>
    <xf numFmtId="0" fontId="12" fillId="0" borderId="7" xfId="0" applyFont="1" applyBorder="1" applyAlignment="1" applyProtection="1">
      <alignment horizontal="center" vertical="center" wrapText="1" readingOrder="2"/>
      <protection hidden="1"/>
    </xf>
    <xf numFmtId="2" fontId="12" fillId="0" borderId="3" xfId="0" applyNumberFormat="1" applyFont="1" applyBorder="1" applyAlignment="1" applyProtection="1">
      <alignment horizontal="center" vertical="center" readingOrder="2"/>
      <protection hidden="1"/>
    </xf>
    <xf numFmtId="4" fontId="11" fillId="8" borderId="3" xfId="709" applyNumberFormat="1" applyFont="1" applyFill="1" applyBorder="1" applyAlignment="1" applyProtection="1">
      <alignment horizontal="center" vertical="center" wrapText="1"/>
      <protection hidden="1"/>
    </xf>
    <xf numFmtId="49" fontId="12" fillId="0" borderId="0" xfId="0" applyNumberFormat="1" applyFont="1" applyAlignment="1" applyProtection="1">
      <alignment horizontal="center" vertical="center" readingOrder="2"/>
      <protection hidden="1"/>
    </xf>
  </cellXfs>
  <cellStyles count="722">
    <cellStyle name="0,0_x000d__x000a_NA_x000d__x000a_" xfId="1" xr:uid="{00000000-0005-0000-0000-000000000000}"/>
    <cellStyle name="0,0_x000d__x000a_NA_x000d__x000a_ 2" xfId="2" xr:uid="{00000000-0005-0000-0000-000001000000}"/>
    <cellStyle name="Bad 2" xfId="3" xr:uid="{00000000-0005-0000-0000-000002000000}"/>
    <cellStyle name="Calculation 2" xfId="4" xr:uid="{00000000-0005-0000-0000-000003000000}"/>
    <cellStyle name="Check Cell 2" xfId="5" xr:uid="{00000000-0005-0000-0000-000004000000}"/>
    <cellStyle name="Comma 10 2 2" xfId="6" xr:uid="{00000000-0005-0000-0000-000006000000}"/>
    <cellStyle name="Comma 2" xfId="7" xr:uid="{00000000-0005-0000-0000-000007000000}"/>
    <cellStyle name="Comma 2 2" xfId="8" xr:uid="{00000000-0005-0000-0000-000008000000}"/>
    <cellStyle name="Comma 2 3" xfId="9" xr:uid="{00000000-0005-0000-0000-000009000000}"/>
    <cellStyle name="Comma 2 4" xfId="10" xr:uid="{00000000-0005-0000-0000-00000A000000}"/>
    <cellStyle name="Comma 2 4 2" xfId="11" xr:uid="{00000000-0005-0000-0000-00000B000000}"/>
    <cellStyle name="Comma 3" xfId="12" xr:uid="{00000000-0005-0000-0000-00000C000000}"/>
    <cellStyle name="Comma 3 2" xfId="13" xr:uid="{00000000-0005-0000-0000-00000D000000}"/>
    <cellStyle name="Comma 3 3" xfId="14" xr:uid="{00000000-0005-0000-0000-00000E000000}"/>
    <cellStyle name="Comma 4" xfId="15" xr:uid="{00000000-0005-0000-0000-00000F000000}"/>
    <cellStyle name="Comma 4 2" xfId="16" xr:uid="{00000000-0005-0000-0000-000010000000}"/>
    <cellStyle name="Comma 4 3" xfId="17" xr:uid="{00000000-0005-0000-0000-000011000000}"/>
    <cellStyle name="Comma 5" xfId="18" xr:uid="{00000000-0005-0000-0000-000012000000}"/>
    <cellStyle name="Comma 5 2" xfId="19" xr:uid="{00000000-0005-0000-0000-000013000000}"/>
    <cellStyle name="Comma 6" xfId="20" xr:uid="{00000000-0005-0000-0000-000014000000}"/>
    <cellStyle name="Excel_BuiltIn_Calculation" xfId="21" xr:uid="{00000000-0005-0000-0000-000015000000}"/>
    <cellStyle name="Heading 2 2" xfId="22" xr:uid="{00000000-0005-0000-0000-000016000000}"/>
    <cellStyle name="Hyperlink 2" xfId="23" xr:uid="{00000000-0005-0000-0000-000017000000}"/>
    <cellStyle name="Normal" xfId="0" builtinId="0"/>
    <cellStyle name="Normal 10 2" xfId="24" xr:uid="{00000000-0005-0000-0000-000019000000}"/>
    <cellStyle name="Normal 12 2 3" xfId="721" xr:uid="{8D6462E7-4D8C-4A8D-B9FA-453C879E7EC1}"/>
    <cellStyle name="Normal 2" xfId="720" xr:uid="{E85A18DA-FDD2-41AB-AEE0-26D040D0548F}"/>
    <cellStyle name="Normal 2 2" xfId="25" xr:uid="{00000000-0005-0000-0000-00001A000000}"/>
    <cellStyle name="Normal 2 2 10" xfId="26" xr:uid="{00000000-0005-0000-0000-00001B000000}"/>
    <cellStyle name="Normal 2 2 11" xfId="27" xr:uid="{00000000-0005-0000-0000-00001C000000}"/>
    <cellStyle name="Normal 2 2 11 2" xfId="28" xr:uid="{00000000-0005-0000-0000-00001D000000}"/>
    <cellStyle name="Normal 2 2 11 2 2" xfId="29" xr:uid="{00000000-0005-0000-0000-00001E000000}"/>
    <cellStyle name="Normal 2 2 11 2 2 2" xfId="30" xr:uid="{00000000-0005-0000-0000-00001F000000}"/>
    <cellStyle name="Normal 2 2 11 2 2 2 2" xfId="31" xr:uid="{00000000-0005-0000-0000-000020000000}"/>
    <cellStyle name="Normal 2 2 11 2 2 2 2 2" xfId="32" xr:uid="{00000000-0005-0000-0000-000021000000}"/>
    <cellStyle name="Normal 2 2 11 2 2 2 2 2 2" xfId="33" xr:uid="{00000000-0005-0000-0000-000022000000}"/>
    <cellStyle name="Normal 2 2 11 2 2 2 2 3" xfId="34" xr:uid="{00000000-0005-0000-0000-000023000000}"/>
    <cellStyle name="Normal 2 2 11 2 2 2 2 4" xfId="35" xr:uid="{00000000-0005-0000-0000-000024000000}"/>
    <cellStyle name="Normal 2 2 11 2 3" xfId="36" xr:uid="{00000000-0005-0000-0000-000025000000}"/>
    <cellStyle name="Normal 2 2 11 2 3 2" xfId="37" xr:uid="{00000000-0005-0000-0000-000026000000}"/>
    <cellStyle name="Normal 2 2 11 2 3 3" xfId="38" xr:uid="{00000000-0005-0000-0000-000027000000}"/>
    <cellStyle name="Normal 2 2 11 2 4" xfId="39" xr:uid="{00000000-0005-0000-0000-000028000000}"/>
    <cellStyle name="Normal 2 2 11 2 4 2" xfId="40" xr:uid="{00000000-0005-0000-0000-000029000000}"/>
    <cellStyle name="Normal 2 2 11 2 4 3" xfId="41" xr:uid="{00000000-0005-0000-0000-00002A000000}"/>
    <cellStyle name="Normal 2 2 11 2 4 4" xfId="42" xr:uid="{00000000-0005-0000-0000-00002B000000}"/>
    <cellStyle name="Normal 2 2 11 2 5" xfId="43" xr:uid="{00000000-0005-0000-0000-00002C000000}"/>
    <cellStyle name="Normal 2 2 11 2 5 2" xfId="44" xr:uid="{00000000-0005-0000-0000-00002D000000}"/>
    <cellStyle name="Normal 2 2 11 2 5 2 2" xfId="45" xr:uid="{00000000-0005-0000-0000-00002E000000}"/>
    <cellStyle name="Normal 2 2 11 2 5 3" xfId="46" xr:uid="{00000000-0005-0000-0000-00002F000000}"/>
    <cellStyle name="Normal 2 2 11 2 6" xfId="47" xr:uid="{00000000-0005-0000-0000-000030000000}"/>
    <cellStyle name="Normal 2 2 11 2 7" xfId="48" xr:uid="{00000000-0005-0000-0000-000031000000}"/>
    <cellStyle name="Normal 2 2 11 3" xfId="49" xr:uid="{00000000-0005-0000-0000-000032000000}"/>
    <cellStyle name="Normal 2 2 11 3 2" xfId="50" xr:uid="{00000000-0005-0000-0000-000033000000}"/>
    <cellStyle name="Normal 2 2 11 3 3" xfId="51" xr:uid="{00000000-0005-0000-0000-000034000000}"/>
    <cellStyle name="Normal 2 2 12" xfId="52" xr:uid="{00000000-0005-0000-0000-000035000000}"/>
    <cellStyle name="Normal 2 2 12 2" xfId="53" xr:uid="{00000000-0005-0000-0000-000036000000}"/>
    <cellStyle name="Normal 2 2 12 2 2" xfId="54" xr:uid="{00000000-0005-0000-0000-000037000000}"/>
    <cellStyle name="Normal 2 2 12 2 2 2" xfId="55" xr:uid="{00000000-0005-0000-0000-000038000000}"/>
    <cellStyle name="Normal 2 2 12 2 2 2 2" xfId="56" xr:uid="{00000000-0005-0000-0000-000039000000}"/>
    <cellStyle name="Normal 2 2 12 2 2 2 2 2" xfId="57" xr:uid="{00000000-0005-0000-0000-00003A000000}"/>
    <cellStyle name="Normal 2 2 12 2 2 2 3" xfId="58" xr:uid="{00000000-0005-0000-0000-00003B000000}"/>
    <cellStyle name="Normal 2 2 12 3" xfId="59" xr:uid="{00000000-0005-0000-0000-00003C000000}"/>
    <cellStyle name="Normal 2 2 12 3 2" xfId="60" xr:uid="{00000000-0005-0000-0000-00003D000000}"/>
    <cellStyle name="Normal 2 2 12 3 3" xfId="61" xr:uid="{00000000-0005-0000-0000-00003E000000}"/>
    <cellStyle name="Normal 2 2 12 3 4" xfId="62" xr:uid="{00000000-0005-0000-0000-00003F000000}"/>
    <cellStyle name="Normal 2 2 12 4" xfId="63" xr:uid="{00000000-0005-0000-0000-000040000000}"/>
    <cellStyle name="Normal 2 2 12 4 2" xfId="64" xr:uid="{00000000-0005-0000-0000-000041000000}"/>
    <cellStyle name="Normal 2 2 12 4 2 2 2 2" xfId="65" xr:uid="{00000000-0005-0000-0000-000042000000}"/>
    <cellStyle name="Normal 2 2 12 4 2 2 2 2 2" xfId="66" xr:uid="{00000000-0005-0000-0000-000043000000}"/>
    <cellStyle name="Normal 2 2 12 4 2 2 2 2 3" xfId="67" xr:uid="{00000000-0005-0000-0000-000044000000}"/>
    <cellStyle name="Normal 2 2 12 4 2 2 2 2 3 2" xfId="68" xr:uid="{00000000-0005-0000-0000-000045000000}"/>
    <cellStyle name="Normal 2 2 12 4 3" xfId="69" xr:uid="{00000000-0005-0000-0000-000046000000}"/>
    <cellStyle name="Normal 2 2 12 4 4" xfId="70" xr:uid="{00000000-0005-0000-0000-000047000000}"/>
    <cellStyle name="Normal 2 2 12 4 4 2" xfId="71" xr:uid="{00000000-0005-0000-0000-000048000000}"/>
    <cellStyle name="Normal 2 2 12 5" xfId="72" xr:uid="{00000000-0005-0000-0000-000049000000}"/>
    <cellStyle name="Normal 2 2 12 6" xfId="73" xr:uid="{00000000-0005-0000-0000-00004A000000}"/>
    <cellStyle name="Normal 2 2 12 6 2" xfId="74" xr:uid="{00000000-0005-0000-0000-00004B000000}"/>
    <cellStyle name="Normal 2 2 13" xfId="75" xr:uid="{00000000-0005-0000-0000-00004C000000}"/>
    <cellStyle name="Normal 2 2 14" xfId="76" xr:uid="{00000000-0005-0000-0000-00004D000000}"/>
    <cellStyle name="Normal 2 2 14 2" xfId="77" xr:uid="{00000000-0005-0000-0000-00004E000000}"/>
    <cellStyle name="Normal 2 2 14 3" xfId="78" xr:uid="{00000000-0005-0000-0000-00004F000000}"/>
    <cellStyle name="Normal 2 2 15" xfId="79" xr:uid="{00000000-0005-0000-0000-000050000000}"/>
    <cellStyle name="Normal 2 2 2" xfId="80" xr:uid="{00000000-0005-0000-0000-000051000000}"/>
    <cellStyle name="Normal 2 2 2 10" xfId="81" xr:uid="{00000000-0005-0000-0000-000052000000}"/>
    <cellStyle name="Normal 2 2 2 11" xfId="82" xr:uid="{00000000-0005-0000-0000-000053000000}"/>
    <cellStyle name="Normal 2 2 2 12" xfId="83" xr:uid="{00000000-0005-0000-0000-000054000000}"/>
    <cellStyle name="Normal 2 2 2 13" xfId="84" xr:uid="{00000000-0005-0000-0000-000055000000}"/>
    <cellStyle name="Normal 2 2 2 2" xfId="85" xr:uid="{00000000-0005-0000-0000-000056000000}"/>
    <cellStyle name="Normal 2 2 2 2 2" xfId="86" xr:uid="{00000000-0005-0000-0000-000057000000}"/>
    <cellStyle name="Normal 2 2 2 2 2 2" xfId="87" xr:uid="{00000000-0005-0000-0000-000058000000}"/>
    <cellStyle name="Normal 2 2 2 2 2 2 2" xfId="88" xr:uid="{00000000-0005-0000-0000-000059000000}"/>
    <cellStyle name="Normal 2 2 2 2 2 2 2 2" xfId="89" xr:uid="{00000000-0005-0000-0000-00005A000000}"/>
    <cellStyle name="Normal 2 2 2 2 2 2 2 3" xfId="90" xr:uid="{00000000-0005-0000-0000-00005B000000}"/>
    <cellStyle name="Normal 2 2 2 2 2 2 3" xfId="91" xr:uid="{00000000-0005-0000-0000-00005C000000}"/>
    <cellStyle name="Normal 2 2 2 2 2 2 4" xfId="92" xr:uid="{00000000-0005-0000-0000-00005D000000}"/>
    <cellStyle name="Normal 2 2 2 2 2 3" xfId="93" xr:uid="{00000000-0005-0000-0000-00005E000000}"/>
    <cellStyle name="Normal 2 2 2 2 2 3 2" xfId="94" xr:uid="{00000000-0005-0000-0000-00005F000000}"/>
    <cellStyle name="Normal 2 2 2 2 2 3 3" xfId="95" xr:uid="{00000000-0005-0000-0000-000060000000}"/>
    <cellStyle name="Normal 2 2 2 2 2 4" xfId="96" xr:uid="{00000000-0005-0000-0000-000061000000}"/>
    <cellStyle name="Normal 2 2 2 2 2 5" xfId="97" xr:uid="{00000000-0005-0000-0000-000062000000}"/>
    <cellStyle name="Normal 2 2 2 2 3" xfId="98" xr:uid="{00000000-0005-0000-0000-000063000000}"/>
    <cellStyle name="Normal 2 2 2 2 3 2" xfId="99" xr:uid="{00000000-0005-0000-0000-000064000000}"/>
    <cellStyle name="Normal 2 2 2 2 3 2 2" xfId="100" xr:uid="{00000000-0005-0000-0000-000065000000}"/>
    <cellStyle name="Normal 2 2 2 2 3 2 3" xfId="101" xr:uid="{00000000-0005-0000-0000-000066000000}"/>
    <cellStyle name="Normal 2 2 2 2 3 3" xfId="102" xr:uid="{00000000-0005-0000-0000-000067000000}"/>
    <cellStyle name="Normal 2 2 2 2 3 4" xfId="103" xr:uid="{00000000-0005-0000-0000-000068000000}"/>
    <cellStyle name="Normal 2 2 2 2 4" xfId="104" xr:uid="{00000000-0005-0000-0000-000069000000}"/>
    <cellStyle name="Normal 2 2 2 2 4 2" xfId="105" xr:uid="{00000000-0005-0000-0000-00006A000000}"/>
    <cellStyle name="Normal 2 2 2 2 4 2 2" xfId="106" xr:uid="{00000000-0005-0000-0000-00006B000000}"/>
    <cellStyle name="Normal 2 2 2 2 4 2 3" xfId="107" xr:uid="{00000000-0005-0000-0000-00006C000000}"/>
    <cellStyle name="Normal 2 2 2 2 4 3" xfId="108" xr:uid="{00000000-0005-0000-0000-00006D000000}"/>
    <cellStyle name="Normal 2 2 2 2 4 4" xfId="109" xr:uid="{00000000-0005-0000-0000-00006E000000}"/>
    <cellStyle name="Normal 2 2 2 2 5" xfId="110" xr:uid="{00000000-0005-0000-0000-00006F000000}"/>
    <cellStyle name="Normal 2 2 2 2 5 2" xfId="111" xr:uid="{00000000-0005-0000-0000-000070000000}"/>
    <cellStyle name="Normal 2 2 2 2 5 3" xfId="112" xr:uid="{00000000-0005-0000-0000-000071000000}"/>
    <cellStyle name="Normal 2 2 2 2 6" xfId="113" xr:uid="{00000000-0005-0000-0000-000072000000}"/>
    <cellStyle name="Normal 2 2 2 2 7" xfId="114" xr:uid="{00000000-0005-0000-0000-000073000000}"/>
    <cellStyle name="Normal 2 2 2 3" xfId="115" xr:uid="{00000000-0005-0000-0000-000074000000}"/>
    <cellStyle name="Normal 2 2 2 3 10" xfId="116" xr:uid="{00000000-0005-0000-0000-000075000000}"/>
    <cellStyle name="Normal 2 2 2 3 11" xfId="117" xr:uid="{00000000-0005-0000-0000-000076000000}"/>
    <cellStyle name="Normal 2 2 2 3 11 2" xfId="118" xr:uid="{00000000-0005-0000-0000-000077000000}"/>
    <cellStyle name="Normal 2 2 2 3 11 2 2" xfId="119" xr:uid="{00000000-0005-0000-0000-000078000000}"/>
    <cellStyle name="Normal 2 2 2 3 11 2 2 2" xfId="120" xr:uid="{00000000-0005-0000-0000-000079000000}"/>
    <cellStyle name="Normal 2 2 2 3 11 2 3" xfId="121" xr:uid="{00000000-0005-0000-0000-00007A000000}"/>
    <cellStyle name="Normal 2 2 2 3 2" xfId="122" xr:uid="{00000000-0005-0000-0000-00007B000000}"/>
    <cellStyle name="Normal 2 2 2 3 2 2" xfId="123" xr:uid="{00000000-0005-0000-0000-00007C000000}"/>
    <cellStyle name="Normal 2 2 2 3 2 2 2" xfId="124" xr:uid="{00000000-0005-0000-0000-00007D000000}"/>
    <cellStyle name="Normal 2 2 2 3 2 2 2 2" xfId="125" xr:uid="{00000000-0005-0000-0000-00007E000000}"/>
    <cellStyle name="Normal 2 2 2 3 2 2 2 3" xfId="126" xr:uid="{00000000-0005-0000-0000-00007F000000}"/>
    <cellStyle name="Normal 2 2 2 3 2 2 3" xfId="127" xr:uid="{00000000-0005-0000-0000-000080000000}"/>
    <cellStyle name="Normal 2 2 2 3 2 2 4" xfId="128" xr:uid="{00000000-0005-0000-0000-000081000000}"/>
    <cellStyle name="Normal 2 2 2 3 2 3" xfId="129" xr:uid="{00000000-0005-0000-0000-000082000000}"/>
    <cellStyle name="Normal 2 2 2 3 2 3 2" xfId="130" xr:uid="{00000000-0005-0000-0000-000083000000}"/>
    <cellStyle name="Normal 2 2 2 3 2 3 3" xfId="131" xr:uid="{00000000-0005-0000-0000-000084000000}"/>
    <cellStyle name="Normal 2 2 2 3 2 4" xfId="132" xr:uid="{00000000-0005-0000-0000-000085000000}"/>
    <cellStyle name="Normal 2 2 2 3 2 5" xfId="133" xr:uid="{00000000-0005-0000-0000-000086000000}"/>
    <cellStyle name="Normal 2 2 2 3 3" xfId="134" xr:uid="{00000000-0005-0000-0000-000087000000}"/>
    <cellStyle name="Normal 2 2 2 3 3 2" xfId="135" xr:uid="{00000000-0005-0000-0000-000088000000}"/>
    <cellStyle name="Normal 2 2 2 3 3 2 2" xfId="136" xr:uid="{00000000-0005-0000-0000-000089000000}"/>
    <cellStyle name="Normal 2 2 2 3 3 2 3" xfId="137" xr:uid="{00000000-0005-0000-0000-00008A000000}"/>
    <cellStyle name="Normal 2 2 2 3 3 3" xfId="138" xr:uid="{00000000-0005-0000-0000-00008B000000}"/>
    <cellStyle name="Normal 2 2 2 3 3 4" xfId="139" xr:uid="{00000000-0005-0000-0000-00008C000000}"/>
    <cellStyle name="Normal 2 2 2 3 4" xfId="140" xr:uid="{00000000-0005-0000-0000-00008D000000}"/>
    <cellStyle name="Normal 2 2 2 3 4 2" xfId="141" xr:uid="{00000000-0005-0000-0000-00008E000000}"/>
    <cellStyle name="Normal 2 2 2 3 4 2 2" xfId="142" xr:uid="{00000000-0005-0000-0000-00008F000000}"/>
    <cellStyle name="Normal 2 2 2 3 4 2 3" xfId="143" xr:uid="{00000000-0005-0000-0000-000090000000}"/>
    <cellStyle name="Normal 2 2 2 3 4 3" xfId="144" xr:uid="{00000000-0005-0000-0000-000091000000}"/>
    <cellStyle name="Normal 2 2 2 3 4 4" xfId="145" xr:uid="{00000000-0005-0000-0000-000092000000}"/>
    <cellStyle name="Normal 2 2 2 3 5" xfId="146" xr:uid="{00000000-0005-0000-0000-000093000000}"/>
    <cellStyle name="Normal 2 2 2 3 5 2" xfId="147" xr:uid="{00000000-0005-0000-0000-000094000000}"/>
    <cellStyle name="Normal 2 2 2 3 5 2 2" xfId="148" xr:uid="{00000000-0005-0000-0000-000095000000}"/>
    <cellStyle name="Normal 2 2 2 3 5 2 3" xfId="149" xr:uid="{00000000-0005-0000-0000-000096000000}"/>
    <cellStyle name="Normal 2 2 2 3 5 3" xfId="150" xr:uid="{00000000-0005-0000-0000-000097000000}"/>
    <cellStyle name="Normal 2 2 2 3 5 3 2" xfId="151" xr:uid="{00000000-0005-0000-0000-000098000000}"/>
    <cellStyle name="Normal 2 2 2 3 5 3 2 2" xfId="152" xr:uid="{00000000-0005-0000-0000-000099000000}"/>
    <cellStyle name="Normal 2 2 2 3 5 3 2 3" xfId="153" xr:uid="{00000000-0005-0000-0000-00009A000000}"/>
    <cellStyle name="Normal 2 2 2 3 5 3 3" xfId="154" xr:uid="{00000000-0005-0000-0000-00009B000000}"/>
    <cellStyle name="Normal 2 2 2 3 5 3 4" xfId="155" xr:uid="{00000000-0005-0000-0000-00009C000000}"/>
    <cellStyle name="Normal 2 2 2 3 5 4" xfId="156" xr:uid="{00000000-0005-0000-0000-00009D000000}"/>
    <cellStyle name="Normal 2 2 2 3 5 5" xfId="157" xr:uid="{00000000-0005-0000-0000-00009E000000}"/>
    <cellStyle name="Normal 2 2 2 3 6" xfId="158" xr:uid="{00000000-0005-0000-0000-00009F000000}"/>
    <cellStyle name="Normal 2 2 2 3 6 2" xfId="159" xr:uid="{00000000-0005-0000-0000-0000A0000000}"/>
    <cellStyle name="Normal 2 2 2 3 6 3" xfId="160" xr:uid="{00000000-0005-0000-0000-0000A1000000}"/>
    <cellStyle name="Normal 2 2 2 3 7" xfId="161" xr:uid="{00000000-0005-0000-0000-0000A2000000}"/>
    <cellStyle name="Normal 2 2 2 3 8" xfId="162" xr:uid="{00000000-0005-0000-0000-0000A3000000}"/>
    <cellStyle name="Normal 2 2 2 3 8 2" xfId="163" xr:uid="{00000000-0005-0000-0000-0000A4000000}"/>
    <cellStyle name="Normal 2 2 2 3 8 2 2" xfId="164" xr:uid="{00000000-0005-0000-0000-0000A5000000}"/>
    <cellStyle name="Normal 2 2 2 3 8 2 2 2" xfId="165" xr:uid="{00000000-0005-0000-0000-0000A6000000}"/>
    <cellStyle name="Normal 2 2 2 3 8 2 2 2 2" xfId="166" xr:uid="{00000000-0005-0000-0000-0000A7000000}"/>
    <cellStyle name="Normal 2 2 2 3 8 2 2 2 2 2" xfId="167" xr:uid="{00000000-0005-0000-0000-0000A8000000}"/>
    <cellStyle name="Normal 2 2 2 3 8 2 2 2 3" xfId="168" xr:uid="{00000000-0005-0000-0000-0000A9000000}"/>
    <cellStyle name="Normal 2 2 2 3 8 2 2 3" xfId="169" xr:uid="{00000000-0005-0000-0000-0000AA000000}"/>
    <cellStyle name="Normal 2 2 2 3 8 2 2 4" xfId="170" xr:uid="{00000000-0005-0000-0000-0000AB000000}"/>
    <cellStyle name="Normal 2 2 2 3 8 2 3" xfId="171" xr:uid="{00000000-0005-0000-0000-0000AC000000}"/>
    <cellStyle name="Normal 2 2 2 3 8 2 3 2" xfId="172" xr:uid="{00000000-0005-0000-0000-0000AD000000}"/>
    <cellStyle name="Normal 2 2 2 3 8 2 3 3" xfId="173" xr:uid="{00000000-0005-0000-0000-0000AE000000}"/>
    <cellStyle name="Normal 2 2 2 3 8 2 3 4" xfId="174" xr:uid="{00000000-0005-0000-0000-0000AF000000}"/>
    <cellStyle name="Normal 2 2 2 3 8 3" xfId="175" xr:uid="{00000000-0005-0000-0000-0000B0000000}"/>
    <cellStyle name="Normal 2 2 2 3 8 3 2" xfId="176" xr:uid="{00000000-0005-0000-0000-0000B1000000}"/>
    <cellStyle name="Normal 2 2 2 3 8 3 3" xfId="177" xr:uid="{00000000-0005-0000-0000-0000B2000000}"/>
    <cellStyle name="Normal 2 2 2 3 8 4" xfId="178" xr:uid="{00000000-0005-0000-0000-0000B3000000}"/>
    <cellStyle name="Normal 2 2 2 3 8 4 2" xfId="179" xr:uid="{00000000-0005-0000-0000-0000B4000000}"/>
    <cellStyle name="Normal 2 2 2 3 8 4 3" xfId="180" xr:uid="{00000000-0005-0000-0000-0000B5000000}"/>
    <cellStyle name="Normal 2 2 2 3 8 4 4" xfId="181" xr:uid="{00000000-0005-0000-0000-0000B6000000}"/>
    <cellStyle name="Normal 2 2 2 3 9" xfId="182" xr:uid="{00000000-0005-0000-0000-0000B7000000}"/>
    <cellStyle name="Normal 2 2 2 3 9 2" xfId="183" xr:uid="{00000000-0005-0000-0000-0000B8000000}"/>
    <cellStyle name="Normal 2 2 2 3 9 3" xfId="184" xr:uid="{00000000-0005-0000-0000-0000B9000000}"/>
    <cellStyle name="Normal 2 2 2 3 9 4" xfId="185" xr:uid="{00000000-0005-0000-0000-0000BA000000}"/>
    <cellStyle name="Normal 2 2 2 3 9 4 2" xfId="186" xr:uid="{00000000-0005-0000-0000-0000BB000000}"/>
    <cellStyle name="Normal 2 2 2 4" xfId="187" xr:uid="{00000000-0005-0000-0000-0000BC000000}"/>
    <cellStyle name="Normal 2 2 2 4 10" xfId="188" xr:uid="{00000000-0005-0000-0000-0000BD000000}"/>
    <cellStyle name="Normal 2 2 2 4 10 2" xfId="189" xr:uid="{00000000-0005-0000-0000-0000BE000000}"/>
    <cellStyle name="Normal 2 2 2 4 10 2 2" xfId="190" xr:uid="{00000000-0005-0000-0000-0000BF000000}"/>
    <cellStyle name="Normal 2 2 2 4 10 2 2 2" xfId="191" xr:uid="{00000000-0005-0000-0000-0000C0000000}"/>
    <cellStyle name="Normal 2 2 2 4 10 2 2 3" xfId="192" xr:uid="{00000000-0005-0000-0000-0000C1000000}"/>
    <cellStyle name="Normal 2 2 2 4 11" xfId="193" xr:uid="{00000000-0005-0000-0000-0000C2000000}"/>
    <cellStyle name="Normal 2 2 2 4 11 2" xfId="194" xr:uid="{00000000-0005-0000-0000-0000C3000000}"/>
    <cellStyle name="Normal 2 2 2 4 11 3" xfId="195" xr:uid="{00000000-0005-0000-0000-0000C4000000}"/>
    <cellStyle name="Normal 2 2 2 4 12" xfId="196" xr:uid="{00000000-0005-0000-0000-0000C5000000}"/>
    <cellStyle name="Normal 2 2 2 4 12 2" xfId="197" xr:uid="{00000000-0005-0000-0000-0000C6000000}"/>
    <cellStyle name="Normal 2 2 2 4 12 3" xfId="198" xr:uid="{00000000-0005-0000-0000-0000C7000000}"/>
    <cellStyle name="Normal 2 2 2 4 13" xfId="199" xr:uid="{00000000-0005-0000-0000-0000C8000000}"/>
    <cellStyle name="Normal 2 2 2 4 13 2" xfId="200" xr:uid="{00000000-0005-0000-0000-0000C9000000}"/>
    <cellStyle name="Normal 2 2 2 4 13 2 2 2" xfId="201" xr:uid="{00000000-0005-0000-0000-0000CA000000}"/>
    <cellStyle name="Normal 2 2 2 4 13 2 2 2 2" xfId="202" xr:uid="{00000000-0005-0000-0000-0000CB000000}"/>
    <cellStyle name="Normal 2 2 2 4 13 2 2 2 3" xfId="203" xr:uid="{00000000-0005-0000-0000-0000CC000000}"/>
    <cellStyle name="Normal 2 2 2 4 2" xfId="204" xr:uid="{00000000-0005-0000-0000-0000CD000000}"/>
    <cellStyle name="Normal 2 2 2 4 2 2" xfId="205" xr:uid="{00000000-0005-0000-0000-0000CE000000}"/>
    <cellStyle name="Normal 2 2 2 4 2 2 2" xfId="206" xr:uid="{00000000-0005-0000-0000-0000CF000000}"/>
    <cellStyle name="Normal 2 2 2 4 2 2 2 2" xfId="207" xr:uid="{00000000-0005-0000-0000-0000D0000000}"/>
    <cellStyle name="Normal 2 2 2 4 2 2 2 3" xfId="208" xr:uid="{00000000-0005-0000-0000-0000D1000000}"/>
    <cellStyle name="Normal 2 2 2 4 2 2 3" xfId="209" xr:uid="{00000000-0005-0000-0000-0000D2000000}"/>
    <cellStyle name="Normal 2 2 2 4 2 2 4" xfId="210" xr:uid="{00000000-0005-0000-0000-0000D3000000}"/>
    <cellStyle name="Normal 2 2 2 4 2 3" xfId="211" xr:uid="{00000000-0005-0000-0000-0000D4000000}"/>
    <cellStyle name="Normal 2 2 2 4 2 3 2" xfId="212" xr:uid="{00000000-0005-0000-0000-0000D5000000}"/>
    <cellStyle name="Normal 2 2 2 4 2 3 3" xfId="213" xr:uid="{00000000-0005-0000-0000-0000D6000000}"/>
    <cellStyle name="Normal 2 2 2 4 2 4" xfId="214" xr:uid="{00000000-0005-0000-0000-0000D7000000}"/>
    <cellStyle name="Normal 2 2 2 4 2 5" xfId="215" xr:uid="{00000000-0005-0000-0000-0000D8000000}"/>
    <cellStyle name="Normal 2 2 2 4 3" xfId="216" xr:uid="{00000000-0005-0000-0000-0000D9000000}"/>
    <cellStyle name="Normal 2 2 2 4 3 2" xfId="217" xr:uid="{00000000-0005-0000-0000-0000DA000000}"/>
    <cellStyle name="Normal 2 2 2 4 3 2 2" xfId="218" xr:uid="{00000000-0005-0000-0000-0000DB000000}"/>
    <cellStyle name="Normal 2 2 2 4 3 2 3" xfId="219" xr:uid="{00000000-0005-0000-0000-0000DC000000}"/>
    <cellStyle name="Normal 2 2 2 4 3 3" xfId="220" xr:uid="{00000000-0005-0000-0000-0000DD000000}"/>
    <cellStyle name="Normal 2 2 2 4 3 4" xfId="221" xr:uid="{00000000-0005-0000-0000-0000DE000000}"/>
    <cellStyle name="Normal 2 2 2 4 4" xfId="222" xr:uid="{00000000-0005-0000-0000-0000DF000000}"/>
    <cellStyle name="Normal 2 2 2 4 4 2" xfId="223" xr:uid="{00000000-0005-0000-0000-0000E0000000}"/>
    <cellStyle name="Normal 2 2 2 4 4 2 2" xfId="224" xr:uid="{00000000-0005-0000-0000-0000E1000000}"/>
    <cellStyle name="Normal 2 2 2 4 4 2 3" xfId="225" xr:uid="{00000000-0005-0000-0000-0000E2000000}"/>
    <cellStyle name="Normal 2 2 2 4 4 3" xfId="226" xr:uid="{00000000-0005-0000-0000-0000E3000000}"/>
    <cellStyle name="Normal 2 2 2 4 4 4" xfId="227" xr:uid="{00000000-0005-0000-0000-0000E4000000}"/>
    <cellStyle name="Normal 2 2 2 4 5" xfId="228" xr:uid="{00000000-0005-0000-0000-0000E5000000}"/>
    <cellStyle name="Normal 2 2 2 4 5 2" xfId="229" xr:uid="{00000000-0005-0000-0000-0000E6000000}"/>
    <cellStyle name="Normal 2 2 2 4 5 2 2" xfId="230" xr:uid="{00000000-0005-0000-0000-0000E7000000}"/>
    <cellStyle name="Normal 2 2 2 4 5 2 3" xfId="231" xr:uid="{00000000-0005-0000-0000-0000E8000000}"/>
    <cellStyle name="Normal 2 2 2 4 5 3" xfId="232" xr:uid="{00000000-0005-0000-0000-0000E9000000}"/>
    <cellStyle name="Normal 2 2 2 4 5 4" xfId="233" xr:uid="{00000000-0005-0000-0000-0000EA000000}"/>
    <cellStyle name="Normal 2 2 2 4 6" xfId="234" xr:uid="{00000000-0005-0000-0000-0000EB000000}"/>
    <cellStyle name="Normal 2 2 2 4 6 2" xfId="235" xr:uid="{00000000-0005-0000-0000-0000EC000000}"/>
    <cellStyle name="Normal 2 2 2 4 6 2 2" xfId="236" xr:uid="{00000000-0005-0000-0000-0000ED000000}"/>
    <cellStyle name="Normal 2 2 2 4 6 2 3" xfId="237" xr:uid="{00000000-0005-0000-0000-0000EE000000}"/>
    <cellStyle name="Normal 2 2 2 4 6 3" xfId="238" xr:uid="{00000000-0005-0000-0000-0000EF000000}"/>
    <cellStyle name="Normal 2 2 2 4 6 4" xfId="239" xr:uid="{00000000-0005-0000-0000-0000F0000000}"/>
    <cellStyle name="Normal 2 2 2 4 6 5" xfId="240" xr:uid="{00000000-0005-0000-0000-0000F1000000}"/>
    <cellStyle name="Normal 2 2 2 4 6 5 2" xfId="241" xr:uid="{00000000-0005-0000-0000-0000F2000000}"/>
    <cellStyle name="Normal 2 2 2 4 6 5 2 2" xfId="242" xr:uid="{00000000-0005-0000-0000-0000F3000000}"/>
    <cellStyle name="Normal 2 2 2 4 6 5 2 2 2 2" xfId="243" xr:uid="{00000000-0005-0000-0000-0000F4000000}"/>
    <cellStyle name="Normal 2 2 2 4 6 5 2 2 2 2 2" xfId="244" xr:uid="{00000000-0005-0000-0000-0000F5000000}"/>
    <cellStyle name="Normal 2 2 2 4 6 5 2 2 2 2 3" xfId="245" xr:uid="{00000000-0005-0000-0000-0000F6000000}"/>
    <cellStyle name="Normal 2 2 2 4 6 5 2 2 2 2 4" xfId="246" xr:uid="{00000000-0005-0000-0000-0000F7000000}"/>
    <cellStyle name="Normal 2 2 2 4 6 5 2 3" xfId="247" xr:uid="{00000000-0005-0000-0000-0000F8000000}"/>
    <cellStyle name="Normal 2 2 2 4 6 5 2 3 2" xfId="248" xr:uid="{00000000-0005-0000-0000-0000F9000000}"/>
    <cellStyle name="Normal 2 2 2 4 6 5 3" xfId="249" xr:uid="{00000000-0005-0000-0000-0000FA000000}"/>
    <cellStyle name="Normal 2 2 2 4 6 5 4" xfId="250" xr:uid="{00000000-0005-0000-0000-0000FB000000}"/>
    <cellStyle name="Normal 2 2 2 4 6 5 4 2" xfId="251" xr:uid="{00000000-0005-0000-0000-0000FC000000}"/>
    <cellStyle name="Normal 2 2 2 4 6 6" xfId="252" xr:uid="{00000000-0005-0000-0000-0000FD000000}"/>
    <cellStyle name="Normal 2 2 2 4 7" xfId="253" xr:uid="{00000000-0005-0000-0000-0000FE000000}"/>
    <cellStyle name="Normal 2 2 2 4 7 2" xfId="254" xr:uid="{00000000-0005-0000-0000-0000FF000000}"/>
    <cellStyle name="Normal 2 2 2 4 7 3" xfId="255" xr:uid="{00000000-0005-0000-0000-000000010000}"/>
    <cellStyle name="Normal 2 2 2 4 8" xfId="256" xr:uid="{00000000-0005-0000-0000-000001010000}"/>
    <cellStyle name="Normal 2 2 2 4 9" xfId="257" xr:uid="{00000000-0005-0000-0000-000002010000}"/>
    <cellStyle name="Normal 2 2 2 5" xfId="258" xr:uid="{00000000-0005-0000-0000-000003010000}"/>
    <cellStyle name="Normal 2 2 2 5 2" xfId="259" xr:uid="{00000000-0005-0000-0000-000004010000}"/>
    <cellStyle name="Normal 2 2 2 5 2 2" xfId="260" xr:uid="{00000000-0005-0000-0000-000005010000}"/>
    <cellStyle name="Normal 2 2 2 5 2 2 2" xfId="261" xr:uid="{00000000-0005-0000-0000-000006010000}"/>
    <cellStyle name="Normal 2 2 2 5 2 2 3" xfId="262" xr:uid="{00000000-0005-0000-0000-000007010000}"/>
    <cellStyle name="Normal 2 2 2 5 2 3" xfId="263" xr:uid="{00000000-0005-0000-0000-000008010000}"/>
    <cellStyle name="Normal 2 2 2 5 2 4" xfId="264" xr:uid="{00000000-0005-0000-0000-000009010000}"/>
    <cellStyle name="Normal 2 2 2 5 3" xfId="265" xr:uid="{00000000-0005-0000-0000-00000A010000}"/>
    <cellStyle name="Normal 2 2 2 5 3 2" xfId="266" xr:uid="{00000000-0005-0000-0000-00000B010000}"/>
    <cellStyle name="Normal 2 2 2 5 3 3" xfId="267" xr:uid="{00000000-0005-0000-0000-00000C010000}"/>
    <cellStyle name="Normal 2 2 2 5 4" xfId="268" xr:uid="{00000000-0005-0000-0000-00000D010000}"/>
    <cellStyle name="Normal 2 2 2 5 5" xfId="269" xr:uid="{00000000-0005-0000-0000-00000E010000}"/>
    <cellStyle name="Normal 2 2 2 6" xfId="270" xr:uid="{00000000-0005-0000-0000-00000F010000}"/>
    <cellStyle name="Normal 2 2 2 6 2" xfId="271" xr:uid="{00000000-0005-0000-0000-000010010000}"/>
    <cellStyle name="Normal 2 2 2 6 2 2" xfId="272" xr:uid="{00000000-0005-0000-0000-000011010000}"/>
    <cellStyle name="Normal 2 2 2 6 2 3" xfId="273" xr:uid="{00000000-0005-0000-0000-000012010000}"/>
    <cellStyle name="Normal 2 2 2 6 3" xfId="274" xr:uid="{00000000-0005-0000-0000-000013010000}"/>
    <cellStyle name="Normal 2 2 2 6 4" xfId="275" xr:uid="{00000000-0005-0000-0000-000014010000}"/>
    <cellStyle name="Normal 2 2 2 7" xfId="276" xr:uid="{00000000-0005-0000-0000-000015010000}"/>
    <cellStyle name="Normal 2 2 2 7 2" xfId="277" xr:uid="{00000000-0005-0000-0000-000016010000}"/>
    <cellStyle name="Normal 2 2 2 7 2 2" xfId="278" xr:uid="{00000000-0005-0000-0000-000017010000}"/>
    <cellStyle name="Normal 2 2 2 7 2 3" xfId="279" xr:uid="{00000000-0005-0000-0000-000018010000}"/>
    <cellStyle name="Normal 2 2 2 7 3" xfId="280" xr:uid="{00000000-0005-0000-0000-000019010000}"/>
    <cellStyle name="Normal 2 2 2 7 4" xfId="281" xr:uid="{00000000-0005-0000-0000-00001A010000}"/>
    <cellStyle name="Normal 2 2 2 8" xfId="282" xr:uid="{00000000-0005-0000-0000-00001B010000}"/>
    <cellStyle name="Normal 2 2 2 8 2" xfId="283" xr:uid="{00000000-0005-0000-0000-00001C010000}"/>
    <cellStyle name="Normal 2 2 2 8 3" xfId="284" xr:uid="{00000000-0005-0000-0000-00001D010000}"/>
    <cellStyle name="Normal 2 2 2 9" xfId="285" xr:uid="{00000000-0005-0000-0000-00001E010000}"/>
    <cellStyle name="Normal 2 2 3" xfId="286" xr:uid="{00000000-0005-0000-0000-00001F010000}"/>
    <cellStyle name="Normal 2 2 3 10" xfId="287" xr:uid="{00000000-0005-0000-0000-000020010000}"/>
    <cellStyle name="Normal 2 2 3 11" xfId="288" xr:uid="{00000000-0005-0000-0000-000021010000}"/>
    <cellStyle name="Normal 2 2 3 12" xfId="289" xr:uid="{00000000-0005-0000-0000-000022010000}"/>
    <cellStyle name="Normal 2 2 3 2" xfId="290" xr:uid="{00000000-0005-0000-0000-000023010000}"/>
    <cellStyle name="Normal 2 2 3 2 10" xfId="291" xr:uid="{00000000-0005-0000-0000-000024010000}"/>
    <cellStyle name="Normal 2 2 3 2 10 2" xfId="292" xr:uid="{00000000-0005-0000-0000-000025010000}"/>
    <cellStyle name="Normal 2 2 3 2 10 2 2" xfId="293" xr:uid="{00000000-0005-0000-0000-000026010000}"/>
    <cellStyle name="Normal 2 2 3 2 10 2 2 2" xfId="294" xr:uid="{00000000-0005-0000-0000-000027010000}"/>
    <cellStyle name="Normal 2 2 3 2 10 2 2 2 2" xfId="295" xr:uid="{00000000-0005-0000-0000-000028010000}"/>
    <cellStyle name="Normal 2 2 3 2 10 2 2 2 2 2" xfId="296" xr:uid="{00000000-0005-0000-0000-000029010000}"/>
    <cellStyle name="Normal 2 2 3 2 10 2 2 2 3" xfId="297" xr:uid="{00000000-0005-0000-0000-00002A010000}"/>
    <cellStyle name="Normal 2 2 3 2 10 2 3" xfId="298" xr:uid="{00000000-0005-0000-0000-00002B010000}"/>
    <cellStyle name="Normal 2 2 3 2 10 2 3 2" xfId="299" xr:uid="{00000000-0005-0000-0000-00002C010000}"/>
    <cellStyle name="Normal 2 2 3 2 10 2 3 3" xfId="300" xr:uid="{00000000-0005-0000-0000-00002D010000}"/>
    <cellStyle name="Normal 2 2 3 2 10 2 4" xfId="301" xr:uid="{00000000-0005-0000-0000-00002E010000}"/>
    <cellStyle name="Normal 2 2 3 2 10 2 4 2" xfId="302" xr:uid="{00000000-0005-0000-0000-00002F010000}"/>
    <cellStyle name="Normal 2 2 3 2 10 2 4 3" xfId="303" xr:uid="{00000000-0005-0000-0000-000030010000}"/>
    <cellStyle name="Normal 2 2 3 2 10 2 5" xfId="304" xr:uid="{00000000-0005-0000-0000-000031010000}"/>
    <cellStyle name="Normal 2 2 3 2 10 2 5 2" xfId="305" xr:uid="{00000000-0005-0000-0000-000032010000}"/>
    <cellStyle name="Normal 2 2 3 2 10 2 5 3" xfId="306" xr:uid="{00000000-0005-0000-0000-000033010000}"/>
    <cellStyle name="Normal 2 2 3 2 10 3" xfId="307" xr:uid="{00000000-0005-0000-0000-000034010000}"/>
    <cellStyle name="Normal 2 2 3 2 10 3 2" xfId="308" xr:uid="{00000000-0005-0000-0000-000035010000}"/>
    <cellStyle name="Normal 2 2 3 2 10 3 3" xfId="309" xr:uid="{00000000-0005-0000-0000-000036010000}"/>
    <cellStyle name="Normal 2 2 3 2 10 4" xfId="310" xr:uid="{00000000-0005-0000-0000-000037010000}"/>
    <cellStyle name="Normal 2 2 3 2 10 4 2" xfId="311" xr:uid="{00000000-0005-0000-0000-000038010000}"/>
    <cellStyle name="Normal 2 2 3 2 10 4 3" xfId="312" xr:uid="{00000000-0005-0000-0000-000039010000}"/>
    <cellStyle name="Normal 2 2 3 2 10 4 4" xfId="313" xr:uid="{00000000-0005-0000-0000-00003A010000}"/>
    <cellStyle name="Normal 2 2 3 2 11" xfId="314" xr:uid="{00000000-0005-0000-0000-00003B010000}"/>
    <cellStyle name="Normal 2 2 3 2 11 2" xfId="315" xr:uid="{00000000-0005-0000-0000-00003C010000}"/>
    <cellStyle name="Normal 2 2 3 2 11 2 2" xfId="316" xr:uid="{00000000-0005-0000-0000-00003D010000}"/>
    <cellStyle name="Normal 2 2 3 2 11 2 3" xfId="317" xr:uid="{00000000-0005-0000-0000-00003E010000}"/>
    <cellStyle name="Normal 2 2 3 2 11 2 3 2" xfId="318" xr:uid="{00000000-0005-0000-0000-00003F010000}"/>
    <cellStyle name="Normal 2 2 3 2 11 3" xfId="319" xr:uid="{00000000-0005-0000-0000-000040010000}"/>
    <cellStyle name="Normal 2 2 3 2 11 4" xfId="320" xr:uid="{00000000-0005-0000-0000-000041010000}"/>
    <cellStyle name="Normal 2 2 3 2 11 4 2" xfId="321" xr:uid="{00000000-0005-0000-0000-000042010000}"/>
    <cellStyle name="Normal 2 2 3 2 12" xfId="322" xr:uid="{00000000-0005-0000-0000-000043010000}"/>
    <cellStyle name="Normal 2 2 3 2 13" xfId="323" xr:uid="{00000000-0005-0000-0000-000044010000}"/>
    <cellStyle name="Normal 2 2 3 2 13 2" xfId="324" xr:uid="{00000000-0005-0000-0000-000045010000}"/>
    <cellStyle name="Normal 2 2 3 2 13 3" xfId="325" xr:uid="{00000000-0005-0000-0000-000046010000}"/>
    <cellStyle name="Normal 2 2 3 2 14" xfId="326" xr:uid="{00000000-0005-0000-0000-000047010000}"/>
    <cellStyle name="Normal 2 2 3 2 14 2" xfId="327" xr:uid="{00000000-0005-0000-0000-000048010000}"/>
    <cellStyle name="Normal 2 2 3 2 14 3" xfId="328" xr:uid="{00000000-0005-0000-0000-000049010000}"/>
    <cellStyle name="Normal 2 2 3 2 15" xfId="329" xr:uid="{00000000-0005-0000-0000-00004A010000}"/>
    <cellStyle name="Normal 2 2 3 2 2" xfId="330" xr:uid="{00000000-0005-0000-0000-00004B010000}"/>
    <cellStyle name="Normal 2 2 3 2 2 2" xfId="331" xr:uid="{00000000-0005-0000-0000-00004C010000}"/>
    <cellStyle name="Normal 2 2 3 2 2 2 2" xfId="332" xr:uid="{00000000-0005-0000-0000-00004D010000}"/>
    <cellStyle name="Normal 2 2 3 2 2 2 2 2" xfId="333" xr:uid="{00000000-0005-0000-0000-00004E010000}"/>
    <cellStyle name="Normal 2 2 3 2 2 2 2 2 2" xfId="334" xr:uid="{00000000-0005-0000-0000-00004F010000}"/>
    <cellStyle name="Normal 2 2 3 2 2 2 2 2 3" xfId="335" xr:uid="{00000000-0005-0000-0000-000050010000}"/>
    <cellStyle name="Normal 2 2 3 2 2 2 2 3" xfId="336" xr:uid="{00000000-0005-0000-0000-000051010000}"/>
    <cellStyle name="Normal 2 2 3 2 2 2 2 4" xfId="337" xr:uid="{00000000-0005-0000-0000-000052010000}"/>
    <cellStyle name="Normal 2 2 3 2 2 2 3" xfId="338" xr:uid="{00000000-0005-0000-0000-000053010000}"/>
    <cellStyle name="Normal 2 2 3 2 2 2 3 2" xfId="339" xr:uid="{00000000-0005-0000-0000-000054010000}"/>
    <cellStyle name="Normal 2 2 3 2 2 2 3 3" xfId="340" xr:uid="{00000000-0005-0000-0000-000055010000}"/>
    <cellStyle name="Normal 2 2 3 2 2 2 4" xfId="341" xr:uid="{00000000-0005-0000-0000-000056010000}"/>
    <cellStyle name="Normal 2 2 3 2 2 2 5" xfId="342" xr:uid="{00000000-0005-0000-0000-000057010000}"/>
    <cellStyle name="Normal 2 2 3 2 2 3" xfId="343" xr:uid="{00000000-0005-0000-0000-000058010000}"/>
    <cellStyle name="Normal 2 2 3 2 2 3 2" xfId="344" xr:uid="{00000000-0005-0000-0000-000059010000}"/>
    <cellStyle name="Normal 2 2 3 2 2 3 2 2" xfId="345" xr:uid="{00000000-0005-0000-0000-00005A010000}"/>
    <cellStyle name="Normal 2 2 3 2 2 3 2 3" xfId="346" xr:uid="{00000000-0005-0000-0000-00005B010000}"/>
    <cellStyle name="Normal 2 2 3 2 2 3 3" xfId="347" xr:uid="{00000000-0005-0000-0000-00005C010000}"/>
    <cellStyle name="Normal 2 2 3 2 2 3 4" xfId="348" xr:uid="{00000000-0005-0000-0000-00005D010000}"/>
    <cellStyle name="Normal 2 2 3 2 2 4" xfId="349" xr:uid="{00000000-0005-0000-0000-00005E010000}"/>
    <cellStyle name="Normal 2 2 3 2 2 4 2" xfId="350" xr:uid="{00000000-0005-0000-0000-00005F010000}"/>
    <cellStyle name="Normal 2 2 3 2 2 4 2 2" xfId="351" xr:uid="{00000000-0005-0000-0000-000060010000}"/>
    <cellStyle name="Normal 2 2 3 2 2 4 2 2 2" xfId="352" xr:uid="{00000000-0005-0000-0000-000061010000}"/>
    <cellStyle name="Normal 2 2 3 2 2 4 2 2 2 2" xfId="353" xr:uid="{00000000-0005-0000-0000-000062010000}"/>
    <cellStyle name="Normal 2 2 3 2 2 4 2 2 2 3" xfId="354" xr:uid="{00000000-0005-0000-0000-000063010000}"/>
    <cellStyle name="Normal 2 2 3 2 2 4 2 2 3" xfId="355" xr:uid="{00000000-0005-0000-0000-000064010000}"/>
    <cellStyle name="Normal 2 2 3 2 2 4 2 2 4" xfId="356" xr:uid="{00000000-0005-0000-0000-000065010000}"/>
    <cellStyle name="Normal 2 2 3 2 2 4 2 3" xfId="357" xr:uid="{00000000-0005-0000-0000-000066010000}"/>
    <cellStyle name="Normal 2 2 3 2 2 4 2 3 2" xfId="358" xr:uid="{00000000-0005-0000-0000-000067010000}"/>
    <cellStyle name="Normal 2 2 3 2 2 4 2 3 3" xfId="359" xr:uid="{00000000-0005-0000-0000-000068010000}"/>
    <cellStyle name="Normal 2 2 3 2 2 4 2 4" xfId="360" xr:uid="{00000000-0005-0000-0000-000069010000}"/>
    <cellStyle name="Normal 2 2 3 2 2 4 2 5" xfId="361" xr:uid="{00000000-0005-0000-0000-00006A010000}"/>
    <cellStyle name="Normal 2 2 3 2 2 4 3" xfId="362" xr:uid="{00000000-0005-0000-0000-00006B010000}"/>
    <cellStyle name="Normal 2 2 3 2 2 4 3 2" xfId="363" xr:uid="{00000000-0005-0000-0000-00006C010000}"/>
    <cellStyle name="Normal 2 2 3 2 2 4 3 2 2" xfId="364" xr:uid="{00000000-0005-0000-0000-00006D010000}"/>
    <cellStyle name="Normal 2 2 3 2 2 4 3 2 2 2" xfId="365" xr:uid="{00000000-0005-0000-0000-00006E010000}"/>
    <cellStyle name="Normal 2 2 3 2 2 4 3 2 2 3" xfId="366" xr:uid="{00000000-0005-0000-0000-00006F010000}"/>
    <cellStyle name="Normal 2 2 3 2 2 4 3 2 3" xfId="367" xr:uid="{00000000-0005-0000-0000-000070010000}"/>
    <cellStyle name="Normal 2 2 3 2 2 4 3 2 4" xfId="368" xr:uid="{00000000-0005-0000-0000-000071010000}"/>
    <cellStyle name="Normal 2 2 3 2 2 4 3 3" xfId="369" xr:uid="{00000000-0005-0000-0000-000072010000}"/>
    <cellStyle name="Normal 2 2 3 2 2 4 3 3 2" xfId="370" xr:uid="{00000000-0005-0000-0000-000073010000}"/>
    <cellStyle name="Normal 2 2 3 2 2 4 3 3 3" xfId="371" xr:uid="{00000000-0005-0000-0000-000074010000}"/>
    <cellStyle name="Normal 2 2 3 2 2 4 3 4" xfId="372" xr:uid="{00000000-0005-0000-0000-000075010000}"/>
    <cellStyle name="Normal 2 2 3 2 2 4 3 5" xfId="373" xr:uid="{00000000-0005-0000-0000-000076010000}"/>
    <cellStyle name="Normal 2 2 3 2 2 4 4" xfId="374" xr:uid="{00000000-0005-0000-0000-000077010000}"/>
    <cellStyle name="Normal 2 2 3 2 2 4 4 2" xfId="375" xr:uid="{00000000-0005-0000-0000-000078010000}"/>
    <cellStyle name="Normal 2 2 3 2 2 4 4 2 2" xfId="376" xr:uid="{00000000-0005-0000-0000-000079010000}"/>
    <cellStyle name="Normal 2 2 3 2 2 4 4 2 3" xfId="377" xr:uid="{00000000-0005-0000-0000-00007A010000}"/>
    <cellStyle name="Normal 2 2 3 2 2 4 4 3" xfId="378" xr:uid="{00000000-0005-0000-0000-00007B010000}"/>
    <cellStyle name="Normal 2 2 3 2 2 4 4 4" xfId="379" xr:uid="{00000000-0005-0000-0000-00007C010000}"/>
    <cellStyle name="Normal 2 2 3 2 2 4 5" xfId="380" xr:uid="{00000000-0005-0000-0000-00007D010000}"/>
    <cellStyle name="Normal 2 2 3 2 2 4 5 2" xfId="381" xr:uid="{00000000-0005-0000-0000-00007E010000}"/>
    <cellStyle name="Normal 2 2 3 2 2 4 5 2 2" xfId="382" xr:uid="{00000000-0005-0000-0000-00007F010000}"/>
    <cellStyle name="Normal 2 2 3 2 2 4 5 2 3" xfId="383" xr:uid="{00000000-0005-0000-0000-000080010000}"/>
    <cellStyle name="Normal 2 2 3 2 2 4 5 3" xfId="384" xr:uid="{00000000-0005-0000-0000-000081010000}"/>
    <cellStyle name="Normal 2 2 3 2 2 4 5 4" xfId="385" xr:uid="{00000000-0005-0000-0000-000082010000}"/>
    <cellStyle name="Normal 2 2 3 2 2 4 6" xfId="386" xr:uid="{00000000-0005-0000-0000-000083010000}"/>
    <cellStyle name="Normal 2 2 3 2 2 4 6 2" xfId="387" xr:uid="{00000000-0005-0000-0000-000084010000}"/>
    <cellStyle name="Normal 2 2 3 2 2 4 6 2 2" xfId="388" xr:uid="{00000000-0005-0000-0000-000085010000}"/>
    <cellStyle name="Normal 2 2 3 2 2 4 6 2 3" xfId="389" xr:uid="{00000000-0005-0000-0000-000086010000}"/>
    <cellStyle name="Normal 2 2 3 2 2 4 6 3" xfId="390" xr:uid="{00000000-0005-0000-0000-000087010000}"/>
    <cellStyle name="Normal 2 2 3 2 2 4 6 4" xfId="391" xr:uid="{00000000-0005-0000-0000-000088010000}"/>
    <cellStyle name="Normal 2 2 3 2 2 4 7" xfId="392" xr:uid="{00000000-0005-0000-0000-000089010000}"/>
    <cellStyle name="Normal 2 2 3 2 2 4 7 2" xfId="393" xr:uid="{00000000-0005-0000-0000-00008A010000}"/>
    <cellStyle name="Normal 2 2 3 2 2 4 7 3" xfId="394" xr:uid="{00000000-0005-0000-0000-00008B010000}"/>
    <cellStyle name="Normal 2 2 3 2 2 4 8" xfId="395" xr:uid="{00000000-0005-0000-0000-00008C010000}"/>
    <cellStyle name="Normal 2 2 3 2 2 4 9" xfId="396" xr:uid="{00000000-0005-0000-0000-00008D010000}"/>
    <cellStyle name="Normal 2 2 3 2 2 5" xfId="397" xr:uid="{00000000-0005-0000-0000-00008E010000}"/>
    <cellStyle name="Normal 2 2 3 2 2 5 2" xfId="398" xr:uid="{00000000-0005-0000-0000-00008F010000}"/>
    <cellStyle name="Normal 2 2 3 2 2 5 2 2" xfId="399" xr:uid="{00000000-0005-0000-0000-000090010000}"/>
    <cellStyle name="Normal 2 2 3 2 2 5 2 3" xfId="400" xr:uid="{00000000-0005-0000-0000-000091010000}"/>
    <cellStyle name="Normal 2 2 3 2 2 5 3" xfId="401" xr:uid="{00000000-0005-0000-0000-000092010000}"/>
    <cellStyle name="Normal 2 2 3 2 2 5 4" xfId="402" xr:uid="{00000000-0005-0000-0000-000093010000}"/>
    <cellStyle name="Normal 2 2 3 2 2 6" xfId="403" xr:uid="{00000000-0005-0000-0000-000094010000}"/>
    <cellStyle name="Normal 2 2 3 2 2 6 2" xfId="404" xr:uid="{00000000-0005-0000-0000-000095010000}"/>
    <cellStyle name="Normal 2 2 3 2 2 6 3" xfId="405" xr:uid="{00000000-0005-0000-0000-000096010000}"/>
    <cellStyle name="Normal 2 2 3 2 2 7" xfId="406" xr:uid="{00000000-0005-0000-0000-000097010000}"/>
    <cellStyle name="Normal 2 2 3 2 2 8" xfId="407" xr:uid="{00000000-0005-0000-0000-000098010000}"/>
    <cellStyle name="Normal 2 2 3 2 3" xfId="408" xr:uid="{00000000-0005-0000-0000-000099010000}"/>
    <cellStyle name="Normal 2 2 3 2 3 2" xfId="409" xr:uid="{00000000-0005-0000-0000-00009A010000}"/>
    <cellStyle name="Normal 2 2 3 2 3 2 2" xfId="410" xr:uid="{00000000-0005-0000-0000-00009B010000}"/>
    <cellStyle name="Normal 2 2 3 2 3 2 2 2" xfId="411" xr:uid="{00000000-0005-0000-0000-00009C010000}"/>
    <cellStyle name="Normal 2 2 3 2 3 2 2 3" xfId="412" xr:uid="{00000000-0005-0000-0000-00009D010000}"/>
    <cellStyle name="Normal 2 2 3 2 3 2 3" xfId="413" xr:uid="{00000000-0005-0000-0000-00009E010000}"/>
    <cellStyle name="Normal 2 2 3 2 3 2 4" xfId="414" xr:uid="{00000000-0005-0000-0000-00009F010000}"/>
    <cellStyle name="Normal 2 2 3 2 3 3" xfId="415" xr:uid="{00000000-0005-0000-0000-0000A0010000}"/>
    <cellStyle name="Normal 2 2 3 2 3 3 2" xfId="416" xr:uid="{00000000-0005-0000-0000-0000A1010000}"/>
    <cellStyle name="Normal 2 2 3 2 3 3 3" xfId="417" xr:uid="{00000000-0005-0000-0000-0000A2010000}"/>
    <cellStyle name="Normal 2 2 3 2 3 4" xfId="418" xr:uid="{00000000-0005-0000-0000-0000A3010000}"/>
    <cellStyle name="Normal 2 2 3 2 3 5" xfId="419" xr:uid="{00000000-0005-0000-0000-0000A4010000}"/>
    <cellStyle name="Normal 2 2 3 2 4" xfId="420" xr:uid="{00000000-0005-0000-0000-0000A5010000}"/>
    <cellStyle name="Normal 2 2 3 2 4 2" xfId="421" xr:uid="{00000000-0005-0000-0000-0000A6010000}"/>
    <cellStyle name="Normal 2 2 3 2 4 2 2" xfId="422" xr:uid="{00000000-0005-0000-0000-0000A7010000}"/>
    <cellStyle name="Normal 2 2 3 2 4 2 3" xfId="423" xr:uid="{00000000-0005-0000-0000-0000A8010000}"/>
    <cellStyle name="Normal 2 2 3 2 4 3" xfId="424" xr:uid="{00000000-0005-0000-0000-0000A9010000}"/>
    <cellStyle name="Normal 2 2 3 2 4 4" xfId="425" xr:uid="{00000000-0005-0000-0000-0000AA010000}"/>
    <cellStyle name="Normal 2 2 3 2 5" xfId="426" xr:uid="{00000000-0005-0000-0000-0000AB010000}"/>
    <cellStyle name="Normal 2 2 3 2 5 2" xfId="427" xr:uid="{00000000-0005-0000-0000-0000AC010000}"/>
    <cellStyle name="Normal 2 2 3 2 5 2 2" xfId="428" xr:uid="{00000000-0005-0000-0000-0000AD010000}"/>
    <cellStyle name="Normal 2 2 3 2 5 2 3" xfId="429" xr:uid="{00000000-0005-0000-0000-0000AE010000}"/>
    <cellStyle name="Normal 2 2 3 2 5 3" xfId="430" xr:uid="{00000000-0005-0000-0000-0000AF010000}"/>
    <cellStyle name="Normal 2 2 3 2 5 4" xfId="431" xr:uid="{00000000-0005-0000-0000-0000B0010000}"/>
    <cellStyle name="Normal 2 2 3 2 6" xfId="432" xr:uid="{00000000-0005-0000-0000-0000B1010000}"/>
    <cellStyle name="Normal 2 2 3 2 6 2" xfId="433" xr:uid="{00000000-0005-0000-0000-0000B2010000}"/>
    <cellStyle name="Normal 2 2 3 2 6 2 2" xfId="434" xr:uid="{00000000-0005-0000-0000-0000B3010000}"/>
    <cellStyle name="Normal 2 2 3 2 6 2 3" xfId="435" xr:uid="{00000000-0005-0000-0000-0000B4010000}"/>
    <cellStyle name="Normal 2 2 3 2 6 3" xfId="436" xr:uid="{00000000-0005-0000-0000-0000B5010000}"/>
    <cellStyle name="Normal 2 2 3 2 6 4" xfId="437" xr:uid="{00000000-0005-0000-0000-0000B6010000}"/>
    <cellStyle name="Normal 2 2 3 2 7" xfId="438" xr:uid="{00000000-0005-0000-0000-0000B7010000}"/>
    <cellStyle name="Normal 2 2 3 2 7 2" xfId="439" xr:uid="{00000000-0005-0000-0000-0000B8010000}"/>
    <cellStyle name="Normal 2 2 3 2 7 2 2" xfId="440" xr:uid="{00000000-0005-0000-0000-0000B9010000}"/>
    <cellStyle name="Normal 2 2 3 2 7 2 3" xfId="441" xr:uid="{00000000-0005-0000-0000-0000BA010000}"/>
    <cellStyle name="Normal 2 2 3 2 7 3" xfId="442" xr:uid="{00000000-0005-0000-0000-0000BB010000}"/>
    <cellStyle name="Normal 2 2 3 2 7 4" xfId="443" xr:uid="{00000000-0005-0000-0000-0000BC010000}"/>
    <cellStyle name="Normal 2 2 3 2 7 5" xfId="444" xr:uid="{00000000-0005-0000-0000-0000BD010000}"/>
    <cellStyle name="Normal 2 2 3 2 7 5 2" xfId="445" xr:uid="{00000000-0005-0000-0000-0000BE010000}"/>
    <cellStyle name="Normal 2 2 3 2 7 5 2 2" xfId="446" xr:uid="{00000000-0005-0000-0000-0000BF010000}"/>
    <cellStyle name="Normal 2 2 3 2 7 5 2 3" xfId="447" xr:uid="{00000000-0005-0000-0000-0000C0010000}"/>
    <cellStyle name="Normal 2 2 3 2 7 5 3" xfId="448" xr:uid="{00000000-0005-0000-0000-0000C1010000}"/>
    <cellStyle name="Normal 2 2 3 2 7 5 4" xfId="449" xr:uid="{00000000-0005-0000-0000-0000C2010000}"/>
    <cellStyle name="Normal 2 2 3 2 7 5 4 2" xfId="450" xr:uid="{00000000-0005-0000-0000-0000C3010000}"/>
    <cellStyle name="Normal 2 2 3 2 7 6" xfId="451" xr:uid="{00000000-0005-0000-0000-0000C4010000}"/>
    <cellStyle name="Normal 2 2 3 2 8" xfId="452" xr:uid="{00000000-0005-0000-0000-0000C5010000}"/>
    <cellStyle name="Normal 2 2 3 2 8 2" xfId="453" xr:uid="{00000000-0005-0000-0000-0000C6010000}"/>
    <cellStyle name="Normal 2 2 3 2 8 3" xfId="454" xr:uid="{00000000-0005-0000-0000-0000C7010000}"/>
    <cellStyle name="Normal 2 2 3 2 9" xfId="455" xr:uid="{00000000-0005-0000-0000-0000C8010000}"/>
    <cellStyle name="Normal 2 2 3 3" xfId="456" xr:uid="{00000000-0005-0000-0000-0000C9010000}"/>
    <cellStyle name="Normal 2 2 3 3 10" xfId="457" xr:uid="{00000000-0005-0000-0000-0000CA010000}"/>
    <cellStyle name="Normal 2 2 3 3 11" xfId="458" xr:uid="{00000000-0005-0000-0000-0000CB010000}"/>
    <cellStyle name="Normal 2 2 3 3 11 2" xfId="459" xr:uid="{00000000-0005-0000-0000-0000CC010000}"/>
    <cellStyle name="Normal 2 2 3 3 11 3" xfId="460" xr:uid="{00000000-0005-0000-0000-0000CD010000}"/>
    <cellStyle name="Normal 2 2 3 3 12" xfId="461" xr:uid="{00000000-0005-0000-0000-0000CE010000}"/>
    <cellStyle name="Normal 2 2 3 3 12 2" xfId="462" xr:uid="{00000000-0005-0000-0000-0000CF010000}"/>
    <cellStyle name="Normal 2 2 3 3 12 3" xfId="463" xr:uid="{00000000-0005-0000-0000-0000D0010000}"/>
    <cellStyle name="Normal 2 2 3 3 13" xfId="464" xr:uid="{00000000-0005-0000-0000-0000D1010000}"/>
    <cellStyle name="Normal 2 2 3 3 13 2" xfId="465" xr:uid="{00000000-0005-0000-0000-0000D2010000}"/>
    <cellStyle name="Normal 2 2 3 3 13 2 2 2 2" xfId="466" xr:uid="{00000000-0005-0000-0000-0000D3010000}"/>
    <cellStyle name="Normal 2 2 3 3 13 2 2 2 2 2" xfId="467" xr:uid="{00000000-0005-0000-0000-0000D4010000}"/>
    <cellStyle name="Normal 2 2 3 3 13 2 2 2 2 3" xfId="468" xr:uid="{00000000-0005-0000-0000-0000D5010000}"/>
    <cellStyle name="Normal 2 2 3 3 13 2 2 2 2 4" xfId="469" xr:uid="{00000000-0005-0000-0000-0000D6010000}"/>
    <cellStyle name="Normal 2 2 3 3 13 3" xfId="470" xr:uid="{00000000-0005-0000-0000-0000D7010000}"/>
    <cellStyle name="Normal 2 2 3 3 13 4" xfId="471" xr:uid="{00000000-0005-0000-0000-0000D8010000}"/>
    <cellStyle name="Normal 2 2 3 3 14" xfId="472" xr:uid="{00000000-0005-0000-0000-0000D9010000}"/>
    <cellStyle name="Normal 2 2 3 3 14 2" xfId="473" xr:uid="{00000000-0005-0000-0000-0000DA010000}"/>
    <cellStyle name="Normal 2 2 3 3 14 2 2" xfId="474" xr:uid="{00000000-0005-0000-0000-0000DB010000}"/>
    <cellStyle name="Normal 2 2 3 3 14 2 3" xfId="475" xr:uid="{00000000-0005-0000-0000-0000DC010000}"/>
    <cellStyle name="Normal 2 2 3 3 14 2 4" xfId="476" xr:uid="{00000000-0005-0000-0000-0000DD010000}"/>
    <cellStyle name="Normal 2 2 3 3 14 3" xfId="477" xr:uid="{00000000-0005-0000-0000-0000DE010000}"/>
    <cellStyle name="Normal 2 2 3 3 14 4" xfId="478" xr:uid="{00000000-0005-0000-0000-0000DF010000}"/>
    <cellStyle name="Normal 2 2 3 3 14 4 2" xfId="479" xr:uid="{00000000-0005-0000-0000-0000E0010000}"/>
    <cellStyle name="Normal 2 2 3 3 15" xfId="480" xr:uid="{00000000-0005-0000-0000-0000E1010000}"/>
    <cellStyle name="Normal 2 2 3 3 16" xfId="481" xr:uid="{00000000-0005-0000-0000-0000E2010000}"/>
    <cellStyle name="Normal 2 2 3 3 16 2" xfId="482" xr:uid="{00000000-0005-0000-0000-0000E3010000}"/>
    <cellStyle name="Normal 2 2 3 3 2" xfId="483" xr:uid="{00000000-0005-0000-0000-0000E4010000}"/>
    <cellStyle name="Normal 2 2 3 3 2 10" xfId="484" xr:uid="{00000000-0005-0000-0000-0000E5010000}"/>
    <cellStyle name="Normal 2 2 3 3 2 10 2" xfId="485" xr:uid="{00000000-0005-0000-0000-0000E6010000}"/>
    <cellStyle name="Normal 2 2 3 3 2 10 3" xfId="486" xr:uid="{00000000-0005-0000-0000-0000E7010000}"/>
    <cellStyle name="Normal 2 2 3 3 2 11" xfId="487" xr:uid="{00000000-0005-0000-0000-0000E8010000}"/>
    <cellStyle name="Normal 2 2 3 3 2 12" xfId="488" xr:uid="{00000000-0005-0000-0000-0000E9010000}"/>
    <cellStyle name="Normal 2 2 3 3 2 12 2" xfId="489" xr:uid="{00000000-0005-0000-0000-0000EA010000}"/>
    <cellStyle name="Normal 2 2 3 3 2 2" xfId="490" xr:uid="{00000000-0005-0000-0000-0000EB010000}"/>
    <cellStyle name="Normal 2 2 3 3 2 2 2" xfId="491" xr:uid="{00000000-0005-0000-0000-0000EC010000}"/>
    <cellStyle name="Normal 2 2 3 3 2 2 2 2" xfId="492" xr:uid="{00000000-0005-0000-0000-0000ED010000}"/>
    <cellStyle name="Normal 2 2 3 3 2 2 2 2 2" xfId="493" xr:uid="{00000000-0005-0000-0000-0000EE010000}"/>
    <cellStyle name="Normal 2 2 3 3 2 2 2 2 3" xfId="494" xr:uid="{00000000-0005-0000-0000-0000EF010000}"/>
    <cellStyle name="Normal 2 2 3 3 2 2 2 3" xfId="495" xr:uid="{00000000-0005-0000-0000-0000F0010000}"/>
    <cellStyle name="Normal 2 2 3 3 2 2 2 4" xfId="496" xr:uid="{00000000-0005-0000-0000-0000F1010000}"/>
    <cellStyle name="Normal 2 2 3 3 2 2 3" xfId="497" xr:uid="{00000000-0005-0000-0000-0000F2010000}"/>
    <cellStyle name="Normal 2 2 3 3 2 2 3 2" xfId="498" xr:uid="{00000000-0005-0000-0000-0000F3010000}"/>
    <cellStyle name="Normal 2 2 3 3 2 2 3 3" xfId="499" xr:uid="{00000000-0005-0000-0000-0000F4010000}"/>
    <cellStyle name="Normal 2 2 3 3 2 2 4" xfId="500" xr:uid="{00000000-0005-0000-0000-0000F5010000}"/>
    <cellStyle name="Normal 2 2 3 3 2 2 5" xfId="501" xr:uid="{00000000-0005-0000-0000-0000F6010000}"/>
    <cellStyle name="Normal 2 2 3 3 2 3" xfId="502" xr:uid="{00000000-0005-0000-0000-0000F7010000}"/>
    <cellStyle name="Normal 2 2 3 3 2 3 2" xfId="503" xr:uid="{00000000-0005-0000-0000-0000F8010000}"/>
    <cellStyle name="Normal 2 2 3 3 2 3 2 2" xfId="504" xr:uid="{00000000-0005-0000-0000-0000F9010000}"/>
    <cellStyle name="Normal 2 2 3 3 2 3 2 3" xfId="505" xr:uid="{00000000-0005-0000-0000-0000FA010000}"/>
    <cellStyle name="Normal 2 2 3 3 2 3 3" xfId="506" xr:uid="{00000000-0005-0000-0000-0000FB010000}"/>
    <cellStyle name="Normal 2 2 3 3 2 3 4" xfId="507" xr:uid="{00000000-0005-0000-0000-0000FC010000}"/>
    <cellStyle name="Normal 2 2 3 3 2 4" xfId="508" xr:uid="{00000000-0005-0000-0000-0000FD010000}"/>
    <cellStyle name="Normal 2 2 3 3 2 4 2" xfId="509" xr:uid="{00000000-0005-0000-0000-0000FE010000}"/>
    <cellStyle name="Normal 2 2 3 3 2 4 2 2" xfId="510" xr:uid="{00000000-0005-0000-0000-0000FF010000}"/>
    <cellStyle name="Normal 2 2 3 3 2 4 2 3" xfId="511" xr:uid="{00000000-0005-0000-0000-000000020000}"/>
    <cellStyle name="Normal 2 2 3 3 2 4 3" xfId="512" xr:uid="{00000000-0005-0000-0000-000001020000}"/>
    <cellStyle name="Normal 2 2 3 3 2 4 4" xfId="513" xr:uid="{00000000-0005-0000-0000-000002020000}"/>
    <cellStyle name="Normal 2 2 3 3 2 5" xfId="514" xr:uid="{00000000-0005-0000-0000-000003020000}"/>
    <cellStyle name="Normal 2 2 3 3 2 5 2" xfId="515" xr:uid="{00000000-0005-0000-0000-000004020000}"/>
    <cellStyle name="Normal 2 2 3 3 2 5 3" xfId="516" xr:uid="{00000000-0005-0000-0000-000005020000}"/>
    <cellStyle name="Normal 2 2 3 3 2 6" xfId="517" xr:uid="{00000000-0005-0000-0000-000006020000}"/>
    <cellStyle name="Normal 2 2 3 3 2 7" xfId="518" xr:uid="{00000000-0005-0000-0000-000007020000}"/>
    <cellStyle name="Normal 2 2 3 3 2 8" xfId="519" xr:uid="{00000000-0005-0000-0000-000008020000}"/>
    <cellStyle name="Normal 2 2 3 3 2 8 2" xfId="520" xr:uid="{00000000-0005-0000-0000-000009020000}"/>
    <cellStyle name="Normal 2 2 3 3 2 8 3" xfId="521" xr:uid="{00000000-0005-0000-0000-00000A020000}"/>
    <cellStyle name="Normal 2 2 3 3 2 9" xfId="522" xr:uid="{00000000-0005-0000-0000-00000B020000}"/>
    <cellStyle name="Normal 2 2 3 3 2 9 2" xfId="523" xr:uid="{00000000-0005-0000-0000-00000C020000}"/>
    <cellStyle name="Normal 2 2 3 3 2 9 3" xfId="524" xr:uid="{00000000-0005-0000-0000-00000D020000}"/>
    <cellStyle name="Normal 2 2 3 3 2 9 4" xfId="525" xr:uid="{00000000-0005-0000-0000-00000E020000}"/>
    <cellStyle name="Normal 2 2 3 3 3" xfId="526" xr:uid="{00000000-0005-0000-0000-00000F020000}"/>
    <cellStyle name="Normal 2 2 3 3 3 2" xfId="527" xr:uid="{00000000-0005-0000-0000-000010020000}"/>
    <cellStyle name="Normal 2 2 3 3 3 2 2" xfId="528" xr:uid="{00000000-0005-0000-0000-000011020000}"/>
    <cellStyle name="Normal 2 2 3 3 3 2 2 2" xfId="529" xr:uid="{00000000-0005-0000-0000-000012020000}"/>
    <cellStyle name="Normal 2 2 3 3 3 2 2 3" xfId="530" xr:uid="{00000000-0005-0000-0000-000013020000}"/>
    <cellStyle name="Normal 2 2 3 3 3 2 3" xfId="531" xr:uid="{00000000-0005-0000-0000-000014020000}"/>
    <cellStyle name="Normal 2 2 3 3 3 2 4" xfId="532" xr:uid="{00000000-0005-0000-0000-000015020000}"/>
    <cellStyle name="Normal 2 2 3 3 3 3" xfId="533" xr:uid="{00000000-0005-0000-0000-000016020000}"/>
    <cellStyle name="Normal 2 2 3 3 3 3 2" xfId="534" xr:uid="{00000000-0005-0000-0000-000017020000}"/>
    <cellStyle name="Normal 2 2 3 3 3 3 3" xfId="535" xr:uid="{00000000-0005-0000-0000-000018020000}"/>
    <cellStyle name="Normal 2 2 3 3 3 4" xfId="536" xr:uid="{00000000-0005-0000-0000-000019020000}"/>
    <cellStyle name="Normal 2 2 3 3 3 5" xfId="537" xr:uid="{00000000-0005-0000-0000-00001A020000}"/>
    <cellStyle name="Normal 2 2 3 3 4" xfId="538" xr:uid="{00000000-0005-0000-0000-00001B020000}"/>
    <cellStyle name="Normal 2 2 3 3 4 2" xfId="539" xr:uid="{00000000-0005-0000-0000-00001C020000}"/>
    <cellStyle name="Normal 2 2 3 3 4 2 2" xfId="540" xr:uid="{00000000-0005-0000-0000-00001D020000}"/>
    <cellStyle name="Normal 2 2 3 3 4 2 3" xfId="541" xr:uid="{00000000-0005-0000-0000-00001E020000}"/>
    <cellStyle name="Normal 2 2 3 3 4 3" xfId="542" xr:uid="{00000000-0005-0000-0000-00001F020000}"/>
    <cellStyle name="Normal 2 2 3 3 4 4" xfId="543" xr:uid="{00000000-0005-0000-0000-000020020000}"/>
    <cellStyle name="Normal 2 2 3 3 5" xfId="544" xr:uid="{00000000-0005-0000-0000-000021020000}"/>
    <cellStyle name="Normal 2 2 3 3 5 2" xfId="545" xr:uid="{00000000-0005-0000-0000-000022020000}"/>
    <cellStyle name="Normal 2 2 3 3 5 2 2" xfId="546" xr:uid="{00000000-0005-0000-0000-000023020000}"/>
    <cellStyle name="Normal 2 2 3 3 5 2 3" xfId="547" xr:uid="{00000000-0005-0000-0000-000024020000}"/>
    <cellStyle name="Normal 2 2 3 3 5 3" xfId="548" xr:uid="{00000000-0005-0000-0000-000025020000}"/>
    <cellStyle name="Normal 2 2 3 3 5 4" xfId="549" xr:uid="{00000000-0005-0000-0000-000026020000}"/>
    <cellStyle name="Normal 2 2 3 3 6" xfId="550" xr:uid="{00000000-0005-0000-0000-000027020000}"/>
    <cellStyle name="Normal 2 2 3 3 6 2" xfId="551" xr:uid="{00000000-0005-0000-0000-000028020000}"/>
    <cellStyle name="Normal 2 2 3 3 6 2 2" xfId="552" xr:uid="{00000000-0005-0000-0000-000029020000}"/>
    <cellStyle name="Normal 2 2 3 3 6 2 3" xfId="553" xr:uid="{00000000-0005-0000-0000-00002A020000}"/>
    <cellStyle name="Normal 2 2 3 3 6 3" xfId="554" xr:uid="{00000000-0005-0000-0000-00002B020000}"/>
    <cellStyle name="Normal 2 2 3 3 6 4" xfId="555" xr:uid="{00000000-0005-0000-0000-00002C020000}"/>
    <cellStyle name="Normal 2 2 3 3 7" xfId="556" xr:uid="{00000000-0005-0000-0000-00002D020000}"/>
    <cellStyle name="Normal 2 2 3 3 7 2" xfId="557" xr:uid="{00000000-0005-0000-0000-00002E020000}"/>
    <cellStyle name="Normal 2 2 3 3 7 3" xfId="558" xr:uid="{00000000-0005-0000-0000-00002F020000}"/>
    <cellStyle name="Normal 2 2 3 3 8" xfId="559" xr:uid="{00000000-0005-0000-0000-000030020000}"/>
    <cellStyle name="Normal 2 2 3 3 9" xfId="560" xr:uid="{00000000-0005-0000-0000-000031020000}"/>
    <cellStyle name="Normal 2 2 3 4" xfId="561" xr:uid="{00000000-0005-0000-0000-000032020000}"/>
    <cellStyle name="Normal 2 2 3 4 2" xfId="562" xr:uid="{00000000-0005-0000-0000-000033020000}"/>
    <cellStyle name="Normal 2 2 3 4 2 2" xfId="563" xr:uid="{00000000-0005-0000-0000-000034020000}"/>
    <cellStyle name="Normal 2 2 3 4 2 2 2" xfId="564" xr:uid="{00000000-0005-0000-0000-000035020000}"/>
    <cellStyle name="Normal 2 2 3 4 2 2 3" xfId="565" xr:uid="{00000000-0005-0000-0000-000036020000}"/>
    <cellStyle name="Normal 2 2 3 4 2 3" xfId="566" xr:uid="{00000000-0005-0000-0000-000037020000}"/>
    <cellStyle name="Normal 2 2 3 4 2 4" xfId="567" xr:uid="{00000000-0005-0000-0000-000038020000}"/>
    <cellStyle name="Normal 2 2 3 4 3" xfId="568" xr:uid="{00000000-0005-0000-0000-000039020000}"/>
    <cellStyle name="Normal 2 2 3 4 3 2" xfId="569" xr:uid="{00000000-0005-0000-0000-00003A020000}"/>
    <cellStyle name="Normal 2 2 3 4 3 3" xfId="570" xr:uid="{00000000-0005-0000-0000-00003B020000}"/>
    <cellStyle name="Normal 2 2 3 4 4" xfId="571" xr:uid="{00000000-0005-0000-0000-00003C020000}"/>
    <cellStyle name="Normal 2 2 3 4 5" xfId="572" xr:uid="{00000000-0005-0000-0000-00003D020000}"/>
    <cellStyle name="Normal 2 2 3 5" xfId="573" xr:uid="{00000000-0005-0000-0000-00003E020000}"/>
    <cellStyle name="Normal 2 2 3 5 2" xfId="574" xr:uid="{00000000-0005-0000-0000-00003F020000}"/>
    <cellStyle name="Normal 2 2 3 5 2 2" xfId="575" xr:uid="{00000000-0005-0000-0000-000040020000}"/>
    <cellStyle name="Normal 2 2 3 5 2 3" xfId="576" xr:uid="{00000000-0005-0000-0000-000041020000}"/>
    <cellStyle name="Normal 2 2 3 5 3" xfId="577" xr:uid="{00000000-0005-0000-0000-000042020000}"/>
    <cellStyle name="Normal 2 2 3 5 4" xfId="578" xr:uid="{00000000-0005-0000-0000-000043020000}"/>
    <cellStyle name="Normal 2 2 3 6" xfId="579" xr:uid="{00000000-0005-0000-0000-000044020000}"/>
    <cellStyle name="Normal 2 2 3 6 2" xfId="580" xr:uid="{00000000-0005-0000-0000-000045020000}"/>
    <cellStyle name="Normal 2 2 3 6 2 2" xfId="581" xr:uid="{00000000-0005-0000-0000-000046020000}"/>
    <cellStyle name="Normal 2 2 3 6 2 3" xfId="582" xr:uid="{00000000-0005-0000-0000-000047020000}"/>
    <cellStyle name="Normal 2 2 3 6 3" xfId="583" xr:uid="{00000000-0005-0000-0000-000048020000}"/>
    <cellStyle name="Normal 2 2 3 6 4" xfId="584" xr:uid="{00000000-0005-0000-0000-000049020000}"/>
    <cellStyle name="Normal 2 2 3 7" xfId="585" xr:uid="{00000000-0005-0000-0000-00004A020000}"/>
    <cellStyle name="Normal 2 2 3 7 2" xfId="586" xr:uid="{00000000-0005-0000-0000-00004B020000}"/>
    <cellStyle name="Normal 2 2 3 7 3" xfId="587" xr:uid="{00000000-0005-0000-0000-00004C020000}"/>
    <cellStyle name="Normal 2 2 3 8" xfId="588" xr:uid="{00000000-0005-0000-0000-00004D020000}"/>
    <cellStyle name="Normal 2 2 3 9" xfId="589" xr:uid="{00000000-0005-0000-0000-00004E020000}"/>
    <cellStyle name="Normal 2 2 4" xfId="590" xr:uid="{00000000-0005-0000-0000-00004F020000}"/>
    <cellStyle name="Normal 2 2 4 2" xfId="591" xr:uid="{00000000-0005-0000-0000-000050020000}"/>
    <cellStyle name="Normal 2 2 4 2 2" xfId="592" xr:uid="{00000000-0005-0000-0000-000051020000}"/>
    <cellStyle name="Normal 2 2 4 2 2 2" xfId="593" xr:uid="{00000000-0005-0000-0000-000052020000}"/>
    <cellStyle name="Normal 2 2 4 2 2 2 2" xfId="594" xr:uid="{00000000-0005-0000-0000-000053020000}"/>
    <cellStyle name="Normal 2 2 4 2 2 2 2 2" xfId="595" xr:uid="{00000000-0005-0000-0000-000054020000}"/>
    <cellStyle name="Normal 2 2 4 2 2 2 2 3" xfId="596" xr:uid="{00000000-0005-0000-0000-000055020000}"/>
    <cellStyle name="Normal 2 2 4 2 2 2 3" xfId="597" xr:uid="{00000000-0005-0000-0000-000056020000}"/>
    <cellStyle name="Normal 2 2 4 2 2 2 4" xfId="598" xr:uid="{00000000-0005-0000-0000-000057020000}"/>
    <cellStyle name="Normal 2 2 4 2 2 3" xfId="599" xr:uid="{00000000-0005-0000-0000-000058020000}"/>
    <cellStyle name="Normal 2 2 4 2 2 3 2" xfId="600" xr:uid="{00000000-0005-0000-0000-000059020000}"/>
    <cellStyle name="Normal 2 2 4 2 2 3 3" xfId="601" xr:uid="{00000000-0005-0000-0000-00005A020000}"/>
    <cellStyle name="Normal 2 2 4 2 2 4" xfId="602" xr:uid="{00000000-0005-0000-0000-00005B020000}"/>
    <cellStyle name="Normal 2 2 4 2 2 5" xfId="603" xr:uid="{00000000-0005-0000-0000-00005C020000}"/>
    <cellStyle name="Normal 2 2 4 2 3" xfId="604" xr:uid="{00000000-0005-0000-0000-00005D020000}"/>
    <cellStyle name="Normal 2 2 4 2 3 2" xfId="605" xr:uid="{00000000-0005-0000-0000-00005E020000}"/>
    <cellStyle name="Normal 2 2 4 2 3 2 2" xfId="606" xr:uid="{00000000-0005-0000-0000-00005F020000}"/>
    <cellStyle name="Normal 2 2 4 2 3 2 3" xfId="607" xr:uid="{00000000-0005-0000-0000-000060020000}"/>
    <cellStyle name="Normal 2 2 4 2 3 3" xfId="608" xr:uid="{00000000-0005-0000-0000-000061020000}"/>
    <cellStyle name="Normal 2 2 4 2 3 4" xfId="609" xr:uid="{00000000-0005-0000-0000-000062020000}"/>
    <cellStyle name="Normal 2 2 4 2 4" xfId="610" xr:uid="{00000000-0005-0000-0000-000063020000}"/>
    <cellStyle name="Normal 2 2 4 2 4 2" xfId="611" xr:uid="{00000000-0005-0000-0000-000064020000}"/>
    <cellStyle name="Normal 2 2 4 2 4 2 2" xfId="612" xr:uid="{00000000-0005-0000-0000-000065020000}"/>
    <cellStyle name="Normal 2 2 4 2 4 2 3" xfId="613" xr:uid="{00000000-0005-0000-0000-000066020000}"/>
    <cellStyle name="Normal 2 2 4 2 4 3" xfId="614" xr:uid="{00000000-0005-0000-0000-000067020000}"/>
    <cellStyle name="Normal 2 2 4 2 4 4" xfId="615" xr:uid="{00000000-0005-0000-0000-000068020000}"/>
    <cellStyle name="Normal 2 2 4 2 5" xfId="616" xr:uid="{00000000-0005-0000-0000-000069020000}"/>
    <cellStyle name="Normal 2 2 4 2 5 2" xfId="617" xr:uid="{00000000-0005-0000-0000-00006A020000}"/>
    <cellStyle name="Normal 2 2 4 2 5 3" xfId="618" xr:uid="{00000000-0005-0000-0000-00006B020000}"/>
    <cellStyle name="Normal 2 2 4 2 6" xfId="619" xr:uid="{00000000-0005-0000-0000-00006C020000}"/>
    <cellStyle name="Normal 2 2 4 2 7" xfId="620" xr:uid="{00000000-0005-0000-0000-00006D020000}"/>
    <cellStyle name="Normal 2 2 4 3" xfId="621" xr:uid="{00000000-0005-0000-0000-00006E020000}"/>
    <cellStyle name="Normal 2 2 4 3 2" xfId="622" xr:uid="{00000000-0005-0000-0000-00006F020000}"/>
    <cellStyle name="Normal 2 2 4 3 2 2" xfId="623" xr:uid="{00000000-0005-0000-0000-000070020000}"/>
    <cellStyle name="Normal 2 2 4 3 2 2 2" xfId="624" xr:uid="{00000000-0005-0000-0000-000071020000}"/>
    <cellStyle name="Normal 2 2 4 3 2 2 3" xfId="625" xr:uid="{00000000-0005-0000-0000-000072020000}"/>
    <cellStyle name="Normal 2 2 4 3 2 3" xfId="626" xr:uid="{00000000-0005-0000-0000-000073020000}"/>
    <cellStyle name="Normal 2 2 4 3 2 4" xfId="627" xr:uid="{00000000-0005-0000-0000-000074020000}"/>
    <cellStyle name="Normal 2 2 4 3 3" xfId="628" xr:uid="{00000000-0005-0000-0000-000075020000}"/>
    <cellStyle name="Normal 2 2 4 3 3 2" xfId="629" xr:uid="{00000000-0005-0000-0000-000076020000}"/>
    <cellStyle name="Normal 2 2 4 3 3 3" xfId="630" xr:uid="{00000000-0005-0000-0000-000077020000}"/>
    <cellStyle name="Normal 2 2 4 3 4" xfId="631" xr:uid="{00000000-0005-0000-0000-000078020000}"/>
    <cellStyle name="Normal 2 2 4 3 5" xfId="632" xr:uid="{00000000-0005-0000-0000-000079020000}"/>
    <cellStyle name="Normal 2 2 4 4" xfId="633" xr:uid="{00000000-0005-0000-0000-00007A020000}"/>
    <cellStyle name="Normal 2 2 4 4 2" xfId="634" xr:uid="{00000000-0005-0000-0000-00007B020000}"/>
    <cellStyle name="Normal 2 2 4 4 2 2" xfId="635" xr:uid="{00000000-0005-0000-0000-00007C020000}"/>
    <cellStyle name="Normal 2 2 4 4 2 3" xfId="636" xr:uid="{00000000-0005-0000-0000-00007D020000}"/>
    <cellStyle name="Normal 2 2 4 4 3" xfId="637" xr:uid="{00000000-0005-0000-0000-00007E020000}"/>
    <cellStyle name="Normal 2 2 4 4 4" xfId="638" xr:uid="{00000000-0005-0000-0000-00007F020000}"/>
    <cellStyle name="Normal 2 2 4 5" xfId="639" xr:uid="{00000000-0005-0000-0000-000080020000}"/>
    <cellStyle name="Normal 2 2 4 5 2" xfId="640" xr:uid="{00000000-0005-0000-0000-000081020000}"/>
    <cellStyle name="Normal 2 2 4 5 2 2" xfId="641" xr:uid="{00000000-0005-0000-0000-000082020000}"/>
    <cellStyle name="Normal 2 2 4 5 2 3" xfId="642" xr:uid="{00000000-0005-0000-0000-000083020000}"/>
    <cellStyle name="Normal 2 2 4 5 3" xfId="643" xr:uid="{00000000-0005-0000-0000-000084020000}"/>
    <cellStyle name="Normal 2 2 4 5 4" xfId="644" xr:uid="{00000000-0005-0000-0000-000085020000}"/>
    <cellStyle name="Normal 2 2 4 6" xfId="645" xr:uid="{00000000-0005-0000-0000-000086020000}"/>
    <cellStyle name="Normal 2 2 4 6 2" xfId="646" xr:uid="{00000000-0005-0000-0000-000087020000}"/>
    <cellStyle name="Normal 2 2 4 6 3" xfId="647" xr:uid="{00000000-0005-0000-0000-000088020000}"/>
    <cellStyle name="Normal 2 2 4 7" xfId="648" xr:uid="{00000000-0005-0000-0000-000089020000}"/>
    <cellStyle name="Normal 2 2 4 8" xfId="649" xr:uid="{00000000-0005-0000-0000-00008A020000}"/>
    <cellStyle name="Normal 2 2 5" xfId="650" xr:uid="{00000000-0005-0000-0000-00008B020000}"/>
    <cellStyle name="Normal 2 2 5 2" xfId="651" xr:uid="{00000000-0005-0000-0000-00008C020000}"/>
    <cellStyle name="Normal 2 2 5 2 2" xfId="652" xr:uid="{00000000-0005-0000-0000-00008D020000}"/>
    <cellStyle name="Normal 2 2 5 2 2 2" xfId="653" xr:uid="{00000000-0005-0000-0000-00008E020000}"/>
    <cellStyle name="Normal 2 2 5 2 2 3" xfId="654" xr:uid="{00000000-0005-0000-0000-00008F020000}"/>
    <cellStyle name="Normal 2 2 5 2 3" xfId="655" xr:uid="{00000000-0005-0000-0000-000090020000}"/>
    <cellStyle name="Normal 2 2 5 2 4" xfId="656" xr:uid="{00000000-0005-0000-0000-000091020000}"/>
    <cellStyle name="Normal 2 2 5 3" xfId="657" xr:uid="{00000000-0005-0000-0000-000092020000}"/>
    <cellStyle name="Normal 2 2 5 3 2" xfId="658" xr:uid="{00000000-0005-0000-0000-000093020000}"/>
    <cellStyle name="Normal 2 2 5 3 3" xfId="659" xr:uid="{00000000-0005-0000-0000-000094020000}"/>
    <cellStyle name="Normal 2 2 5 4" xfId="660" xr:uid="{00000000-0005-0000-0000-000095020000}"/>
    <cellStyle name="Normal 2 2 5 5" xfId="661" xr:uid="{00000000-0005-0000-0000-000096020000}"/>
    <cellStyle name="Normal 2 2 6" xfId="662" xr:uid="{00000000-0005-0000-0000-000097020000}"/>
    <cellStyle name="Normal 2 2 6 2" xfId="663" xr:uid="{00000000-0005-0000-0000-000098020000}"/>
    <cellStyle name="Normal 2 2 6 2 2" xfId="664" xr:uid="{00000000-0005-0000-0000-000099020000}"/>
    <cellStyle name="Normal 2 2 6 2 3" xfId="665" xr:uid="{00000000-0005-0000-0000-00009A020000}"/>
    <cellStyle name="Normal 2 2 6 3" xfId="666" xr:uid="{00000000-0005-0000-0000-00009B020000}"/>
    <cellStyle name="Normal 2 2 6 4" xfId="667" xr:uid="{00000000-0005-0000-0000-00009C020000}"/>
    <cellStyle name="Normal 2 2 7" xfId="668" xr:uid="{00000000-0005-0000-0000-00009D020000}"/>
    <cellStyle name="Normal 2 2 7 2" xfId="669" xr:uid="{00000000-0005-0000-0000-00009E020000}"/>
    <cellStyle name="Normal 2 2 7 2 2" xfId="670" xr:uid="{00000000-0005-0000-0000-00009F020000}"/>
    <cellStyle name="Normal 2 2 7 2 3" xfId="671" xr:uid="{00000000-0005-0000-0000-0000A0020000}"/>
    <cellStyle name="Normal 2 2 7 3" xfId="672" xr:uid="{00000000-0005-0000-0000-0000A1020000}"/>
    <cellStyle name="Normal 2 2 7 4" xfId="673" xr:uid="{00000000-0005-0000-0000-0000A2020000}"/>
    <cellStyle name="Normal 2 2 8" xfId="674" xr:uid="{00000000-0005-0000-0000-0000A3020000}"/>
    <cellStyle name="Normal 2 2 8 2" xfId="675" xr:uid="{00000000-0005-0000-0000-0000A4020000}"/>
    <cellStyle name="Normal 2 2 8 2 2" xfId="676" xr:uid="{00000000-0005-0000-0000-0000A5020000}"/>
    <cellStyle name="Normal 2 2 8 2 3" xfId="677" xr:uid="{00000000-0005-0000-0000-0000A6020000}"/>
    <cellStyle name="Normal 2 2 8 3" xfId="678" xr:uid="{00000000-0005-0000-0000-0000A7020000}"/>
    <cellStyle name="Normal 2 2 8 4" xfId="679" xr:uid="{00000000-0005-0000-0000-0000A8020000}"/>
    <cellStyle name="Normal 2 2 8 5" xfId="680" xr:uid="{00000000-0005-0000-0000-0000A9020000}"/>
    <cellStyle name="Normal 2 2 8 5 2" xfId="681" xr:uid="{00000000-0005-0000-0000-0000AA020000}"/>
    <cellStyle name="Normal 2 2 8 5 2 2" xfId="682" xr:uid="{00000000-0005-0000-0000-0000AB020000}"/>
    <cellStyle name="Normal 2 2 8 5 2 3" xfId="683" xr:uid="{00000000-0005-0000-0000-0000AC020000}"/>
    <cellStyle name="Normal 2 2 8 5 2 3 2" xfId="684" xr:uid="{00000000-0005-0000-0000-0000AD020000}"/>
    <cellStyle name="Normal 2 2 8 5 3" xfId="685" xr:uid="{00000000-0005-0000-0000-0000AE020000}"/>
    <cellStyle name="Normal 2 2 8 5 4" xfId="686" xr:uid="{00000000-0005-0000-0000-0000AF020000}"/>
    <cellStyle name="Normal 2 2 8 5 4 2" xfId="687" xr:uid="{00000000-0005-0000-0000-0000B0020000}"/>
    <cellStyle name="Normal 2 2 8 6" xfId="688" xr:uid="{00000000-0005-0000-0000-0000B1020000}"/>
    <cellStyle name="Normal 2 2 9" xfId="689" xr:uid="{00000000-0005-0000-0000-0000B2020000}"/>
    <cellStyle name="Normal 2 2 9 2" xfId="690" xr:uid="{00000000-0005-0000-0000-0000B3020000}"/>
    <cellStyle name="Normal 2 2 9 3" xfId="691" xr:uid="{00000000-0005-0000-0000-0000B4020000}"/>
    <cellStyle name="Normal 2 3" xfId="692" xr:uid="{00000000-0005-0000-0000-0000B5020000}"/>
    <cellStyle name="Normal 2 3 2" xfId="693" xr:uid="{00000000-0005-0000-0000-0000B6020000}"/>
    <cellStyle name="Normal 2 4" xfId="694" xr:uid="{00000000-0005-0000-0000-0000B7020000}"/>
    <cellStyle name="Normal 28" xfId="695" xr:uid="{00000000-0005-0000-0000-0000B8020000}"/>
    <cellStyle name="Normal 3" xfId="696" xr:uid="{00000000-0005-0000-0000-0000B9020000}"/>
    <cellStyle name="Normal 3 2" xfId="697" xr:uid="{00000000-0005-0000-0000-0000BA020000}"/>
    <cellStyle name="Normal 3 3" xfId="698" xr:uid="{00000000-0005-0000-0000-0000BB020000}"/>
    <cellStyle name="Normal 32" xfId="699" xr:uid="{00000000-0005-0000-0000-0000BC020000}"/>
    <cellStyle name="Normal 4" xfId="700" xr:uid="{00000000-0005-0000-0000-0000BD020000}"/>
    <cellStyle name="Normal 4 2" xfId="701" xr:uid="{00000000-0005-0000-0000-0000BE020000}"/>
    <cellStyle name="Normal 4 2 2" xfId="702" xr:uid="{00000000-0005-0000-0000-0000BF020000}"/>
    <cellStyle name="Normal 4 3" xfId="703" xr:uid="{00000000-0005-0000-0000-0000C0020000}"/>
    <cellStyle name="Normal 5" xfId="704" xr:uid="{00000000-0005-0000-0000-0000C1020000}"/>
    <cellStyle name="Normal 5 2" xfId="705" xr:uid="{00000000-0005-0000-0000-0000C2020000}"/>
    <cellStyle name="Normal 5 3" xfId="706" xr:uid="{00000000-0005-0000-0000-0000C3020000}"/>
    <cellStyle name="Normal 6" xfId="707" xr:uid="{00000000-0005-0000-0000-0000C4020000}"/>
    <cellStyle name="Normal 7" xfId="708" xr:uid="{00000000-0005-0000-0000-0000C5020000}"/>
    <cellStyle name="Normal 8" xfId="709" xr:uid="{00000000-0005-0000-0000-0000C6020000}"/>
    <cellStyle name="Normal 9" xfId="710" xr:uid="{00000000-0005-0000-0000-0000C7020000}"/>
    <cellStyle name="Note 2" xfId="711" xr:uid="{00000000-0005-0000-0000-0000C8020000}"/>
    <cellStyle name="Note 2 2" xfId="712" xr:uid="{00000000-0005-0000-0000-0000C9020000}"/>
    <cellStyle name="Note 2 2 2" xfId="713" xr:uid="{00000000-0005-0000-0000-0000CA020000}"/>
    <cellStyle name="Note 2 2 3" xfId="714" xr:uid="{00000000-0005-0000-0000-0000CB020000}"/>
    <cellStyle name="Percent 2" xfId="715" xr:uid="{00000000-0005-0000-0000-0000CD020000}"/>
    <cellStyle name="Percent 2 2" xfId="716" xr:uid="{00000000-0005-0000-0000-0000CE020000}"/>
    <cellStyle name="Percent 3" xfId="717" xr:uid="{00000000-0005-0000-0000-0000CF020000}"/>
    <cellStyle name="Style 1" xfId="718" xr:uid="{00000000-0005-0000-0000-0000D0020000}"/>
    <cellStyle name="ملاحظة 2" xfId="719" xr:uid="{00000000-0005-0000-0000-0000D1020000}"/>
  </cellStyles>
  <dxfs count="8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-25648</xdr:colOff>
      <xdr:row>112</xdr:row>
      <xdr:rowOff>0</xdr:rowOff>
    </xdr:from>
    <xdr:ext cx="25648" cy="117981"/>
    <xdr:sp macro="" textlink="">
      <xdr:nvSpPr>
        <xdr:cNvPr id="17" name="Rectangle 1">
          <a:extLst>
            <a:ext uri="{FF2B5EF4-FFF2-40B4-BE49-F238E27FC236}">
              <a16:creationId xmlns:a16="http://schemas.microsoft.com/office/drawing/2014/main" id="{F203EBED-80BC-D89E-99C2-BDFFF7ECB3F0}"/>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112</xdr:row>
      <xdr:rowOff>0</xdr:rowOff>
    </xdr:from>
    <xdr:ext cx="25648" cy="117981"/>
    <xdr:sp macro="" textlink="">
      <xdr:nvSpPr>
        <xdr:cNvPr id="18" name="Rectangle 2">
          <a:extLst>
            <a:ext uri="{FF2B5EF4-FFF2-40B4-BE49-F238E27FC236}">
              <a16:creationId xmlns:a16="http://schemas.microsoft.com/office/drawing/2014/main" id="{E1A8B5BA-2D38-30CC-8855-920C004DF2C2}"/>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112</xdr:row>
      <xdr:rowOff>0</xdr:rowOff>
    </xdr:from>
    <xdr:ext cx="25648" cy="117981"/>
    <xdr:sp macro="" textlink="">
      <xdr:nvSpPr>
        <xdr:cNvPr id="19" name="Rectangle 3">
          <a:extLst>
            <a:ext uri="{FF2B5EF4-FFF2-40B4-BE49-F238E27FC236}">
              <a16:creationId xmlns:a16="http://schemas.microsoft.com/office/drawing/2014/main" id="{D28B44FB-75C7-683C-75EB-6B75BEA2D843}"/>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112</xdr:row>
      <xdr:rowOff>0</xdr:rowOff>
    </xdr:from>
    <xdr:ext cx="25648" cy="117981"/>
    <xdr:sp macro="" textlink="">
      <xdr:nvSpPr>
        <xdr:cNvPr id="20" name="Rectangle 4">
          <a:extLst>
            <a:ext uri="{FF2B5EF4-FFF2-40B4-BE49-F238E27FC236}">
              <a16:creationId xmlns:a16="http://schemas.microsoft.com/office/drawing/2014/main" id="{AC2B823D-41DC-2C22-6FAD-9479BCAB07D8}"/>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112</xdr:row>
      <xdr:rowOff>0</xdr:rowOff>
    </xdr:from>
    <xdr:ext cx="25648" cy="117981"/>
    <xdr:sp macro="" textlink="">
      <xdr:nvSpPr>
        <xdr:cNvPr id="21" name="Rectangle 5">
          <a:extLst>
            <a:ext uri="{FF2B5EF4-FFF2-40B4-BE49-F238E27FC236}">
              <a16:creationId xmlns:a16="http://schemas.microsoft.com/office/drawing/2014/main" id="{B2297DBA-2456-FF04-76BB-DAF13A1A61A4}"/>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112</xdr:row>
      <xdr:rowOff>0</xdr:rowOff>
    </xdr:from>
    <xdr:ext cx="25648" cy="117981"/>
    <xdr:sp macro="" textlink="">
      <xdr:nvSpPr>
        <xdr:cNvPr id="22" name="Rectangle 6">
          <a:extLst>
            <a:ext uri="{FF2B5EF4-FFF2-40B4-BE49-F238E27FC236}">
              <a16:creationId xmlns:a16="http://schemas.microsoft.com/office/drawing/2014/main" id="{A03F0C78-A448-7033-F990-DF7A6E824384}"/>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112</xdr:row>
      <xdr:rowOff>0</xdr:rowOff>
    </xdr:from>
    <xdr:ext cx="25648" cy="117981"/>
    <xdr:sp macro="" textlink="">
      <xdr:nvSpPr>
        <xdr:cNvPr id="23" name="Rectangle 7">
          <a:extLst>
            <a:ext uri="{FF2B5EF4-FFF2-40B4-BE49-F238E27FC236}">
              <a16:creationId xmlns:a16="http://schemas.microsoft.com/office/drawing/2014/main" id="{6F37CDCA-C9D9-0255-BCF7-0D5C44F0A7CB}"/>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112</xdr:row>
      <xdr:rowOff>0</xdr:rowOff>
    </xdr:from>
    <xdr:ext cx="25648" cy="117981"/>
    <xdr:sp macro="" textlink="">
      <xdr:nvSpPr>
        <xdr:cNvPr id="25" name="Rectangle 9">
          <a:extLst>
            <a:ext uri="{FF2B5EF4-FFF2-40B4-BE49-F238E27FC236}">
              <a16:creationId xmlns:a16="http://schemas.microsoft.com/office/drawing/2014/main" id="{2502EFE4-0DCC-6AB0-133C-33B020ECA54D}"/>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112</xdr:row>
      <xdr:rowOff>0</xdr:rowOff>
    </xdr:from>
    <xdr:ext cx="25648" cy="117981"/>
    <xdr:sp macro="" textlink="">
      <xdr:nvSpPr>
        <xdr:cNvPr id="26" name="Rectangle 10">
          <a:extLst>
            <a:ext uri="{FF2B5EF4-FFF2-40B4-BE49-F238E27FC236}">
              <a16:creationId xmlns:a16="http://schemas.microsoft.com/office/drawing/2014/main" id="{D1EEF85A-F528-CDAD-39C1-98515E20BD8E}"/>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112</xdr:row>
      <xdr:rowOff>0</xdr:rowOff>
    </xdr:from>
    <xdr:ext cx="25648" cy="117981"/>
    <xdr:sp macro="" textlink="">
      <xdr:nvSpPr>
        <xdr:cNvPr id="27" name="Rectangle 11">
          <a:extLst>
            <a:ext uri="{FF2B5EF4-FFF2-40B4-BE49-F238E27FC236}">
              <a16:creationId xmlns:a16="http://schemas.microsoft.com/office/drawing/2014/main" id="{E6791C74-0B43-FCA0-D6AF-9940FE4B7E96}"/>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112</xdr:row>
      <xdr:rowOff>0</xdr:rowOff>
    </xdr:from>
    <xdr:ext cx="25648" cy="117981"/>
    <xdr:sp macro="" textlink="">
      <xdr:nvSpPr>
        <xdr:cNvPr id="30" name="Rectangle 782">
          <a:extLst>
            <a:ext uri="{FF2B5EF4-FFF2-40B4-BE49-F238E27FC236}">
              <a16:creationId xmlns:a16="http://schemas.microsoft.com/office/drawing/2014/main" id="{CC866508-39A3-8150-F5DE-0DE435961BE3}"/>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112</xdr:row>
      <xdr:rowOff>0</xdr:rowOff>
    </xdr:from>
    <xdr:ext cx="25648" cy="117981"/>
    <xdr:sp macro="" textlink="">
      <xdr:nvSpPr>
        <xdr:cNvPr id="33" name="Rectangle 769">
          <a:extLst>
            <a:ext uri="{FF2B5EF4-FFF2-40B4-BE49-F238E27FC236}">
              <a16:creationId xmlns:a16="http://schemas.microsoft.com/office/drawing/2014/main" id="{2C49D59E-9155-9559-AD2D-DFAEAEF54CF3}"/>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0</xdr:row>
      <xdr:rowOff>0</xdr:rowOff>
    </xdr:from>
    <xdr:ext cx="25648" cy="117981"/>
    <xdr:sp macro="" textlink="">
      <xdr:nvSpPr>
        <xdr:cNvPr id="14" name="Rectangle 11">
          <a:extLst>
            <a:ext uri="{FF2B5EF4-FFF2-40B4-BE49-F238E27FC236}">
              <a16:creationId xmlns:a16="http://schemas.microsoft.com/office/drawing/2014/main" id="{5652DBB7-64F2-4383-5716-06692E216E32}"/>
            </a:ext>
          </a:extLst>
        </xdr:cNvPr>
        <xdr:cNvSpPr>
          <a:spLocks noChangeArrowheads="1"/>
        </xdr:cNvSpPr>
      </xdr:nvSpPr>
      <xdr:spPr bwMode="auto">
        <a:xfrm>
          <a:off x="179693455" y="0"/>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112</xdr:row>
      <xdr:rowOff>0</xdr:rowOff>
    </xdr:from>
    <xdr:ext cx="25648" cy="117981"/>
    <xdr:sp macro="" textlink="">
      <xdr:nvSpPr>
        <xdr:cNvPr id="15" name="Rectangle 1">
          <a:extLst>
            <a:ext uri="{FF2B5EF4-FFF2-40B4-BE49-F238E27FC236}">
              <a16:creationId xmlns:a16="http://schemas.microsoft.com/office/drawing/2014/main" id="{E1FB49CE-24F7-B5EA-2237-83C152A3DC89}"/>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112</xdr:row>
      <xdr:rowOff>0</xdr:rowOff>
    </xdr:from>
    <xdr:ext cx="25648" cy="117981"/>
    <xdr:sp macro="" textlink="">
      <xdr:nvSpPr>
        <xdr:cNvPr id="16" name="Rectangle 2">
          <a:extLst>
            <a:ext uri="{FF2B5EF4-FFF2-40B4-BE49-F238E27FC236}">
              <a16:creationId xmlns:a16="http://schemas.microsoft.com/office/drawing/2014/main" id="{71D37D55-6921-381D-7BE5-B363E446D795}"/>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112</xdr:row>
      <xdr:rowOff>0</xdr:rowOff>
    </xdr:from>
    <xdr:ext cx="25648" cy="117981"/>
    <xdr:sp macro="" textlink="">
      <xdr:nvSpPr>
        <xdr:cNvPr id="24" name="Rectangle 3">
          <a:extLst>
            <a:ext uri="{FF2B5EF4-FFF2-40B4-BE49-F238E27FC236}">
              <a16:creationId xmlns:a16="http://schemas.microsoft.com/office/drawing/2014/main" id="{78DCC0B8-9FC1-4508-7D67-5E27C1339894}"/>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112</xdr:row>
      <xdr:rowOff>0</xdr:rowOff>
    </xdr:from>
    <xdr:ext cx="25648" cy="117981"/>
    <xdr:sp macro="" textlink="">
      <xdr:nvSpPr>
        <xdr:cNvPr id="28" name="Rectangle 4">
          <a:extLst>
            <a:ext uri="{FF2B5EF4-FFF2-40B4-BE49-F238E27FC236}">
              <a16:creationId xmlns:a16="http://schemas.microsoft.com/office/drawing/2014/main" id="{5207FFC1-44C3-F03D-1DB0-BB9DF2F8D94A}"/>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112</xdr:row>
      <xdr:rowOff>0</xdr:rowOff>
    </xdr:from>
    <xdr:ext cx="25648" cy="117981"/>
    <xdr:sp macro="" textlink="">
      <xdr:nvSpPr>
        <xdr:cNvPr id="29" name="Rectangle 5">
          <a:extLst>
            <a:ext uri="{FF2B5EF4-FFF2-40B4-BE49-F238E27FC236}">
              <a16:creationId xmlns:a16="http://schemas.microsoft.com/office/drawing/2014/main" id="{73197A44-AC86-9BFE-D900-9B0674055D83}"/>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112</xdr:row>
      <xdr:rowOff>0</xdr:rowOff>
    </xdr:from>
    <xdr:ext cx="25648" cy="117981"/>
    <xdr:sp macro="" textlink="">
      <xdr:nvSpPr>
        <xdr:cNvPr id="31" name="Rectangle 6">
          <a:extLst>
            <a:ext uri="{FF2B5EF4-FFF2-40B4-BE49-F238E27FC236}">
              <a16:creationId xmlns:a16="http://schemas.microsoft.com/office/drawing/2014/main" id="{3AB91893-F1D3-DC22-6CD8-36BDB2ACB597}"/>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112</xdr:row>
      <xdr:rowOff>0</xdr:rowOff>
    </xdr:from>
    <xdr:ext cx="25648" cy="117981"/>
    <xdr:sp macro="" textlink="">
      <xdr:nvSpPr>
        <xdr:cNvPr id="32" name="Rectangle 7">
          <a:extLst>
            <a:ext uri="{FF2B5EF4-FFF2-40B4-BE49-F238E27FC236}">
              <a16:creationId xmlns:a16="http://schemas.microsoft.com/office/drawing/2014/main" id="{5015FE5E-3041-B49E-C3DA-0B903E1B8761}"/>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112</xdr:row>
      <xdr:rowOff>0</xdr:rowOff>
    </xdr:from>
    <xdr:ext cx="25648" cy="117981"/>
    <xdr:sp macro="" textlink="">
      <xdr:nvSpPr>
        <xdr:cNvPr id="34" name="Rectangle 9">
          <a:extLst>
            <a:ext uri="{FF2B5EF4-FFF2-40B4-BE49-F238E27FC236}">
              <a16:creationId xmlns:a16="http://schemas.microsoft.com/office/drawing/2014/main" id="{68D25A14-7727-1EAC-8B14-82A301775488}"/>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112</xdr:row>
      <xdr:rowOff>0</xdr:rowOff>
    </xdr:from>
    <xdr:ext cx="25648" cy="117981"/>
    <xdr:sp macro="" textlink="">
      <xdr:nvSpPr>
        <xdr:cNvPr id="35" name="Rectangle 10">
          <a:extLst>
            <a:ext uri="{FF2B5EF4-FFF2-40B4-BE49-F238E27FC236}">
              <a16:creationId xmlns:a16="http://schemas.microsoft.com/office/drawing/2014/main" id="{73A39BDD-70C7-DDF9-D03E-08F5DF66CE4F}"/>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112</xdr:row>
      <xdr:rowOff>0</xdr:rowOff>
    </xdr:from>
    <xdr:ext cx="25648" cy="117981"/>
    <xdr:sp macro="" textlink="">
      <xdr:nvSpPr>
        <xdr:cNvPr id="36" name="Rectangle 11">
          <a:extLst>
            <a:ext uri="{FF2B5EF4-FFF2-40B4-BE49-F238E27FC236}">
              <a16:creationId xmlns:a16="http://schemas.microsoft.com/office/drawing/2014/main" id="{9A0BA58D-1B93-E073-45CC-398D064438B4}"/>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112</xdr:row>
      <xdr:rowOff>0</xdr:rowOff>
    </xdr:from>
    <xdr:ext cx="25648" cy="117981"/>
    <xdr:sp macro="" textlink="">
      <xdr:nvSpPr>
        <xdr:cNvPr id="37" name="Rectangle 782">
          <a:extLst>
            <a:ext uri="{FF2B5EF4-FFF2-40B4-BE49-F238E27FC236}">
              <a16:creationId xmlns:a16="http://schemas.microsoft.com/office/drawing/2014/main" id="{F87F7257-C3E7-B80E-E298-C90B2613DB87}"/>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112</xdr:row>
      <xdr:rowOff>0</xdr:rowOff>
    </xdr:from>
    <xdr:ext cx="25648" cy="117981"/>
    <xdr:sp macro="" textlink="">
      <xdr:nvSpPr>
        <xdr:cNvPr id="38" name="Rectangle 769">
          <a:extLst>
            <a:ext uri="{FF2B5EF4-FFF2-40B4-BE49-F238E27FC236}">
              <a16:creationId xmlns:a16="http://schemas.microsoft.com/office/drawing/2014/main" id="{EC8116DC-A916-136E-D778-625A4395F027}"/>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oneCellAnchor>
    <xdr:from>
      <xdr:col>0</xdr:col>
      <xdr:colOff>-25648</xdr:colOff>
      <xdr:row>112</xdr:row>
      <xdr:rowOff>0</xdr:rowOff>
    </xdr:from>
    <xdr:ext cx="25648" cy="117981"/>
    <xdr:sp macro="" textlink="">
      <xdr:nvSpPr>
        <xdr:cNvPr id="39" name="Rectangle 11">
          <a:extLst>
            <a:ext uri="{FF2B5EF4-FFF2-40B4-BE49-F238E27FC236}">
              <a16:creationId xmlns:a16="http://schemas.microsoft.com/office/drawing/2014/main" id="{F7FF8403-B936-8EF1-E27B-79B1CC4A9813}"/>
            </a:ext>
          </a:extLst>
        </xdr:cNvPr>
        <xdr:cNvSpPr>
          <a:spLocks noChangeArrowheads="1"/>
        </xdr:cNvSpPr>
      </xdr:nvSpPr>
      <xdr:spPr bwMode="auto">
        <a:xfrm>
          <a:off x="179693455" y="140443527"/>
          <a:ext cx="25648" cy="117981"/>
        </a:xfrm>
        <a:prstGeom prst="rect">
          <a:avLst/>
        </a:prstGeom>
        <a:noFill/>
        <a:ln w="9525">
          <a:noFill/>
          <a:miter lim="800000"/>
          <a:headEnd/>
          <a:tailEnd/>
        </a:ln>
      </xdr:spPr>
      <xdr:txBody>
        <a:bodyPr wrap="none" lIns="0" tIns="0" rIns="0" bIns="0" anchor="t" upright="1">
          <a:spAutoFit/>
        </a:bodyPr>
        <a:lstStyle/>
        <a:p>
          <a:pPr algn="r" rtl="0">
            <a:defRPr sz="1000"/>
          </a:pPr>
          <a:r>
            <a:rPr lang="en-US" sz="800" b="0" i="0" strike="noStrike">
              <a:solidFill>
                <a:srgbClr val="000000"/>
              </a:solidFill>
              <a:latin typeface="Times New Roman"/>
              <a:cs typeface="Times New Roman"/>
            </a:rPr>
            <a:t> </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9" tint="0.39997558519241921"/>
    <pageSetUpPr fitToPage="1"/>
  </sheetPr>
  <dimension ref="A1:H1419"/>
  <sheetViews>
    <sheetView showZeros="0" rightToLeft="1" tabSelected="1" view="pageBreakPreview" topLeftCell="B1" zoomScale="50" zoomScaleNormal="55" zoomScaleSheetLayoutView="50" zoomScalePageLayoutView="80" workbookViewId="0">
      <pane ySplit="7" topLeftCell="A125" activePane="bottomLeft" state="frozen"/>
      <selection activeCell="B1" sqref="B1"/>
      <selection pane="bottomLeft" activeCell="E10" sqref="E10"/>
    </sheetView>
  </sheetViews>
  <sheetFormatPr defaultColWidth="9.140625" defaultRowHeight="35.1" customHeight="1"/>
  <cols>
    <col min="1" max="1" width="0" style="3" hidden="1" customWidth="1"/>
    <col min="2" max="2" width="3.140625" style="3" customWidth="1"/>
    <col min="3" max="3" width="16.140625" style="62" customWidth="1"/>
    <col min="4" max="4" width="136.7109375" style="31" customWidth="1"/>
    <col min="5" max="5" width="22.28515625" style="32" customWidth="1"/>
    <col min="6" max="6" width="25" style="50" customWidth="1"/>
    <col min="7" max="7" width="108" style="44" customWidth="1"/>
    <col min="8" max="8" width="20" style="3" customWidth="1"/>
    <col min="9" max="16384" width="9.140625" style="3"/>
  </cols>
  <sheetData>
    <row r="1" spans="1:7" ht="54" customHeight="1">
      <c r="A1" s="1"/>
      <c r="B1" s="1"/>
      <c r="C1" s="2" t="s">
        <v>6</v>
      </c>
      <c r="D1" s="2"/>
      <c r="G1" s="71"/>
    </row>
    <row r="2" spans="1:7" ht="54" customHeight="1">
      <c r="A2" s="1"/>
      <c r="B2" s="1"/>
      <c r="C2" s="2" t="s">
        <v>414</v>
      </c>
      <c r="D2" s="2"/>
      <c r="G2" s="72"/>
    </row>
    <row r="3" spans="1:7" ht="54" customHeight="1">
      <c r="A3" s="1"/>
      <c r="B3" s="1"/>
      <c r="C3" s="2" t="s">
        <v>272</v>
      </c>
      <c r="D3" s="2"/>
      <c r="E3" s="143" t="s">
        <v>415</v>
      </c>
      <c r="F3" s="143"/>
      <c r="G3" s="73"/>
    </row>
    <row r="4" spans="1:7" ht="54" customHeight="1">
      <c r="A4" s="4" t="s">
        <v>7</v>
      </c>
      <c r="B4" s="4"/>
      <c r="C4" s="133" t="s">
        <v>271</v>
      </c>
      <c r="D4" s="133"/>
      <c r="E4" s="143"/>
      <c r="F4" s="143"/>
      <c r="G4" s="73"/>
    </row>
    <row r="5" spans="1:7" ht="34.15" customHeight="1">
      <c r="A5" s="1"/>
      <c r="B5" s="1"/>
      <c r="C5" s="61"/>
      <c r="D5" s="3"/>
      <c r="E5" s="130"/>
      <c r="F5" s="130"/>
      <c r="G5" s="5"/>
    </row>
    <row r="6" spans="1:7" ht="52.15" customHeight="1">
      <c r="C6" s="125" t="s">
        <v>0</v>
      </c>
      <c r="D6" s="128" t="s">
        <v>1</v>
      </c>
      <c r="E6" s="128" t="s">
        <v>2</v>
      </c>
      <c r="F6" s="126" t="s">
        <v>4</v>
      </c>
      <c r="G6" s="131" t="s">
        <v>5</v>
      </c>
    </row>
    <row r="7" spans="1:7" ht="56.45" customHeight="1">
      <c r="C7" s="125"/>
      <c r="D7" s="129"/>
      <c r="E7" s="129"/>
      <c r="F7" s="127"/>
      <c r="G7" s="132"/>
    </row>
    <row r="8" spans="1:7" ht="120.6" customHeight="1">
      <c r="C8" s="58">
        <v>1</v>
      </c>
      <c r="D8" s="6" t="s">
        <v>8</v>
      </c>
      <c r="E8" s="7" t="s">
        <v>34</v>
      </c>
      <c r="F8" s="52">
        <v>17900</v>
      </c>
      <c r="G8" s="8"/>
    </row>
    <row r="9" spans="1:7" ht="102.6" customHeight="1">
      <c r="C9" s="58">
        <v>2</v>
      </c>
      <c r="D9" s="6" t="s">
        <v>262</v>
      </c>
      <c r="E9" s="7" t="s">
        <v>34</v>
      </c>
      <c r="F9" s="53">
        <v>10362</v>
      </c>
      <c r="G9" s="8"/>
    </row>
    <row r="10" spans="1:7" ht="115.15" customHeight="1">
      <c r="C10" s="58">
        <v>3</v>
      </c>
      <c r="D10" s="6" t="s">
        <v>263</v>
      </c>
      <c r="E10" s="7" t="s">
        <v>34</v>
      </c>
      <c r="F10" s="53">
        <v>18420</v>
      </c>
      <c r="G10" s="8"/>
    </row>
    <row r="11" spans="1:7" ht="85.15" customHeight="1">
      <c r="C11" s="58">
        <v>4</v>
      </c>
      <c r="D11" s="9" t="s">
        <v>9</v>
      </c>
      <c r="E11" s="7" t="s">
        <v>33</v>
      </c>
      <c r="F11" s="53">
        <v>6</v>
      </c>
      <c r="G11" s="8"/>
    </row>
    <row r="12" spans="1:7" ht="78" customHeight="1">
      <c r="C12" s="58">
        <v>5</v>
      </c>
      <c r="D12" s="9" t="s">
        <v>10</v>
      </c>
      <c r="E12" s="7" t="s">
        <v>33</v>
      </c>
      <c r="F12" s="53">
        <v>1345</v>
      </c>
      <c r="G12" s="8"/>
    </row>
    <row r="13" spans="1:7" s="18" customFormat="1" ht="272.45" customHeight="1">
      <c r="C13" s="59">
        <v>6</v>
      </c>
      <c r="D13" s="9" t="s">
        <v>11</v>
      </c>
      <c r="E13" s="7" t="s">
        <v>34</v>
      </c>
      <c r="F13" s="53">
        <v>450</v>
      </c>
      <c r="G13" s="45"/>
    </row>
    <row r="14" spans="1:7" ht="258.60000000000002" customHeight="1">
      <c r="C14" s="58">
        <v>7</v>
      </c>
      <c r="D14" s="9" t="s">
        <v>12</v>
      </c>
      <c r="E14" s="7" t="s">
        <v>34</v>
      </c>
      <c r="F14" s="53">
        <v>76</v>
      </c>
      <c r="G14" s="8"/>
    </row>
    <row r="15" spans="1:7" ht="58.9" customHeight="1">
      <c r="C15" s="124" t="s">
        <v>3</v>
      </c>
      <c r="D15" s="124"/>
      <c r="E15" s="124"/>
      <c r="F15" s="124"/>
      <c r="G15" s="10"/>
    </row>
    <row r="16" spans="1:7" ht="103.9" customHeight="1">
      <c r="C16" s="58">
        <v>8</v>
      </c>
      <c r="D16" s="11" t="s">
        <v>13</v>
      </c>
      <c r="E16" s="12" t="s">
        <v>35</v>
      </c>
      <c r="F16" s="67">
        <v>20</v>
      </c>
      <c r="G16" s="8"/>
    </row>
    <row r="17" spans="3:7" ht="97.15" customHeight="1">
      <c r="C17" s="58">
        <v>9</v>
      </c>
      <c r="D17" s="13" t="s">
        <v>14</v>
      </c>
      <c r="E17" s="12" t="s">
        <v>35</v>
      </c>
      <c r="F17" s="67">
        <v>20</v>
      </c>
      <c r="G17" s="8"/>
    </row>
    <row r="18" spans="3:7" ht="58.9" customHeight="1">
      <c r="C18" s="58">
        <v>10</v>
      </c>
      <c r="D18" s="13" t="s">
        <v>15</v>
      </c>
      <c r="E18" s="12" t="s">
        <v>35</v>
      </c>
      <c r="F18" s="67">
        <v>420</v>
      </c>
      <c r="G18" s="8"/>
    </row>
    <row r="19" spans="3:7" ht="129" customHeight="1">
      <c r="C19" s="58">
        <v>11</v>
      </c>
      <c r="D19" s="13" t="s">
        <v>16</v>
      </c>
      <c r="E19" s="12" t="s">
        <v>35</v>
      </c>
      <c r="F19" s="67">
        <v>2</v>
      </c>
      <c r="G19" s="8"/>
    </row>
    <row r="20" spans="3:7" ht="99.6" customHeight="1">
      <c r="C20" s="58">
        <v>12</v>
      </c>
      <c r="D20" s="13" t="s">
        <v>17</v>
      </c>
      <c r="E20" s="12" t="s">
        <v>34</v>
      </c>
      <c r="F20" s="67">
        <v>27</v>
      </c>
      <c r="G20" s="8"/>
    </row>
    <row r="21" spans="3:7" ht="91.15" customHeight="1">
      <c r="C21" s="58">
        <v>13</v>
      </c>
      <c r="D21" s="13" t="s">
        <v>18</v>
      </c>
      <c r="E21" s="12" t="s">
        <v>34</v>
      </c>
      <c r="F21" s="67">
        <v>101</v>
      </c>
      <c r="G21" s="8"/>
    </row>
    <row r="22" spans="3:7" ht="64.900000000000006" customHeight="1">
      <c r="C22" s="58">
        <v>14</v>
      </c>
      <c r="D22" s="13" t="s">
        <v>19</v>
      </c>
      <c r="E22" s="12" t="s">
        <v>36</v>
      </c>
      <c r="F22" s="67">
        <v>1</v>
      </c>
      <c r="G22" s="8"/>
    </row>
    <row r="23" spans="3:7" ht="69.599999999999994" customHeight="1">
      <c r="C23" s="58">
        <v>15</v>
      </c>
      <c r="D23" s="13" t="s">
        <v>20</v>
      </c>
      <c r="E23" s="12" t="s">
        <v>36</v>
      </c>
      <c r="F23" s="67">
        <v>1</v>
      </c>
      <c r="G23" s="8"/>
    </row>
    <row r="24" spans="3:7" ht="66.599999999999994" customHeight="1">
      <c r="C24" s="58">
        <v>16</v>
      </c>
      <c r="D24" s="13" t="s">
        <v>21</v>
      </c>
      <c r="E24" s="12" t="s">
        <v>36</v>
      </c>
      <c r="F24" s="67">
        <v>4</v>
      </c>
      <c r="G24" s="8"/>
    </row>
    <row r="25" spans="3:7" ht="58.5" customHeight="1">
      <c r="C25" s="124" t="s">
        <v>3</v>
      </c>
      <c r="D25" s="124"/>
      <c r="E25" s="124"/>
      <c r="F25" s="124"/>
      <c r="G25" s="10"/>
    </row>
    <row r="26" spans="3:7" ht="114" customHeight="1">
      <c r="C26" s="58">
        <v>17</v>
      </c>
      <c r="D26" s="11" t="s">
        <v>22</v>
      </c>
      <c r="E26" s="12" t="s">
        <v>36</v>
      </c>
      <c r="F26" s="67">
        <v>1</v>
      </c>
      <c r="G26" s="8"/>
    </row>
    <row r="27" spans="3:7" ht="98.45" customHeight="1">
      <c r="C27" s="58">
        <v>18</v>
      </c>
      <c r="D27" s="11" t="s">
        <v>23</v>
      </c>
      <c r="E27" s="12" t="s">
        <v>36</v>
      </c>
      <c r="F27" s="67">
        <v>1</v>
      </c>
      <c r="G27" s="8"/>
    </row>
    <row r="28" spans="3:7" ht="105.6" customHeight="1">
      <c r="C28" s="58">
        <v>19</v>
      </c>
      <c r="D28" s="11" t="s">
        <v>24</v>
      </c>
      <c r="E28" s="12" t="s">
        <v>36</v>
      </c>
      <c r="F28" s="67">
        <v>1</v>
      </c>
      <c r="G28" s="8"/>
    </row>
    <row r="29" spans="3:7" ht="113.45" customHeight="1">
      <c r="C29" s="58">
        <v>20</v>
      </c>
      <c r="D29" s="11" t="s">
        <v>25</v>
      </c>
      <c r="E29" s="12" t="s">
        <v>36</v>
      </c>
      <c r="F29" s="67">
        <v>1</v>
      </c>
      <c r="G29" s="8"/>
    </row>
    <row r="30" spans="3:7" ht="82.9" customHeight="1">
      <c r="C30" s="58">
        <v>21</v>
      </c>
      <c r="D30" s="11" t="s">
        <v>26</v>
      </c>
      <c r="E30" s="12" t="s">
        <v>36</v>
      </c>
      <c r="F30" s="67">
        <v>3</v>
      </c>
      <c r="G30" s="8"/>
    </row>
    <row r="31" spans="3:7" ht="97.9" customHeight="1">
      <c r="C31" s="58">
        <v>22</v>
      </c>
      <c r="D31" s="11" t="s">
        <v>27</v>
      </c>
      <c r="E31" s="12" t="s">
        <v>35</v>
      </c>
      <c r="F31" s="67">
        <v>4532</v>
      </c>
      <c r="G31" s="8"/>
    </row>
    <row r="32" spans="3:7" ht="105" customHeight="1">
      <c r="C32" s="58">
        <v>23</v>
      </c>
      <c r="D32" s="11" t="s">
        <v>28</v>
      </c>
      <c r="E32" s="12" t="s">
        <v>35</v>
      </c>
      <c r="F32" s="67">
        <v>700</v>
      </c>
      <c r="G32" s="8"/>
    </row>
    <row r="33" spans="3:7" ht="98.45" customHeight="1">
      <c r="C33" s="58">
        <v>24</v>
      </c>
      <c r="D33" s="11" t="s">
        <v>29</v>
      </c>
      <c r="E33" s="12" t="s">
        <v>34</v>
      </c>
      <c r="F33" s="67">
        <v>431</v>
      </c>
      <c r="G33" s="8"/>
    </row>
    <row r="34" spans="3:7" ht="90" customHeight="1">
      <c r="C34" s="58">
        <v>25</v>
      </c>
      <c r="D34" s="13" t="s">
        <v>30</v>
      </c>
      <c r="E34" s="12" t="s">
        <v>36</v>
      </c>
      <c r="F34" s="67">
        <v>248</v>
      </c>
      <c r="G34" s="8"/>
    </row>
    <row r="35" spans="3:7" ht="56.45" customHeight="1">
      <c r="C35" s="124" t="s">
        <v>3</v>
      </c>
      <c r="D35" s="124"/>
      <c r="E35" s="124"/>
      <c r="F35" s="124"/>
      <c r="G35" s="10"/>
    </row>
    <row r="36" spans="3:7" ht="160.15" customHeight="1">
      <c r="C36" s="58">
        <v>26</v>
      </c>
      <c r="D36" s="13" t="s">
        <v>31</v>
      </c>
      <c r="E36" s="12" t="s">
        <v>34</v>
      </c>
      <c r="F36" s="67">
        <v>345</v>
      </c>
      <c r="G36" s="8"/>
    </row>
    <row r="37" spans="3:7" ht="157.15" customHeight="1">
      <c r="C37" s="58">
        <v>27</v>
      </c>
      <c r="D37" s="14" t="s">
        <v>32</v>
      </c>
      <c r="E37" s="12" t="s">
        <v>34</v>
      </c>
      <c r="F37" s="67">
        <v>331</v>
      </c>
      <c r="G37" s="8"/>
    </row>
    <row r="38" spans="3:7" ht="153" customHeight="1">
      <c r="C38" s="58">
        <v>28</v>
      </c>
      <c r="D38" s="14" t="s">
        <v>37</v>
      </c>
      <c r="E38" s="12" t="s">
        <v>34</v>
      </c>
      <c r="F38" s="67">
        <v>2517</v>
      </c>
      <c r="G38" s="8"/>
    </row>
    <row r="39" spans="3:7" ht="163.15" customHeight="1">
      <c r="C39" s="58">
        <v>29</v>
      </c>
      <c r="D39" s="13" t="s">
        <v>38</v>
      </c>
      <c r="E39" s="12" t="s">
        <v>34</v>
      </c>
      <c r="F39" s="67">
        <v>846</v>
      </c>
      <c r="G39" s="8"/>
    </row>
    <row r="40" spans="3:7" ht="152.44999999999999" customHeight="1">
      <c r="C40" s="58">
        <v>30</v>
      </c>
      <c r="D40" s="11" t="s">
        <v>39</v>
      </c>
      <c r="E40" s="12" t="s">
        <v>34</v>
      </c>
      <c r="F40" s="67">
        <v>456</v>
      </c>
      <c r="G40" s="8"/>
    </row>
    <row r="41" spans="3:7" ht="163.15" customHeight="1">
      <c r="C41" s="58">
        <v>31</v>
      </c>
      <c r="D41" s="11" t="s">
        <v>40</v>
      </c>
      <c r="E41" s="12" t="s">
        <v>34</v>
      </c>
      <c r="F41" s="67">
        <v>53</v>
      </c>
      <c r="G41" s="8"/>
    </row>
    <row r="42" spans="3:7" ht="56.45" customHeight="1">
      <c r="C42" s="124" t="s">
        <v>3</v>
      </c>
      <c r="D42" s="124"/>
      <c r="E42" s="124"/>
      <c r="F42" s="124"/>
      <c r="G42" s="10"/>
    </row>
    <row r="43" spans="3:7" ht="113.45" customHeight="1">
      <c r="C43" s="60">
        <v>32</v>
      </c>
      <c r="D43" s="15" t="s">
        <v>41</v>
      </c>
      <c r="E43" s="16" t="s">
        <v>34</v>
      </c>
      <c r="F43" s="70">
        <v>29</v>
      </c>
      <c r="G43" s="54"/>
    </row>
    <row r="44" spans="3:7" ht="124.9" customHeight="1">
      <c r="C44" s="59">
        <v>33</v>
      </c>
      <c r="D44" s="17" t="s">
        <v>42</v>
      </c>
      <c r="E44" s="12" t="s">
        <v>34</v>
      </c>
      <c r="F44" s="67">
        <v>118</v>
      </c>
      <c r="G44" s="55"/>
    </row>
    <row r="45" spans="3:7" ht="145.15" customHeight="1">
      <c r="C45" s="59">
        <v>34</v>
      </c>
      <c r="D45" s="14" t="s">
        <v>43</v>
      </c>
      <c r="E45" s="12" t="s">
        <v>34</v>
      </c>
      <c r="F45" s="67">
        <v>758</v>
      </c>
      <c r="G45" s="55"/>
    </row>
    <row r="46" spans="3:7" ht="178.15" customHeight="1">
      <c r="C46" s="59">
        <v>35</v>
      </c>
      <c r="D46" s="13" t="s">
        <v>44</v>
      </c>
      <c r="E46" s="12" t="s">
        <v>34</v>
      </c>
      <c r="F46" s="67">
        <v>60</v>
      </c>
      <c r="G46" s="55"/>
    </row>
    <row r="47" spans="3:7" ht="199.15" customHeight="1">
      <c r="C47" s="59">
        <v>36</v>
      </c>
      <c r="D47" s="13" t="s">
        <v>45</v>
      </c>
      <c r="E47" s="12" t="s">
        <v>34</v>
      </c>
      <c r="F47" s="67">
        <v>75</v>
      </c>
      <c r="G47" s="55"/>
    </row>
    <row r="48" spans="3:7" ht="169.15" customHeight="1">
      <c r="C48" s="59">
        <v>37</v>
      </c>
      <c r="D48" s="11" t="s">
        <v>46</v>
      </c>
      <c r="E48" s="12" t="s">
        <v>34</v>
      </c>
      <c r="F48" s="67">
        <v>162</v>
      </c>
      <c r="G48" s="55"/>
    </row>
    <row r="49" spans="2:7" ht="144.6" customHeight="1">
      <c r="C49" s="59">
        <v>38</v>
      </c>
      <c r="D49" s="11" t="s">
        <v>47</v>
      </c>
      <c r="E49" s="12" t="s">
        <v>34</v>
      </c>
      <c r="F49" s="67">
        <v>684</v>
      </c>
      <c r="G49" s="55"/>
    </row>
    <row r="50" spans="2:7" ht="50.45" customHeight="1">
      <c r="C50" s="124" t="s">
        <v>3</v>
      </c>
      <c r="D50" s="124"/>
      <c r="E50" s="124"/>
      <c r="F50" s="124"/>
      <c r="G50" s="10"/>
    </row>
    <row r="51" spans="2:7" ht="175.15" customHeight="1">
      <c r="B51" s="18"/>
      <c r="C51" s="59">
        <v>39</v>
      </c>
      <c r="D51" s="13" t="s">
        <v>48</v>
      </c>
      <c r="E51" s="12" t="s">
        <v>34</v>
      </c>
      <c r="F51" s="67">
        <v>64</v>
      </c>
      <c r="G51" s="55"/>
    </row>
    <row r="52" spans="2:7" ht="178.9" customHeight="1">
      <c r="B52" s="18"/>
      <c r="C52" s="59">
        <v>40</v>
      </c>
      <c r="D52" s="13" t="s">
        <v>49</v>
      </c>
      <c r="E52" s="12" t="s">
        <v>34</v>
      </c>
      <c r="F52" s="67">
        <v>72</v>
      </c>
      <c r="G52" s="55"/>
    </row>
    <row r="53" spans="2:7" ht="142.9" customHeight="1">
      <c r="B53" s="18"/>
      <c r="C53" s="59">
        <v>41</v>
      </c>
      <c r="D53" s="13" t="s">
        <v>50</v>
      </c>
      <c r="E53" s="12" t="s">
        <v>34</v>
      </c>
      <c r="F53" s="67">
        <v>78</v>
      </c>
      <c r="G53" s="55"/>
    </row>
    <row r="54" spans="2:7" ht="160.9" customHeight="1">
      <c r="B54" s="18"/>
      <c r="C54" s="59">
        <v>42</v>
      </c>
      <c r="D54" s="13" t="s">
        <v>51</v>
      </c>
      <c r="E54" s="12" t="s">
        <v>34</v>
      </c>
      <c r="F54" s="67">
        <v>297</v>
      </c>
      <c r="G54" s="55"/>
    </row>
    <row r="55" spans="2:7" ht="153" customHeight="1">
      <c r="B55" s="18"/>
      <c r="C55" s="59">
        <v>43</v>
      </c>
      <c r="D55" s="13" t="s">
        <v>52</v>
      </c>
      <c r="E55" s="12" t="s">
        <v>34</v>
      </c>
      <c r="F55" s="67">
        <v>69</v>
      </c>
      <c r="G55" s="55"/>
    </row>
    <row r="56" spans="2:7" ht="153" customHeight="1">
      <c r="B56" s="18"/>
      <c r="C56" s="59">
        <v>44</v>
      </c>
      <c r="D56" s="13" t="s">
        <v>53</v>
      </c>
      <c r="E56" s="12" t="s">
        <v>34</v>
      </c>
      <c r="F56" s="67">
        <v>62</v>
      </c>
      <c r="G56" s="55"/>
    </row>
    <row r="57" spans="2:7" ht="117" customHeight="1">
      <c r="B57" s="18"/>
      <c r="C57" s="59">
        <v>45</v>
      </c>
      <c r="D57" s="13" t="s">
        <v>54</v>
      </c>
      <c r="E57" s="12" t="s">
        <v>34</v>
      </c>
      <c r="F57" s="67">
        <v>1345</v>
      </c>
      <c r="G57" s="55"/>
    </row>
    <row r="58" spans="2:7" ht="60" customHeight="1">
      <c r="C58" s="124" t="s">
        <v>3</v>
      </c>
      <c r="D58" s="124"/>
      <c r="E58" s="124"/>
      <c r="F58" s="124"/>
      <c r="G58" s="10"/>
    </row>
    <row r="59" spans="2:7" ht="142.9" customHeight="1">
      <c r="C59" s="106">
        <v>46</v>
      </c>
      <c r="D59" s="19" t="s">
        <v>57</v>
      </c>
      <c r="E59" s="98" t="s">
        <v>36</v>
      </c>
      <c r="F59" s="121">
        <v>238</v>
      </c>
      <c r="G59" s="141"/>
    </row>
    <row r="60" spans="2:7" ht="65.45" customHeight="1">
      <c r="C60" s="106"/>
      <c r="D60" s="15" t="s">
        <v>56</v>
      </c>
      <c r="E60" s="98"/>
      <c r="F60" s="121"/>
      <c r="G60" s="141"/>
    </row>
    <row r="61" spans="2:7" ht="107.45" customHeight="1">
      <c r="C61" s="99">
        <v>47</v>
      </c>
      <c r="D61" s="19" t="s">
        <v>55</v>
      </c>
      <c r="E61" s="98" t="s">
        <v>36</v>
      </c>
      <c r="F61" s="121">
        <v>37</v>
      </c>
      <c r="G61" s="141"/>
    </row>
    <row r="62" spans="2:7" ht="72.599999999999994" customHeight="1">
      <c r="C62" s="99"/>
      <c r="D62" s="20" t="s">
        <v>58</v>
      </c>
      <c r="E62" s="98"/>
      <c r="F62" s="121"/>
      <c r="G62" s="141"/>
    </row>
    <row r="63" spans="2:7" ht="104.45" customHeight="1">
      <c r="C63" s="99">
        <v>48</v>
      </c>
      <c r="D63" s="19" t="s">
        <v>55</v>
      </c>
      <c r="E63" s="98" t="s">
        <v>36</v>
      </c>
      <c r="F63" s="121">
        <v>5</v>
      </c>
      <c r="G63" s="141"/>
    </row>
    <row r="64" spans="2:7" ht="58.9" customHeight="1">
      <c r="C64" s="99"/>
      <c r="D64" s="15" t="s">
        <v>59</v>
      </c>
      <c r="E64" s="98"/>
      <c r="F64" s="121"/>
      <c r="G64" s="141"/>
    </row>
    <row r="65" spans="3:7" ht="126" customHeight="1">
      <c r="C65" s="99">
        <v>49</v>
      </c>
      <c r="D65" s="20" t="s">
        <v>60</v>
      </c>
      <c r="E65" s="98" t="s">
        <v>36</v>
      </c>
      <c r="F65" s="121">
        <v>13</v>
      </c>
      <c r="G65" s="141"/>
    </row>
    <row r="66" spans="3:7" ht="58.15" customHeight="1">
      <c r="C66" s="99"/>
      <c r="D66" s="15" t="s">
        <v>61</v>
      </c>
      <c r="E66" s="98"/>
      <c r="F66" s="121"/>
      <c r="G66" s="141"/>
    </row>
    <row r="67" spans="3:7" ht="60" customHeight="1">
      <c r="C67" s="74" t="s">
        <v>3</v>
      </c>
      <c r="D67" s="75"/>
      <c r="E67" s="75"/>
      <c r="F67" s="75"/>
      <c r="G67" s="10"/>
    </row>
    <row r="68" spans="3:7" ht="127.15" customHeight="1">
      <c r="C68" s="106">
        <v>50</v>
      </c>
      <c r="D68" s="19" t="s">
        <v>60</v>
      </c>
      <c r="E68" s="98" t="s">
        <v>36</v>
      </c>
      <c r="F68" s="121">
        <v>13</v>
      </c>
      <c r="G68" s="97"/>
    </row>
    <row r="69" spans="3:7" ht="64.900000000000006" customHeight="1">
      <c r="C69" s="106"/>
      <c r="D69" s="15" t="s">
        <v>62</v>
      </c>
      <c r="E69" s="98"/>
      <c r="F69" s="121"/>
      <c r="G69" s="97"/>
    </row>
    <row r="70" spans="3:7" ht="117.6" customHeight="1">
      <c r="C70" s="106">
        <v>51</v>
      </c>
      <c r="D70" s="19" t="s">
        <v>60</v>
      </c>
      <c r="E70" s="98" t="s">
        <v>36</v>
      </c>
      <c r="F70" s="121">
        <v>47</v>
      </c>
      <c r="G70" s="137"/>
    </row>
    <row r="71" spans="3:7" ht="54" customHeight="1">
      <c r="C71" s="106"/>
      <c r="D71" s="20" t="s">
        <v>63</v>
      </c>
      <c r="E71" s="98"/>
      <c r="F71" s="121"/>
      <c r="G71" s="137"/>
    </row>
    <row r="72" spans="3:7" ht="125.45" customHeight="1">
      <c r="C72" s="106">
        <v>52</v>
      </c>
      <c r="D72" s="19" t="s">
        <v>60</v>
      </c>
      <c r="E72" s="98" t="s">
        <v>36</v>
      </c>
      <c r="F72" s="121">
        <v>48</v>
      </c>
      <c r="G72" s="137"/>
    </row>
    <row r="73" spans="3:7" ht="59.45" customHeight="1">
      <c r="C73" s="106"/>
      <c r="D73" s="15" t="s">
        <v>64</v>
      </c>
      <c r="E73" s="98"/>
      <c r="F73" s="121"/>
      <c r="G73" s="137"/>
    </row>
    <row r="74" spans="3:7" ht="123" customHeight="1">
      <c r="C74" s="106">
        <v>53</v>
      </c>
      <c r="D74" s="19" t="s">
        <v>60</v>
      </c>
      <c r="E74" s="98" t="s">
        <v>36</v>
      </c>
      <c r="F74" s="121">
        <v>1</v>
      </c>
      <c r="G74" s="137"/>
    </row>
    <row r="75" spans="3:7" ht="54" customHeight="1">
      <c r="C75" s="106"/>
      <c r="D75" s="15" t="s">
        <v>65</v>
      </c>
      <c r="E75" s="98"/>
      <c r="F75" s="121"/>
      <c r="G75" s="137"/>
    </row>
    <row r="76" spans="3:7" ht="138" customHeight="1">
      <c r="C76" s="106">
        <v>54</v>
      </c>
      <c r="D76" s="19" t="s">
        <v>66</v>
      </c>
      <c r="E76" s="98" t="s">
        <v>36</v>
      </c>
      <c r="F76" s="121">
        <v>14</v>
      </c>
      <c r="G76" s="137"/>
    </row>
    <row r="77" spans="3:7" ht="61.9" customHeight="1">
      <c r="C77" s="106"/>
      <c r="D77" s="15" t="s">
        <v>67</v>
      </c>
      <c r="E77" s="98"/>
      <c r="F77" s="121"/>
      <c r="G77" s="137"/>
    </row>
    <row r="78" spans="3:7" ht="57" customHeight="1">
      <c r="C78" s="74" t="s">
        <v>3</v>
      </c>
      <c r="D78" s="75"/>
      <c r="E78" s="75"/>
      <c r="F78" s="75"/>
      <c r="G78" s="10"/>
    </row>
    <row r="79" spans="3:7" ht="127.9" customHeight="1">
      <c r="C79" s="78">
        <v>55</v>
      </c>
      <c r="D79" s="19" t="s">
        <v>68</v>
      </c>
      <c r="E79" s="84" t="s">
        <v>36</v>
      </c>
      <c r="F79" s="119">
        <v>14</v>
      </c>
      <c r="G79" s="138"/>
    </row>
    <row r="80" spans="3:7" ht="64.150000000000006" customHeight="1">
      <c r="C80" s="79"/>
      <c r="D80" s="15" t="s">
        <v>69</v>
      </c>
      <c r="E80" s="86"/>
      <c r="F80" s="123"/>
      <c r="G80" s="140"/>
    </row>
    <row r="81" spans="3:7" ht="131.44999999999999" customHeight="1">
      <c r="C81" s="78">
        <v>56</v>
      </c>
      <c r="D81" s="19" t="s">
        <v>70</v>
      </c>
      <c r="E81" s="84" t="s">
        <v>36</v>
      </c>
      <c r="F81" s="119">
        <v>32</v>
      </c>
      <c r="G81" s="138"/>
    </row>
    <row r="82" spans="3:7" ht="69" customHeight="1">
      <c r="C82" s="79"/>
      <c r="D82" s="15" t="s">
        <v>71</v>
      </c>
      <c r="E82" s="86"/>
      <c r="F82" s="123"/>
      <c r="G82" s="140"/>
    </row>
    <row r="83" spans="3:7" ht="130.15" customHeight="1">
      <c r="C83" s="78">
        <v>57</v>
      </c>
      <c r="D83" s="19" t="s">
        <v>72</v>
      </c>
      <c r="E83" s="84" t="s">
        <v>36</v>
      </c>
      <c r="F83" s="119">
        <v>1</v>
      </c>
      <c r="G83" s="138"/>
    </row>
    <row r="84" spans="3:7" ht="72" customHeight="1">
      <c r="C84" s="79"/>
      <c r="D84" s="15" t="s">
        <v>73</v>
      </c>
      <c r="E84" s="86"/>
      <c r="F84" s="123"/>
      <c r="G84" s="140"/>
    </row>
    <row r="85" spans="3:7" ht="126.6" customHeight="1">
      <c r="C85" s="78">
        <v>58</v>
      </c>
      <c r="D85" s="19" t="s">
        <v>74</v>
      </c>
      <c r="E85" s="84" t="s">
        <v>36</v>
      </c>
      <c r="F85" s="119">
        <v>1</v>
      </c>
      <c r="G85" s="138"/>
    </row>
    <row r="86" spans="3:7" ht="52.9" customHeight="1">
      <c r="C86" s="79"/>
      <c r="D86" s="20" t="s">
        <v>75</v>
      </c>
      <c r="E86" s="86"/>
      <c r="F86" s="123"/>
      <c r="G86" s="140"/>
    </row>
    <row r="87" spans="3:7" ht="101.45" customHeight="1">
      <c r="C87" s="108">
        <v>59</v>
      </c>
      <c r="D87" s="19" t="s">
        <v>76</v>
      </c>
      <c r="E87" s="84" t="s">
        <v>36</v>
      </c>
      <c r="F87" s="119">
        <v>6</v>
      </c>
      <c r="G87" s="138"/>
    </row>
    <row r="88" spans="3:7" ht="57" customHeight="1">
      <c r="C88" s="109"/>
      <c r="D88" s="20" t="s">
        <v>77</v>
      </c>
      <c r="E88" s="85"/>
      <c r="F88" s="120"/>
      <c r="G88" s="139"/>
    </row>
    <row r="89" spans="3:7" ht="60" customHeight="1">
      <c r="C89" s="110"/>
      <c r="D89" s="15" t="s">
        <v>78</v>
      </c>
      <c r="E89" s="86"/>
      <c r="F89" s="123"/>
      <c r="G89" s="140"/>
    </row>
    <row r="90" spans="3:7" ht="52.15" customHeight="1">
      <c r="C90" s="74" t="s">
        <v>3</v>
      </c>
      <c r="D90" s="75"/>
      <c r="E90" s="75"/>
      <c r="F90" s="75"/>
      <c r="G90" s="10"/>
    </row>
    <row r="91" spans="3:7" ht="96.6" customHeight="1">
      <c r="C91" s="99">
        <v>60</v>
      </c>
      <c r="D91" s="19" t="s">
        <v>79</v>
      </c>
      <c r="E91" s="98" t="s">
        <v>36</v>
      </c>
      <c r="F91" s="121">
        <v>7</v>
      </c>
      <c r="G91" s="97"/>
    </row>
    <row r="92" spans="3:7" ht="27.75" customHeight="1">
      <c r="C92" s="99"/>
      <c r="D92" s="20" t="s">
        <v>80</v>
      </c>
      <c r="E92" s="98"/>
      <c r="F92" s="121"/>
      <c r="G92" s="97"/>
    </row>
    <row r="93" spans="3:7" ht="36.6" customHeight="1">
      <c r="C93" s="99"/>
      <c r="D93" s="15" t="s">
        <v>81</v>
      </c>
      <c r="E93" s="98"/>
      <c r="F93" s="121"/>
      <c r="G93" s="97"/>
    </row>
    <row r="94" spans="3:7" ht="102.6" customHeight="1">
      <c r="C94" s="99">
        <v>61</v>
      </c>
      <c r="D94" s="19" t="s">
        <v>82</v>
      </c>
      <c r="E94" s="98" t="s">
        <v>36</v>
      </c>
      <c r="F94" s="121">
        <v>8</v>
      </c>
      <c r="G94" s="97"/>
    </row>
    <row r="95" spans="3:7" ht="35.25" customHeight="1">
      <c r="C95" s="99"/>
      <c r="D95" s="20" t="s">
        <v>80</v>
      </c>
      <c r="E95" s="98"/>
      <c r="F95" s="121"/>
      <c r="G95" s="97"/>
    </row>
    <row r="96" spans="3:7" ht="31.5" customHeight="1">
      <c r="C96" s="99"/>
      <c r="D96" s="15" t="s">
        <v>83</v>
      </c>
      <c r="E96" s="98"/>
      <c r="F96" s="121"/>
      <c r="G96" s="97"/>
    </row>
    <row r="97" spans="3:7" ht="117" customHeight="1">
      <c r="C97" s="99">
        <v>62</v>
      </c>
      <c r="D97" s="19" t="s">
        <v>82</v>
      </c>
      <c r="E97" s="98" t="s">
        <v>36</v>
      </c>
      <c r="F97" s="121">
        <v>2</v>
      </c>
      <c r="G97" s="137"/>
    </row>
    <row r="98" spans="3:7" ht="27" customHeight="1">
      <c r="C98" s="99"/>
      <c r="D98" s="20" t="s">
        <v>80</v>
      </c>
      <c r="E98" s="98"/>
      <c r="F98" s="121"/>
      <c r="G98" s="137"/>
    </row>
    <row r="99" spans="3:7" ht="29.25" customHeight="1">
      <c r="C99" s="99"/>
      <c r="D99" s="20" t="s">
        <v>84</v>
      </c>
      <c r="E99" s="98"/>
      <c r="F99" s="121"/>
      <c r="G99" s="137"/>
    </row>
    <row r="100" spans="3:7" ht="22.5" customHeight="1">
      <c r="C100" s="99"/>
      <c r="D100" s="21" t="s">
        <v>85</v>
      </c>
      <c r="E100" s="98"/>
      <c r="F100" s="121"/>
      <c r="G100" s="137"/>
    </row>
    <row r="101" spans="3:7" ht="49.15" customHeight="1">
      <c r="C101" s="74" t="s">
        <v>3</v>
      </c>
      <c r="D101" s="75"/>
      <c r="E101" s="75"/>
      <c r="F101" s="75"/>
      <c r="G101" s="10"/>
    </row>
    <row r="102" spans="3:7" ht="121.15" customHeight="1">
      <c r="C102" s="99">
        <v>63</v>
      </c>
      <c r="D102" s="19" t="s">
        <v>82</v>
      </c>
      <c r="E102" s="98" t="s">
        <v>36</v>
      </c>
      <c r="F102" s="121">
        <v>1</v>
      </c>
      <c r="G102" s="97"/>
    </row>
    <row r="103" spans="3:7" ht="36" customHeight="1">
      <c r="C103" s="99"/>
      <c r="D103" s="20" t="s">
        <v>80</v>
      </c>
      <c r="E103" s="98"/>
      <c r="F103" s="121"/>
      <c r="G103" s="97"/>
    </row>
    <row r="104" spans="3:7" ht="36" customHeight="1">
      <c r="C104" s="99"/>
      <c r="D104" s="15" t="s">
        <v>86</v>
      </c>
      <c r="E104" s="98"/>
      <c r="F104" s="121"/>
      <c r="G104" s="97"/>
    </row>
    <row r="105" spans="3:7" ht="111" customHeight="1">
      <c r="C105" s="99">
        <v>64</v>
      </c>
      <c r="D105" s="19" t="s">
        <v>82</v>
      </c>
      <c r="E105" s="98" t="s">
        <v>36</v>
      </c>
      <c r="F105" s="121">
        <v>1</v>
      </c>
      <c r="G105" s="97"/>
    </row>
    <row r="106" spans="3:7" ht="27.6" customHeight="1">
      <c r="C106" s="99"/>
      <c r="D106" s="20" t="s">
        <v>80</v>
      </c>
      <c r="E106" s="98"/>
      <c r="F106" s="121"/>
      <c r="G106" s="97"/>
    </row>
    <row r="107" spans="3:7" ht="25.5" customHeight="1">
      <c r="C107" s="99"/>
      <c r="D107" s="20" t="s">
        <v>87</v>
      </c>
      <c r="E107" s="98"/>
      <c r="F107" s="121"/>
      <c r="G107" s="97"/>
    </row>
    <row r="108" spans="3:7" ht="26.45" customHeight="1">
      <c r="C108" s="99"/>
      <c r="D108" s="15" t="s">
        <v>85</v>
      </c>
      <c r="E108" s="98"/>
      <c r="F108" s="121"/>
      <c r="G108" s="97"/>
    </row>
    <row r="109" spans="3:7" ht="103.9" customHeight="1">
      <c r="C109" s="99">
        <v>65</v>
      </c>
      <c r="D109" s="19" t="s">
        <v>82</v>
      </c>
      <c r="E109" s="98" t="s">
        <v>36</v>
      </c>
      <c r="F109" s="121">
        <v>4</v>
      </c>
      <c r="G109" s="97"/>
    </row>
    <row r="110" spans="3:7" ht="27.75" customHeight="1">
      <c r="C110" s="99"/>
      <c r="D110" s="20" t="s">
        <v>80</v>
      </c>
      <c r="E110" s="98"/>
      <c r="F110" s="121"/>
      <c r="G110" s="97"/>
    </row>
    <row r="111" spans="3:7" ht="33.75" customHeight="1">
      <c r="C111" s="99"/>
      <c r="D111" s="15" t="s">
        <v>88</v>
      </c>
      <c r="E111" s="98"/>
      <c r="F111" s="121"/>
      <c r="G111" s="97"/>
    </row>
    <row r="112" spans="3:7" ht="51" customHeight="1">
      <c r="C112" s="74" t="s">
        <v>3</v>
      </c>
      <c r="D112" s="75"/>
      <c r="E112" s="75"/>
      <c r="F112" s="75"/>
      <c r="G112" s="22">
        <f>SUM(G102:G111)</f>
        <v>0</v>
      </c>
    </row>
    <row r="113" spans="2:7" s="18" customFormat="1" ht="128.44999999999999" customHeight="1">
      <c r="C113" s="108">
        <v>66</v>
      </c>
      <c r="D113" s="24" t="s">
        <v>89</v>
      </c>
      <c r="E113" s="80" t="s">
        <v>34</v>
      </c>
      <c r="F113" s="135">
        <v>4000</v>
      </c>
      <c r="G113" s="111"/>
    </row>
    <row r="114" spans="2:7" s="18" customFormat="1" ht="58.15" customHeight="1">
      <c r="C114" s="110"/>
      <c r="D114" s="48" t="s">
        <v>90</v>
      </c>
      <c r="E114" s="82"/>
      <c r="F114" s="136"/>
      <c r="G114" s="113"/>
    </row>
    <row r="115" spans="2:7" ht="121.15" customHeight="1">
      <c r="C115" s="78">
        <v>67</v>
      </c>
      <c r="D115" s="19" t="s">
        <v>91</v>
      </c>
      <c r="E115" s="84" t="s">
        <v>34</v>
      </c>
      <c r="F115" s="119">
        <v>58</v>
      </c>
      <c r="G115" s="92"/>
    </row>
    <row r="116" spans="2:7" ht="54" customHeight="1">
      <c r="C116" s="79"/>
      <c r="D116" s="15" t="s">
        <v>92</v>
      </c>
      <c r="E116" s="86"/>
      <c r="F116" s="120"/>
      <c r="G116" s="94"/>
    </row>
    <row r="117" spans="2:7" ht="120" customHeight="1">
      <c r="B117" s="18"/>
      <c r="C117" s="108">
        <v>68</v>
      </c>
      <c r="D117" s="19" t="s">
        <v>91</v>
      </c>
      <c r="E117" s="84" t="s">
        <v>36</v>
      </c>
      <c r="F117" s="119">
        <v>1</v>
      </c>
      <c r="G117" s="92"/>
    </row>
    <row r="118" spans="2:7" ht="58.15" customHeight="1">
      <c r="B118" s="18"/>
      <c r="C118" s="110"/>
      <c r="D118" s="15" t="s">
        <v>93</v>
      </c>
      <c r="E118" s="86"/>
      <c r="F118" s="120"/>
      <c r="G118" s="94"/>
    </row>
    <row r="119" spans="2:7" ht="51" customHeight="1">
      <c r="C119" s="74" t="s">
        <v>3</v>
      </c>
      <c r="D119" s="75"/>
      <c r="E119" s="75"/>
      <c r="F119" s="75"/>
      <c r="G119" s="22">
        <f>SUM(G113:G118)</f>
        <v>0</v>
      </c>
    </row>
    <row r="120" spans="2:7" ht="104.45" customHeight="1">
      <c r="C120" s="78">
        <v>69</v>
      </c>
      <c r="D120" s="19" t="s">
        <v>264</v>
      </c>
      <c r="E120" s="84" t="s">
        <v>36</v>
      </c>
      <c r="F120" s="121">
        <v>46</v>
      </c>
      <c r="G120" s="92"/>
    </row>
    <row r="121" spans="2:7" ht="60" customHeight="1">
      <c r="C121" s="79"/>
      <c r="D121" s="15" t="s">
        <v>96</v>
      </c>
      <c r="E121" s="86"/>
      <c r="F121" s="121"/>
      <c r="G121" s="94"/>
    </row>
    <row r="122" spans="2:7" ht="58.9" customHeight="1">
      <c r="C122" s="78">
        <v>70</v>
      </c>
      <c r="D122" s="19" t="s">
        <v>94</v>
      </c>
      <c r="E122" s="84" t="s">
        <v>36</v>
      </c>
      <c r="F122" s="121">
        <v>52</v>
      </c>
      <c r="G122" s="92"/>
    </row>
    <row r="123" spans="2:7" ht="86.45" customHeight="1">
      <c r="C123" s="83"/>
      <c r="D123" s="20" t="s">
        <v>95</v>
      </c>
      <c r="E123" s="85"/>
      <c r="F123" s="121"/>
      <c r="G123" s="93"/>
    </row>
    <row r="124" spans="2:7" ht="57" customHeight="1">
      <c r="C124" s="79"/>
      <c r="D124" s="15" t="s">
        <v>97</v>
      </c>
      <c r="E124" s="86"/>
      <c r="F124" s="121"/>
      <c r="G124" s="94"/>
    </row>
    <row r="125" spans="2:7" ht="48" customHeight="1">
      <c r="C125" s="78">
        <v>71</v>
      </c>
      <c r="D125" s="20" t="s">
        <v>94</v>
      </c>
      <c r="E125" s="84" t="s">
        <v>36</v>
      </c>
      <c r="F125" s="119">
        <v>23</v>
      </c>
      <c r="G125" s="92"/>
    </row>
    <row r="126" spans="2:7" ht="72" customHeight="1">
      <c r="C126" s="83"/>
      <c r="D126" s="20" t="s">
        <v>95</v>
      </c>
      <c r="E126" s="85"/>
      <c r="F126" s="120"/>
      <c r="G126" s="93"/>
    </row>
    <row r="127" spans="2:7" ht="51.6" customHeight="1">
      <c r="C127" s="79"/>
      <c r="D127" s="20" t="s">
        <v>265</v>
      </c>
      <c r="E127" s="86"/>
      <c r="F127" s="123"/>
      <c r="G127" s="94"/>
    </row>
    <row r="128" spans="2:7" ht="51" customHeight="1">
      <c r="C128" s="74" t="s">
        <v>3</v>
      </c>
      <c r="D128" s="75"/>
      <c r="E128" s="75"/>
      <c r="F128" s="75"/>
      <c r="G128" s="22">
        <f>SUM(G120:G127)</f>
        <v>0</v>
      </c>
    </row>
    <row r="129" spans="3:7" s="18" customFormat="1" ht="177" customHeight="1">
      <c r="C129" s="106">
        <v>72</v>
      </c>
      <c r="D129" s="24" t="s">
        <v>98</v>
      </c>
      <c r="E129" s="105" t="s">
        <v>34</v>
      </c>
      <c r="F129" s="117">
        <v>758</v>
      </c>
      <c r="G129" s="134"/>
    </row>
    <row r="130" spans="3:7" s="18" customFormat="1" ht="74.45" customHeight="1">
      <c r="C130" s="106"/>
      <c r="D130" s="49" t="s">
        <v>99</v>
      </c>
      <c r="E130" s="105"/>
      <c r="F130" s="122"/>
      <c r="G130" s="134"/>
    </row>
    <row r="131" spans="3:7" ht="93.6" customHeight="1">
      <c r="C131" s="99">
        <v>73</v>
      </c>
      <c r="D131" s="114" t="s">
        <v>274</v>
      </c>
      <c r="E131" s="105" t="s">
        <v>34</v>
      </c>
      <c r="F131" s="117">
        <v>3507</v>
      </c>
      <c r="G131" s="97"/>
    </row>
    <row r="132" spans="3:7" ht="29.45" customHeight="1">
      <c r="C132" s="99"/>
      <c r="D132" s="115"/>
      <c r="E132" s="105"/>
      <c r="F132" s="118"/>
      <c r="G132" s="97"/>
    </row>
    <row r="133" spans="3:7" ht="51.6" customHeight="1">
      <c r="C133" s="99"/>
      <c r="D133" s="25" t="s">
        <v>100</v>
      </c>
      <c r="E133" s="105"/>
      <c r="F133" s="122"/>
      <c r="G133" s="97"/>
    </row>
    <row r="134" spans="3:7" s="18" customFormat="1" ht="93" customHeight="1">
      <c r="C134" s="106">
        <v>74</v>
      </c>
      <c r="D134" s="46" t="s">
        <v>101</v>
      </c>
      <c r="E134" s="105" t="s">
        <v>34</v>
      </c>
      <c r="F134" s="117">
        <v>12526</v>
      </c>
      <c r="G134" s="134"/>
    </row>
    <row r="135" spans="3:7" s="18" customFormat="1" ht="49.15" customHeight="1">
      <c r="C135" s="106"/>
      <c r="D135" s="47" t="s">
        <v>100</v>
      </c>
      <c r="E135" s="105"/>
      <c r="F135" s="118"/>
      <c r="G135" s="134"/>
    </row>
    <row r="136" spans="3:7" ht="66" customHeight="1">
      <c r="C136" s="74" t="s">
        <v>3</v>
      </c>
      <c r="D136" s="75"/>
      <c r="E136" s="75"/>
      <c r="F136" s="75"/>
      <c r="G136" s="22">
        <f>SUM(G129:G135)</f>
        <v>0</v>
      </c>
    </row>
    <row r="137" spans="3:7" ht="162" customHeight="1">
      <c r="C137" s="78">
        <v>75</v>
      </c>
      <c r="D137" s="26" t="s">
        <v>266</v>
      </c>
      <c r="E137" s="84" t="s">
        <v>34</v>
      </c>
      <c r="F137" s="119">
        <v>24468</v>
      </c>
      <c r="G137" s="92"/>
    </row>
    <row r="138" spans="3:7" ht="109.15" customHeight="1">
      <c r="C138" s="79"/>
      <c r="D138" s="27" t="s">
        <v>104</v>
      </c>
      <c r="E138" s="86"/>
      <c r="F138" s="123"/>
      <c r="G138" s="94"/>
    </row>
    <row r="139" spans="3:7" ht="172.9" customHeight="1">
      <c r="C139" s="78">
        <v>76</v>
      </c>
      <c r="D139" s="19" t="s">
        <v>102</v>
      </c>
      <c r="E139" s="84" t="s">
        <v>34</v>
      </c>
      <c r="F139" s="121">
        <v>1091</v>
      </c>
      <c r="G139" s="92"/>
    </row>
    <row r="140" spans="3:7" ht="47.45" customHeight="1">
      <c r="C140" s="83"/>
      <c r="D140" s="20" t="s">
        <v>103</v>
      </c>
      <c r="E140" s="85"/>
      <c r="F140" s="121"/>
      <c r="G140" s="93"/>
    </row>
    <row r="141" spans="3:7" ht="128.44999999999999" customHeight="1">
      <c r="C141" s="79"/>
      <c r="D141" s="15" t="s">
        <v>105</v>
      </c>
      <c r="E141" s="86"/>
      <c r="F141" s="121"/>
      <c r="G141" s="94"/>
    </row>
    <row r="142" spans="3:7" ht="278.45" customHeight="1">
      <c r="C142" s="78">
        <v>77</v>
      </c>
      <c r="D142" s="19" t="s">
        <v>267</v>
      </c>
      <c r="E142" s="84" t="s">
        <v>34</v>
      </c>
      <c r="F142" s="121">
        <v>3323</v>
      </c>
      <c r="G142" s="92"/>
    </row>
    <row r="143" spans="3:7" ht="57.6" customHeight="1">
      <c r="C143" s="83"/>
      <c r="D143" s="28" t="s">
        <v>106</v>
      </c>
      <c r="E143" s="85"/>
      <c r="F143" s="121"/>
      <c r="G143" s="93"/>
    </row>
    <row r="144" spans="3:7" ht="58.15" customHeight="1">
      <c r="C144" s="79"/>
      <c r="D144" s="29" t="s">
        <v>107</v>
      </c>
      <c r="E144" s="86"/>
      <c r="F144" s="121"/>
      <c r="G144" s="94"/>
    </row>
    <row r="145" spans="3:7" ht="51" customHeight="1">
      <c r="C145" s="74" t="s">
        <v>3</v>
      </c>
      <c r="D145" s="75"/>
      <c r="E145" s="75"/>
      <c r="F145" s="75"/>
      <c r="G145" s="22">
        <f>SUM(G137:G144)</f>
        <v>0</v>
      </c>
    </row>
    <row r="146" spans="3:7" ht="159" customHeight="1">
      <c r="C146" s="99">
        <v>78</v>
      </c>
      <c r="D146" s="19" t="s">
        <v>102</v>
      </c>
      <c r="E146" s="98" t="s">
        <v>34</v>
      </c>
      <c r="F146" s="121">
        <v>278</v>
      </c>
      <c r="G146" s="97"/>
    </row>
    <row r="147" spans="3:7" ht="57" customHeight="1">
      <c r="C147" s="99"/>
      <c r="D147" s="20" t="s">
        <v>103</v>
      </c>
      <c r="E147" s="98"/>
      <c r="F147" s="121"/>
      <c r="G147" s="97"/>
    </row>
    <row r="148" spans="3:7" ht="103.15" customHeight="1">
      <c r="C148" s="99"/>
      <c r="D148" s="15" t="s">
        <v>108</v>
      </c>
      <c r="E148" s="98"/>
      <c r="F148" s="121"/>
      <c r="G148" s="97"/>
    </row>
    <row r="149" spans="3:7" ht="130.9" customHeight="1">
      <c r="C149" s="99">
        <v>79</v>
      </c>
      <c r="D149" s="20" t="s">
        <v>268</v>
      </c>
      <c r="E149" s="98" t="s">
        <v>34</v>
      </c>
      <c r="F149" s="121">
        <v>140</v>
      </c>
      <c r="G149" s="97"/>
    </row>
    <row r="150" spans="3:7" ht="37.9" customHeight="1">
      <c r="C150" s="99"/>
      <c r="D150" s="20" t="s">
        <v>109</v>
      </c>
      <c r="E150" s="98"/>
      <c r="F150" s="121"/>
      <c r="G150" s="97"/>
    </row>
    <row r="151" spans="3:7" ht="81.599999999999994" customHeight="1">
      <c r="C151" s="99"/>
      <c r="D151" s="15" t="s">
        <v>110</v>
      </c>
      <c r="E151" s="98"/>
      <c r="F151" s="121"/>
      <c r="G151" s="97"/>
    </row>
    <row r="152" spans="3:7" ht="48" customHeight="1">
      <c r="C152" s="99">
        <v>80</v>
      </c>
      <c r="D152" s="90" t="s">
        <v>275</v>
      </c>
      <c r="E152" s="98" t="s">
        <v>34</v>
      </c>
      <c r="F152" s="121">
        <v>246</v>
      </c>
      <c r="G152" s="97"/>
    </row>
    <row r="153" spans="3:7" ht="95.45" customHeight="1">
      <c r="C153" s="99"/>
      <c r="D153" s="96"/>
      <c r="E153" s="98"/>
      <c r="F153" s="121"/>
      <c r="G153" s="97"/>
    </row>
    <row r="154" spans="3:7" ht="36" customHeight="1">
      <c r="C154" s="99"/>
      <c r="D154" s="21" t="s">
        <v>109</v>
      </c>
      <c r="E154" s="98"/>
      <c r="F154" s="121"/>
      <c r="G154" s="97"/>
    </row>
    <row r="155" spans="3:7" ht="73.150000000000006" customHeight="1">
      <c r="C155" s="99"/>
      <c r="D155" s="15" t="s">
        <v>111</v>
      </c>
      <c r="E155" s="98"/>
      <c r="F155" s="121"/>
      <c r="G155" s="97"/>
    </row>
    <row r="156" spans="3:7" ht="51" customHeight="1">
      <c r="C156" s="74" t="s">
        <v>3</v>
      </c>
      <c r="D156" s="75"/>
      <c r="E156" s="75"/>
      <c r="F156" s="75"/>
      <c r="G156" s="22">
        <f>SUM(G146:G155)</f>
        <v>0</v>
      </c>
    </row>
    <row r="157" spans="3:7" ht="32.25" customHeight="1">
      <c r="C157" s="99">
        <v>81</v>
      </c>
      <c r="D157" s="90" t="s">
        <v>275</v>
      </c>
      <c r="E157" s="98" t="s">
        <v>34</v>
      </c>
      <c r="F157" s="121">
        <v>1407</v>
      </c>
      <c r="G157" s="97"/>
    </row>
    <row r="158" spans="3:7" ht="104.45" customHeight="1">
      <c r="C158" s="99"/>
      <c r="D158" s="96"/>
      <c r="E158" s="98"/>
      <c r="F158" s="121"/>
      <c r="G158" s="97"/>
    </row>
    <row r="159" spans="3:7" ht="30" customHeight="1">
      <c r="C159" s="99"/>
      <c r="D159" s="21" t="s">
        <v>109</v>
      </c>
      <c r="E159" s="98"/>
      <c r="F159" s="121"/>
      <c r="G159" s="97"/>
    </row>
    <row r="160" spans="3:7" ht="66.599999999999994" customHeight="1">
      <c r="C160" s="99"/>
      <c r="D160" s="20" t="s">
        <v>112</v>
      </c>
      <c r="E160" s="98"/>
      <c r="F160" s="121"/>
      <c r="G160" s="97"/>
    </row>
    <row r="161" spans="3:7" ht="58.15" customHeight="1">
      <c r="C161" s="99">
        <v>82</v>
      </c>
      <c r="D161" s="90" t="s">
        <v>275</v>
      </c>
      <c r="E161" s="98" t="s">
        <v>34</v>
      </c>
      <c r="F161" s="121">
        <v>735</v>
      </c>
      <c r="G161" s="97"/>
    </row>
    <row r="162" spans="3:7" ht="69" customHeight="1">
      <c r="C162" s="99"/>
      <c r="D162" s="96"/>
      <c r="E162" s="98"/>
      <c r="F162" s="121"/>
      <c r="G162" s="97"/>
    </row>
    <row r="163" spans="3:7" ht="28.15" customHeight="1">
      <c r="C163" s="99"/>
      <c r="D163" s="21" t="s">
        <v>109</v>
      </c>
      <c r="E163" s="98"/>
      <c r="F163" s="121"/>
      <c r="G163" s="97"/>
    </row>
    <row r="164" spans="3:7" ht="73.150000000000006" customHeight="1">
      <c r="C164" s="99"/>
      <c r="D164" s="15" t="s">
        <v>113</v>
      </c>
      <c r="E164" s="98"/>
      <c r="F164" s="121"/>
      <c r="G164" s="97"/>
    </row>
    <row r="165" spans="3:7" ht="72" customHeight="1">
      <c r="C165" s="106">
        <v>83</v>
      </c>
      <c r="D165" s="90" t="s">
        <v>275</v>
      </c>
      <c r="E165" s="98" t="s">
        <v>34</v>
      </c>
      <c r="F165" s="121">
        <v>571</v>
      </c>
      <c r="G165" s="97"/>
    </row>
    <row r="166" spans="3:7" ht="60.6" customHeight="1">
      <c r="C166" s="106"/>
      <c r="D166" s="96"/>
      <c r="E166" s="98"/>
      <c r="F166" s="121"/>
      <c r="G166" s="97"/>
    </row>
    <row r="167" spans="3:7" ht="36.6" customHeight="1">
      <c r="C167" s="106"/>
      <c r="D167" s="21" t="s">
        <v>109</v>
      </c>
      <c r="E167" s="98"/>
      <c r="F167" s="121"/>
      <c r="G167" s="97"/>
    </row>
    <row r="168" spans="3:7" ht="104.45" customHeight="1">
      <c r="C168" s="106"/>
      <c r="D168" s="15" t="s">
        <v>115</v>
      </c>
      <c r="E168" s="98"/>
      <c r="F168" s="121"/>
      <c r="G168" s="97"/>
    </row>
    <row r="169" spans="3:7" ht="51" customHeight="1">
      <c r="C169" s="74" t="s">
        <v>3</v>
      </c>
      <c r="D169" s="75"/>
      <c r="E169" s="75"/>
      <c r="F169" s="75"/>
      <c r="G169" s="30">
        <f>SUM(G157:G168)</f>
        <v>0</v>
      </c>
    </row>
    <row r="170" spans="3:7" ht="102" customHeight="1">
      <c r="C170" s="78">
        <v>84</v>
      </c>
      <c r="D170" s="19" t="s">
        <v>114</v>
      </c>
      <c r="E170" s="84" t="s">
        <v>34</v>
      </c>
      <c r="F170" s="119">
        <v>791</v>
      </c>
      <c r="G170" s="92"/>
    </row>
    <row r="171" spans="3:7" ht="37.15" customHeight="1">
      <c r="C171" s="83"/>
      <c r="D171" s="21" t="s">
        <v>109</v>
      </c>
      <c r="E171" s="85"/>
      <c r="F171" s="120"/>
      <c r="G171" s="93"/>
    </row>
    <row r="172" spans="3:7" ht="68.45" customHeight="1">
      <c r="C172" s="79"/>
      <c r="D172" s="20" t="s">
        <v>116</v>
      </c>
      <c r="E172" s="86"/>
      <c r="F172" s="120"/>
      <c r="G172" s="94"/>
    </row>
    <row r="173" spans="3:7" ht="101.45" customHeight="1">
      <c r="C173" s="78">
        <v>85</v>
      </c>
      <c r="D173" s="19" t="s">
        <v>114</v>
      </c>
      <c r="E173" s="84" t="s">
        <v>34</v>
      </c>
      <c r="F173" s="119">
        <v>2648</v>
      </c>
      <c r="G173" s="92"/>
    </row>
    <row r="174" spans="3:7" ht="44.45" customHeight="1">
      <c r="C174" s="83"/>
      <c r="D174" s="21" t="s">
        <v>109</v>
      </c>
      <c r="E174" s="85"/>
      <c r="F174" s="120"/>
      <c r="G174" s="93"/>
    </row>
    <row r="175" spans="3:7" ht="66.599999999999994" customHeight="1">
      <c r="C175" s="79"/>
      <c r="D175" s="20" t="s">
        <v>117</v>
      </c>
      <c r="E175" s="86"/>
      <c r="F175" s="120"/>
      <c r="G175" s="94"/>
    </row>
    <row r="176" spans="3:7" ht="115.9" customHeight="1">
      <c r="C176" s="78">
        <v>86</v>
      </c>
      <c r="D176" s="19" t="s">
        <v>114</v>
      </c>
      <c r="E176" s="84" t="s">
        <v>35</v>
      </c>
      <c r="F176" s="119">
        <v>567</v>
      </c>
      <c r="G176" s="92"/>
    </row>
    <row r="177" spans="3:7" ht="41.45" customHeight="1">
      <c r="C177" s="83"/>
      <c r="D177" s="21" t="s">
        <v>109</v>
      </c>
      <c r="E177" s="85"/>
      <c r="F177" s="120"/>
      <c r="G177" s="93"/>
    </row>
    <row r="178" spans="3:7" ht="90.6" customHeight="1">
      <c r="C178" s="79"/>
      <c r="D178" s="15" t="s">
        <v>269</v>
      </c>
      <c r="E178" s="86"/>
      <c r="F178" s="120"/>
      <c r="G178" s="94"/>
    </row>
    <row r="179" spans="3:7" ht="51" customHeight="1">
      <c r="C179" s="74" t="s">
        <v>3</v>
      </c>
      <c r="D179" s="75"/>
      <c r="E179" s="75"/>
      <c r="F179" s="75"/>
      <c r="G179" s="22">
        <f>SUM(G170:G178)</f>
        <v>0</v>
      </c>
    </row>
    <row r="180" spans="3:7" ht="139.15" customHeight="1">
      <c r="C180" s="58">
        <v>87</v>
      </c>
      <c r="D180" s="19" t="s">
        <v>118</v>
      </c>
      <c r="E180" s="12" t="s">
        <v>34</v>
      </c>
      <c r="F180" s="69">
        <v>60</v>
      </c>
      <c r="G180" s="8"/>
    </row>
    <row r="181" spans="3:7" ht="87.6" customHeight="1">
      <c r="C181" s="78">
        <v>88</v>
      </c>
      <c r="D181" s="19" t="s">
        <v>119</v>
      </c>
      <c r="E181" s="84" t="s">
        <v>34</v>
      </c>
      <c r="F181" s="76">
        <v>1933</v>
      </c>
      <c r="G181" s="92"/>
    </row>
    <row r="182" spans="3:7" ht="79.150000000000006" customHeight="1">
      <c r="C182" s="83"/>
      <c r="D182" s="20" t="s">
        <v>120</v>
      </c>
      <c r="E182" s="85"/>
      <c r="F182" s="95"/>
      <c r="G182" s="93"/>
    </row>
    <row r="183" spans="3:7" ht="34.15" customHeight="1">
      <c r="C183" s="83"/>
      <c r="D183" s="20" t="s">
        <v>121</v>
      </c>
      <c r="E183" s="85"/>
      <c r="F183" s="95"/>
      <c r="G183" s="93"/>
    </row>
    <row r="184" spans="3:7" ht="63.6" customHeight="1">
      <c r="C184" s="79"/>
      <c r="D184" s="15" t="s">
        <v>122</v>
      </c>
      <c r="E184" s="86"/>
      <c r="F184" s="77"/>
      <c r="G184" s="94"/>
    </row>
    <row r="185" spans="3:7" ht="84.6" customHeight="1">
      <c r="C185" s="78">
        <v>89</v>
      </c>
      <c r="D185" s="19" t="s">
        <v>119</v>
      </c>
      <c r="E185" s="84" t="s">
        <v>34</v>
      </c>
      <c r="F185" s="101">
        <v>214</v>
      </c>
      <c r="G185" s="92"/>
    </row>
    <row r="186" spans="3:7" ht="89.45" customHeight="1">
      <c r="C186" s="83"/>
      <c r="D186" s="20" t="s">
        <v>120</v>
      </c>
      <c r="E186" s="85"/>
      <c r="F186" s="102"/>
      <c r="G186" s="93"/>
    </row>
    <row r="187" spans="3:7" ht="56.45" customHeight="1">
      <c r="C187" s="83"/>
      <c r="D187" s="20" t="s">
        <v>121</v>
      </c>
      <c r="E187" s="85"/>
      <c r="F187" s="102"/>
      <c r="G187" s="93"/>
    </row>
    <row r="188" spans="3:7" ht="62.45" customHeight="1">
      <c r="C188" s="79"/>
      <c r="D188" s="15" t="s">
        <v>270</v>
      </c>
      <c r="E188" s="86"/>
      <c r="F188" s="103"/>
      <c r="G188" s="94"/>
    </row>
    <row r="189" spans="3:7" ht="51" customHeight="1">
      <c r="C189" s="74" t="s">
        <v>3</v>
      </c>
      <c r="D189" s="75"/>
      <c r="E189" s="75"/>
      <c r="F189" s="75"/>
      <c r="G189" s="22">
        <f>SUM(G180:G188)</f>
        <v>0</v>
      </c>
    </row>
    <row r="190" spans="3:7" ht="101.45" customHeight="1">
      <c r="C190" s="78">
        <v>90</v>
      </c>
      <c r="D190" s="19" t="s">
        <v>119</v>
      </c>
      <c r="E190" s="84" t="s">
        <v>34</v>
      </c>
      <c r="F190" s="76">
        <v>213</v>
      </c>
      <c r="G190" s="92"/>
    </row>
    <row r="191" spans="3:7" ht="73.900000000000006" customHeight="1">
      <c r="C191" s="83"/>
      <c r="D191" s="20" t="s">
        <v>120</v>
      </c>
      <c r="E191" s="85"/>
      <c r="F191" s="95"/>
      <c r="G191" s="93"/>
    </row>
    <row r="192" spans="3:7" ht="28.9" customHeight="1">
      <c r="C192" s="83"/>
      <c r="D192" s="21" t="s">
        <v>121</v>
      </c>
      <c r="E192" s="85"/>
      <c r="F192" s="95"/>
      <c r="G192" s="93"/>
    </row>
    <row r="193" spans="3:7" ht="55.15" customHeight="1">
      <c r="C193" s="79"/>
      <c r="D193" s="15" t="s">
        <v>123</v>
      </c>
      <c r="E193" s="86"/>
      <c r="F193" s="77"/>
      <c r="G193" s="94"/>
    </row>
    <row r="194" spans="3:7" ht="78" customHeight="1">
      <c r="C194" s="78">
        <v>91</v>
      </c>
      <c r="D194" s="19" t="s">
        <v>119</v>
      </c>
      <c r="E194" s="84" t="s">
        <v>34</v>
      </c>
      <c r="F194" s="76">
        <v>100</v>
      </c>
      <c r="G194" s="92"/>
    </row>
    <row r="195" spans="3:7" ht="58.15" customHeight="1">
      <c r="C195" s="83"/>
      <c r="D195" s="20" t="s">
        <v>120</v>
      </c>
      <c r="E195" s="85"/>
      <c r="F195" s="95"/>
      <c r="G195" s="93"/>
    </row>
    <row r="196" spans="3:7" ht="29.45" customHeight="1">
      <c r="C196" s="83"/>
      <c r="D196" s="21" t="s">
        <v>121</v>
      </c>
      <c r="E196" s="85"/>
      <c r="F196" s="95"/>
      <c r="G196" s="93"/>
    </row>
    <row r="197" spans="3:7" ht="55.15" customHeight="1">
      <c r="C197" s="79"/>
      <c r="D197" s="15" t="s">
        <v>124</v>
      </c>
      <c r="E197" s="86"/>
      <c r="F197" s="77"/>
      <c r="G197" s="94"/>
    </row>
    <row r="198" spans="3:7" ht="84" customHeight="1">
      <c r="C198" s="78">
        <v>92</v>
      </c>
      <c r="D198" s="19" t="s">
        <v>119</v>
      </c>
      <c r="E198" s="84" t="s">
        <v>34</v>
      </c>
      <c r="F198" s="101">
        <v>750</v>
      </c>
      <c r="G198" s="92"/>
    </row>
    <row r="199" spans="3:7" ht="66.599999999999994" customHeight="1">
      <c r="C199" s="83"/>
      <c r="D199" s="20" t="s">
        <v>120</v>
      </c>
      <c r="E199" s="85"/>
      <c r="F199" s="102"/>
      <c r="G199" s="93"/>
    </row>
    <row r="200" spans="3:7" ht="43.15" customHeight="1">
      <c r="C200" s="83"/>
      <c r="D200" s="21" t="s">
        <v>121</v>
      </c>
      <c r="E200" s="85"/>
      <c r="F200" s="102"/>
      <c r="G200" s="93"/>
    </row>
    <row r="201" spans="3:7" ht="47.45" customHeight="1">
      <c r="C201" s="79"/>
      <c r="D201" s="15" t="s">
        <v>125</v>
      </c>
      <c r="E201" s="86"/>
      <c r="F201" s="103"/>
      <c r="G201" s="94"/>
    </row>
    <row r="202" spans="3:7" ht="51" customHeight="1">
      <c r="C202" s="74" t="s">
        <v>3</v>
      </c>
      <c r="D202" s="75"/>
      <c r="E202" s="75"/>
      <c r="F202" s="75"/>
      <c r="G202" s="22">
        <f>SUM(G190:G201)</f>
        <v>0</v>
      </c>
    </row>
    <row r="203" spans="3:7" ht="78" customHeight="1">
      <c r="C203" s="78">
        <v>93</v>
      </c>
      <c r="D203" s="19" t="s">
        <v>119</v>
      </c>
      <c r="E203" s="84" t="s">
        <v>34</v>
      </c>
      <c r="F203" s="76">
        <v>12</v>
      </c>
      <c r="G203" s="92"/>
    </row>
    <row r="204" spans="3:7" ht="68.45" customHeight="1">
      <c r="C204" s="83"/>
      <c r="D204" s="20" t="s">
        <v>120</v>
      </c>
      <c r="E204" s="85"/>
      <c r="F204" s="95"/>
      <c r="G204" s="93"/>
    </row>
    <row r="205" spans="3:7" ht="32.25" customHeight="1">
      <c r="C205" s="83"/>
      <c r="D205" s="20" t="s">
        <v>121</v>
      </c>
      <c r="E205" s="85"/>
      <c r="F205" s="95"/>
      <c r="G205" s="93"/>
    </row>
    <row r="206" spans="3:7" ht="48" customHeight="1">
      <c r="C206" s="79"/>
      <c r="D206" s="15" t="s">
        <v>126</v>
      </c>
      <c r="E206" s="86"/>
      <c r="F206" s="77"/>
      <c r="G206" s="94"/>
    </row>
    <row r="207" spans="3:7" ht="86.45" customHeight="1">
      <c r="C207" s="78">
        <v>94</v>
      </c>
      <c r="D207" s="19" t="s">
        <v>119</v>
      </c>
      <c r="E207" s="84" t="s">
        <v>36</v>
      </c>
      <c r="F207" s="76">
        <v>16</v>
      </c>
      <c r="G207" s="92"/>
    </row>
    <row r="208" spans="3:7" ht="78" customHeight="1">
      <c r="C208" s="83"/>
      <c r="D208" s="20" t="s">
        <v>120</v>
      </c>
      <c r="E208" s="85"/>
      <c r="F208" s="95"/>
      <c r="G208" s="93"/>
    </row>
    <row r="209" spans="3:7" ht="40.15" customHeight="1">
      <c r="C209" s="83"/>
      <c r="D209" s="20" t="s">
        <v>121</v>
      </c>
      <c r="E209" s="85"/>
      <c r="F209" s="95"/>
      <c r="G209" s="93"/>
    </row>
    <row r="210" spans="3:7" ht="51.6" customHeight="1">
      <c r="C210" s="79"/>
      <c r="D210" s="15" t="s">
        <v>127</v>
      </c>
      <c r="E210" s="86"/>
      <c r="F210" s="77"/>
      <c r="G210" s="94"/>
    </row>
    <row r="211" spans="3:7" ht="123" customHeight="1">
      <c r="C211" s="78">
        <v>95</v>
      </c>
      <c r="D211" s="19" t="s">
        <v>128</v>
      </c>
      <c r="E211" s="84" t="s">
        <v>34</v>
      </c>
      <c r="F211" s="101">
        <v>4800</v>
      </c>
      <c r="G211" s="92"/>
    </row>
    <row r="212" spans="3:7" ht="53.45" customHeight="1">
      <c r="C212" s="79"/>
      <c r="D212" s="15" t="s">
        <v>129</v>
      </c>
      <c r="E212" s="86"/>
      <c r="F212" s="103"/>
      <c r="G212" s="94"/>
    </row>
    <row r="213" spans="3:7" ht="51" customHeight="1">
      <c r="C213" s="74" t="s">
        <v>3</v>
      </c>
      <c r="D213" s="75"/>
      <c r="E213" s="75"/>
      <c r="F213" s="75"/>
      <c r="G213" s="22">
        <f>SUM(G203:G212)</f>
        <v>0</v>
      </c>
    </row>
    <row r="214" spans="3:7" ht="138" customHeight="1">
      <c r="C214" s="99">
        <v>96</v>
      </c>
      <c r="D214" s="19" t="s">
        <v>128</v>
      </c>
      <c r="E214" s="98" t="s">
        <v>35</v>
      </c>
      <c r="F214" s="107">
        <v>300</v>
      </c>
      <c r="G214" s="97"/>
    </row>
    <row r="215" spans="3:7" ht="56.45" customHeight="1">
      <c r="C215" s="99"/>
      <c r="D215" s="15" t="s">
        <v>130</v>
      </c>
      <c r="E215" s="98"/>
      <c r="F215" s="107"/>
      <c r="G215" s="97"/>
    </row>
    <row r="216" spans="3:7" ht="108.6" customHeight="1">
      <c r="C216" s="99">
        <v>97</v>
      </c>
      <c r="D216" s="19" t="s">
        <v>131</v>
      </c>
      <c r="E216" s="98" t="s">
        <v>34</v>
      </c>
      <c r="F216" s="107">
        <v>101</v>
      </c>
      <c r="G216" s="97"/>
    </row>
    <row r="217" spans="3:7" ht="40.9" customHeight="1">
      <c r="C217" s="99"/>
      <c r="D217" s="20" t="s">
        <v>132</v>
      </c>
      <c r="E217" s="98"/>
      <c r="F217" s="107"/>
      <c r="G217" s="97"/>
    </row>
    <row r="218" spans="3:7" ht="52.15" customHeight="1">
      <c r="C218" s="99"/>
      <c r="D218" s="15" t="s">
        <v>133</v>
      </c>
      <c r="E218" s="98"/>
      <c r="F218" s="107"/>
      <c r="G218" s="97"/>
    </row>
    <row r="219" spans="3:7" ht="137.44999999999999" customHeight="1">
      <c r="C219" s="99">
        <v>98</v>
      </c>
      <c r="D219" s="19" t="s">
        <v>131</v>
      </c>
      <c r="E219" s="98" t="s">
        <v>34</v>
      </c>
      <c r="F219" s="100">
        <v>43</v>
      </c>
      <c r="G219" s="97"/>
    </row>
    <row r="220" spans="3:7" ht="63.6" customHeight="1">
      <c r="C220" s="99"/>
      <c r="D220" s="15" t="s">
        <v>134</v>
      </c>
      <c r="E220" s="98"/>
      <c r="F220" s="100"/>
      <c r="G220" s="97"/>
    </row>
    <row r="221" spans="3:7" ht="51" customHeight="1">
      <c r="C221" s="74" t="s">
        <v>3</v>
      </c>
      <c r="D221" s="75"/>
      <c r="E221" s="75"/>
      <c r="F221" s="75"/>
      <c r="G221" s="22">
        <f>SUM(G214:G220)</f>
        <v>0</v>
      </c>
    </row>
    <row r="222" spans="3:7" ht="129" customHeight="1">
      <c r="C222" s="78">
        <v>99</v>
      </c>
      <c r="D222" s="19" t="s">
        <v>131</v>
      </c>
      <c r="E222" s="84" t="s">
        <v>34</v>
      </c>
      <c r="F222" s="76">
        <v>43</v>
      </c>
      <c r="G222" s="92"/>
    </row>
    <row r="223" spans="3:7" ht="48" customHeight="1">
      <c r="C223" s="83"/>
      <c r="D223" s="20" t="s">
        <v>135</v>
      </c>
      <c r="E223" s="85"/>
      <c r="F223" s="95"/>
      <c r="G223" s="93"/>
    </row>
    <row r="224" spans="3:7" ht="60" customHeight="1">
      <c r="C224" s="79"/>
      <c r="D224" s="27" t="s">
        <v>136</v>
      </c>
      <c r="E224" s="86"/>
      <c r="F224" s="77"/>
      <c r="G224" s="94"/>
    </row>
    <row r="225" spans="3:7" ht="144.6" customHeight="1">
      <c r="C225" s="78">
        <v>100</v>
      </c>
      <c r="D225" s="20" t="s">
        <v>137</v>
      </c>
      <c r="E225" s="84" t="s">
        <v>34</v>
      </c>
      <c r="F225" s="76">
        <v>6000</v>
      </c>
      <c r="G225" s="92"/>
    </row>
    <row r="226" spans="3:7" ht="87" customHeight="1">
      <c r="C226" s="79"/>
      <c r="D226" s="20" t="s">
        <v>138</v>
      </c>
      <c r="E226" s="86"/>
      <c r="F226" s="77"/>
      <c r="G226" s="94"/>
    </row>
    <row r="227" spans="3:7" ht="90.6" customHeight="1">
      <c r="C227" s="78">
        <v>101</v>
      </c>
      <c r="D227" s="19" t="s">
        <v>139</v>
      </c>
      <c r="E227" s="84" t="s">
        <v>35</v>
      </c>
      <c r="F227" s="101">
        <v>400</v>
      </c>
      <c r="G227" s="92"/>
    </row>
    <row r="228" spans="3:7" ht="72" customHeight="1">
      <c r="C228" s="79"/>
      <c r="D228" s="27" t="s">
        <v>140</v>
      </c>
      <c r="E228" s="86"/>
      <c r="F228" s="103"/>
      <c r="G228" s="94"/>
    </row>
    <row r="229" spans="3:7" ht="61.9" customHeight="1">
      <c r="C229" s="74" t="s">
        <v>3</v>
      </c>
      <c r="D229" s="75"/>
      <c r="E229" s="75"/>
      <c r="F229" s="75"/>
      <c r="G229" s="22">
        <f>SUM(G222:G228)</f>
        <v>0</v>
      </c>
    </row>
    <row r="230" spans="3:7" ht="136.9" customHeight="1">
      <c r="C230" s="78">
        <v>102</v>
      </c>
      <c r="D230" s="19" t="s">
        <v>141</v>
      </c>
      <c r="E230" s="84" t="s">
        <v>34</v>
      </c>
      <c r="F230" s="76">
        <v>4800</v>
      </c>
      <c r="G230" s="92"/>
    </row>
    <row r="231" spans="3:7" ht="69.599999999999994" customHeight="1">
      <c r="C231" s="79"/>
      <c r="D231" s="15" t="s">
        <v>142</v>
      </c>
      <c r="E231" s="86"/>
      <c r="F231" s="77"/>
      <c r="G231" s="94"/>
    </row>
    <row r="232" spans="3:7" ht="112.15" customHeight="1">
      <c r="C232" s="78">
        <v>103</v>
      </c>
      <c r="D232" s="20" t="s">
        <v>141</v>
      </c>
      <c r="E232" s="84" t="s">
        <v>35</v>
      </c>
      <c r="F232" s="76">
        <v>300</v>
      </c>
      <c r="G232" s="92"/>
    </row>
    <row r="233" spans="3:7" ht="66.599999999999994" customHeight="1">
      <c r="C233" s="79"/>
      <c r="D233" s="15" t="s">
        <v>143</v>
      </c>
      <c r="E233" s="86"/>
      <c r="F233" s="77"/>
      <c r="G233" s="94"/>
    </row>
    <row r="234" spans="3:7" ht="163.9" customHeight="1">
      <c r="C234" s="78">
        <v>104</v>
      </c>
      <c r="D234" s="20" t="s">
        <v>144</v>
      </c>
      <c r="E234" s="84" t="s">
        <v>34</v>
      </c>
      <c r="F234" s="101">
        <v>3600</v>
      </c>
      <c r="G234" s="92"/>
    </row>
    <row r="235" spans="3:7" ht="106.15" customHeight="1">
      <c r="C235" s="79"/>
      <c r="D235" s="15" t="s">
        <v>145</v>
      </c>
      <c r="E235" s="86"/>
      <c r="F235" s="103"/>
      <c r="G235" s="94"/>
    </row>
    <row r="236" spans="3:7" ht="51" customHeight="1">
      <c r="C236" s="74" t="s">
        <v>3</v>
      </c>
      <c r="D236" s="75"/>
      <c r="E236" s="75"/>
      <c r="F236" s="75"/>
      <c r="G236" s="22">
        <f>SUM(G230:G235)</f>
        <v>0</v>
      </c>
    </row>
    <row r="237" spans="3:7" ht="137.44999999999999" customHeight="1">
      <c r="C237" s="78">
        <v>105</v>
      </c>
      <c r="D237" s="19" t="s">
        <v>144</v>
      </c>
      <c r="E237" s="84" t="s">
        <v>34</v>
      </c>
      <c r="F237" s="76">
        <v>6705</v>
      </c>
      <c r="G237" s="92"/>
    </row>
    <row r="238" spans="3:7" ht="52.15" customHeight="1">
      <c r="C238" s="83"/>
      <c r="D238" s="20" t="s">
        <v>146</v>
      </c>
      <c r="E238" s="85"/>
      <c r="F238" s="95"/>
      <c r="G238" s="93"/>
    </row>
    <row r="239" spans="3:7" ht="64.900000000000006" customHeight="1">
      <c r="C239" s="79"/>
      <c r="D239" s="15" t="s">
        <v>147</v>
      </c>
      <c r="E239" s="86"/>
      <c r="F239" s="77"/>
      <c r="G239" s="94"/>
    </row>
    <row r="240" spans="3:7" ht="160.9" customHeight="1">
      <c r="C240" s="78">
        <v>106</v>
      </c>
      <c r="D240" s="19" t="s">
        <v>144</v>
      </c>
      <c r="E240" s="84" t="s">
        <v>34</v>
      </c>
      <c r="F240" s="76">
        <v>1213</v>
      </c>
      <c r="G240" s="92"/>
    </row>
    <row r="241" spans="3:7" ht="94.15" customHeight="1">
      <c r="C241" s="79"/>
      <c r="D241" s="15" t="s">
        <v>148</v>
      </c>
      <c r="E241" s="86"/>
      <c r="F241" s="77"/>
      <c r="G241" s="94"/>
    </row>
    <row r="242" spans="3:7" ht="138" customHeight="1">
      <c r="C242" s="78">
        <v>107</v>
      </c>
      <c r="D242" s="19" t="s">
        <v>144</v>
      </c>
      <c r="E242" s="84" t="s">
        <v>34</v>
      </c>
      <c r="F242" s="101">
        <v>543</v>
      </c>
      <c r="G242" s="92"/>
    </row>
    <row r="243" spans="3:7" ht="80.45" customHeight="1">
      <c r="C243" s="79"/>
      <c r="D243" s="15" t="s">
        <v>149</v>
      </c>
      <c r="E243" s="86"/>
      <c r="F243" s="103"/>
      <c r="G243" s="94"/>
    </row>
    <row r="244" spans="3:7" ht="64.5" customHeight="1">
      <c r="C244" s="74" t="s">
        <v>3</v>
      </c>
      <c r="D244" s="75"/>
      <c r="E244" s="75"/>
      <c r="F244" s="75"/>
      <c r="G244" s="22">
        <f>SUM(G237:G243)</f>
        <v>0</v>
      </c>
    </row>
    <row r="245" spans="3:7" ht="130.15" customHeight="1">
      <c r="C245" s="99">
        <v>108</v>
      </c>
      <c r="D245" s="19" t="s">
        <v>144</v>
      </c>
      <c r="E245" s="98" t="s">
        <v>34</v>
      </c>
      <c r="F245" s="107">
        <v>735</v>
      </c>
      <c r="G245" s="97"/>
    </row>
    <row r="246" spans="3:7" ht="45" customHeight="1">
      <c r="C246" s="99"/>
      <c r="D246" s="20" t="s">
        <v>146</v>
      </c>
      <c r="E246" s="98"/>
      <c r="F246" s="107"/>
      <c r="G246" s="97"/>
    </row>
    <row r="247" spans="3:7" ht="52.15" customHeight="1">
      <c r="C247" s="99"/>
      <c r="D247" s="15" t="s">
        <v>150</v>
      </c>
      <c r="E247" s="98"/>
      <c r="F247" s="107"/>
      <c r="G247" s="97"/>
    </row>
    <row r="248" spans="3:7" ht="148.9" customHeight="1">
      <c r="C248" s="99">
        <v>109</v>
      </c>
      <c r="D248" s="19" t="s">
        <v>144</v>
      </c>
      <c r="E248" s="98" t="s">
        <v>34</v>
      </c>
      <c r="F248" s="107">
        <v>109</v>
      </c>
      <c r="G248" s="97"/>
    </row>
    <row r="249" spans="3:7" ht="72" customHeight="1">
      <c r="C249" s="99"/>
      <c r="D249" s="15" t="s">
        <v>151</v>
      </c>
      <c r="E249" s="98"/>
      <c r="F249" s="107"/>
      <c r="G249" s="97"/>
    </row>
    <row r="250" spans="3:7" ht="142.9" customHeight="1">
      <c r="C250" s="99">
        <v>110</v>
      </c>
      <c r="D250" s="19" t="s">
        <v>144</v>
      </c>
      <c r="E250" s="98" t="s">
        <v>34</v>
      </c>
      <c r="F250" s="100">
        <v>2140</v>
      </c>
      <c r="G250" s="97"/>
    </row>
    <row r="251" spans="3:7" ht="46.9" customHeight="1">
      <c r="C251" s="99"/>
      <c r="D251" s="20" t="s">
        <v>146</v>
      </c>
      <c r="E251" s="98"/>
      <c r="F251" s="100"/>
      <c r="G251" s="97"/>
    </row>
    <row r="252" spans="3:7" ht="51.6" customHeight="1">
      <c r="C252" s="99"/>
      <c r="D252" s="15" t="s">
        <v>152</v>
      </c>
      <c r="E252" s="98"/>
      <c r="F252" s="100"/>
      <c r="G252" s="97"/>
    </row>
    <row r="253" spans="3:7" ht="54" customHeight="1">
      <c r="C253" s="74" t="s">
        <v>3</v>
      </c>
      <c r="D253" s="75"/>
      <c r="E253" s="75"/>
      <c r="F253" s="75"/>
      <c r="G253" s="22">
        <f>SUM(G245:G252)</f>
        <v>0</v>
      </c>
    </row>
    <row r="254" spans="3:7" ht="159" customHeight="1">
      <c r="C254" s="78">
        <v>111</v>
      </c>
      <c r="D254" s="19" t="s">
        <v>144</v>
      </c>
      <c r="E254" s="84" t="s">
        <v>34</v>
      </c>
      <c r="F254" s="76">
        <v>303</v>
      </c>
      <c r="G254" s="92"/>
    </row>
    <row r="255" spans="3:7" ht="45" customHeight="1">
      <c r="C255" s="83"/>
      <c r="D255" s="20" t="s">
        <v>146</v>
      </c>
      <c r="E255" s="85"/>
      <c r="F255" s="95"/>
      <c r="G255" s="93"/>
    </row>
    <row r="256" spans="3:7" ht="70.900000000000006" customHeight="1">
      <c r="C256" s="79"/>
      <c r="D256" s="20" t="s">
        <v>153</v>
      </c>
      <c r="E256" s="86"/>
      <c r="F256" s="77"/>
      <c r="G256" s="94"/>
    </row>
    <row r="257" spans="3:7" ht="171" customHeight="1">
      <c r="C257" s="78">
        <v>112</v>
      </c>
      <c r="D257" s="19" t="s">
        <v>144</v>
      </c>
      <c r="E257" s="84" t="s">
        <v>34</v>
      </c>
      <c r="F257" s="76">
        <v>1550</v>
      </c>
      <c r="G257" s="92"/>
    </row>
    <row r="258" spans="3:7" ht="97.9" customHeight="1">
      <c r="C258" s="79"/>
      <c r="D258" s="20" t="s">
        <v>154</v>
      </c>
      <c r="E258" s="86"/>
      <c r="F258" s="77"/>
      <c r="G258" s="94"/>
    </row>
    <row r="259" spans="3:7" ht="157.9" customHeight="1">
      <c r="C259" s="78">
        <v>113</v>
      </c>
      <c r="D259" s="19" t="s">
        <v>155</v>
      </c>
      <c r="E259" s="84" t="s">
        <v>34</v>
      </c>
      <c r="F259" s="101">
        <v>129</v>
      </c>
      <c r="G259" s="92"/>
    </row>
    <row r="260" spans="3:7" ht="39.6" customHeight="1">
      <c r="C260" s="79"/>
      <c r="D260" s="15" t="s">
        <v>156</v>
      </c>
      <c r="E260" s="86"/>
      <c r="F260" s="103"/>
      <c r="G260" s="94"/>
    </row>
    <row r="261" spans="3:7" ht="51" customHeight="1">
      <c r="C261" s="74" t="s">
        <v>3</v>
      </c>
      <c r="D261" s="75"/>
      <c r="E261" s="75"/>
      <c r="F261" s="75"/>
      <c r="G261" s="22">
        <f>SUM(G254:G260)</f>
        <v>0</v>
      </c>
    </row>
    <row r="262" spans="3:7" ht="163.15" customHeight="1">
      <c r="C262" s="99">
        <v>114</v>
      </c>
      <c r="D262" s="19" t="s">
        <v>155</v>
      </c>
      <c r="E262" s="98" t="s">
        <v>34</v>
      </c>
      <c r="F262" s="107">
        <v>85</v>
      </c>
      <c r="G262" s="97"/>
    </row>
    <row r="263" spans="3:7" ht="42" customHeight="1">
      <c r="C263" s="99"/>
      <c r="D263" s="20" t="s">
        <v>146</v>
      </c>
      <c r="E263" s="98"/>
      <c r="F263" s="107"/>
      <c r="G263" s="97"/>
    </row>
    <row r="264" spans="3:7" ht="75" customHeight="1">
      <c r="C264" s="99"/>
      <c r="D264" s="20" t="s">
        <v>157</v>
      </c>
      <c r="E264" s="98"/>
      <c r="F264" s="107"/>
      <c r="G264" s="97"/>
    </row>
    <row r="265" spans="3:7" ht="141.6" customHeight="1">
      <c r="C265" s="99">
        <v>115</v>
      </c>
      <c r="D265" s="19" t="s">
        <v>155</v>
      </c>
      <c r="E265" s="98" t="s">
        <v>34</v>
      </c>
      <c r="F265" s="107">
        <v>174</v>
      </c>
      <c r="G265" s="97"/>
    </row>
    <row r="266" spans="3:7" ht="54.6" customHeight="1">
      <c r="C266" s="99"/>
      <c r="D266" s="20" t="s">
        <v>146</v>
      </c>
      <c r="E266" s="98"/>
      <c r="F266" s="107"/>
      <c r="G266" s="97"/>
    </row>
    <row r="267" spans="3:7" ht="60" customHeight="1">
      <c r="C267" s="99"/>
      <c r="D267" s="20" t="s">
        <v>158</v>
      </c>
      <c r="E267" s="98"/>
      <c r="F267" s="107"/>
      <c r="G267" s="97"/>
    </row>
    <row r="268" spans="3:7" ht="157.15" customHeight="1">
      <c r="C268" s="99">
        <v>116</v>
      </c>
      <c r="D268" s="19" t="s">
        <v>155</v>
      </c>
      <c r="E268" s="98" t="s">
        <v>34</v>
      </c>
      <c r="F268" s="100">
        <v>215</v>
      </c>
      <c r="G268" s="97"/>
    </row>
    <row r="269" spans="3:7" ht="43.9" customHeight="1">
      <c r="C269" s="99"/>
      <c r="D269" s="20" t="s">
        <v>146</v>
      </c>
      <c r="E269" s="98"/>
      <c r="F269" s="100"/>
      <c r="G269" s="97"/>
    </row>
    <row r="270" spans="3:7" ht="82.15" customHeight="1">
      <c r="C270" s="99"/>
      <c r="D270" s="15" t="s">
        <v>159</v>
      </c>
      <c r="E270" s="98"/>
      <c r="F270" s="100"/>
      <c r="G270" s="97"/>
    </row>
    <row r="271" spans="3:7" ht="60" customHeight="1">
      <c r="C271" s="74" t="s">
        <v>3</v>
      </c>
      <c r="D271" s="75"/>
      <c r="E271" s="75"/>
      <c r="F271" s="75"/>
      <c r="G271" s="22">
        <f>SUM(G262:G270)</f>
        <v>0</v>
      </c>
    </row>
    <row r="272" spans="3:7" ht="138" customHeight="1">
      <c r="C272" s="99">
        <v>117</v>
      </c>
      <c r="D272" s="19" t="s">
        <v>155</v>
      </c>
      <c r="E272" s="98" t="s">
        <v>34</v>
      </c>
      <c r="F272" s="107">
        <v>37</v>
      </c>
      <c r="G272" s="97"/>
    </row>
    <row r="273" spans="3:7" ht="83.45" customHeight="1">
      <c r="C273" s="99"/>
      <c r="D273" s="20" t="s">
        <v>160</v>
      </c>
      <c r="E273" s="98"/>
      <c r="F273" s="107"/>
      <c r="G273" s="97"/>
    </row>
    <row r="274" spans="3:7" ht="146.44999999999999" customHeight="1">
      <c r="C274" s="99">
        <v>118</v>
      </c>
      <c r="D274" s="19" t="s">
        <v>155</v>
      </c>
      <c r="E274" s="98" t="s">
        <v>34</v>
      </c>
      <c r="F274" s="107">
        <v>203</v>
      </c>
      <c r="G274" s="97"/>
    </row>
    <row r="275" spans="3:7" ht="72.599999999999994" customHeight="1">
      <c r="C275" s="99"/>
      <c r="D275" s="15" t="s">
        <v>161</v>
      </c>
      <c r="E275" s="98"/>
      <c r="F275" s="107"/>
      <c r="G275" s="97"/>
    </row>
    <row r="276" spans="3:7" ht="156" customHeight="1">
      <c r="C276" s="99">
        <v>119</v>
      </c>
      <c r="D276" s="20" t="s">
        <v>155</v>
      </c>
      <c r="E276" s="98" t="s">
        <v>34</v>
      </c>
      <c r="F276" s="100">
        <v>18</v>
      </c>
      <c r="G276" s="97"/>
    </row>
    <row r="277" spans="3:7" ht="90.6" customHeight="1">
      <c r="C277" s="99"/>
      <c r="D277" s="15" t="s">
        <v>162</v>
      </c>
      <c r="E277" s="98"/>
      <c r="F277" s="100"/>
      <c r="G277" s="97"/>
    </row>
    <row r="278" spans="3:7" ht="51" customHeight="1">
      <c r="C278" s="74" t="s">
        <v>3</v>
      </c>
      <c r="D278" s="75"/>
      <c r="E278" s="75"/>
      <c r="F278" s="75"/>
      <c r="G278" s="22">
        <f>SUM(G272:G277)</f>
        <v>0</v>
      </c>
    </row>
    <row r="279" spans="3:7" ht="99.6" customHeight="1">
      <c r="C279" s="78">
        <v>120</v>
      </c>
      <c r="D279" s="19" t="s">
        <v>163</v>
      </c>
      <c r="E279" s="84" t="s">
        <v>34</v>
      </c>
      <c r="F279" s="76">
        <v>178</v>
      </c>
      <c r="G279" s="92"/>
    </row>
    <row r="280" spans="3:7" ht="78.599999999999994" customHeight="1">
      <c r="C280" s="83"/>
      <c r="D280" s="20" t="s">
        <v>164</v>
      </c>
      <c r="E280" s="85"/>
      <c r="F280" s="95"/>
      <c r="G280" s="93"/>
    </row>
    <row r="281" spans="3:7" ht="27.75" customHeight="1">
      <c r="C281" s="83"/>
      <c r="D281" s="20" t="s">
        <v>165</v>
      </c>
      <c r="E281" s="85"/>
      <c r="F281" s="95"/>
      <c r="G281" s="93"/>
    </row>
    <row r="282" spans="3:7" ht="31.9" customHeight="1">
      <c r="C282" s="83"/>
      <c r="D282" s="20" t="s">
        <v>166</v>
      </c>
      <c r="E282" s="85"/>
      <c r="F282" s="95"/>
      <c r="G282" s="93"/>
    </row>
    <row r="283" spans="3:7" ht="54" customHeight="1">
      <c r="C283" s="79"/>
      <c r="D283" s="20" t="s">
        <v>167</v>
      </c>
      <c r="E283" s="86"/>
      <c r="F283" s="77"/>
      <c r="G283" s="94"/>
    </row>
    <row r="284" spans="3:7" ht="81.599999999999994" customHeight="1">
      <c r="C284" s="78">
        <v>121</v>
      </c>
      <c r="D284" s="19" t="s">
        <v>168</v>
      </c>
      <c r="E284" s="84" t="s">
        <v>34</v>
      </c>
      <c r="F284" s="76">
        <v>110</v>
      </c>
      <c r="G284" s="92"/>
    </row>
    <row r="285" spans="3:7" ht="33.6" customHeight="1">
      <c r="C285" s="83"/>
      <c r="D285" s="20" t="s">
        <v>169</v>
      </c>
      <c r="E285" s="85"/>
      <c r="F285" s="95"/>
      <c r="G285" s="93"/>
    </row>
    <row r="286" spans="3:7" ht="28.9" customHeight="1">
      <c r="C286" s="83"/>
      <c r="D286" s="20" t="s">
        <v>170</v>
      </c>
      <c r="E286" s="85"/>
      <c r="F286" s="95"/>
      <c r="G286" s="93"/>
    </row>
    <row r="287" spans="3:7" ht="37.9" customHeight="1">
      <c r="C287" s="79"/>
      <c r="D287" s="20" t="s">
        <v>171</v>
      </c>
      <c r="E287" s="86"/>
      <c r="F287" s="77"/>
      <c r="G287" s="94"/>
    </row>
    <row r="288" spans="3:7" ht="97.9" customHeight="1">
      <c r="C288" s="78">
        <v>122</v>
      </c>
      <c r="D288" s="19" t="s">
        <v>172</v>
      </c>
      <c r="E288" s="84" t="s">
        <v>34</v>
      </c>
      <c r="F288" s="101">
        <v>160</v>
      </c>
      <c r="G288" s="92"/>
    </row>
    <row r="289" spans="3:8" ht="28.9" customHeight="1">
      <c r="C289" s="83"/>
      <c r="D289" s="20" t="s">
        <v>173</v>
      </c>
      <c r="E289" s="85"/>
      <c r="F289" s="102"/>
      <c r="G289" s="93"/>
    </row>
    <row r="290" spans="3:8" ht="46.15" customHeight="1">
      <c r="C290" s="79"/>
      <c r="D290" s="20" t="s">
        <v>171</v>
      </c>
      <c r="E290" s="86"/>
      <c r="F290" s="103"/>
      <c r="G290" s="94"/>
    </row>
    <row r="291" spans="3:8" ht="125.45" customHeight="1">
      <c r="C291" s="78">
        <v>123</v>
      </c>
      <c r="D291" s="19" t="s">
        <v>174</v>
      </c>
      <c r="E291" s="84" t="s">
        <v>34</v>
      </c>
      <c r="F291" s="101">
        <v>170</v>
      </c>
      <c r="G291" s="92"/>
    </row>
    <row r="292" spans="3:8" ht="39.6" customHeight="1">
      <c r="C292" s="83"/>
      <c r="D292" s="20" t="s">
        <v>121</v>
      </c>
      <c r="E292" s="85"/>
      <c r="F292" s="102"/>
      <c r="G292" s="93"/>
    </row>
    <row r="293" spans="3:8" ht="54" customHeight="1">
      <c r="C293" s="83"/>
      <c r="D293" s="20" t="s">
        <v>175</v>
      </c>
      <c r="E293" s="85"/>
      <c r="F293" s="102"/>
      <c r="G293" s="93"/>
    </row>
    <row r="294" spans="3:8" ht="37.9" customHeight="1">
      <c r="C294" s="79"/>
      <c r="D294" s="15" t="s">
        <v>176</v>
      </c>
      <c r="E294" s="86"/>
      <c r="F294" s="103"/>
      <c r="G294" s="94"/>
    </row>
    <row r="295" spans="3:8" ht="51" customHeight="1">
      <c r="C295" s="74" t="s">
        <v>3</v>
      </c>
      <c r="D295" s="75"/>
      <c r="E295" s="75"/>
      <c r="F295" s="75"/>
      <c r="G295" s="22">
        <f>SUM(G279:G294)</f>
        <v>0</v>
      </c>
    </row>
    <row r="296" spans="3:8" ht="115.15" customHeight="1">
      <c r="C296" s="78">
        <v>124</v>
      </c>
      <c r="D296" s="19" t="s">
        <v>177</v>
      </c>
      <c r="E296" s="84" t="s">
        <v>34</v>
      </c>
      <c r="F296" s="76">
        <v>118</v>
      </c>
      <c r="G296" s="92"/>
    </row>
    <row r="297" spans="3:8" ht="61.5" customHeight="1">
      <c r="C297" s="79"/>
      <c r="D297" s="15" t="s">
        <v>178</v>
      </c>
      <c r="E297" s="86"/>
      <c r="F297" s="77"/>
      <c r="G297" s="94"/>
    </row>
    <row r="298" spans="3:8" s="18" customFormat="1" ht="90.6" customHeight="1">
      <c r="C298" s="108">
        <v>125</v>
      </c>
      <c r="D298" s="24" t="s">
        <v>179</v>
      </c>
      <c r="E298" s="80" t="s">
        <v>34</v>
      </c>
      <c r="F298" s="87">
        <v>12700</v>
      </c>
      <c r="G298" s="111"/>
    </row>
    <row r="299" spans="3:8" s="18" customFormat="1" ht="72.599999999999994" customHeight="1">
      <c r="C299" s="109"/>
      <c r="D299" s="42" t="s">
        <v>180</v>
      </c>
      <c r="E299" s="81"/>
      <c r="F299" s="88"/>
      <c r="G299" s="112"/>
      <c r="H299" s="18" t="e">
        <f>#REF!*#REF!</f>
        <v>#REF!</v>
      </c>
    </row>
    <row r="300" spans="3:8" s="18" customFormat="1" ht="50.45" customHeight="1">
      <c r="C300" s="110"/>
      <c r="D300" s="48" t="s">
        <v>181</v>
      </c>
      <c r="E300" s="82"/>
      <c r="F300" s="89"/>
      <c r="G300" s="113"/>
    </row>
    <row r="301" spans="3:8" ht="247.15" customHeight="1">
      <c r="C301" s="78">
        <v>126</v>
      </c>
      <c r="D301" s="19" t="s">
        <v>182</v>
      </c>
      <c r="E301" s="84" t="s">
        <v>34</v>
      </c>
      <c r="F301" s="101">
        <v>2288</v>
      </c>
      <c r="G301" s="92"/>
    </row>
    <row r="302" spans="3:8" ht="43.9" customHeight="1">
      <c r="C302" s="79"/>
      <c r="D302" s="15" t="s">
        <v>183</v>
      </c>
      <c r="E302" s="86"/>
      <c r="F302" s="103"/>
      <c r="G302" s="94"/>
    </row>
    <row r="303" spans="3:8" ht="147" customHeight="1">
      <c r="C303" s="78">
        <v>127</v>
      </c>
      <c r="D303" s="19" t="s">
        <v>184</v>
      </c>
      <c r="E303" s="84" t="s">
        <v>34</v>
      </c>
      <c r="F303" s="101">
        <v>6173</v>
      </c>
      <c r="G303" s="92"/>
    </row>
    <row r="304" spans="3:8" ht="39.6" customHeight="1">
      <c r="C304" s="83"/>
      <c r="D304" s="20" t="s">
        <v>185</v>
      </c>
      <c r="E304" s="85"/>
      <c r="F304" s="102"/>
      <c r="G304" s="93"/>
    </row>
    <row r="305" spans="3:7" ht="49.15" customHeight="1">
      <c r="C305" s="79"/>
      <c r="D305" s="15" t="s">
        <v>186</v>
      </c>
      <c r="E305" s="86"/>
      <c r="F305" s="103"/>
      <c r="G305" s="94"/>
    </row>
    <row r="306" spans="3:7" ht="51" customHeight="1">
      <c r="C306" s="74" t="s">
        <v>3</v>
      </c>
      <c r="D306" s="75"/>
      <c r="E306" s="75"/>
      <c r="F306" s="75"/>
      <c r="G306" s="22">
        <f>SUM(G296:G305)</f>
        <v>0</v>
      </c>
    </row>
    <row r="307" spans="3:7" s="18" customFormat="1" ht="76.150000000000006" customHeight="1">
      <c r="C307" s="106">
        <v>128</v>
      </c>
      <c r="D307" s="24" t="s">
        <v>179</v>
      </c>
      <c r="E307" s="105" t="s">
        <v>34</v>
      </c>
      <c r="F307" s="104">
        <v>2088</v>
      </c>
      <c r="G307" s="134"/>
    </row>
    <row r="308" spans="3:7" s="18" customFormat="1" ht="72" customHeight="1">
      <c r="C308" s="106"/>
      <c r="D308" s="42" t="s">
        <v>180</v>
      </c>
      <c r="E308" s="105"/>
      <c r="F308" s="104"/>
      <c r="G308" s="134"/>
    </row>
    <row r="309" spans="3:7" s="18" customFormat="1" ht="42" customHeight="1">
      <c r="C309" s="106"/>
      <c r="D309" s="42" t="s">
        <v>187</v>
      </c>
      <c r="E309" s="105"/>
      <c r="F309" s="104"/>
      <c r="G309" s="134"/>
    </row>
    <row r="310" spans="3:7" ht="77.45" customHeight="1">
      <c r="C310" s="99">
        <v>129</v>
      </c>
      <c r="D310" s="19" t="s">
        <v>179</v>
      </c>
      <c r="E310" s="98" t="s">
        <v>34</v>
      </c>
      <c r="F310" s="107">
        <v>174</v>
      </c>
      <c r="G310" s="97"/>
    </row>
    <row r="311" spans="3:7" ht="70.900000000000006" customHeight="1">
      <c r="C311" s="99"/>
      <c r="D311" s="20" t="s">
        <v>180</v>
      </c>
      <c r="E311" s="98"/>
      <c r="F311" s="107"/>
      <c r="G311" s="97"/>
    </row>
    <row r="312" spans="3:7" ht="43.15" customHeight="1">
      <c r="C312" s="99"/>
      <c r="D312" s="20" t="s">
        <v>188</v>
      </c>
      <c r="E312" s="98"/>
      <c r="F312" s="107"/>
      <c r="G312" s="97"/>
    </row>
    <row r="313" spans="3:7" ht="79.900000000000006" customHeight="1">
      <c r="C313" s="99">
        <v>130</v>
      </c>
      <c r="D313" s="19" t="s">
        <v>179</v>
      </c>
      <c r="E313" s="98" t="s">
        <v>34</v>
      </c>
      <c r="F313" s="100">
        <v>30</v>
      </c>
      <c r="G313" s="97"/>
    </row>
    <row r="314" spans="3:7" ht="61.9" customHeight="1">
      <c r="C314" s="99"/>
      <c r="D314" s="20" t="s">
        <v>180</v>
      </c>
      <c r="E314" s="98"/>
      <c r="F314" s="100"/>
      <c r="G314" s="97"/>
    </row>
    <row r="315" spans="3:7" ht="73.150000000000006" customHeight="1">
      <c r="C315" s="99"/>
      <c r="D315" s="20" t="s">
        <v>189</v>
      </c>
      <c r="E315" s="98"/>
      <c r="F315" s="100"/>
      <c r="G315" s="97"/>
    </row>
    <row r="316" spans="3:7" ht="81" customHeight="1">
      <c r="C316" s="99">
        <v>131</v>
      </c>
      <c r="D316" s="19" t="s">
        <v>179</v>
      </c>
      <c r="E316" s="98" t="s">
        <v>34</v>
      </c>
      <c r="F316" s="100">
        <v>23</v>
      </c>
      <c r="G316" s="97"/>
    </row>
    <row r="317" spans="3:7" ht="76.150000000000006" customHeight="1">
      <c r="C317" s="99"/>
      <c r="D317" s="20" t="s">
        <v>180</v>
      </c>
      <c r="E317" s="98"/>
      <c r="F317" s="100"/>
      <c r="G317" s="97"/>
    </row>
    <row r="318" spans="3:7" ht="52.9" customHeight="1">
      <c r="C318" s="99"/>
      <c r="D318" s="15" t="s">
        <v>190</v>
      </c>
      <c r="E318" s="98"/>
      <c r="F318" s="100"/>
      <c r="G318" s="97"/>
    </row>
    <row r="319" spans="3:7" ht="51" customHeight="1">
      <c r="C319" s="74" t="s">
        <v>3</v>
      </c>
      <c r="D319" s="75"/>
      <c r="E319" s="75"/>
      <c r="F319" s="75"/>
      <c r="G319" s="22">
        <f>SUM(G307:G318)</f>
        <v>0</v>
      </c>
    </row>
    <row r="320" spans="3:7" ht="103.9" customHeight="1">
      <c r="C320" s="99">
        <v>132</v>
      </c>
      <c r="D320" s="19" t="s">
        <v>179</v>
      </c>
      <c r="E320" s="98" t="s">
        <v>34</v>
      </c>
      <c r="F320" s="107">
        <v>32</v>
      </c>
      <c r="G320" s="97"/>
    </row>
    <row r="321" spans="3:7" ht="74.45" customHeight="1">
      <c r="C321" s="99"/>
      <c r="D321" s="20" t="s">
        <v>180</v>
      </c>
      <c r="E321" s="98"/>
      <c r="F321" s="107"/>
      <c r="G321" s="97"/>
    </row>
    <row r="322" spans="3:7" ht="39" customHeight="1">
      <c r="C322" s="99"/>
      <c r="D322" s="15" t="s">
        <v>191</v>
      </c>
      <c r="E322" s="98"/>
      <c r="F322" s="107"/>
      <c r="G322" s="97"/>
    </row>
    <row r="323" spans="3:7" ht="94.9" customHeight="1">
      <c r="C323" s="99">
        <v>133</v>
      </c>
      <c r="D323" s="19" t="s">
        <v>192</v>
      </c>
      <c r="E323" s="98" t="s">
        <v>34</v>
      </c>
      <c r="F323" s="107">
        <v>25559</v>
      </c>
      <c r="G323" s="97"/>
    </row>
    <row r="324" spans="3:7" ht="78.599999999999994" customHeight="1">
      <c r="C324" s="99"/>
      <c r="D324" s="20" t="s">
        <v>193</v>
      </c>
      <c r="E324" s="98"/>
      <c r="F324" s="107"/>
      <c r="G324" s="97"/>
    </row>
    <row r="325" spans="3:7" ht="57" customHeight="1">
      <c r="C325" s="99"/>
      <c r="D325" s="15" t="s">
        <v>194</v>
      </c>
      <c r="E325" s="98"/>
      <c r="F325" s="107"/>
      <c r="G325" s="97"/>
    </row>
    <row r="326" spans="3:7" ht="103.9" customHeight="1">
      <c r="C326" s="99">
        <v>134</v>
      </c>
      <c r="D326" s="19" t="s">
        <v>192</v>
      </c>
      <c r="E326" s="98" t="s">
        <v>34</v>
      </c>
      <c r="F326" s="100">
        <v>9</v>
      </c>
      <c r="G326" s="97"/>
    </row>
    <row r="327" spans="3:7" ht="90.6" customHeight="1">
      <c r="C327" s="99"/>
      <c r="D327" s="20" t="s">
        <v>193</v>
      </c>
      <c r="E327" s="98"/>
      <c r="F327" s="100"/>
      <c r="G327" s="97"/>
    </row>
    <row r="328" spans="3:7" ht="55.15" customHeight="1">
      <c r="C328" s="99"/>
      <c r="D328" s="15" t="s">
        <v>195</v>
      </c>
      <c r="E328" s="98"/>
      <c r="F328" s="100"/>
      <c r="G328" s="97"/>
    </row>
    <row r="329" spans="3:7" ht="89.45" customHeight="1">
      <c r="C329" s="99">
        <v>135</v>
      </c>
      <c r="D329" s="19" t="s">
        <v>192</v>
      </c>
      <c r="E329" s="98" t="s">
        <v>34</v>
      </c>
      <c r="F329" s="100">
        <v>3</v>
      </c>
      <c r="G329" s="97"/>
    </row>
    <row r="330" spans="3:7" ht="93" customHeight="1">
      <c r="C330" s="99"/>
      <c r="D330" s="20" t="s">
        <v>193</v>
      </c>
      <c r="E330" s="98"/>
      <c r="F330" s="100"/>
      <c r="G330" s="97"/>
    </row>
    <row r="331" spans="3:7" ht="73.900000000000006" customHeight="1">
      <c r="C331" s="99"/>
      <c r="D331" s="15" t="s">
        <v>196</v>
      </c>
      <c r="E331" s="98"/>
      <c r="F331" s="100"/>
      <c r="G331" s="97"/>
    </row>
    <row r="332" spans="3:7" ht="51" customHeight="1" thickBot="1">
      <c r="C332" s="74" t="s">
        <v>3</v>
      </c>
      <c r="D332" s="75"/>
      <c r="E332" s="75"/>
      <c r="F332" s="75"/>
      <c r="G332" s="22">
        <f>SUM(G320:G331)</f>
        <v>0</v>
      </c>
    </row>
    <row r="333" spans="3:7" ht="96.6" customHeight="1">
      <c r="C333" s="99">
        <v>136</v>
      </c>
      <c r="D333" s="34" t="s">
        <v>192</v>
      </c>
      <c r="E333" s="98" t="s">
        <v>34</v>
      </c>
      <c r="F333" s="107">
        <v>4</v>
      </c>
      <c r="G333" s="97"/>
    </row>
    <row r="334" spans="3:7" ht="81" customHeight="1">
      <c r="C334" s="99"/>
      <c r="D334" s="35" t="s">
        <v>193</v>
      </c>
      <c r="E334" s="98"/>
      <c r="F334" s="107"/>
      <c r="G334" s="97"/>
    </row>
    <row r="335" spans="3:7" ht="48" customHeight="1">
      <c r="C335" s="99"/>
      <c r="D335" s="35" t="s">
        <v>197</v>
      </c>
      <c r="E335" s="98"/>
      <c r="F335" s="107"/>
      <c r="G335" s="97"/>
    </row>
    <row r="336" spans="3:7" ht="133.9" customHeight="1">
      <c r="C336" s="99">
        <v>137</v>
      </c>
      <c r="D336" s="36" t="s">
        <v>198</v>
      </c>
      <c r="E336" s="98" t="s">
        <v>34</v>
      </c>
      <c r="F336" s="107">
        <v>9442</v>
      </c>
      <c r="G336" s="97"/>
    </row>
    <row r="337" spans="3:7" ht="62.45" customHeight="1">
      <c r="C337" s="99"/>
      <c r="D337" s="35" t="s">
        <v>199</v>
      </c>
      <c r="E337" s="98"/>
      <c r="F337" s="107"/>
      <c r="G337" s="97"/>
    </row>
    <row r="338" spans="3:7" ht="142.15" customHeight="1">
      <c r="C338" s="99">
        <v>138</v>
      </c>
      <c r="D338" s="36" t="s">
        <v>198</v>
      </c>
      <c r="E338" s="98" t="s">
        <v>34</v>
      </c>
      <c r="F338" s="100">
        <v>835</v>
      </c>
      <c r="G338" s="97"/>
    </row>
    <row r="339" spans="3:7" ht="49.15" customHeight="1">
      <c r="C339" s="99"/>
      <c r="D339" s="35" t="s">
        <v>200</v>
      </c>
      <c r="E339" s="98"/>
      <c r="F339" s="100"/>
      <c r="G339" s="97"/>
    </row>
    <row r="340" spans="3:7" ht="160.15" customHeight="1">
      <c r="C340" s="58">
        <v>139</v>
      </c>
      <c r="D340" s="37" t="s">
        <v>201</v>
      </c>
      <c r="E340" s="12" t="s">
        <v>34</v>
      </c>
      <c r="F340" s="57">
        <v>680</v>
      </c>
      <c r="G340" s="8"/>
    </row>
    <row r="341" spans="3:7" ht="133.9" customHeight="1">
      <c r="C341" s="58">
        <v>140</v>
      </c>
      <c r="D341" s="38" t="s">
        <v>202</v>
      </c>
      <c r="E341" s="12" t="s">
        <v>34</v>
      </c>
      <c r="F341" s="57">
        <v>758</v>
      </c>
      <c r="G341" s="8"/>
    </row>
    <row r="342" spans="3:7" ht="51" customHeight="1">
      <c r="C342" s="74" t="s">
        <v>3</v>
      </c>
      <c r="D342" s="75"/>
      <c r="E342" s="75"/>
      <c r="F342" s="75"/>
      <c r="G342" s="22">
        <f>SUM(G333:G341)</f>
        <v>0</v>
      </c>
    </row>
    <row r="343" spans="3:7" ht="51.6" customHeight="1">
      <c r="C343" s="78">
        <v>141</v>
      </c>
      <c r="D343" s="19" t="s">
        <v>203</v>
      </c>
      <c r="E343" s="84" t="s">
        <v>36</v>
      </c>
      <c r="F343" s="76">
        <v>47</v>
      </c>
      <c r="G343" s="92"/>
    </row>
    <row r="344" spans="3:7" ht="51.6" customHeight="1">
      <c r="C344" s="79"/>
      <c r="D344" s="15" t="s">
        <v>204</v>
      </c>
      <c r="E344" s="86"/>
      <c r="F344" s="77"/>
      <c r="G344" s="94"/>
    </row>
    <row r="345" spans="3:7" ht="57" customHeight="1">
      <c r="C345" s="78">
        <v>142</v>
      </c>
      <c r="D345" s="19" t="s">
        <v>203</v>
      </c>
      <c r="E345" s="84" t="s">
        <v>36</v>
      </c>
      <c r="F345" s="76">
        <v>47</v>
      </c>
      <c r="G345" s="92"/>
    </row>
    <row r="346" spans="3:7" ht="57" customHeight="1">
      <c r="C346" s="79"/>
      <c r="D346" s="15" t="s">
        <v>205</v>
      </c>
      <c r="E346" s="86"/>
      <c r="F346" s="77"/>
      <c r="G346" s="94"/>
    </row>
    <row r="347" spans="3:7" ht="55.9" customHeight="1">
      <c r="C347" s="78">
        <v>143</v>
      </c>
      <c r="D347" s="19" t="s">
        <v>203</v>
      </c>
      <c r="E347" s="84" t="s">
        <v>36</v>
      </c>
      <c r="F347" s="76">
        <v>115</v>
      </c>
      <c r="G347" s="92"/>
    </row>
    <row r="348" spans="3:7" ht="55.9" customHeight="1">
      <c r="C348" s="79"/>
      <c r="D348" s="15" t="s">
        <v>206</v>
      </c>
      <c r="E348" s="86"/>
      <c r="F348" s="77"/>
      <c r="G348" s="94"/>
    </row>
    <row r="349" spans="3:7" ht="45" customHeight="1">
      <c r="C349" s="78">
        <v>144</v>
      </c>
      <c r="D349" s="19" t="s">
        <v>203</v>
      </c>
      <c r="E349" s="84" t="s">
        <v>36</v>
      </c>
      <c r="F349" s="76">
        <v>138</v>
      </c>
      <c r="G349" s="92"/>
    </row>
    <row r="350" spans="3:7" ht="45" customHeight="1">
      <c r="C350" s="79"/>
      <c r="D350" s="15" t="s">
        <v>207</v>
      </c>
      <c r="E350" s="86"/>
      <c r="F350" s="77"/>
      <c r="G350" s="94"/>
    </row>
    <row r="351" spans="3:7" ht="45" customHeight="1">
      <c r="C351" s="78">
        <v>145</v>
      </c>
      <c r="D351" s="19" t="s">
        <v>203</v>
      </c>
      <c r="E351" s="84" t="s">
        <v>36</v>
      </c>
      <c r="F351" s="76">
        <v>23</v>
      </c>
      <c r="G351" s="92"/>
    </row>
    <row r="352" spans="3:7" ht="54.6" customHeight="1">
      <c r="C352" s="79"/>
      <c r="D352" s="15" t="s">
        <v>208</v>
      </c>
      <c r="E352" s="86"/>
      <c r="F352" s="77"/>
      <c r="G352" s="94"/>
    </row>
    <row r="353" spans="3:7" ht="45" customHeight="1">
      <c r="C353" s="78">
        <v>146</v>
      </c>
      <c r="D353" s="19" t="s">
        <v>203</v>
      </c>
      <c r="E353" s="84" t="s">
        <v>36</v>
      </c>
      <c r="F353" s="76">
        <v>23</v>
      </c>
      <c r="G353" s="92"/>
    </row>
    <row r="354" spans="3:7" ht="61.9" customHeight="1">
      <c r="C354" s="79"/>
      <c r="D354" s="15" t="s">
        <v>209</v>
      </c>
      <c r="E354" s="86"/>
      <c r="F354" s="77"/>
      <c r="G354" s="94"/>
    </row>
    <row r="355" spans="3:7" ht="70.150000000000006" customHeight="1">
      <c r="C355" s="78">
        <v>147</v>
      </c>
      <c r="D355" s="19" t="s">
        <v>203</v>
      </c>
      <c r="E355" s="84" t="s">
        <v>36</v>
      </c>
      <c r="F355" s="76">
        <v>1</v>
      </c>
      <c r="G355" s="92"/>
    </row>
    <row r="356" spans="3:7" ht="70.150000000000006" customHeight="1">
      <c r="C356" s="79"/>
      <c r="D356" s="20" t="s">
        <v>210</v>
      </c>
      <c r="E356" s="86"/>
      <c r="F356" s="77"/>
      <c r="G356" s="94"/>
    </row>
    <row r="357" spans="3:7" ht="73.900000000000006" customHeight="1">
      <c r="C357" s="78">
        <v>148</v>
      </c>
      <c r="D357" s="19" t="s">
        <v>203</v>
      </c>
      <c r="E357" s="84" t="s">
        <v>36</v>
      </c>
      <c r="F357" s="76">
        <v>20</v>
      </c>
      <c r="G357" s="92"/>
    </row>
    <row r="358" spans="3:7" ht="73.900000000000006" customHeight="1">
      <c r="C358" s="79"/>
      <c r="D358" s="15" t="s">
        <v>211</v>
      </c>
      <c r="E358" s="86"/>
      <c r="F358" s="77"/>
      <c r="G358" s="94"/>
    </row>
    <row r="359" spans="3:7" ht="51" customHeight="1">
      <c r="C359" s="74" t="s">
        <v>3</v>
      </c>
      <c r="D359" s="75"/>
      <c r="E359" s="75"/>
      <c r="F359" s="75"/>
      <c r="G359" s="22">
        <f>SUM(G343:G358)</f>
        <v>0</v>
      </c>
    </row>
    <row r="360" spans="3:7" ht="57" customHeight="1">
      <c r="C360" s="78">
        <v>149</v>
      </c>
      <c r="D360" s="19" t="s">
        <v>203</v>
      </c>
      <c r="E360" s="84" t="s">
        <v>36</v>
      </c>
      <c r="F360" s="76">
        <v>32</v>
      </c>
      <c r="G360" s="92"/>
    </row>
    <row r="361" spans="3:7" ht="57" customHeight="1">
      <c r="C361" s="79"/>
      <c r="D361" s="15" t="s">
        <v>212</v>
      </c>
      <c r="E361" s="86"/>
      <c r="F361" s="77"/>
      <c r="G361" s="94"/>
    </row>
    <row r="362" spans="3:7" ht="64.900000000000006" customHeight="1">
      <c r="C362" s="78">
        <v>150</v>
      </c>
      <c r="D362" s="19" t="s">
        <v>213</v>
      </c>
      <c r="E362" s="84" t="s">
        <v>36</v>
      </c>
      <c r="F362" s="76">
        <v>1</v>
      </c>
      <c r="G362" s="92"/>
    </row>
    <row r="363" spans="3:7" ht="33.6" customHeight="1">
      <c r="C363" s="79"/>
      <c r="D363" s="15" t="s">
        <v>214</v>
      </c>
      <c r="E363" s="86"/>
      <c r="F363" s="77"/>
      <c r="G363" s="94"/>
    </row>
    <row r="364" spans="3:7" ht="46.15" customHeight="1">
      <c r="C364" s="78">
        <v>151</v>
      </c>
      <c r="D364" s="19" t="s">
        <v>213</v>
      </c>
      <c r="E364" s="84" t="s">
        <v>36</v>
      </c>
      <c r="F364" s="76">
        <v>75</v>
      </c>
      <c r="G364" s="92"/>
    </row>
    <row r="365" spans="3:7" ht="46.15" customHeight="1">
      <c r="C365" s="79"/>
      <c r="D365" s="15" t="s">
        <v>215</v>
      </c>
      <c r="E365" s="86"/>
      <c r="F365" s="77"/>
      <c r="G365" s="94"/>
    </row>
    <row r="366" spans="3:7" ht="51.6" customHeight="1">
      <c r="C366" s="78">
        <v>152</v>
      </c>
      <c r="D366" s="19" t="s">
        <v>213</v>
      </c>
      <c r="E366" s="84" t="s">
        <v>36</v>
      </c>
      <c r="F366" s="76">
        <v>92</v>
      </c>
      <c r="G366" s="92"/>
    </row>
    <row r="367" spans="3:7" ht="51.6" customHeight="1">
      <c r="C367" s="79"/>
      <c r="D367" s="20" t="s">
        <v>216</v>
      </c>
      <c r="E367" s="86"/>
      <c r="F367" s="77"/>
      <c r="G367" s="94"/>
    </row>
    <row r="368" spans="3:7" ht="66" customHeight="1">
      <c r="C368" s="78">
        <v>153</v>
      </c>
      <c r="D368" s="19" t="s">
        <v>217</v>
      </c>
      <c r="E368" s="84" t="s">
        <v>36</v>
      </c>
      <c r="F368" s="76">
        <v>32</v>
      </c>
      <c r="G368" s="92"/>
    </row>
    <row r="369" spans="3:7" ht="66" customHeight="1">
      <c r="C369" s="83"/>
      <c r="D369" s="20" t="s">
        <v>218</v>
      </c>
      <c r="E369" s="85"/>
      <c r="F369" s="95"/>
      <c r="G369" s="93"/>
    </row>
    <row r="370" spans="3:7" ht="66" customHeight="1">
      <c r="C370" s="79"/>
      <c r="D370" s="15" t="s">
        <v>219</v>
      </c>
      <c r="E370" s="86"/>
      <c r="F370" s="77"/>
      <c r="G370" s="94"/>
    </row>
    <row r="371" spans="3:7" ht="58.9" customHeight="1">
      <c r="C371" s="78">
        <v>154</v>
      </c>
      <c r="D371" s="19" t="s">
        <v>217</v>
      </c>
      <c r="E371" s="84" t="s">
        <v>36</v>
      </c>
      <c r="F371" s="76">
        <v>20</v>
      </c>
      <c r="G371" s="92"/>
    </row>
    <row r="372" spans="3:7" ht="70.900000000000006" customHeight="1">
      <c r="C372" s="83"/>
      <c r="D372" s="20" t="s">
        <v>218</v>
      </c>
      <c r="E372" s="85"/>
      <c r="F372" s="95"/>
      <c r="G372" s="93"/>
    </row>
    <row r="373" spans="3:7" ht="63" customHeight="1">
      <c r="C373" s="79"/>
      <c r="D373" s="15" t="s">
        <v>220</v>
      </c>
      <c r="E373" s="86"/>
      <c r="F373" s="77"/>
      <c r="G373" s="94"/>
    </row>
    <row r="374" spans="3:7" ht="66" customHeight="1">
      <c r="C374" s="78">
        <v>155</v>
      </c>
      <c r="D374" s="19" t="s">
        <v>217</v>
      </c>
      <c r="E374" s="84" t="s">
        <v>36</v>
      </c>
      <c r="F374" s="76">
        <v>22</v>
      </c>
      <c r="G374" s="92"/>
    </row>
    <row r="375" spans="3:7" ht="59.45" customHeight="1">
      <c r="C375" s="83"/>
      <c r="D375" s="20" t="s">
        <v>218</v>
      </c>
      <c r="E375" s="85"/>
      <c r="F375" s="95"/>
      <c r="G375" s="93"/>
    </row>
    <row r="376" spans="3:7" ht="62.45" customHeight="1">
      <c r="C376" s="79"/>
      <c r="D376" s="39" t="s">
        <v>221</v>
      </c>
      <c r="E376" s="86"/>
      <c r="F376" s="77"/>
      <c r="G376" s="94"/>
    </row>
    <row r="377" spans="3:7" ht="66" customHeight="1">
      <c r="C377" s="78">
        <v>156</v>
      </c>
      <c r="D377" s="19" t="s">
        <v>217</v>
      </c>
      <c r="E377" s="84" t="s">
        <v>36</v>
      </c>
      <c r="F377" s="76">
        <v>23</v>
      </c>
      <c r="G377" s="92"/>
    </row>
    <row r="378" spans="3:7" ht="65.45" customHeight="1">
      <c r="C378" s="83"/>
      <c r="D378" s="20" t="s">
        <v>218</v>
      </c>
      <c r="E378" s="85"/>
      <c r="F378" s="95"/>
      <c r="G378" s="93"/>
    </row>
    <row r="379" spans="3:7" ht="68.45" customHeight="1">
      <c r="C379" s="79"/>
      <c r="D379" s="39" t="s">
        <v>222</v>
      </c>
      <c r="E379" s="86"/>
      <c r="F379" s="77"/>
      <c r="G379" s="94"/>
    </row>
    <row r="380" spans="3:7" ht="55.5" customHeight="1">
      <c r="C380" s="124" t="s">
        <v>3</v>
      </c>
      <c r="D380" s="124"/>
      <c r="E380" s="124"/>
      <c r="F380" s="124"/>
      <c r="G380" s="22">
        <f>SUM(G360:G379)</f>
        <v>0</v>
      </c>
    </row>
    <row r="381" spans="3:7" ht="74.45" customHeight="1">
      <c r="C381" s="83">
        <v>157</v>
      </c>
      <c r="D381" s="20" t="s">
        <v>217</v>
      </c>
      <c r="E381" s="85" t="s">
        <v>36</v>
      </c>
      <c r="F381" s="95">
        <v>1</v>
      </c>
      <c r="G381" s="93"/>
    </row>
    <row r="382" spans="3:7" ht="74.45" customHeight="1">
      <c r="C382" s="83"/>
      <c r="D382" s="20" t="s">
        <v>218</v>
      </c>
      <c r="E382" s="85"/>
      <c r="F382" s="95"/>
      <c r="G382" s="93"/>
    </row>
    <row r="383" spans="3:7" ht="70.150000000000006" customHeight="1">
      <c r="C383" s="79"/>
      <c r="D383" s="39" t="s">
        <v>223</v>
      </c>
      <c r="E383" s="86"/>
      <c r="F383" s="77"/>
      <c r="G383" s="94"/>
    </row>
    <row r="384" spans="3:7" ht="60" customHeight="1">
      <c r="C384" s="78">
        <v>158</v>
      </c>
      <c r="D384" s="19" t="s">
        <v>217</v>
      </c>
      <c r="E384" s="84" t="s">
        <v>36</v>
      </c>
      <c r="F384" s="76">
        <v>4</v>
      </c>
      <c r="G384" s="92"/>
    </row>
    <row r="385" spans="3:7" ht="70.900000000000006" customHeight="1">
      <c r="C385" s="83"/>
      <c r="D385" s="20" t="s">
        <v>218</v>
      </c>
      <c r="E385" s="85"/>
      <c r="F385" s="95"/>
      <c r="G385" s="93"/>
    </row>
    <row r="386" spans="3:7" ht="53.45" customHeight="1">
      <c r="C386" s="79"/>
      <c r="D386" s="39" t="s">
        <v>224</v>
      </c>
      <c r="E386" s="86"/>
      <c r="F386" s="77"/>
      <c r="G386" s="94"/>
    </row>
    <row r="387" spans="3:7" ht="70.900000000000006" customHeight="1">
      <c r="C387" s="78">
        <v>159</v>
      </c>
      <c r="D387" s="19" t="s">
        <v>217</v>
      </c>
      <c r="E387" s="84" t="s">
        <v>36</v>
      </c>
      <c r="F387" s="76">
        <v>1</v>
      </c>
      <c r="G387" s="92"/>
    </row>
    <row r="388" spans="3:7" ht="70.900000000000006" customHeight="1">
      <c r="C388" s="83"/>
      <c r="D388" s="20" t="s">
        <v>218</v>
      </c>
      <c r="E388" s="85"/>
      <c r="F388" s="95"/>
      <c r="G388" s="93"/>
    </row>
    <row r="389" spans="3:7" ht="48" customHeight="1">
      <c r="C389" s="79"/>
      <c r="D389" s="39" t="s">
        <v>225</v>
      </c>
      <c r="E389" s="86"/>
      <c r="F389" s="77"/>
      <c r="G389" s="94"/>
    </row>
    <row r="390" spans="3:7" ht="93" customHeight="1">
      <c r="C390" s="78">
        <v>160</v>
      </c>
      <c r="D390" s="19" t="s">
        <v>226</v>
      </c>
      <c r="E390" s="84" t="s">
        <v>36</v>
      </c>
      <c r="F390" s="76">
        <v>32</v>
      </c>
      <c r="G390" s="92"/>
    </row>
    <row r="391" spans="3:7" ht="37.15" customHeight="1">
      <c r="C391" s="79"/>
      <c r="D391" s="20" t="s">
        <v>219</v>
      </c>
      <c r="E391" s="86"/>
      <c r="F391" s="77"/>
      <c r="G391" s="94"/>
    </row>
    <row r="392" spans="3:7" ht="90" customHeight="1">
      <c r="C392" s="78">
        <v>161</v>
      </c>
      <c r="D392" s="19" t="s">
        <v>226</v>
      </c>
      <c r="E392" s="84" t="s">
        <v>36</v>
      </c>
      <c r="F392" s="76">
        <v>20</v>
      </c>
      <c r="G392" s="92"/>
    </row>
    <row r="393" spans="3:7" ht="33" customHeight="1">
      <c r="C393" s="79"/>
      <c r="D393" s="20" t="s">
        <v>220</v>
      </c>
      <c r="E393" s="86"/>
      <c r="F393" s="77"/>
      <c r="G393" s="94"/>
    </row>
    <row r="394" spans="3:7" ht="54.6" customHeight="1">
      <c r="C394" s="78">
        <v>162</v>
      </c>
      <c r="D394" s="19" t="s">
        <v>226</v>
      </c>
      <c r="E394" s="84" t="s">
        <v>36</v>
      </c>
      <c r="F394" s="76">
        <v>22</v>
      </c>
      <c r="G394" s="92"/>
    </row>
    <row r="395" spans="3:7" ht="54.6" customHeight="1">
      <c r="C395" s="79"/>
      <c r="D395" s="15" t="s">
        <v>227</v>
      </c>
      <c r="E395" s="86"/>
      <c r="F395" s="77"/>
      <c r="G395" s="94"/>
    </row>
    <row r="396" spans="3:7" ht="51" customHeight="1">
      <c r="C396" s="74" t="s">
        <v>3</v>
      </c>
      <c r="D396" s="75"/>
      <c r="E396" s="75"/>
      <c r="F396" s="75"/>
      <c r="G396" s="22">
        <f>SUM(G381:G395)</f>
        <v>0</v>
      </c>
    </row>
    <row r="397" spans="3:7" ht="90.6" customHeight="1">
      <c r="C397" s="78">
        <v>163</v>
      </c>
      <c r="D397" s="19" t="s">
        <v>226</v>
      </c>
      <c r="E397" s="84" t="s">
        <v>36</v>
      </c>
      <c r="F397" s="76">
        <v>23</v>
      </c>
      <c r="G397" s="92"/>
    </row>
    <row r="398" spans="3:7" ht="51" customHeight="1">
      <c r="C398" s="79"/>
      <c r="D398" s="15" t="s">
        <v>222</v>
      </c>
      <c r="E398" s="86"/>
      <c r="F398" s="77"/>
      <c r="G398" s="94"/>
    </row>
    <row r="399" spans="3:7" ht="84" customHeight="1">
      <c r="C399" s="78">
        <v>164</v>
      </c>
      <c r="D399" s="19" t="s">
        <v>226</v>
      </c>
      <c r="E399" s="84" t="s">
        <v>36</v>
      </c>
      <c r="F399" s="76">
        <v>1</v>
      </c>
      <c r="G399" s="92"/>
    </row>
    <row r="400" spans="3:7" ht="58.9" customHeight="1">
      <c r="C400" s="79"/>
      <c r="D400" s="15" t="s">
        <v>223</v>
      </c>
      <c r="E400" s="86"/>
      <c r="F400" s="77"/>
      <c r="G400" s="94"/>
    </row>
    <row r="401" spans="3:7" ht="85.9" customHeight="1">
      <c r="C401" s="78">
        <v>165</v>
      </c>
      <c r="D401" s="19" t="s">
        <v>226</v>
      </c>
      <c r="E401" s="84" t="s">
        <v>36</v>
      </c>
      <c r="F401" s="76">
        <v>4</v>
      </c>
      <c r="G401" s="92"/>
    </row>
    <row r="402" spans="3:7" ht="55.9" customHeight="1">
      <c r="C402" s="79"/>
      <c r="D402" s="15" t="s">
        <v>224</v>
      </c>
      <c r="E402" s="86"/>
      <c r="F402" s="77"/>
      <c r="G402" s="94"/>
    </row>
    <row r="403" spans="3:7" ht="90.6" customHeight="1">
      <c r="C403" s="78">
        <v>166</v>
      </c>
      <c r="D403" s="19" t="s">
        <v>226</v>
      </c>
      <c r="E403" s="84" t="s">
        <v>36</v>
      </c>
      <c r="F403" s="76">
        <v>1</v>
      </c>
      <c r="G403" s="92"/>
    </row>
    <row r="404" spans="3:7" ht="44.25" customHeight="1">
      <c r="C404" s="79"/>
      <c r="D404" s="15" t="s">
        <v>225</v>
      </c>
      <c r="E404" s="86"/>
      <c r="F404" s="77"/>
      <c r="G404" s="94"/>
    </row>
    <row r="405" spans="3:7" ht="45.6" customHeight="1">
      <c r="C405" s="78">
        <v>167</v>
      </c>
      <c r="D405" s="19" t="s">
        <v>276</v>
      </c>
      <c r="E405" s="84" t="s">
        <v>36</v>
      </c>
      <c r="F405" s="76">
        <v>1</v>
      </c>
      <c r="G405" s="92"/>
    </row>
    <row r="406" spans="3:7" ht="40.9" customHeight="1">
      <c r="C406" s="79"/>
      <c r="D406" s="39" t="s">
        <v>228</v>
      </c>
      <c r="E406" s="86"/>
      <c r="F406" s="77"/>
      <c r="G406" s="94"/>
    </row>
    <row r="407" spans="3:7" ht="44.45" customHeight="1">
      <c r="C407" s="78">
        <v>168</v>
      </c>
      <c r="D407" s="19" t="s">
        <v>276</v>
      </c>
      <c r="E407" s="84" t="s">
        <v>36</v>
      </c>
      <c r="F407" s="76">
        <v>1</v>
      </c>
      <c r="G407" s="92"/>
    </row>
    <row r="408" spans="3:7" ht="44.45" customHeight="1">
      <c r="C408" s="79"/>
      <c r="D408" s="39" t="s">
        <v>229</v>
      </c>
      <c r="E408" s="86"/>
      <c r="F408" s="77"/>
      <c r="G408" s="94"/>
    </row>
    <row r="409" spans="3:7" ht="99" customHeight="1">
      <c r="C409" s="78">
        <v>169</v>
      </c>
      <c r="D409" s="19" t="s">
        <v>277</v>
      </c>
      <c r="E409" s="84" t="s">
        <v>36</v>
      </c>
      <c r="F409" s="76">
        <v>22</v>
      </c>
      <c r="G409" s="92"/>
    </row>
    <row r="410" spans="3:7" ht="34.9" customHeight="1">
      <c r="C410" s="79"/>
      <c r="D410" s="39" t="s">
        <v>230</v>
      </c>
      <c r="E410" s="86"/>
      <c r="F410" s="77"/>
      <c r="G410" s="94"/>
    </row>
    <row r="411" spans="3:7" ht="96" customHeight="1">
      <c r="C411" s="108">
        <v>170</v>
      </c>
      <c r="D411" s="19" t="s">
        <v>277</v>
      </c>
      <c r="E411" s="84" t="s">
        <v>36</v>
      </c>
      <c r="F411" s="76">
        <v>190</v>
      </c>
      <c r="G411" s="92"/>
    </row>
    <row r="412" spans="3:7" ht="35.450000000000003" customHeight="1">
      <c r="C412" s="110"/>
      <c r="D412" s="39" t="s">
        <v>231</v>
      </c>
      <c r="E412" s="86"/>
      <c r="F412" s="77"/>
      <c r="G412" s="94"/>
    </row>
    <row r="413" spans="3:7" ht="54.6" customHeight="1">
      <c r="C413" s="74" t="s">
        <v>3</v>
      </c>
      <c r="D413" s="75"/>
      <c r="E413" s="75"/>
      <c r="F413" s="75"/>
      <c r="G413" s="22">
        <f>SUM(G397:G412)</f>
        <v>0</v>
      </c>
    </row>
    <row r="414" spans="3:7" ht="117" customHeight="1">
      <c r="C414" s="63">
        <v>171</v>
      </c>
      <c r="D414" s="19" t="s">
        <v>278</v>
      </c>
      <c r="E414" s="40" t="s">
        <v>36</v>
      </c>
      <c r="F414" s="68">
        <v>36</v>
      </c>
      <c r="G414" s="23"/>
    </row>
    <row r="415" spans="3:7" ht="107.45" customHeight="1">
      <c r="C415" s="64">
        <v>172</v>
      </c>
      <c r="D415" s="19" t="s">
        <v>279</v>
      </c>
      <c r="E415" s="40" t="s">
        <v>36</v>
      </c>
      <c r="F415" s="68">
        <v>46</v>
      </c>
      <c r="G415" s="23"/>
    </row>
    <row r="416" spans="3:7" ht="42.6" customHeight="1">
      <c r="C416" s="78">
        <v>173</v>
      </c>
      <c r="D416" s="90" t="s">
        <v>280</v>
      </c>
      <c r="E416" s="84" t="s">
        <v>36</v>
      </c>
      <c r="F416" s="76">
        <v>30</v>
      </c>
      <c r="G416" s="92"/>
    </row>
    <row r="417" spans="3:7" ht="48" customHeight="1">
      <c r="C417" s="83"/>
      <c r="D417" s="96"/>
      <c r="E417" s="85"/>
      <c r="F417" s="95"/>
      <c r="G417" s="93"/>
    </row>
    <row r="418" spans="3:7" ht="20.45" customHeight="1">
      <c r="C418" s="79"/>
      <c r="D418" s="91"/>
      <c r="E418" s="86"/>
      <c r="F418" s="77"/>
      <c r="G418" s="94"/>
    </row>
    <row r="419" spans="3:7" ht="53.45" customHeight="1">
      <c r="C419" s="78">
        <v>174</v>
      </c>
      <c r="D419" s="90" t="s">
        <v>281</v>
      </c>
      <c r="E419" s="84" t="s">
        <v>36</v>
      </c>
      <c r="F419" s="76">
        <v>30</v>
      </c>
      <c r="G419" s="92"/>
    </row>
    <row r="420" spans="3:7" ht="46.9" customHeight="1">
      <c r="C420" s="83"/>
      <c r="D420" s="96"/>
      <c r="E420" s="85"/>
      <c r="F420" s="95"/>
      <c r="G420" s="93"/>
    </row>
    <row r="421" spans="3:7" ht="13.15" customHeight="1">
      <c r="C421" s="79"/>
      <c r="D421" s="91"/>
      <c r="E421" s="86"/>
      <c r="F421" s="77"/>
      <c r="G421" s="94"/>
    </row>
    <row r="422" spans="3:7" ht="130.15" customHeight="1">
      <c r="C422" s="78">
        <v>175</v>
      </c>
      <c r="D422" s="19" t="s">
        <v>232</v>
      </c>
      <c r="E422" s="84" t="s">
        <v>34</v>
      </c>
      <c r="F422" s="76">
        <v>611</v>
      </c>
      <c r="G422" s="92"/>
    </row>
    <row r="423" spans="3:7" ht="50.45" customHeight="1">
      <c r="C423" s="79"/>
      <c r="D423" s="15" t="s">
        <v>233</v>
      </c>
      <c r="E423" s="86"/>
      <c r="F423" s="77"/>
      <c r="G423" s="94"/>
    </row>
    <row r="424" spans="3:7" ht="144" customHeight="1">
      <c r="C424" s="78">
        <v>176</v>
      </c>
      <c r="D424" s="114" t="s">
        <v>282</v>
      </c>
      <c r="E424" s="80" t="s">
        <v>35</v>
      </c>
      <c r="F424" s="87">
        <v>532</v>
      </c>
      <c r="G424" s="92"/>
    </row>
    <row r="425" spans="3:7" ht="30" customHeight="1">
      <c r="C425" s="79"/>
      <c r="D425" s="116"/>
      <c r="E425" s="82"/>
      <c r="F425" s="89"/>
      <c r="G425" s="94"/>
    </row>
    <row r="426" spans="3:7" ht="26.25" customHeight="1">
      <c r="C426" s="78">
        <v>177</v>
      </c>
      <c r="D426" s="114" t="s">
        <v>283</v>
      </c>
      <c r="E426" s="80" t="s">
        <v>35</v>
      </c>
      <c r="F426" s="87">
        <v>221</v>
      </c>
      <c r="G426" s="92"/>
    </row>
    <row r="427" spans="3:7" ht="102.6" customHeight="1">
      <c r="C427" s="83"/>
      <c r="D427" s="115"/>
      <c r="E427" s="81"/>
      <c r="F427" s="88"/>
      <c r="G427" s="93"/>
    </row>
    <row r="428" spans="3:7" ht="42" customHeight="1">
      <c r="C428" s="79"/>
      <c r="D428" s="116"/>
      <c r="E428" s="82"/>
      <c r="F428" s="89"/>
      <c r="G428" s="94"/>
    </row>
    <row r="429" spans="3:7" ht="52.9" customHeight="1">
      <c r="C429" s="74" t="s">
        <v>3</v>
      </c>
      <c r="D429" s="75"/>
      <c r="E429" s="75"/>
      <c r="F429" s="75"/>
      <c r="G429" s="22">
        <f>SUM(G414:G428)</f>
        <v>0</v>
      </c>
    </row>
    <row r="430" spans="3:7" ht="24" customHeight="1">
      <c r="C430" s="78">
        <v>178</v>
      </c>
      <c r="D430" s="114" t="s">
        <v>284</v>
      </c>
      <c r="E430" s="80" t="s">
        <v>35</v>
      </c>
      <c r="F430" s="87">
        <v>207</v>
      </c>
      <c r="G430" s="92"/>
    </row>
    <row r="431" spans="3:7" ht="79.5" customHeight="1">
      <c r="C431" s="83"/>
      <c r="D431" s="115"/>
      <c r="E431" s="81"/>
      <c r="F431" s="88"/>
      <c r="G431" s="93"/>
    </row>
    <row r="432" spans="3:7" ht="43.9" customHeight="1">
      <c r="C432" s="79"/>
      <c r="D432" s="116"/>
      <c r="E432" s="82"/>
      <c r="F432" s="89"/>
      <c r="G432" s="94"/>
    </row>
    <row r="433" spans="3:7" ht="27.75" customHeight="1">
      <c r="C433" s="78">
        <v>179</v>
      </c>
      <c r="D433" s="114" t="s">
        <v>285</v>
      </c>
      <c r="E433" s="80" t="s">
        <v>35</v>
      </c>
      <c r="F433" s="87">
        <v>103</v>
      </c>
      <c r="G433" s="92"/>
    </row>
    <row r="434" spans="3:7" ht="84.75" customHeight="1">
      <c r="C434" s="83"/>
      <c r="D434" s="115"/>
      <c r="E434" s="81"/>
      <c r="F434" s="88"/>
      <c r="G434" s="93"/>
    </row>
    <row r="435" spans="3:7" ht="31.15" customHeight="1">
      <c r="C435" s="79"/>
      <c r="D435" s="116"/>
      <c r="E435" s="82"/>
      <c r="F435" s="89"/>
      <c r="G435" s="94"/>
    </row>
    <row r="436" spans="3:7" ht="58.15" customHeight="1">
      <c r="C436" s="78">
        <v>180</v>
      </c>
      <c r="D436" s="114" t="s">
        <v>286</v>
      </c>
      <c r="E436" s="80" t="s">
        <v>35</v>
      </c>
      <c r="F436" s="87">
        <v>218</v>
      </c>
      <c r="G436" s="92"/>
    </row>
    <row r="437" spans="3:7" ht="48" customHeight="1">
      <c r="C437" s="83"/>
      <c r="D437" s="115"/>
      <c r="E437" s="81"/>
      <c r="F437" s="88"/>
      <c r="G437" s="93"/>
    </row>
    <row r="438" spans="3:7" ht="51.6" customHeight="1">
      <c r="C438" s="79"/>
      <c r="D438" s="116"/>
      <c r="E438" s="82"/>
      <c r="F438" s="89"/>
      <c r="G438" s="94"/>
    </row>
    <row r="439" spans="3:7" ht="53.45" customHeight="1">
      <c r="C439" s="78">
        <v>181</v>
      </c>
      <c r="D439" s="114" t="s">
        <v>287</v>
      </c>
      <c r="E439" s="80" t="s">
        <v>35</v>
      </c>
      <c r="F439" s="87">
        <v>150</v>
      </c>
      <c r="G439" s="92"/>
    </row>
    <row r="440" spans="3:7" ht="53.45" customHeight="1">
      <c r="C440" s="83"/>
      <c r="D440" s="115"/>
      <c r="E440" s="81"/>
      <c r="F440" s="88"/>
      <c r="G440" s="93"/>
    </row>
    <row r="441" spans="3:7" ht="53.45" customHeight="1">
      <c r="C441" s="79"/>
      <c r="D441" s="116"/>
      <c r="E441" s="82"/>
      <c r="F441" s="89"/>
      <c r="G441" s="94"/>
    </row>
    <row r="442" spans="3:7" ht="45" customHeight="1">
      <c r="C442" s="78">
        <v>182</v>
      </c>
      <c r="D442" s="114" t="s">
        <v>288</v>
      </c>
      <c r="E442" s="80" t="s">
        <v>35</v>
      </c>
      <c r="F442" s="87">
        <v>100</v>
      </c>
      <c r="G442" s="92"/>
    </row>
    <row r="443" spans="3:7" ht="63.75" customHeight="1">
      <c r="C443" s="83"/>
      <c r="D443" s="115"/>
      <c r="E443" s="81"/>
      <c r="F443" s="88"/>
      <c r="G443" s="93"/>
    </row>
    <row r="444" spans="3:7" ht="41.45" customHeight="1">
      <c r="C444" s="79"/>
      <c r="D444" s="116"/>
      <c r="E444" s="82"/>
      <c r="F444" s="89"/>
      <c r="G444" s="94"/>
    </row>
    <row r="445" spans="3:7" ht="43.5" customHeight="1">
      <c r="C445" s="78">
        <v>183</v>
      </c>
      <c r="D445" s="90" t="s">
        <v>289</v>
      </c>
      <c r="E445" s="84" t="s">
        <v>36</v>
      </c>
      <c r="F445" s="76">
        <v>77</v>
      </c>
      <c r="G445" s="92"/>
    </row>
    <row r="446" spans="3:7" ht="57.6" customHeight="1">
      <c r="C446" s="79"/>
      <c r="D446" s="91"/>
      <c r="E446" s="86"/>
      <c r="F446" s="77"/>
      <c r="G446" s="94"/>
    </row>
    <row r="447" spans="3:7" ht="45" customHeight="1">
      <c r="C447" s="78">
        <v>184</v>
      </c>
      <c r="D447" s="90" t="s">
        <v>290</v>
      </c>
      <c r="E447" s="84" t="s">
        <v>36</v>
      </c>
      <c r="F447" s="76">
        <v>24</v>
      </c>
      <c r="G447" s="92"/>
    </row>
    <row r="448" spans="3:7" ht="61.15" customHeight="1">
      <c r="C448" s="79"/>
      <c r="D448" s="91"/>
      <c r="E448" s="86"/>
      <c r="F448" s="77"/>
      <c r="G448" s="94"/>
    </row>
    <row r="449" spans="3:7" ht="59.45" customHeight="1">
      <c r="C449" s="74" t="s">
        <v>3</v>
      </c>
      <c r="D449" s="75"/>
      <c r="E449" s="75"/>
      <c r="F449" s="75"/>
      <c r="G449" s="22">
        <f>SUM(G430:G448)</f>
        <v>0</v>
      </c>
    </row>
    <row r="450" spans="3:7" ht="54.75" customHeight="1">
      <c r="C450" s="78">
        <v>185</v>
      </c>
      <c r="D450" s="90" t="s">
        <v>291</v>
      </c>
      <c r="E450" s="84" t="s">
        <v>35</v>
      </c>
      <c r="F450" s="76">
        <v>426</v>
      </c>
      <c r="G450" s="92"/>
    </row>
    <row r="451" spans="3:7" ht="50.45" customHeight="1">
      <c r="C451" s="79"/>
      <c r="D451" s="91"/>
      <c r="E451" s="86"/>
      <c r="F451" s="77"/>
      <c r="G451" s="94"/>
    </row>
    <row r="452" spans="3:7" ht="55.5" customHeight="1">
      <c r="C452" s="78">
        <v>186</v>
      </c>
      <c r="D452" s="90" t="s">
        <v>292</v>
      </c>
      <c r="E452" s="84" t="s">
        <v>35</v>
      </c>
      <c r="F452" s="76">
        <v>934</v>
      </c>
      <c r="G452" s="92"/>
    </row>
    <row r="453" spans="3:7" ht="44.45" customHeight="1">
      <c r="C453" s="79"/>
      <c r="D453" s="91"/>
      <c r="E453" s="86"/>
      <c r="F453" s="77"/>
      <c r="G453" s="94"/>
    </row>
    <row r="454" spans="3:7" ht="53.25" customHeight="1">
      <c r="C454" s="78">
        <v>187</v>
      </c>
      <c r="D454" s="90" t="s">
        <v>293</v>
      </c>
      <c r="E454" s="84" t="s">
        <v>35</v>
      </c>
      <c r="F454" s="76">
        <v>961</v>
      </c>
      <c r="G454" s="92"/>
    </row>
    <row r="455" spans="3:7" ht="50.45" customHeight="1">
      <c r="C455" s="79"/>
      <c r="D455" s="91"/>
      <c r="E455" s="86"/>
      <c r="F455" s="77"/>
      <c r="G455" s="94"/>
    </row>
    <row r="456" spans="3:7" ht="29.25" customHeight="1">
      <c r="C456" s="78">
        <v>188</v>
      </c>
      <c r="D456" s="90" t="s">
        <v>294</v>
      </c>
      <c r="E456" s="84" t="s">
        <v>36</v>
      </c>
      <c r="F456" s="76">
        <v>161</v>
      </c>
      <c r="G456" s="92"/>
    </row>
    <row r="457" spans="3:7" ht="71.45" customHeight="1">
      <c r="C457" s="79"/>
      <c r="D457" s="91"/>
      <c r="E457" s="86"/>
      <c r="F457" s="77"/>
      <c r="G457" s="94"/>
    </row>
    <row r="458" spans="3:7" ht="37.5" customHeight="1">
      <c r="C458" s="78">
        <v>189</v>
      </c>
      <c r="D458" s="90" t="s">
        <v>295</v>
      </c>
      <c r="E458" s="84" t="s">
        <v>36</v>
      </c>
      <c r="F458" s="76">
        <v>20</v>
      </c>
      <c r="G458" s="92"/>
    </row>
    <row r="459" spans="3:7" ht="57" customHeight="1">
      <c r="C459" s="79"/>
      <c r="D459" s="91"/>
      <c r="E459" s="86"/>
      <c r="F459" s="77"/>
      <c r="G459" s="94"/>
    </row>
    <row r="460" spans="3:7" ht="60.75" customHeight="1">
      <c r="C460" s="78">
        <v>190</v>
      </c>
      <c r="D460" s="90" t="s">
        <v>296</v>
      </c>
      <c r="E460" s="84" t="s">
        <v>36</v>
      </c>
      <c r="F460" s="76">
        <v>68</v>
      </c>
      <c r="G460" s="92"/>
    </row>
    <row r="461" spans="3:7" ht="63" customHeight="1">
      <c r="C461" s="79"/>
      <c r="D461" s="91"/>
      <c r="E461" s="86"/>
      <c r="F461" s="77"/>
      <c r="G461" s="94"/>
    </row>
    <row r="462" spans="3:7" ht="63.75" customHeight="1">
      <c r="C462" s="78">
        <v>191</v>
      </c>
      <c r="D462" s="90" t="s">
        <v>297</v>
      </c>
      <c r="E462" s="84" t="s">
        <v>36</v>
      </c>
      <c r="F462" s="76">
        <v>48</v>
      </c>
      <c r="G462" s="92"/>
    </row>
    <row r="463" spans="3:7" ht="27" customHeight="1">
      <c r="C463" s="83"/>
      <c r="D463" s="96"/>
      <c r="E463" s="85"/>
      <c r="F463" s="95"/>
      <c r="G463" s="93"/>
    </row>
    <row r="464" spans="3:7" ht="31.9" customHeight="1">
      <c r="C464" s="79"/>
      <c r="D464" s="91"/>
      <c r="E464" s="86"/>
      <c r="F464" s="77"/>
      <c r="G464" s="94"/>
    </row>
    <row r="465" spans="3:7" ht="55.15" customHeight="1">
      <c r="C465" s="74" t="s">
        <v>3</v>
      </c>
      <c r="D465" s="75"/>
      <c r="E465" s="75"/>
      <c r="F465" s="75"/>
      <c r="G465" s="22">
        <f>SUM(G450:G464)</f>
        <v>0</v>
      </c>
    </row>
    <row r="466" spans="3:7" ht="66" customHeight="1">
      <c r="C466" s="78">
        <v>192</v>
      </c>
      <c r="D466" s="90" t="s">
        <v>298</v>
      </c>
      <c r="E466" s="84" t="s">
        <v>36</v>
      </c>
      <c r="F466" s="76">
        <v>16</v>
      </c>
      <c r="G466" s="92"/>
    </row>
    <row r="467" spans="3:7" ht="15" customHeight="1">
      <c r="C467" s="83"/>
      <c r="D467" s="96"/>
      <c r="E467" s="85"/>
      <c r="F467" s="95"/>
      <c r="G467" s="93"/>
    </row>
    <row r="468" spans="3:7" ht="40.9" customHeight="1">
      <c r="C468" s="79"/>
      <c r="D468" s="91"/>
      <c r="E468" s="86"/>
      <c r="F468" s="77"/>
      <c r="G468" s="94"/>
    </row>
    <row r="469" spans="3:7" ht="65.25" customHeight="1">
      <c r="C469" s="78">
        <v>193</v>
      </c>
      <c r="D469" s="90" t="s">
        <v>299</v>
      </c>
      <c r="E469" s="84" t="s">
        <v>36</v>
      </c>
      <c r="F469" s="76">
        <v>92</v>
      </c>
      <c r="G469" s="92"/>
    </row>
    <row r="470" spans="3:7" ht="20.25" customHeight="1">
      <c r="C470" s="83"/>
      <c r="D470" s="96"/>
      <c r="E470" s="85"/>
      <c r="F470" s="95"/>
      <c r="G470" s="93"/>
    </row>
    <row r="471" spans="3:7" ht="28.15" customHeight="1">
      <c r="C471" s="79"/>
      <c r="D471" s="91"/>
      <c r="E471" s="86"/>
      <c r="F471" s="77"/>
      <c r="G471" s="94"/>
    </row>
    <row r="472" spans="3:7" ht="70.5" customHeight="1">
      <c r="C472" s="78">
        <v>194</v>
      </c>
      <c r="D472" s="90" t="s">
        <v>300</v>
      </c>
      <c r="E472" s="84" t="s">
        <v>36</v>
      </c>
      <c r="F472" s="76">
        <v>113</v>
      </c>
      <c r="G472" s="92"/>
    </row>
    <row r="473" spans="3:7" ht="48" customHeight="1">
      <c r="C473" s="83"/>
      <c r="D473" s="96"/>
      <c r="E473" s="85"/>
      <c r="F473" s="95"/>
      <c r="G473" s="93"/>
    </row>
    <row r="474" spans="3:7" ht="40.9" customHeight="1">
      <c r="C474" s="79"/>
      <c r="D474" s="91"/>
      <c r="E474" s="86"/>
      <c r="F474" s="77"/>
      <c r="G474" s="94"/>
    </row>
    <row r="475" spans="3:7" ht="66.75" customHeight="1">
      <c r="C475" s="78">
        <v>195</v>
      </c>
      <c r="D475" s="90" t="s">
        <v>301</v>
      </c>
      <c r="E475" s="84" t="s">
        <v>36</v>
      </c>
      <c r="F475" s="76">
        <v>55</v>
      </c>
      <c r="G475" s="92"/>
    </row>
    <row r="476" spans="3:7" ht="49.5" customHeight="1">
      <c r="C476" s="83"/>
      <c r="D476" s="96"/>
      <c r="E476" s="85"/>
      <c r="F476" s="95"/>
      <c r="G476" s="93"/>
    </row>
    <row r="477" spans="3:7" ht="37.15" customHeight="1">
      <c r="C477" s="79"/>
      <c r="D477" s="91"/>
      <c r="E477" s="86"/>
      <c r="F477" s="77"/>
      <c r="G477" s="94"/>
    </row>
    <row r="478" spans="3:7" ht="60" customHeight="1">
      <c r="C478" s="78">
        <v>196</v>
      </c>
      <c r="D478" s="90" t="s">
        <v>302</v>
      </c>
      <c r="E478" s="84" t="s">
        <v>36</v>
      </c>
      <c r="F478" s="76">
        <v>23</v>
      </c>
      <c r="G478" s="92"/>
    </row>
    <row r="479" spans="3:7" ht="69" customHeight="1">
      <c r="C479" s="79"/>
      <c r="D479" s="91"/>
      <c r="E479" s="86"/>
      <c r="F479" s="77"/>
      <c r="G479" s="94"/>
    </row>
    <row r="480" spans="3:7" ht="68.25" customHeight="1">
      <c r="C480" s="78">
        <v>197</v>
      </c>
      <c r="D480" s="90" t="s">
        <v>303</v>
      </c>
      <c r="E480" s="84" t="s">
        <v>36</v>
      </c>
      <c r="F480" s="76">
        <v>191</v>
      </c>
      <c r="G480" s="92"/>
    </row>
    <row r="481" spans="3:7" ht="45.6" customHeight="1">
      <c r="C481" s="79"/>
      <c r="D481" s="91"/>
      <c r="E481" s="86"/>
      <c r="F481" s="77"/>
      <c r="G481" s="94"/>
    </row>
    <row r="482" spans="3:7" ht="56.45" customHeight="1">
      <c r="C482" s="74" t="s">
        <v>3</v>
      </c>
      <c r="D482" s="75"/>
      <c r="E482" s="75"/>
      <c r="F482" s="75"/>
      <c r="G482" s="22">
        <f>SUM(G466:G481)</f>
        <v>0</v>
      </c>
    </row>
    <row r="483" spans="3:7" ht="57.75" customHeight="1">
      <c r="C483" s="78">
        <v>198</v>
      </c>
      <c r="D483" s="114" t="s">
        <v>304</v>
      </c>
      <c r="E483" s="80" t="s">
        <v>36</v>
      </c>
      <c r="F483" s="87">
        <v>208</v>
      </c>
      <c r="G483" s="92"/>
    </row>
    <row r="484" spans="3:7" ht="55.15" customHeight="1">
      <c r="C484" s="79"/>
      <c r="D484" s="116"/>
      <c r="E484" s="82"/>
      <c r="F484" s="89"/>
      <c r="G484" s="94"/>
    </row>
    <row r="485" spans="3:7" ht="66" customHeight="1">
      <c r="C485" s="78">
        <v>199</v>
      </c>
      <c r="D485" s="114" t="s">
        <v>305</v>
      </c>
      <c r="E485" s="80" t="s">
        <v>35</v>
      </c>
      <c r="F485" s="87">
        <v>3900</v>
      </c>
      <c r="G485" s="92"/>
    </row>
    <row r="486" spans="3:7" ht="39" customHeight="1">
      <c r="C486" s="83"/>
      <c r="D486" s="115"/>
      <c r="E486" s="81"/>
      <c r="F486" s="88"/>
      <c r="G486" s="93"/>
    </row>
    <row r="487" spans="3:7" ht="55.5" customHeight="1">
      <c r="C487" s="83"/>
      <c r="D487" s="115"/>
      <c r="E487" s="81"/>
      <c r="F487" s="88"/>
      <c r="G487" s="93"/>
    </row>
    <row r="488" spans="3:7" ht="46.15" customHeight="1">
      <c r="C488" s="79"/>
      <c r="D488" s="116"/>
      <c r="E488" s="82"/>
      <c r="F488" s="89"/>
      <c r="G488" s="94"/>
    </row>
    <row r="489" spans="3:7" ht="55.5" customHeight="1">
      <c r="C489" s="78">
        <v>200</v>
      </c>
      <c r="D489" s="114" t="s">
        <v>306</v>
      </c>
      <c r="E489" s="80" t="s">
        <v>35</v>
      </c>
      <c r="F489" s="87">
        <v>323</v>
      </c>
      <c r="G489" s="92"/>
    </row>
    <row r="490" spans="3:7" ht="28.5" customHeight="1">
      <c r="C490" s="83"/>
      <c r="D490" s="115"/>
      <c r="E490" s="81"/>
      <c r="F490" s="88"/>
      <c r="G490" s="93"/>
    </row>
    <row r="491" spans="3:7" ht="59.25" customHeight="1">
      <c r="C491" s="83"/>
      <c r="D491" s="115"/>
      <c r="E491" s="81"/>
      <c r="F491" s="88"/>
      <c r="G491" s="93"/>
    </row>
    <row r="492" spans="3:7" ht="60" customHeight="1">
      <c r="C492" s="79"/>
      <c r="D492" s="116"/>
      <c r="E492" s="82"/>
      <c r="F492" s="89"/>
      <c r="G492" s="94"/>
    </row>
    <row r="493" spans="3:7" ht="51.75" customHeight="1">
      <c r="C493" s="78">
        <v>201</v>
      </c>
      <c r="D493" s="114" t="s">
        <v>307</v>
      </c>
      <c r="E493" s="80" t="s">
        <v>35</v>
      </c>
      <c r="F493" s="87">
        <v>660</v>
      </c>
      <c r="G493" s="92"/>
    </row>
    <row r="494" spans="3:7" ht="36.75" customHeight="1">
      <c r="C494" s="83"/>
      <c r="D494" s="115"/>
      <c r="E494" s="81"/>
      <c r="F494" s="88"/>
      <c r="G494" s="93"/>
    </row>
    <row r="495" spans="3:7" ht="60.75" customHeight="1">
      <c r="C495" s="83"/>
      <c r="D495" s="115"/>
      <c r="E495" s="81"/>
      <c r="F495" s="88"/>
      <c r="G495" s="93"/>
    </row>
    <row r="496" spans="3:7" ht="54.6" customHeight="1">
      <c r="C496" s="79"/>
      <c r="D496" s="116"/>
      <c r="E496" s="82"/>
      <c r="F496" s="89"/>
      <c r="G496" s="94"/>
    </row>
    <row r="497" spans="3:7" ht="61.5" customHeight="1">
      <c r="C497" s="78">
        <v>202</v>
      </c>
      <c r="D497" s="114" t="s">
        <v>308</v>
      </c>
      <c r="E497" s="80" t="s">
        <v>35</v>
      </c>
      <c r="F497" s="87">
        <v>600</v>
      </c>
      <c r="G497" s="92"/>
    </row>
    <row r="498" spans="3:7" ht="39" customHeight="1">
      <c r="C498" s="83"/>
      <c r="D498" s="115"/>
      <c r="E498" s="81"/>
      <c r="F498" s="88"/>
      <c r="G498" s="93"/>
    </row>
    <row r="499" spans="3:7" ht="63" customHeight="1">
      <c r="C499" s="83"/>
      <c r="D499" s="115"/>
      <c r="E499" s="81"/>
      <c r="F499" s="88"/>
      <c r="G499" s="93"/>
    </row>
    <row r="500" spans="3:7" ht="24.75" customHeight="1">
      <c r="C500" s="79"/>
      <c r="D500" s="116"/>
      <c r="E500" s="82"/>
      <c r="F500" s="89"/>
      <c r="G500" s="94"/>
    </row>
    <row r="501" spans="3:7" ht="51" customHeight="1">
      <c r="C501" s="74" t="s">
        <v>3</v>
      </c>
      <c r="D501" s="75"/>
      <c r="E501" s="75"/>
      <c r="F501" s="75"/>
      <c r="G501" s="22">
        <f>SUM(G483:G500)</f>
        <v>0</v>
      </c>
    </row>
    <row r="502" spans="3:7" ht="63" customHeight="1">
      <c r="C502" s="78">
        <v>203</v>
      </c>
      <c r="D502" s="114" t="s">
        <v>309</v>
      </c>
      <c r="E502" s="80" t="s">
        <v>35</v>
      </c>
      <c r="F502" s="87">
        <v>646</v>
      </c>
      <c r="G502" s="92"/>
    </row>
    <row r="503" spans="3:7" ht="42.75" customHeight="1">
      <c r="C503" s="83"/>
      <c r="D503" s="115"/>
      <c r="E503" s="81"/>
      <c r="F503" s="88"/>
      <c r="G503" s="93"/>
    </row>
    <row r="504" spans="3:7" ht="57.75" customHeight="1">
      <c r="C504" s="83"/>
      <c r="D504" s="115"/>
      <c r="E504" s="81"/>
      <c r="F504" s="88"/>
      <c r="G504" s="93"/>
    </row>
    <row r="505" spans="3:7" ht="33.6" customHeight="1">
      <c r="C505" s="79"/>
      <c r="D505" s="116"/>
      <c r="E505" s="82"/>
      <c r="F505" s="89"/>
      <c r="G505" s="94"/>
    </row>
    <row r="506" spans="3:7" ht="66" customHeight="1">
      <c r="C506" s="78">
        <v>204</v>
      </c>
      <c r="D506" s="114" t="s">
        <v>310</v>
      </c>
      <c r="E506" s="80" t="s">
        <v>35</v>
      </c>
      <c r="F506" s="87">
        <v>110</v>
      </c>
      <c r="G506" s="92"/>
    </row>
    <row r="507" spans="3:7" ht="39" customHeight="1">
      <c r="C507" s="83"/>
      <c r="D507" s="115"/>
      <c r="E507" s="81"/>
      <c r="F507" s="88"/>
      <c r="G507" s="93"/>
    </row>
    <row r="508" spans="3:7" ht="55.5" customHeight="1">
      <c r="C508" s="83"/>
      <c r="D508" s="115"/>
      <c r="E508" s="81"/>
      <c r="F508" s="88"/>
      <c r="G508" s="93"/>
    </row>
    <row r="509" spans="3:7" ht="35.450000000000003" customHeight="1">
      <c r="C509" s="79"/>
      <c r="D509" s="116"/>
      <c r="E509" s="82"/>
      <c r="F509" s="89"/>
      <c r="G509" s="94"/>
    </row>
    <row r="510" spans="3:7" ht="55.5" customHeight="1">
      <c r="C510" s="78">
        <v>205</v>
      </c>
      <c r="D510" s="114" t="s">
        <v>311</v>
      </c>
      <c r="E510" s="80" t="s">
        <v>35</v>
      </c>
      <c r="F510" s="87">
        <v>314</v>
      </c>
      <c r="G510" s="92"/>
    </row>
    <row r="511" spans="3:7" ht="28.5" customHeight="1">
      <c r="C511" s="83"/>
      <c r="D511" s="115"/>
      <c r="E511" s="81"/>
      <c r="F511" s="88"/>
      <c r="G511" s="93"/>
    </row>
    <row r="512" spans="3:7" ht="59.25" customHeight="1">
      <c r="C512" s="83"/>
      <c r="D512" s="115"/>
      <c r="E512" s="81"/>
      <c r="F512" s="88"/>
      <c r="G512" s="93"/>
    </row>
    <row r="513" spans="3:7" ht="60" customHeight="1">
      <c r="C513" s="79"/>
      <c r="D513" s="116"/>
      <c r="E513" s="82"/>
      <c r="F513" s="89"/>
      <c r="G513" s="94"/>
    </row>
    <row r="514" spans="3:7" ht="51.75" customHeight="1">
      <c r="C514" s="78">
        <v>206</v>
      </c>
      <c r="D514" s="114" t="s">
        <v>312</v>
      </c>
      <c r="E514" s="80" t="s">
        <v>35</v>
      </c>
      <c r="F514" s="87">
        <v>200</v>
      </c>
      <c r="G514" s="92"/>
    </row>
    <row r="515" spans="3:7" ht="57.75" customHeight="1">
      <c r="C515" s="83"/>
      <c r="D515" s="115"/>
      <c r="E515" s="81"/>
      <c r="F515" s="88"/>
      <c r="G515" s="93"/>
    </row>
    <row r="516" spans="3:7" ht="72" customHeight="1">
      <c r="C516" s="83"/>
      <c r="D516" s="115"/>
      <c r="E516" s="81"/>
      <c r="F516" s="88"/>
      <c r="G516" s="93"/>
    </row>
    <row r="517" spans="3:7" ht="38.25" customHeight="1">
      <c r="C517" s="79"/>
      <c r="D517" s="116"/>
      <c r="E517" s="82"/>
      <c r="F517" s="89"/>
      <c r="G517" s="94"/>
    </row>
    <row r="518" spans="3:7" ht="51" customHeight="1">
      <c r="C518" s="74" t="s">
        <v>3</v>
      </c>
      <c r="D518" s="75"/>
      <c r="E518" s="75"/>
      <c r="F518" s="75"/>
      <c r="G518" s="22">
        <f>SUM(G502:G517)</f>
        <v>0</v>
      </c>
    </row>
    <row r="519" spans="3:7" ht="57.75" customHeight="1">
      <c r="C519" s="78">
        <v>207</v>
      </c>
      <c r="D519" s="114" t="s">
        <v>305</v>
      </c>
      <c r="E519" s="80" t="s">
        <v>35</v>
      </c>
      <c r="F519" s="87">
        <v>1938</v>
      </c>
      <c r="G519" s="92"/>
    </row>
    <row r="520" spans="3:7" ht="27.75" customHeight="1">
      <c r="C520" s="83"/>
      <c r="D520" s="115"/>
      <c r="E520" s="81"/>
      <c r="F520" s="88"/>
      <c r="G520" s="93"/>
    </row>
    <row r="521" spans="3:7" ht="57.75" customHeight="1">
      <c r="C521" s="83"/>
      <c r="D521" s="115"/>
      <c r="E521" s="81"/>
      <c r="F521" s="88"/>
      <c r="G521" s="93"/>
    </row>
    <row r="522" spans="3:7" ht="45.6" customHeight="1">
      <c r="C522" s="79"/>
      <c r="D522" s="116"/>
      <c r="E522" s="82"/>
      <c r="F522" s="89"/>
      <c r="G522" s="94"/>
    </row>
    <row r="523" spans="3:7" ht="66" customHeight="1">
      <c r="C523" s="78">
        <v>208</v>
      </c>
      <c r="D523" s="114" t="s">
        <v>313</v>
      </c>
      <c r="E523" s="80" t="s">
        <v>35</v>
      </c>
      <c r="F523" s="87">
        <v>100</v>
      </c>
      <c r="G523" s="92"/>
    </row>
    <row r="524" spans="3:7" ht="39" customHeight="1">
      <c r="C524" s="83"/>
      <c r="D524" s="115"/>
      <c r="E524" s="81"/>
      <c r="F524" s="88"/>
      <c r="G524" s="93"/>
    </row>
    <row r="525" spans="3:7" ht="55.5" customHeight="1">
      <c r="C525" s="83"/>
      <c r="D525" s="115"/>
      <c r="E525" s="81"/>
      <c r="F525" s="88"/>
      <c r="G525" s="93"/>
    </row>
    <row r="526" spans="3:7" ht="30" customHeight="1">
      <c r="C526" s="79"/>
      <c r="D526" s="116"/>
      <c r="E526" s="82"/>
      <c r="F526" s="89"/>
      <c r="G526" s="94"/>
    </row>
    <row r="527" spans="3:7" ht="55.5" customHeight="1">
      <c r="C527" s="78">
        <v>209</v>
      </c>
      <c r="D527" s="114" t="s">
        <v>314</v>
      </c>
      <c r="E527" s="80" t="s">
        <v>35</v>
      </c>
      <c r="F527" s="87">
        <v>397</v>
      </c>
      <c r="G527" s="92"/>
    </row>
    <row r="528" spans="3:7" ht="28.5" customHeight="1">
      <c r="C528" s="83"/>
      <c r="D528" s="115"/>
      <c r="E528" s="81"/>
      <c r="F528" s="88"/>
      <c r="G528" s="93"/>
    </row>
    <row r="529" spans="3:7" ht="59.25" customHeight="1">
      <c r="C529" s="83"/>
      <c r="D529" s="115"/>
      <c r="E529" s="81"/>
      <c r="F529" s="88"/>
      <c r="G529" s="93"/>
    </row>
    <row r="530" spans="3:7" ht="40.9" customHeight="1">
      <c r="C530" s="79"/>
      <c r="D530" s="116"/>
      <c r="E530" s="82"/>
      <c r="F530" s="89"/>
      <c r="G530" s="94"/>
    </row>
    <row r="531" spans="3:7" ht="51.75" customHeight="1">
      <c r="C531" s="78">
        <v>210</v>
      </c>
      <c r="D531" s="114" t="s">
        <v>315</v>
      </c>
      <c r="E531" s="80" t="s">
        <v>35</v>
      </c>
      <c r="F531" s="87">
        <v>111</v>
      </c>
      <c r="G531" s="92"/>
    </row>
    <row r="532" spans="3:7" ht="36.75" customHeight="1">
      <c r="C532" s="83"/>
      <c r="D532" s="115"/>
      <c r="E532" s="81"/>
      <c r="F532" s="88"/>
      <c r="G532" s="93"/>
    </row>
    <row r="533" spans="3:7" ht="60.75" customHeight="1">
      <c r="C533" s="83"/>
      <c r="D533" s="115"/>
      <c r="E533" s="81"/>
      <c r="F533" s="88"/>
      <c r="G533" s="93"/>
    </row>
    <row r="534" spans="3:7" ht="39.6" customHeight="1">
      <c r="C534" s="79"/>
      <c r="D534" s="116"/>
      <c r="E534" s="82"/>
      <c r="F534" s="89"/>
      <c r="G534" s="94"/>
    </row>
    <row r="535" spans="3:7" ht="51" customHeight="1">
      <c r="C535" s="74" t="s">
        <v>3</v>
      </c>
      <c r="D535" s="75"/>
      <c r="E535" s="75"/>
      <c r="F535" s="75"/>
      <c r="G535" s="22">
        <f>SUM(G519:G534)</f>
        <v>0</v>
      </c>
    </row>
    <row r="536" spans="3:7" ht="57.75" customHeight="1">
      <c r="C536" s="78">
        <v>211</v>
      </c>
      <c r="D536" s="114" t="s">
        <v>316</v>
      </c>
      <c r="E536" s="80" t="s">
        <v>35</v>
      </c>
      <c r="F536" s="87">
        <v>100</v>
      </c>
      <c r="G536" s="92"/>
    </row>
    <row r="537" spans="3:7" ht="46.5" customHeight="1">
      <c r="C537" s="83"/>
      <c r="D537" s="115"/>
      <c r="E537" s="81"/>
      <c r="F537" s="88"/>
      <c r="G537" s="93"/>
    </row>
    <row r="538" spans="3:7" ht="57.75" customHeight="1">
      <c r="C538" s="83"/>
      <c r="D538" s="115"/>
      <c r="E538" s="81"/>
      <c r="F538" s="88"/>
      <c r="G538" s="93"/>
    </row>
    <row r="539" spans="3:7" ht="39.75" customHeight="1">
      <c r="C539" s="79"/>
      <c r="D539" s="116"/>
      <c r="E539" s="82"/>
      <c r="F539" s="89"/>
      <c r="G539" s="94"/>
    </row>
    <row r="540" spans="3:7" ht="62.25" customHeight="1">
      <c r="C540" s="78">
        <v>212</v>
      </c>
      <c r="D540" s="114" t="s">
        <v>317</v>
      </c>
      <c r="E540" s="80" t="s">
        <v>35</v>
      </c>
      <c r="F540" s="87">
        <v>50</v>
      </c>
      <c r="G540" s="92"/>
    </row>
    <row r="541" spans="3:7" ht="39" customHeight="1">
      <c r="C541" s="83"/>
      <c r="D541" s="115"/>
      <c r="E541" s="81"/>
      <c r="F541" s="88"/>
      <c r="G541" s="93"/>
    </row>
    <row r="542" spans="3:7" ht="55.5" customHeight="1">
      <c r="C542" s="83"/>
      <c r="D542" s="115"/>
      <c r="E542" s="81"/>
      <c r="F542" s="88"/>
      <c r="G542" s="93"/>
    </row>
    <row r="543" spans="3:7" ht="30" customHeight="1">
      <c r="C543" s="79"/>
      <c r="D543" s="116"/>
      <c r="E543" s="82"/>
      <c r="F543" s="89"/>
      <c r="G543" s="94"/>
    </row>
    <row r="544" spans="3:7" ht="55.5" customHeight="1">
      <c r="C544" s="78">
        <v>213</v>
      </c>
      <c r="D544" s="114" t="s">
        <v>318</v>
      </c>
      <c r="E544" s="80" t="s">
        <v>35</v>
      </c>
      <c r="F544" s="87">
        <v>40</v>
      </c>
      <c r="G544" s="92"/>
    </row>
    <row r="545" spans="3:7" ht="28.5" customHeight="1">
      <c r="C545" s="83"/>
      <c r="D545" s="115"/>
      <c r="E545" s="81"/>
      <c r="F545" s="88"/>
      <c r="G545" s="93"/>
    </row>
    <row r="546" spans="3:7" ht="59.25" customHeight="1">
      <c r="C546" s="83"/>
      <c r="D546" s="115"/>
      <c r="E546" s="81"/>
      <c r="F546" s="88"/>
      <c r="G546" s="93"/>
    </row>
    <row r="547" spans="3:7" ht="25.5" customHeight="1">
      <c r="C547" s="79"/>
      <c r="D547" s="116"/>
      <c r="E547" s="82"/>
      <c r="F547" s="89"/>
      <c r="G547" s="94"/>
    </row>
    <row r="548" spans="3:7" ht="76.900000000000006" customHeight="1">
      <c r="C548" s="63">
        <v>214</v>
      </c>
      <c r="D548" s="20" t="s">
        <v>234</v>
      </c>
      <c r="E548" s="40" t="s">
        <v>36</v>
      </c>
      <c r="F548" s="68">
        <v>1048</v>
      </c>
      <c r="G548" s="23"/>
    </row>
    <row r="549" spans="3:7" ht="42.75" customHeight="1">
      <c r="C549" s="78">
        <v>215</v>
      </c>
      <c r="D549" s="90" t="s">
        <v>319</v>
      </c>
      <c r="E549" s="84" t="s">
        <v>36</v>
      </c>
      <c r="F549" s="76">
        <v>1000</v>
      </c>
      <c r="G549" s="92"/>
    </row>
    <row r="550" spans="3:7" ht="39" customHeight="1">
      <c r="C550" s="79"/>
      <c r="D550" s="91"/>
      <c r="E550" s="86"/>
      <c r="F550" s="77"/>
      <c r="G550" s="94"/>
    </row>
    <row r="551" spans="3:7" ht="67.900000000000006" customHeight="1">
      <c r="C551" s="74" t="s">
        <v>3</v>
      </c>
      <c r="D551" s="75"/>
      <c r="E551" s="75"/>
      <c r="F551" s="75"/>
      <c r="G551" s="22">
        <f>SUM(G536:G550)</f>
        <v>0</v>
      </c>
    </row>
    <row r="552" spans="3:7" ht="77.45" customHeight="1">
      <c r="C552" s="63">
        <v>216</v>
      </c>
      <c r="D552" s="6" t="s">
        <v>235</v>
      </c>
      <c r="E552" s="41" t="s">
        <v>36</v>
      </c>
      <c r="F552" s="66">
        <v>508</v>
      </c>
      <c r="G552" s="23"/>
    </row>
    <row r="553" spans="3:7" ht="67.5" customHeight="1">
      <c r="C553" s="63">
        <v>217</v>
      </c>
      <c r="D553" s="6" t="s">
        <v>236</v>
      </c>
      <c r="E553" s="41" t="s">
        <v>36</v>
      </c>
      <c r="F553" s="66">
        <v>48</v>
      </c>
      <c r="G553" s="23"/>
    </row>
    <row r="554" spans="3:7" ht="79.150000000000006" customHeight="1">
      <c r="C554" s="63">
        <v>218</v>
      </c>
      <c r="D554" s="6" t="s">
        <v>237</v>
      </c>
      <c r="E554" s="41" t="s">
        <v>36</v>
      </c>
      <c r="F554" s="66">
        <v>36</v>
      </c>
      <c r="G554" s="23"/>
    </row>
    <row r="555" spans="3:7" ht="83.45" customHeight="1">
      <c r="C555" s="63">
        <v>219</v>
      </c>
      <c r="D555" s="6" t="s">
        <v>238</v>
      </c>
      <c r="E555" s="41" t="s">
        <v>36</v>
      </c>
      <c r="F555" s="66">
        <v>30</v>
      </c>
      <c r="G555" s="23"/>
    </row>
    <row r="556" spans="3:7" ht="69.599999999999994" customHeight="1">
      <c r="C556" s="63">
        <v>220</v>
      </c>
      <c r="D556" s="42" t="s">
        <v>239</v>
      </c>
      <c r="E556" s="41" t="s">
        <v>36</v>
      </c>
      <c r="F556" s="66">
        <v>5</v>
      </c>
      <c r="G556" s="23"/>
    </row>
    <row r="557" spans="3:7" ht="50.25" customHeight="1">
      <c r="C557" s="78">
        <v>221</v>
      </c>
      <c r="D557" s="90" t="s">
        <v>320</v>
      </c>
      <c r="E557" s="84" t="s">
        <v>36</v>
      </c>
      <c r="F557" s="76">
        <v>9</v>
      </c>
      <c r="G557" s="92"/>
    </row>
    <row r="558" spans="3:7" ht="46.5" customHeight="1">
      <c r="C558" s="79"/>
      <c r="D558" s="91"/>
      <c r="E558" s="86"/>
      <c r="F558" s="77"/>
      <c r="G558" s="94"/>
    </row>
    <row r="559" spans="3:7" ht="65.25" customHeight="1">
      <c r="C559" s="78">
        <v>222</v>
      </c>
      <c r="D559" s="90" t="s">
        <v>321</v>
      </c>
      <c r="E559" s="84" t="s">
        <v>36</v>
      </c>
      <c r="F559" s="76">
        <v>127</v>
      </c>
      <c r="G559" s="92"/>
    </row>
    <row r="560" spans="3:7" ht="59.25" customHeight="1">
      <c r="C560" s="79"/>
      <c r="D560" s="91"/>
      <c r="E560" s="86"/>
      <c r="F560" s="77"/>
      <c r="G560" s="94"/>
    </row>
    <row r="561" spans="3:7" ht="50.25" customHeight="1">
      <c r="C561" s="78">
        <v>223</v>
      </c>
      <c r="D561" s="90" t="s">
        <v>322</v>
      </c>
      <c r="E561" s="84" t="s">
        <v>36</v>
      </c>
      <c r="F561" s="76">
        <v>51</v>
      </c>
      <c r="G561" s="92"/>
    </row>
    <row r="562" spans="3:7" ht="65.25" customHeight="1">
      <c r="C562" s="79"/>
      <c r="D562" s="91"/>
      <c r="E562" s="86"/>
      <c r="F562" s="77"/>
      <c r="G562" s="94"/>
    </row>
    <row r="563" spans="3:7" ht="51" customHeight="1">
      <c r="C563" s="74" t="s">
        <v>3</v>
      </c>
      <c r="D563" s="75"/>
      <c r="E563" s="75"/>
      <c r="F563" s="75"/>
      <c r="G563" s="22">
        <f>SUM(G552:G562)</f>
        <v>0</v>
      </c>
    </row>
    <row r="564" spans="3:7" ht="44.25" customHeight="1">
      <c r="C564" s="78">
        <v>224</v>
      </c>
      <c r="D564" s="114" t="s">
        <v>323</v>
      </c>
      <c r="E564" s="80" t="s">
        <v>36</v>
      </c>
      <c r="F564" s="87">
        <v>24</v>
      </c>
      <c r="G564" s="92"/>
    </row>
    <row r="565" spans="3:7" ht="66" customHeight="1">
      <c r="C565" s="79"/>
      <c r="D565" s="116"/>
      <c r="E565" s="82"/>
      <c r="F565" s="89"/>
      <c r="G565" s="94"/>
    </row>
    <row r="566" spans="3:7" ht="45" customHeight="1">
      <c r="C566" s="78">
        <v>225</v>
      </c>
      <c r="D566" s="114" t="s">
        <v>324</v>
      </c>
      <c r="E566" s="80" t="s">
        <v>36</v>
      </c>
      <c r="F566" s="87">
        <v>44</v>
      </c>
      <c r="G566" s="92"/>
    </row>
    <row r="567" spans="3:7" ht="39" customHeight="1">
      <c r="C567" s="79"/>
      <c r="D567" s="116"/>
      <c r="E567" s="82"/>
      <c r="F567" s="89"/>
      <c r="G567" s="94"/>
    </row>
    <row r="568" spans="3:7" ht="48" customHeight="1">
      <c r="C568" s="78">
        <v>226</v>
      </c>
      <c r="D568" s="114" t="s">
        <v>325</v>
      </c>
      <c r="E568" s="80" t="s">
        <v>36</v>
      </c>
      <c r="F568" s="87">
        <v>49</v>
      </c>
      <c r="G568" s="92"/>
    </row>
    <row r="569" spans="3:7" ht="28.5" customHeight="1">
      <c r="C569" s="79"/>
      <c r="D569" s="116"/>
      <c r="E569" s="82"/>
      <c r="F569" s="89"/>
      <c r="G569" s="94"/>
    </row>
    <row r="570" spans="3:7" ht="42.75" customHeight="1">
      <c r="C570" s="78">
        <v>227</v>
      </c>
      <c r="D570" s="114" t="s">
        <v>326</v>
      </c>
      <c r="E570" s="80" t="s">
        <v>36</v>
      </c>
      <c r="F570" s="87">
        <v>24</v>
      </c>
      <c r="G570" s="92"/>
    </row>
    <row r="571" spans="3:7" ht="39" customHeight="1">
      <c r="C571" s="79"/>
      <c r="D571" s="116"/>
      <c r="E571" s="82"/>
      <c r="F571" s="89"/>
      <c r="G571" s="94"/>
    </row>
    <row r="572" spans="3:7" ht="39" customHeight="1">
      <c r="C572" s="78">
        <v>228</v>
      </c>
      <c r="D572" s="114" t="s">
        <v>327</v>
      </c>
      <c r="E572" s="80" t="s">
        <v>36</v>
      </c>
      <c r="F572" s="87">
        <v>100</v>
      </c>
      <c r="G572" s="92"/>
    </row>
    <row r="573" spans="3:7" ht="66.599999999999994" customHeight="1">
      <c r="C573" s="79"/>
      <c r="D573" s="116"/>
      <c r="E573" s="82"/>
      <c r="F573" s="89"/>
      <c r="G573" s="94"/>
    </row>
    <row r="574" spans="3:7" ht="70.900000000000006" customHeight="1">
      <c r="C574" s="78">
        <v>229</v>
      </c>
      <c r="D574" s="114" t="s">
        <v>328</v>
      </c>
      <c r="E574" s="80" t="s">
        <v>35</v>
      </c>
      <c r="F574" s="87">
        <v>2000</v>
      </c>
      <c r="G574" s="92"/>
    </row>
    <row r="575" spans="3:7" ht="113.45" customHeight="1">
      <c r="C575" s="79"/>
      <c r="D575" s="116"/>
      <c r="E575" s="82"/>
      <c r="F575" s="89"/>
      <c r="G575" s="94"/>
    </row>
    <row r="576" spans="3:7" ht="52.5" customHeight="1">
      <c r="C576" s="78">
        <v>230</v>
      </c>
      <c r="D576" s="114" t="s">
        <v>329</v>
      </c>
      <c r="E576" s="80" t="s">
        <v>35</v>
      </c>
      <c r="F576" s="87">
        <v>7000</v>
      </c>
      <c r="G576" s="92"/>
    </row>
    <row r="577" spans="3:7" ht="145.15" customHeight="1">
      <c r="C577" s="79"/>
      <c r="D577" s="116"/>
      <c r="E577" s="82"/>
      <c r="F577" s="89"/>
      <c r="G577" s="94"/>
    </row>
    <row r="578" spans="3:7" ht="51" customHeight="1">
      <c r="C578" s="74" t="s">
        <v>3</v>
      </c>
      <c r="D578" s="75"/>
      <c r="E578" s="75"/>
      <c r="F578" s="75"/>
      <c r="G578" s="22">
        <f>SUM(G564:G577)</f>
        <v>0</v>
      </c>
    </row>
    <row r="579" spans="3:7" ht="59.25" customHeight="1">
      <c r="C579" s="78">
        <v>231</v>
      </c>
      <c r="D579" s="90" t="s">
        <v>330</v>
      </c>
      <c r="E579" s="84" t="s">
        <v>35</v>
      </c>
      <c r="F579" s="76">
        <v>1925</v>
      </c>
      <c r="G579" s="92"/>
    </row>
    <row r="580" spans="3:7" ht="58.15" customHeight="1">
      <c r="C580" s="79"/>
      <c r="D580" s="91"/>
      <c r="E580" s="86"/>
      <c r="F580" s="77"/>
      <c r="G580" s="94"/>
    </row>
    <row r="581" spans="3:7" ht="45" customHeight="1">
      <c r="C581" s="78">
        <v>232</v>
      </c>
      <c r="D581" s="90" t="s">
        <v>331</v>
      </c>
      <c r="E581" s="84" t="s">
        <v>35</v>
      </c>
      <c r="F581" s="76">
        <v>1925</v>
      </c>
      <c r="G581" s="92"/>
    </row>
    <row r="582" spans="3:7" ht="39" customHeight="1">
      <c r="C582" s="79"/>
      <c r="D582" s="91"/>
      <c r="E582" s="86"/>
      <c r="F582" s="77"/>
      <c r="G582" s="94"/>
    </row>
    <row r="583" spans="3:7" ht="48" customHeight="1">
      <c r="C583" s="78">
        <v>233</v>
      </c>
      <c r="D583" s="90" t="s">
        <v>332</v>
      </c>
      <c r="E583" s="84" t="s">
        <v>36</v>
      </c>
      <c r="F583" s="76">
        <v>724</v>
      </c>
      <c r="G583" s="92"/>
    </row>
    <row r="584" spans="3:7" ht="28.5" customHeight="1">
      <c r="C584" s="79"/>
      <c r="D584" s="91"/>
      <c r="E584" s="86"/>
      <c r="F584" s="77"/>
      <c r="G584" s="94"/>
    </row>
    <row r="585" spans="3:7" ht="42.75" customHeight="1">
      <c r="C585" s="78">
        <v>234</v>
      </c>
      <c r="D585" s="90" t="s">
        <v>333</v>
      </c>
      <c r="E585" s="84" t="s">
        <v>36</v>
      </c>
      <c r="F585" s="76">
        <v>724</v>
      </c>
      <c r="G585" s="92"/>
    </row>
    <row r="586" spans="3:7" ht="39" customHeight="1">
      <c r="C586" s="79"/>
      <c r="D586" s="91"/>
      <c r="E586" s="86"/>
      <c r="F586" s="77"/>
      <c r="G586" s="94"/>
    </row>
    <row r="587" spans="3:7" ht="39" customHeight="1">
      <c r="C587" s="78">
        <v>235</v>
      </c>
      <c r="D587" s="90" t="s">
        <v>334</v>
      </c>
      <c r="E587" s="84" t="s">
        <v>36</v>
      </c>
      <c r="F587" s="76">
        <v>102</v>
      </c>
      <c r="G587" s="92"/>
    </row>
    <row r="588" spans="3:7" ht="39" customHeight="1">
      <c r="C588" s="79"/>
      <c r="D588" s="91"/>
      <c r="E588" s="86"/>
      <c r="F588" s="77"/>
      <c r="G588" s="94"/>
    </row>
    <row r="589" spans="3:7" ht="54" customHeight="1">
      <c r="C589" s="78">
        <v>236</v>
      </c>
      <c r="D589" s="90" t="s">
        <v>335</v>
      </c>
      <c r="E589" s="84" t="s">
        <v>35</v>
      </c>
      <c r="F589" s="76">
        <v>240</v>
      </c>
      <c r="G589" s="92"/>
    </row>
    <row r="590" spans="3:7" ht="33.75" customHeight="1">
      <c r="C590" s="79"/>
      <c r="D590" s="91"/>
      <c r="E590" s="86"/>
      <c r="F590" s="77"/>
      <c r="G590" s="94"/>
    </row>
    <row r="591" spans="3:7" ht="75" customHeight="1">
      <c r="C591" s="78">
        <v>237</v>
      </c>
      <c r="D591" s="90" t="s">
        <v>336</v>
      </c>
      <c r="E591" s="84" t="s">
        <v>35</v>
      </c>
      <c r="F591" s="76">
        <v>2964</v>
      </c>
      <c r="G591" s="92"/>
    </row>
    <row r="592" spans="3:7" ht="39.75" customHeight="1">
      <c r="C592" s="79"/>
      <c r="D592" s="91"/>
      <c r="E592" s="86"/>
      <c r="F592" s="77"/>
      <c r="G592" s="94"/>
    </row>
    <row r="593" spans="3:7" ht="51" customHeight="1">
      <c r="C593" s="74" t="s">
        <v>3</v>
      </c>
      <c r="D593" s="75"/>
      <c r="E593" s="75"/>
      <c r="F593" s="75"/>
      <c r="G593" s="22">
        <f>SUM(G579:G592)</f>
        <v>0</v>
      </c>
    </row>
    <row r="594" spans="3:7" ht="65.25" customHeight="1">
      <c r="C594" s="78">
        <v>238</v>
      </c>
      <c r="D594" s="90" t="s">
        <v>337</v>
      </c>
      <c r="E594" s="84" t="s">
        <v>35</v>
      </c>
      <c r="F594" s="76">
        <v>60</v>
      </c>
      <c r="G594" s="92"/>
    </row>
    <row r="595" spans="3:7" ht="36.6" customHeight="1">
      <c r="C595" s="79"/>
      <c r="D595" s="91"/>
      <c r="E595" s="86"/>
      <c r="F595" s="77"/>
      <c r="G595" s="94"/>
    </row>
    <row r="596" spans="3:7" ht="18" customHeight="1">
      <c r="C596" s="78">
        <v>239</v>
      </c>
      <c r="D596" s="90" t="s">
        <v>338</v>
      </c>
      <c r="E596" s="84" t="s">
        <v>36</v>
      </c>
      <c r="F596" s="76">
        <v>1</v>
      </c>
      <c r="G596" s="92"/>
    </row>
    <row r="597" spans="3:7" ht="30" customHeight="1">
      <c r="C597" s="83"/>
      <c r="D597" s="96"/>
      <c r="E597" s="85"/>
      <c r="F597" s="95"/>
      <c r="G597" s="93"/>
    </row>
    <row r="598" spans="3:7" ht="43.9" customHeight="1">
      <c r="C598" s="79"/>
      <c r="D598" s="91"/>
      <c r="E598" s="86"/>
      <c r="F598" s="77"/>
      <c r="G598" s="94"/>
    </row>
    <row r="599" spans="3:7" ht="30.75" customHeight="1">
      <c r="C599" s="78">
        <v>240</v>
      </c>
      <c r="D599" s="90" t="s">
        <v>339</v>
      </c>
      <c r="E599" s="84" t="s">
        <v>36</v>
      </c>
      <c r="F599" s="76">
        <v>1</v>
      </c>
      <c r="G599" s="92"/>
    </row>
    <row r="600" spans="3:7" ht="23.25" customHeight="1">
      <c r="C600" s="83"/>
      <c r="D600" s="96"/>
      <c r="E600" s="85"/>
      <c r="F600" s="95"/>
      <c r="G600" s="93"/>
    </row>
    <row r="601" spans="3:7" ht="47.45" customHeight="1">
      <c r="C601" s="79"/>
      <c r="D601" s="91"/>
      <c r="E601" s="86"/>
      <c r="F601" s="77"/>
      <c r="G601" s="94"/>
    </row>
    <row r="602" spans="3:7" ht="35.25" customHeight="1">
      <c r="C602" s="78">
        <v>241</v>
      </c>
      <c r="D602" s="90" t="s">
        <v>340</v>
      </c>
      <c r="E602" s="84" t="s">
        <v>36</v>
      </c>
      <c r="F602" s="76">
        <v>2</v>
      </c>
      <c r="G602" s="92"/>
    </row>
    <row r="603" spans="3:7" ht="33" customHeight="1">
      <c r="C603" s="83"/>
      <c r="D603" s="96"/>
      <c r="E603" s="85"/>
      <c r="F603" s="95"/>
      <c r="G603" s="93"/>
    </row>
    <row r="604" spans="3:7" ht="35.25" customHeight="1">
      <c r="C604" s="79"/>
      <c r="D604" s="91"/>
      <c r="E604" s="86"/>
      <c r="F604" s="77"/>
      <c r="G604" s="94"/>
    </row>
    <row r="605" spans="3:7" ht="60" customHeight="1">
      <c r="C605" s="78">
        <v>242</v>
      </c>
      <c r="D605" s="90" t="s">
        <v>341</v>
      </c>
      <c r="E605" s="84" t="s">
        <v>36</v>
      </c>
      <c r="F605" s="76">
        <v>1</v>
      </c>
      <c r="G605" s="92"/>
    </row>
    <row r="606" spans="3:7" ht="29.25" customHeight="1">
      <c r="C606" s="83"/>
      <c r="D606" s="96"/>
      <c r="E606" s="85"/>
      <c r="F606" s="95"/>
      <c r="G606" s="93"/>
    </row>
    <row r="607" spans="3:7" ht="45.6" customHeight="1">
      <c r="C607" s="79"/>
      <c r="D607" s="91"/>
      <c r="E607" s="86"/>
      <c r="F607" s="77"/>
      <c r="G607" s="94"/>
    </row>
    <row r="608" spans="3:7" ht="51" customHeight="1">
      <c r="C608" s="74" t="s">
        <v>3</v>
      </c>
      <c r="D608" s="75"/>
      <c r="E608" s="75"/>
      <c r="F608" s="75"/>
      <c r="G608" s="22">
        <f>SUM(G594:G607)</f>
        <v>0</v>
      </c>
    </row>
    <row r="609" spans="3:7" ht="39" customHeight="1">
      <c r="C609" s="78">
        <v>243</v>
      </c>
      <c r="D609" s="24" t="s">
        <v>240</v>
      </c>
      <c r="E609" s="80" t="s">
        <v>36</v>
      </c>
      <c r="F609" s="87">
        <v>1</v>
      </c>
      <c r="G609" s="92"/>
    </row>
    <row r="610" spans="3:7" ht="50.25" customHeight="1">
      <c r="C610" s="83"/>
      <c r="D610" s="115" t="s">
        <v>342</v>
      </c>
      <c r="E610" s="81"/>
      <c r="F610" s="88"/>
      <c r="G610" s="93"/>
    </row>
    <row r="611" spans="3:7" ht="48" customHeight="1">
      <c r="C611" s="83"/>
      <c r="D611" s="115"/>
      <c r="E611" s="81"/>
      <c r="F611" s="88"/>
      <c r="G611" s="93"/>
    </row>
    <row r="612" spans="3:7" ht="54" customHeight="1">
      <c r="C612" s="83"/>
      <c r="D612" s="115"/>
      <c r="E612" s="81"/>
      <c r="F612" s="88"/>
      <c r="G612" s="93"/>
    </row>
    <row r="613" spans="3:7" ht="19.5" customHeight="1">
      <c r="C613" s="83"/>
      <c r="D613" s="115"/>
      <c r="E613" s="81"/>
      <c r="F613" s="88"/>
      <c r="G613" s="93"/>
    </row>
    <row r="614" spans="3:7" ht="48" customHeight="1">
      <c r="C614" s="83"/>
      <c r="D614" s="115"/>
      <c r="E614" s="81"/>
      <c r="F614" s="88"/>
      <c r="G614" s="93"/>
    </row>
    <row r="615" spans="3:7" ht="20.25" customHeight="1">
      <c r="C615" s="83"/>
      <c r="D615" s="115"/>
      <c r="E615" s="81"/>
      <c r="F615" s="88"/>
      <c r="G615" s="93"/>
    </row>
    <row r="616" spans="3:7" ht="46.5" customHeight="1">
      <c r="C616" s="83"/>
      <c r="D616" s="115"/>
      <c r="E616" s="81"/>
      <c r="F616" s="88"/>
      <c r="G616" s="93"/>
    </row>
    <row r="617" spans="3:7" ht="93" customHeight="1">
      <c r="C617" s="79"/>
      <c r="D617" s="116"/>
      <c r="E617" s="82"/>
      <c r="F617" s="89"/>
      <c r="G617" s="94"/>
    </row>
    <row r="618" spans="3:7" ht="21.75" customHeight="1">
      <c r="C618" s="78">
        <v>244</v>
      </c>
      <c r="D618" s="90" t="s">
        <v>343</v>
      </c>
      <c r="E618" s="84" t="s">
        <v>36</v>
      </c>
      <c r="F618" s="76">
        <v>6</v>
      </c>
      <c r="G618" s="92"/>
    </row>
    <row r="619" spans="3:7" ht="41.25" customHeight="1">
      <c r="C619" s="83"/>
      <c r="D619" s="96"/>
      <c r="E619" s="85"/>
      <c r="F619" s="95"/>
      <c r="G619" s="93"/>
    </row>
    <row r="620" spans="3:7" ht="42.75" customHeight="1">
      <c r="C620" s="79"/>
      <c r="D620" s="91"/>
      <c r="E620" s="86"/>
      <c r="F620" s="77"/>
      <c r="G620" s="94"/>
    </row>
    <row r="621" spans="3:7" ht="30.75" customHeight="1">
      <c r="C621" s="78">
        <v>245</v>
      </c>
      <c r="D621" s="90" t="s">
        <v>344</v>
      </c>
      <c r="E621" s="84" t="s">
        <v>36</v>
      </c>
      <c r="F621" s="76">
        <v>6</v>
      </c>
      <c r="G621" s="92"/>
    </row>
    <row r="622" spans="3:7" ht="53.25" customHeight="1">
      <c r="C622" s="83"/>
      <c r="D622" s="96"/>
      <c r="E622" s="85"/>
      <c r="F622" s="95"/>
      <c r="G622" s="93"/>
    </row>
    <row r="623" spans="3:7" ht="39.75" customHeight="1">
      <c r="C623" s="79"/>
      <c r="D623" s="91"/>
      <c r="E623" s="86"/>
      <c r="F623" s="77"/>
      <c r="G623" s="94"/>
    </row>
    <row r="624" spans="3:7" ht="19.5" customHeight="1">
      <c r="C624" s="78">
        <v>246</v>
      </c>
      <c r="D624" s="90" t="s">
        <v>345</v>
      </c>
      <c r="E624" s="84" t="s">
        <v>36</v>
      </c>
      <c r="F624" s="76">
        <v>6</v>
      </c>
      <c r="G624" s="92"/>
    </row>
    <row r="625" spans="3:7" ht="43.5" customHeight="1">
      <c r="C625" s="83"/>
      <c r="D625" s="96"/>
      <c r="E625" s="85"/>
      <c r="F625" s="95"/>
      <c r="G625" s="93"/>
    </row>
    <row r="626" spans="3:7" ht="39.75" customHeight="1">
      <c r="C626" s="79"/>
      <c r="D626" s="91"/>
      <c r="E626" s="86"/>
      <c r="F626" s="77"/>
      <c r="G626" s="94"/>
    </row>
    <row r="627" spans="3:7" ht="51" customHeight="1">
      <c r="C627" s="74" t="s">
        <v>3</v>
      </c>
      <c r="D627" s="75"/>
      <c r="E627" s="75"/>
      <c r="F627" s="75"/>
      <c r="G627" s="22">
        <f>SUM(G609:G626)</f>
        <v>0</v>
      </c>
    </row>
    <row r="628" spans="3:7" ht="23.25" customHeight="1">
      <c r="C628" s="78">
        <v>247</v>
      </c>
      <c r="D628" s="90" t="s">
        <v>346</v>
      </c>
      <c r="E628" s="84" t="s">
        <v>36</v>
      </c>
      <c r="F628" s="76">
        <v>6</v>
      </c>
      <c r="G628" s="92"/>
    </row>
    <row r="629" spans="3:7" ht="50.25" customHeight="1">
      <c r="C629" s="83"/>
      <c r="D629" s="96"/>
      <c r="E629" s="85"/>
      <c r="F629" s="95"/>
      <c r="G629" s="93"/>
    </row>
    <row r="630" spans="3:7" ht="19.5" customHeight="1">
      <c r="C630" s="79"/>
      <c r="D630" s="91"/>
      <c r="E630" s="86"/>
      <c r="F630" s="77"/>
      <c r="G630" s="94"/>
    </row>
    <row r="631" spans="3:7" ht="39" customHeight="1">
      <c r="C631" s="78">
        <v>248</v>
      </c>
      <c r="D631" s="114" t="s">
        <v>347</v>
      </c>
      <c r="E631" s="80" t="s">
        <v>36</v>
      </c>
      <c r="F631" s="87">
        <v>282</v>
      </c>
      <c r="G631" s="92"/>
    </row>
    <row r="632" spans="3:7" ht="41.25" customHeight="1">
      <c r="C632" s="83"/>
      <c r="D632" s="115"/>
      <c r="E632" s="81"/>
      <c r="F632" s="88"/>
      <c r="G632" s="93"/>
    </row>
    <row r="633" spans="3:7" ht="56.45" customHeight="1">
      <c r="C633" s="79"/>
      <c r="D633" s="116"/>
      <c r="E633" s="82"/>
      <c r="F633" s="89"/>
      <c r="G633" s="94"/>
    </row>
    <row r="634" spans="3:7" ht="53.25" customHeight="1">
      <c r="C634" s="78">
        <v>249</v>
      </c>
      <c r="D634" s="114" t="s">
        <v>348</v>
      </c>
      <c r="E634" s="80" t="s">
        <v>36</v>
      </c>
      <c r="F634" s="87">
        <v>126</v>
      </c>
      <c r="G634" s="92"/>
    </row>
    <row r="635" spans="3:7" ht="36" customHeight="1">
      <c r="C635" s="83"/>
      <c r="D635" s="115"/>
      <c r="E635" s="81"/>
      <c r="F635" s="88"/>
      <c r="G635" s="93"/>
    </row>
    <row r="636" spans="3:7" ht="51.6" customHeight="1">
      <c r="C636" s="79"/>
      <c r="D636" s="116"/>
      <c r="E636" s="82"/>
      <c r="F636" s="89"/>
      <c r="G636" s="94"/>
    </row>
    <row r="637" spans="3:7" ht="19.5" customHeight="1">
      <c r="C637" s="78">
        <v>250</v>
      </c>
      <c r="D637" s="114" t="s">
        <v>349</v>
      </c>
      <c r="E637" s="80" t="s">
        <v>36</v>
      </c>
      <c r="F637" s="87">
        <v>120</v>
      </c>
      <c r="G637" s="92"/>
    </row>
    <row r="638" spans="3:7" ht="39.75" customHeight="1">
      <c r="C638" s="83"/>
      <c r="D638" s="115"/>
      <c r="E638" s="81"/>
      <c r="F638" s="88"/>
      <c r="G638" s="93"/>
    </row>
    <row r="639" spans="3:7" ht="72.599999999999994" customHeight="1">
      <c r="C639" s="79"/>
      <c r="D639" s="116"/>
      <c r="E639" s="82"/>
      <c r="F639" s="89"/>
      <c r="G639" s="94"/>
    </row>
    <row r="640" spans="3:7" ht="45.75" customHeight="1">
      <c r="C640" s="78">
        <v>251</v>
      </c>
      <c r="D640" s="114" t="s">
        <v>350</v>
      </c>
      <c r="E640" s="80" t="s">
        <v>36</v>
      </c>
      <c r="F640" s="87">
        <v>50</v>
      </c>
      <c r="G640" s="92"/>
    </row>
    <row r="641" spans="3:7" ht="39.75" customHeight="1">
      <c r="C641" s="83"/>
      <c r="D641" s="115"/>
      <c r="E641" s="81"/>
      <c r="F641" s="88"/>
      <c r="G641" s="93"/>
    </row>
    <row r="642" spans="3:7" ht="32.25" customHeight="1">
      <c r="C642" s="83"/>
      <c r="D642" s="115"/>
      <c r="E642" s="81"/>
      <c r="F642" s="88"/>
      <c r="G642" s="93"/>
    </row>
    <row r="643" spans="3:7" ht="47.45" customHeight="1">
      <c r="C643" s="79"/>
      <c r="D643" s="116"/>
      <c r="E643" s="82"/>
      <c r="F643" s="89"/>
      <c r="G643" s="94"/>
    </row>
    <row r="644" spans="3:7" ht="51" customHeight="1">
      <c r="C644" s="74" t="s">
        <v>3</v>
      </c>
      <c r="D644" s="75"/>
      <c r="E644" s="75"/>
      <c r="F644" s="75"/>
      <c r="G644" s="22">
        <f>SUM(G628:G643)</f>
        <v>0</v>
      </c>
    </row>
    <row r="645" spans="3:7" ht="88.15" customHeight="1">
      <c r="C645" s="78">
        <v>252</v>
      </c>
      <c r="D645" s="114" t="s">
        <v>351</v>
      </c>
      <c r="E645" s="80" t="s">
        <v>36</v>
      </c>
      <c r="F645" s="87">
        <v>32</v>
      </c>
      <c r="G645" s="92"/>
    </row>
    <row r="646" spans="3:7" ht="50.45" customHeight="1">
      <c r="C646" s="83"/>
      <c r="D646" s="115"/>
      <c r="E646" s="81"/>
      <c r="F646" s="88"/>
      <c r="G646" s="93"/>
    </row>
    <row r="647" spans="3:7" ht="41.45" customHeight="1">
      <c r="C647" s="79"/>
      <c r="D647" s="116"/>
      <c r="E647" s="82"/>
      <c r="F647" s="89"/>
      <c r="G647" s="94"/>
    </row>
    <row r="648" spans="3:7" ht="84.6" customHeight="1">
      <c r="C648" s="78">
        <v>253</v>
      </c>
      <c r="D648" s="114" t="s">
        <v>352</v>
      </c>
      <c r="E648" s="80" t="s">
        <v>36</v>
      </c>
      <c r="F648" s="87">
        <v>72</v>
      </c>
      <c r="G648" s="92"/>
    </row>
    <row r="649" spans="3:7" ht="67.900000000000006" customHeight="1">
      <c r="C649" s="79"/>
      <c r="D649" s="116"/>
      <c r="E649" s="82"/>
      <c r="F649" s="89"/>
      <c r="G649" s="94"/>
    </row>
    <row r="650" spans="3:7" ht="103.15" customHeight="1">
      <c r="C650" s="78">
        <v>254</v>
      </c>
      <c r="D650" s="114" t="s">
        <v>353</v>
      </c>
      <c r="E650" s="80" t="s">
        <v>36</v>
      </c>
      <c r="F650" s="87">
        <v>286</v>
      </c>
      <c r="G650" s="92"/>
    </row>
    <row r="651" spans="3:7" ht="59.45" customHeight="1">
      <c r="C651" s="83"/>
      <c r="D651" s="115"/>
      <c r="E651" s="81"/>
      <c r="F651" s="88"/>
      <c r="G651" s="93"/>
    </row>
    <row r="652" spans="3:7" ht="37.15" customHeight="1">
      <c r="C652" s="79"/>
      <c r="D652" s="116"/>
      <c r="E652" s="82"/>
      <c r="F652" s="89"/>
      <c r="G652" s="94"/>
    </row>
    <row r="653" spans="3:7" ht="85.9" customHeight="1">
      <c r="C653" s="78">
        <v>255</v>
      </c>
      <c r="D653" s="114" t="s">
        <v>354</v>
      </c>
      <c r="E653" s="80" t="s">
        <v>36</v>
      </c>
      <c r="F653" s="87">
        <v>20</v>
      </c>
      <c r="G653" s="92"/>
    </row>
    <row r="654" spans="3:7" ht="71.45" customHeight="1">
      <c r="C654" s="83"/>
      <c r="D654" s="115"/>
      <c r="E654" s="81"/>
      <c r="F654" s="88"/>
      <c r="G654" s="93"/>
    </row>
    <row r="655" spans="3:7" ht="30" customHeight="1">
      <c r="C655" s="79"/>
      <c r="D655" s="116"/>
      <c r="E655" s="82"/>
      <c r="F655" s="89"/>
      <c r="G655" s="94"/>
    </row>
    <row r="656" spans="3:7" ht="104.45" customHeight="1">
      <c r="C656" s="78">
        <v>256</v>
      </c>
      <c r="D656" s="114" t="s">
        <v>355</v>
      </c>
      <c r="E656" s="80" t="s">
        <v>36</v>
      </c>
      <c r="F656" s="87">
        <v>141</v>
      </c>
      <c r="G656" s="92"/>
    </row>
    <row r="657" spans="3:7" ht="59.45" customHeight="1">
      <c r="C657" s="83"/>
      <c r="D657" s="115"/>
      <c r="E657" s="81"/>
      <c r="F657" s="88"/>
      <c r="G657" s="93"/>
    </row>
    <row r="658" spans="3:7" ht="30" customHeight="1">
      <c r="C658" s="79"/>
      <c r="D658" s="116"/>
      <c r="E658" s="82"/>
      <c r="F658" s="89"/>
      <c r="G658" s="94"/>
    </row>
    <row r="659" spans="3:7" ht="51" customHeight="1">
      <c r="C659" s="74" t="s">
        <v>3</v>
      </c>
      <c r="D659" s="75"/>
      <c r="E659" s="75"/>
      <c r="F659" s="75"/>
      <c r="G659" s="22">
        <f>SUM(G645:G658)</f>
        <v>0</v>
      </c>
    </row>
    <row r="660" spans="3:7" ht="93" customHeight="1">
      <c r="C660" s="78">
        <v>257</v>
      </c>
      <c r="D660" s="114" t="s">
        <v>356</v>
      </c>
      <c r="E660" s="80" t="s">
        <v>36</v>
      </c>
      <c r="F660" s="87">
        <v>4</v>
      </c>
      <c r="G660" s="92"/>
    </row>
    <row r="661" spans="3:7" ht="53.45" customHeight="1">
      <c r="C661" s="83"/>
      <c r="D661" s="115"/>
      <c r="E661" s="81"/>
      <c r="F661" s="88"/>
      <c r="G661" s="93"/>
    </row>
    <row r="662" spans="3:7" ht="39.6" customHeight="1">
      <c r="C662" s="79"/>
      <c r="D662" s="116"/>
      <c r="E662" s="82"/>
      <c r="F662" s="89"/>
      <c r="G662" s="94"/>
    </row>
    <row r="663" spans="3:7" ht="82.9" customHeight="1">
      <c r="C663" s="78">
        <v>258</v>
      </c>
      <c r="D663" s="114" t="s">
        <v>357</v>
      </c>
      <c r="E663" s="80" t="s">
        <v>36</v>
      </c>
      <c r="F663" s="87">
        <v>119</v>
      </c>
      <c r="G663" s="92"/>
    </row>
    <row r="664" spans="3:7" ht="58.9" customHeight="1">
      <c r="C664" s="83"/>
      <c r="D664" s="115"/>
      <c r="E664" s="81"/>
      <c r="F664" s="88"/>
      <c r="G664" s="93"/>
    </row>
    <row r="665" spans="3:7" ht="33.6" customHeight="1">
      <c r="C665" s="79"/>
      <c r="D665" s="116"/>
      <c r="E665" s="82"/>
      <c r="F665" s="89"/>
      <c r="G665" s="94"/>
    </row>
    <row r="666" spans="3:7" ht="91.9" customHeight="1">
      <c r="C666" s="78">
        <v>259</v>
      </c>
      <c r="D666" s="114" t="s">
        <v>358</v>
      </c>
      <c r="E666" s="80" t="s">
        <v>36</v>
      </c>
      <c r="F666" s="87">
        <v>75</v>
      </c>
      <c r="G666" s="92"/>
    </row>
    <row r="667" spans="3:7" ht="62.45" customHeight="1">
      <c r="C667" s="83"/>
      <c r="D667" s="115"/>
      <c r="E667" s="81"/>
      <c r="F667" s="88"/>
      <c r="G667" s="93"/>
    </row>
    <row r="668" spans="3:7" ht="31.15" customHeight="1">
      <c r="C668" s="79"/>
      <c r="D668" s="116"/>
      <c r="E668" s="82"/>
      <c r="F668" s="89"/>
      <c r="G668" s="94"/>
    </row>
    <row r="669" spans="3:7" ht="76.150000000000006" customHeight="1">
      <c r="C669" s="78">
        <v>260</v>
      </c>
      <c r="D669" s="114" t="s">
        <v>359</v>
      </c>
      <c r="E669" s="80" t="s">
        <v>36</v>
      </c>
      <c r="F669" s="87">
        <v>324</v>
      </c>
      <c r="G669" s="92"/>
    </row>
    <row r="670" spans="3:7" ht="58.9" customHeight="1">
      <c r="C670" s="83"/>
      <c r="D670" s="115"/>
      <c r="E670" s="81"/>
      <c r="F670" s="88"/>
      <c r="G670" s="93"/>
    </row>
    <row r="671" spans="3:7" ht="40.9" customHeight="1">
      <c r="C671" s="79"/>
      <c r="D671" s="116"/>
      <c r="E671" s="82"/>
      <c r="F671" s="89"/>
      <c r="G671" s="94"/>
    </row>
    <row r="672" spans="3:7" ht="51" customHeight="1">
      <c r="C672" s="74" t="s">
        <v>3</v>
      </c>
      <c r="D672" s="75"/>
      <c r="E672" s="75"/>
      <c r="F672" s="75"/>
      <c r="G672" s="22">
        <f>SUM(G660:G671)</f>
        <v>0</v>
      </c>
    </row>
    <row r="673" spans="3:7" ht="59.25" customHeight="1">
      <c r="C673" s="78">
        <v>261</v>
      </c>
      <c r="D673" s="114" t="s">
        <v>360</v>
      </c>
      <c r="E673" s="80" t="s">
        <v>36</v>
      </c>
      <c r="F673" s="87">
        <v>445</v>
      </c>
      <c r="G673" s="92"/>
    </row>
    <row r="674" spans="3:7" ht="67.900000000000006" customHeight="1">
      <c r="C674" s="79"/>
      <c r="D674" s="116"/>
      <c r="E674" s="82"/>
      <c r="F674" s="89"/>
      <c r="G674" s="94"/>
    </row>
    <row r="675" spans="3:7" ht="66" customHeight="1">
      <c r="C675" s="78">
        <v>262</v>
      </c>
      <c r="D675" s="114" t="s">
        <v>362</v>
      </c>
      <c r="E675" s="80" t="s">
        <v>36</v>
      </c>
      <c r="F675" s="87">
        <v>530</v>
      </c>
      <c r="G675" s="92"/>
    </row>
    <row r="676" spans="3:7" ht="45" customHeight="1">
      <c r="C676" s="83"/>
      <c r="D676" s="115"/>
      <c r="E676" s="81"/>
      <c r="F676" s="88"/>
      <c r="G676" s="93"/>
    </row>
    <row r="677" spans="3:7" ht="46.9" customHeight="1">
      <c r="C677" s="79"/>
      <c r="D677" s="116"/>
      <c r="E677" s="82"/>
      <c r="F677" s="89"/>
      <c r="G677" s="94"/>
    </row>
    <row r="678" spans="3:7" ht="58.5" customHeight="1">
      <c r="C678" s="78">
        <v>263</v>
      </c>
      <c r="D678" s="114" t="s">
        <v>363</v>
      </c>
      <c r="E678" s="80" t="s">
        <v>36</v>
      </c>
      <c r="F678" s="87">
        <v>241</v>
      </c>
      <c r="G678" s="92"/>
    </row>
    <row r="679" spans="3:7" ht="47.25" customHeight="1">
      <c r="C679" s="83"/>
      <c r="D679" s="115"/>
      <c r="E679" s="81"/>
      <c r="F679" s="88"/>
      <c r="G679" s="93"/>
    </row>
    <row r="680" spans="3:7" ht="48" customHeight="1">
      <c r="C680" s="79"/>
      <c r="D680" s="116"/>
      <c r="E680" s="82"/>
      <c r="F680" s="89"/>
      <c r="G680" s="94"/>
    </row>
    <row r="681" spans="3:7" ht="64.5" customHeight="1">
      <c r="C681" s="78">
        <v>264</v>
      </c>
      <c r="D681" s="114" t="s">
        <v>364</v>
      </c>
      <c r="E681" s="80" t="s">
        <v>36</v>
      </c>
      <c r="F681" s="87">
        <v>1113</v>
      </c>
      <c r="G681" s="92"/>
    </row>
    <row r="682" spans="3:7" ht="33.75" customHeight="1">
      <c r="C682" s="83"/>
      <c r="D682" s="115"/>
      <c r="E682" s="81"/>
      <c r="F682" s="88"/>
      <c r="G682" s="93"/>
    </row>
    <row r="683" spans="3:7" ht="64.150000000000006" customHeight="1">
      <c r="C683" s="79"/>
      <c r="D683" s="116"/>
      <c r="E683" s="82"/>
      <c r="F683" s="89"/>
      <c r="G683" s="94"/>
    </row>
    <row r="684" spans="3:7" ht="51" customHeight="1">
      <c r="C684" s="74" t="s">
        <v>3</v>
      </c>
      <c r="D684" s="75"/>
      <c r="E684" s="75"/>
      <c r="F684" s="75"/>
      <c r="G684" s="22">
        <f>SUM(G673:G683)</f>
        <v>0</v>
      </c>
    </row>
    <row r="685" spans="3:7" ht="59.25" customHeight="1">
      <c r="C685" s="78">
        <v>265</v>
      </c>
      <c r="D685" s="90" t="s">
        <v>365</v>
      </c>
      <c r="E685" s="84" t="s">
        <v>36</v>
      </c>
      <c r="F685" s="76">
        <v>8</v>
      </c>
      <c r="G685" s="92"/>
    </row>
    <row r="686" spans="3:7" ht="59.25" customHeight="1">
      <c r="C686" s="83"/>
      <c r="D686" s="96"/>
      <c r="E686" s="85"/>
      <c r="F686" s="95"/>
      <c r="G686" s="93"/>
    </row>
    <row r="687" spans="3:7" ht="49.9" customHeight="1">
      <c r="C687" s="79"/>
      <c r="D687" s="91"/>
      <c r="E687" s="86"/>
      <c r="F687" s="77"/>
      <c r="G687" s="94"/>
    </row>
    <row r="688" spans="3:7" ht="66" customHeight="1">
      <c r="C688" s="78">
        <v>266</v>
      </c>
      <c r="D688" s="90" t="s">
        <v>366</v>
      </c>
      <c r="E688" s="84" t="s">
        <v>36</v>
      </c>
      <c r="F688" s="76">
        <v>1</v>
      </c>
      <c r="G688" s="92"/>
    </row>
    <row r="689" spans="3:7" ht="45" customHeight="1">
      <c r="C689" s="83"/>
      <c r="D689" s="96"/>
      <c r="E689" s="85"/>
      <c r="F689" s="95"/>
      <c r="G689" s="93"/>
    </row>
    <row r="690" spans="3:7" ht="55.9" customHeight="1">
      <c r="C690" s="79"/>
      <c r="D690" s="91"/>
      <c r="E690" s="86"/>
      <c r="F690" s="77"/>
      <c r="G690" s="94"/>
    </row>
    <row r="691" spans="3:7" ht="58.5" customHeight="1">
      <c r="C691" s="78">
        <v>267</v>
      </c>
      <c r="D691" s="90" t="s">
        <v>367</v>
      </c>
      <c r="E691" s="84" t="s">
        <v>36</v>
      </c>
      <c r="F691" s="76">
        <v>4</v>
      </c>
      <c r="G691" s="92"/>
    </row>
    <row r="692" spans="3:7" ht="47.25" customHeight="1">
      <c r="C692" s="83"/>
      <c r="D692" s="96"/>
      <c r="E692" s="85"/>
      <c r="F692" s="95"/>
      <c r="G692" s="93"/>
    </row>
    <row r="693" spans="3:7" ht="81" customHeight="1">
      <c r="C693" s="79"/>
      <c r="D693" s="91"/>
      <c r="E693" s="86"/>
      <c r="F693" s="77"/>
      <c r="G693" s="94"/>
    </row>
    <row r="694" spans="3:7" ht="64.5" customHeight="1">
      <c r="C694" s="78">
        <v>268</v>
      </c>
      <c r="D694" s="90" t="s">
        <v>368</v>
      </c>
      <c r="E694" s="84" t="s">
        <v>36</v>
      </c>
      <c r="F694" s="76">
        <v>1</v>
      </c>
      <c r="G694" s="92"/>
    </row>
    <row r="695" spans="3:7" ht="36" customHeight="1">
      <c r="C695" s="83"/>
      <c r="D695" s="96"/>
      <c r="E695" s="85"/>
      <c r="F695" s="95"/>
      <c r="G695" s="93"/>
    </row>
    <row r="696" spans="3:7" ht="86.45" customHeight="1">
      <c r="C696" s="79"/>
      <c r="D696" s="91"/>
      <c r="E696" s="86"/>
      <c r="F696" s="77"/>
      <c r="G696" s="94"/>
    </row>
    <row r="697" spans="3:7" ht="51" customHeight="1">
      <c r="C697" s="74" t="s">
        <v>3</v>
      </c>
      <c r="D697" s="75"/>
      <c r="E697" s="75"/>
      <c r="F697" s="75"/>
      <c r="G697" s="22">
        <f>SUM(G685:G696)</f>
        <v>0</v>
      </c>
    </row>
    <row r="698" spans="3:7" ht="78" customHeight="1">
      <c r="C698" s="78">
        <v>269</v>
      </c>
      <c r="D698" s="114" t="s">
        <v>369</v>
      </c>
      <c r="E698" s="80" t="s">
        <v>36</v>
      </c>
      <c r="F698" s="87">
        <v>2</v>
      </c>
      <c r="G698" s="92"/>
    </row>
    <row r="699" spans="3:7" ht="59.25" customHeight="1">
      <c r="C699" s="83"/>
      <c r="D699" s="115"/>
      <c r="E699" s="81"/>
      <c r="F699" s="88"/>
      <c r="G699" s="93"/>
    </row>
    <row r="700" spans="3:7" ht="48.75" customHeight="1">
      <c r="C700" s="79"/>
      <c r="D700" s="116"/>
      <c r="E700" s="82"/>
      <c r="F700" s="89"/>
      <c r="G700" s="94"/>
    </row>
    <row r="701" spans="3:7" ht="79.5" customHeight="1">
      <c r="C701" s="78">
        <v>270</v>
      </c>
      <c r="D701" s="114" t="s">
        <v>370</v>
      </c>
      <c r="E701" s="80" t="s">
        <v>36</v>
      </c>
      <c r="F701" s="87">
        <v>12</v>
      </c>
      <c r="G701" s="92"/>
    </row>
    <row r="702" spans="3:7" ht="45" customHeight="1">
      <c r="C702" s="83"/>
      <c r="D702" s="115"/>
      <c r="E702" s="81"/>
      <c r="F702" s="88"/>
      <c r="G702" s="93"/>
    </row>
    <row r="703" spans="3:7" ht="45" customHeight="1">
      <c r="C703" s="79"/>
      <c r="D703" s="116"/>
      <c r="E703" s="82"/>
      <c r="F703" s="89"/>
      <c r="G703" s="94"/>
    </row>
    <row r="704" spans="3:7" ht="58.5" customHeight="1">
      <c r="C704" s="78">
        <v>271</v>
      </c>
      <c r="D704" s="114" t="s">
        <v>361</v>
      </c>
      <c r="E704" s="80" t="s">
        <v>36</v>
      </c>
      <c r="F704" s="87">
        <v>4</v>
      </c>
      <c r="G704" s="92"/>
    </row>
    <row r="705" spans="3:7" ht="47.25" customHeight="1">
      <c r="C705" s="83"/>
      <c r="D705" s="115"/>
      <c r="E705" s="81"/>
      <c r="F705" s="88"/>
      <c r="G705" s="93"/>
    </row>
    <row r="706" spans="3:7" ht="66" customHeight="1">
      <c r="C706" s="79"/>
      <c r="D706" s="116"/>
      <c r="E706" s="82"/>
      <c r="F706" s="89"/>
      <c r="G706" s="94"/>
    </row>
    <row r="707" spans="3:7" ht="81.75" customHeight="1">
      <c r="C707" s="78">
        <v>272</v>
      </c>
      <c r="D707" s="114" t="s">
        <v>371</v>
      </c>
      <c r="E707" s="80" t="s">
        <v>36</v>
      </c>
      <c r="F707" s="87">
        <v>343</v>
      </c>
      <c r="G707" s="92"/>
    </row>
    <row r="708" spans="3:7" ht="48.75" customHeight="1">
      <c r="C708" s="83"/>
      <c r="D708" s="115"/>
      <c r="E708" s="81"/>
      <c r="F708" s="88"/>
      <c r="G708" s="93"/>
    </row>
    <row r="709" spans="3:7" ht="62.45" customHeight="1">
      <c r="C709" s="79"/>
      <c r="D709" s="116"/>
      <c r="E709" s="82"/>
      <c r="F709" s="89"/>
      <c r="G709" s="94"/>
    </row>
    <row r="710" spans="3:7" ht="51" customHeight="1">
      <c r="C710" s="74" t="s">
        <v>3</v>
      </c>
      <c r="D710" s="75"/>
      <c r="E710" s="75"/>
      <c r="F710" s="75"/>
      <c r="G710" s="22">
        <f>SUM(G698:G709)</f>
        <v>0</v>
      </c>
    </row>
    <row r="711" spans="3:7" ht="60.75" customHeight="1">
      <c r="C711" s="78">
        <v>273</v>
      </c>
      <c r="D711" s="114" t="s">
        <v>372</v>
      </c>
      <c r="E711" s="80" t="s">
        <v>36</v>
      </c>
      <c r="F711" s="87">
        <v>54</v>
      </c>
      <c r="G711" s="92"/>
    </row>
    <row r="712" spans="3:7" ht="48" customHeight="1">
      <c r="C712" s="83"/>
      <c r="D712" s="115"/>
      <c r="E712" s="81"/>
      <c r="F712" s="88"/>
      <c r="G712" s="93"/>
    </row>
    <row r="713" spans="3:7" ht="55.9" customHeight="1">
      <c r="C713" s="79"/>
      <c r="D713" s="116"/>
      <c r="E713" s="82"/>
      <c r="F713" s="89"/>
      <c r="G713" s="94"/>
    </row>
    <row r="714" spans="3:7" ht="53.25" customHeight="1">
      <c r="C714" s="78">
        <v>274</v>
      </c>
      <c r="D714" s="114" t="s">
        <v>373</v>
      </c>
      <c r="E714" s="80" t="s">
        <v>36</v>
      </c>
      <c r="F714" s="87">
        <v>172</v>
      </c>
      <c r="G714" s="92"/>
    </row>
    <row r="715" spans="3:7" ht="45" customHeight="1">
      <c r="C715" s="83"/>
      <c r="D715" s="115"/>
      <c r="E715" s="81"/>
      <c r="F715" s="88"/>
      <c r="G715" s="93"/>
    </row>
    <row r="716" spans="3:7" ht="65.45" customHeight="1">
      <c r="C716" s="79"/>
      <c r="D716" s="116"/>
      <c r="E716" s="82"/>
      <c r="F716" s="89"/>
      <c r="G716" s="94"/>
    </row>
    <row r="717" spans="3:7" ht="58.5" customHeight="1">
      <c r="C717" s="78">
        <v>275</v>
      </c>
      <c r="D717" s="114" t="s">
        <v>374</v>
      </c>
      <c r="E717" s="80" t="s">
        <v>35</v>
      </c>
      <c r="F717" s="87">
        <v>1422</v>
      </c>
      <c r="G717" s="92"/>
    </row>
    <row r="718" spans="3:7" ht="47.25" customHeight="1">
      <c r="C718" s="83"/>
      <c r="D718" s="115"/>
      <c r="E718" s="81"/>
      <c r="F718" s="88"/>
      <c r="G718" s="93"/>
    </row>
    <row r="719" spans="3:7" ht="56.45" customHeight="1">
      <c r="C719" s="79"/>
      <c r="D719" s="116"/>
      <c r="E719" s="82"/>
      <c r="F719" s="89"/>
      <c r="G719" s="94"/>
    </row>
    <row r="720" spans="3:7" ht="55.5" customHeight="1">
      <c r="C720" s="78">
        <v>276</v>
      </c>
      <c r="D720" s="114" t="s">
        <v>375</v>
      </c>
      <c r="E720" s="80" t="s">
        <v>36</v>
      </c>
      <c r="F720" s="87">
        <v>1062</v>
      </c>
      <c r="G720" s="92"/>
    </row>
    <row r="721" spans="3:7" ht="48.75" customHeight="1">
      <c r="C721" s="83"/>
      <c r="D721" s="115"/>
      <c r="E721" s="81"/>
      <c r="F721" s="88"/>
      <c r="G721" s="93"/>
    </row>
    <row r="722" spans="3:7" ht="59.45" customHeight="1">
      <c r="C722" s="79"/>
      <c r="D722" s="116"/>
      <c r="E722" s="82"/>
      <c r="F722" s="89"/>
      <c r="G722" s="94"/>
    </row>
    <row r="723" spans="3:7" ht="55.5" customHeight="1">
      <c r="C723" s="78">
        <v>277</v>
      </c>
      <c r="D723" s="114" t="s">
        <v>376</v>
      </c>
      <c r="E723" s="80" t="s">
        <v>36</v>
      </c>
      <c r="F723" s="87">
        <v>284</v>
      </c>
      <c r="G723" s="92"/>
    </row>
    <row r="724" spans="3:7" ht="48.75" customHeight="1">
      <c r="C724" s="83"/>
      <c r="D724" s="115"/>
      <c r="E724" s="81"/>
      <c r="F724" s="88"/>
      <c r="G724" s="93"/>
    </row>
    <row r="725" spans="3:7" ht="54.6" customHeight="1">
      <c r="C725" s="79"/>
      <c r="D725" s="116"/>
      <c r="E725" s="82"/>
      <c r="F725" s="89"/>
      <c r="G725" s="94"/>
    </row>
    <row r="726" spans="3:7" ht="51" customHeight="1">
      <c r="C726" s="74" t="s">
        <v>3</v>
      </c>
      <c r="D726" s="75"/>
      <c r="E726" s="75"/>
      <c r="F726" s="75"/>
      <c r="G726" s="22">
        <f>SUM(G711:G725)</f>
        <v>0</v>
      </c>
    </row>
    <row r="727" spans="3:7" ht="60.75" customHeight="1">
      <c r="C727" s="78">
        <v>278</v>
      </c>
      <c r="D727" s="114" t="s">
        <v>377</v>
      </c>
      <c r="E727" s="80" t="s">
        <v>36</v>
      </c>
      <c r="F727" s="87">
        <v>149</v>
      </c>
      <c r="G727" s="92"/>
    </row>
    <row r="728" spans="3:7" ht="48" customHeight="1">
      <c r="C728" s="83"/>
      <c r="D728" s="115"/>
      <c r="E728" s="81"/>
      <c r="F728" s="88"/>
      <c r="G728" s="93"/>
    </row>
    <row r="729" spans="3:7" ht="60" customHeight="1">
      <c r="C729" s="79"/>
      <c r="D729" s="116"/>
      <c r="E729" s="82"/>
      <c r="F729" s="89"/>
      <c r="G729" s="94"/>
    </row>
    <row r="730" spans="3:7" ht="53.25" customHeight="1">
      <c r="C730" s="78">
        <v>279</v>
      </c>
      <c r="D730" s="114" t="s">
        <v>378</v>
      </c>
      <c r="E730" s="80" t="s">
        <v>36</v>
      </c>
      <c r="F730" s="87">
        <v>158</v>
      </c>
      <c r="G730" s="92"/>
    </row>
    <row r="731" spans="3:7" ht="45" customHeight="1">
      <c r="C731" s="83"/>
      <c r="D731" s="115"/>
      <c r="E731" s="81"/>
      <c r="F731" s="88"/>
      <c r="G731" s="93"/>
    </row>
    <row r="732" spans="3:7" ht="82.9" customHeight="1">
      <c r="C732" s="79"/>
      <c r="D732" s="116"/>
      <c r="E732" s="82"/>
      <c r="F732" s="89"/>
      <c r="G732" s="94"/>
    </row>
    <row r="733" spans="3:7" ht="58.5" customHeight="1">
      <c r="C733" s="78">
        <v>280</v>
      </c>
      <c r="D733" s="114" t="s">
        <v>379</v>
      </c>
      <c r="E733" s="80" t="s">
        <v>36</v>
      </c>
      <c r="F733" s="87">
        <v>27</v>
      </c>
      <c r="G733" s="92"/>
    </row>
    <row r="734" spans="3:7" ht="47.25" customHeight="1">
      <c r="C734" s="83"/>
      <c r="D734" s="115"/>
      <c r="E734" s="81"/>
      <c r="F734" s="88"/>
      <c r="G734" s="93"/>
    </row>
    <row r="735" spans="3:7" ht="60.6" customHeight="1">
      <c r="C735" s="79"/>
      <c r="D735" s="116"/>
      <c r="E735" s="82"/>
      <c r="F735" s="89"/>
      <c r="G735" s="94"/>
    </row>
    <row r="736" spans="3:7" ht="55.5" customHeight="1">
      <c r="C736" s="78">
        <v>281</v>
      </c>
      <c r="D736" s="114" t="s">
        <v>380</v>
      </c>
      <c r="E736" s="80" t="s">
        <v>36</v>
      </c>
      <c r="F736" s="87">
        <v>56</v>
      </c>
      <c r="G736" s="92"/>
    </row>
    <row r="737" spans="3:7" ht="48.75" customHeight="1">
      <c r="C737" s="83"/>
      <c r="D737" s="115"/>
      <c r="E737" s="81"/>
      <c r="F737" s="88"/>
      <c r="G737" s="93"/>
    </row>
    <row r="738" spans="3:7" ht="61.15" customHeight="1">
      <c r="C738" s="79"/>
      <c r="D738" s="116"/>
      <c r="E738" s="82"/>
      <c r="F738" s="89"/>
      <c r="G738" s="94"/>
    </row>
    <row r="739" spans="3:7" ht="55.5" customHeight="1">
      <c r="C739" s="78">
        <v>282</v>
      </c>
      <c r="D739" s="114" t="s">
        <v>381</v>
      </c>
      <c r="E739" s="80" t="s">
        <v>36</v>
      </c>
      <c r="F739" s="87">
        <v>20</v>
      </c>
      <c r="G739" s="92"/>
    </row>
    <row r="740" spans="3:7" ht="48.75" customHeight="1">
      <c r="C740" s="83"/>
      <c r="D740" s="115"/>
      <c r="E740" s="81"/>
      <c r="F740" s="88"/>
      <c r="G740" s="93"/>
    </row>
    <row r="741" spans="3:7" ht="54" customHeight="1">
      <c r="C741" s="79"/>
      <c r="D741" s="116"/>
      <c r="E741" s="82"/>
      <c r="F741" s="89"/>
      <c r="G741" s="94"/>
    </row>
    <row r="742" spans="3:7" ht="51" customHeight="1">
      <c r="C742" s="74" t="s">
        <v>3</v>
      </c>
      <c r="D742" s="75"/>
      <c r="E742" s="75"/>
      <c r="F742" s="75"/>
      <c r="G742" s="22">
        <f>SUM(G727:G741)</f>
        <v>0</v>
      </c>
    </row>
    <row r="743" spans="3:7" ht="60.75" customHeight="1">
      <c r="C743" s="78">
        <v>283</v>
      </c>
      <c r="D743" s="114" t="s">
        <v>382</v>
      </c>
      <c r="E743" s="80" t="s">
        <v>36</v>
      </c>
      <c r="F743" s="87">
        <v>179</v>
      </c>
      <c r="G743" s="92"/>
    </row>
    <row r="744" spans="3:7" ht="48" customHeight="1">
      <c r="C744" s="83"/>
      <c r="D744" s="115"/>
      <c r="E744" s="81"/>
      <c r="F744" s="88"/>
      <c r="G744" s="93"/>
    </row>
    <row r="745" spans="3:7" ht="54" customHeight="1">
      <c r="C745" s="79"/>
      <c r="D745" s="116"/>
      <c r="E745" s="82"/>
      <c r="F745" s="89"/>
      <c r="G745" s="94"/>
    </row>
    <row r="746" spans="3:7" ht="53.25" customHeight="1">
      <c r="C746" s="78">
        <v>284</v>
      </c>
      <c r="D746" s="114" t="s">
        <v>383</v>
      </c>
      <c r="E746" s="80" t="s">
        <v>36</v>
      </c>
      <c r="F746" s="87">
        <v>6</v>
      </c>
      <c r="G746" s="92"/>
    </row>
    <row r="747" spans="3:7" ht="45" customHeight="1">
      <c r="C747" s="83"/>
      <c r="D747" s="115"/>
      <c r="E747" s="81"/>
      <c r="F747" s="88"/>
      <c r="G747" s="93"/>
    </row>
    <row r="748" spans="3:7" ht="65.45" customHeight="1">
      <c r="C748" s="79"/>
      <c r="D748" s="116"/>
      <c r="E748" s="82"/>
      <c r="F748" s="89"/>
      <c r="G748" s="94"/>
    </row>
    <row r="749" spans="3:7" ht="58.5" customHeight="1">
      <c r="C749" s="78">
        <v>285</v>
      </c>
      <c r="D749" s="114" t="s">
        <v>384</v>
      </c>
      <c r="E749" s="80" t="s">
        <v>36</v>
      </c>
      <c r="F749" s="87">
        <v>12</v>
      </c>
      <c r="G749" s="92"/>
    </row>
    <row r="750" spans="3:7" ht="47.25" customHeight="1">
      <c r="C750" s="83"/>
      <c r="D750" s="115"/>
      <c r="E750" s="81"/>
      <c r="F750" s="88"/>
      <c r="G750" s="93"/>
    </row>
    <row r="751" spans="3:7" ht="48.6" customHeight="1">
      <c r="C751" s="79"/>
      <c r="D751" s="116"/>
      <c r="E751" s="82"/>
      <c r="F751" s="89"/>
      <c r="G751" s="94"/>
    </row>
    <row r="752" spans="3:7" ht="55.5" customHeight="1">
      <c r="C752" s="78">
        <v>286</v>
      </c>
      <c r="D752" s="114" t="s">
        <v>385</v>
      </c>
      <c r="E752" s="80" t="s">
        <v>36</v>
      </c>
      <c r="F752" s="87">
        <v>186</v>
      </c>
      <c r="G752" s="92"/>
    </row>
    <row r="753" spans="3:7" ht="48.75" customHeight="1">
      <c r="C753" s="83"/>
      <c r="D753" s="115"/>
      <c r="E753" s="81"/>
      <c r="F753" s="88"/>
      <c r="G753" s="93"/>
    </row>
    <row r="754" spans="3:7" ht="58.15" customHeight="1">
      <c r="C754" s="79"/>
      <c r="D754" s="116"/>
      <c r="E754" s="82"/>
      <c r="F754" s="89"/>
      <c r="G754" s="94"/>
    </row>
    <row r="755" spans="3:7" ht="55.5" customHeight="1">
      <c r="C755" s="78">
        <v>287</v>
      </c>
      <c r="D755" s="114" t="s">
        <v>386</v>
      </c>
      <c r="E755" s="80" t="s">
        <v>36</v>
      </c>
      <c r="F755" s="87">
        <v>260</v>
      </c>
      <c r="G755" s="92"/>
    </row>
    <row r="756" spans="3:7" ht="48.75" customHeight="1">
      <c r="C756" s="83"/>
      <c r="D756" s="115"/>
      <c r="E756" s="81"/>
      <c r="F756" s="88"/>
      <c r="G756" s="93"/>
    </row>
    <row r="757" spans="3:7" ht="47.45" customHeight="1">
      <c r="C757" s="79"/>
      <c r="D757" s="116"/>
      <c r="E757" s="82"/>
      <c r="F757" s="89"/>
      <c r="G757" s="94"/>
    </row>
    <row r="758" spans="3:7" ht="51" customHeight="1">
      <c r="C758" s="74" t="s">
        <v>3</v>
      </c>
      <c r="D758" s="75"/>
      <c r="E758" s="75"/>
      <c r="F758" s="75"/>
      <c r="G758" s="22">
        <f>SUM(G743:G757)</f>
        <v>0</v>
      </c>
    </row>
    <row r="759" spans="3:7" ht="60.75" customHeight="1">
      <c r="C759" s="78">
        <v>288</v>
      </c>
      <c r="D759" s="114" t="s">
        <v>387</v>
      </c>
      <c r="E759" s="80" t="s">
        <v>35</v>
      </c>
      <c r="F759" s="87">
        <v>5772</v>
      </c>
      <c r="G759" s="92"/>
    </row>
    <row r="760" spans="3:7" ht="48" customHeight="1">
      <c r="C760" s="83"/>
      <c r="D760" s="115"/>
      <c r="E760" s="81"/>
      <c r="F760" s="88"/>
      <c r="G760" s="93"/>
    </row>
    <row r="761" spans="3:7" ht="54" customHeight="1">
      <c r="C761" s="79"/>
      <c r="D761" s="116"/>
      <c r="E761" s="82"/>
      <c r="F761" s="89"/>
      <c r="G761" s="94"/>
    </row>
    <row r="762" spans="3:7" ht="53.25" customHeight="1">
      <c r="C762" s="78">
        <v>289</v>
      </c>
      <c r="D762" s="114" t="s">
        <v>388</v>
      </c>
      <c r="E762" s="80" t="s">
        <v>36</v>
      </c>
      <c r="F762" s="87">
        <v>14</v>
      </c>
      <c r="G762" s="92"/>
    </row>
    <row r="763" spans="3:7" ht="45" customHeight="1">
      <c r="C763" s="83"/>
      <c r="D763" s="115"/>
      <c r="E763" s="81"/>
      <c r="F763" s="88"/>
      <c r="G763" s="93"/>
    </row>
    <row r="764" spans="3:7" ht="55.9" customHeight="1">
      <c r="C764" s="79"/>
      <c r="D764" s="116"/>
      <c r="E764" s="82"/>
      <c r="F764" s="89"/>
      <c r="G764" s="94"/>
    </row>
    <row r="765" spans="3:7" ht="58.5" customHeight="1">
      <c r="C765" s="78">
        <v>290</v>
      </c>
      <c r="D765" s="114" t="s">
        <v>389</v>
      </c>
      <c r="E765" s="80" t="s">
        <v>36</v>
      </c>
      <c r="F765" s="87">
        <v>237</v>
      </c>
      <c r="G765" s="92"/>
    </row>
    <row r="766" spans="3:7" ht="47.25" customHeight="1">
      <c r="C766" s="83"/>
      <c r="D766" s="115"/>
      <c r="E766" s="81"/>
      <c r="F766" s="88"/>
      <c r="G766" s="93"/>
    </row>
    <row r="767" spans="3:7" ht="69.599999999999994" customHeight="1">
      <c r="C767" s="79"/>
      <c r="D767" s="116"/>
      <c r="E767" s="82"/>
      <c r="F767" s="89"/>
      <c r="G767" s="94"/>
    </row>
    <row r="768" spans="3:7" ht="55.5" customHeight="1">
      <c r="C768" s="78">
        <v>291</v>
      </c>
      <c r="D768" s="114" t="s">
        <v>390</v>
      </c>
      <c r="E768" s="80" t="s">
        <v>36</v>
      </c>
      <c r="F768" s="87">
        <v>132</v>
      </c>
      <c r="G768" s="92"/>
    </row>
    <row r="769" spans="3:7" ht="48.75" customHeight="1">
      <c r="C769" s="83"/>
      <c r="D769" s="115"/>
      <c r="E769" s="81"/>
      <c r="F769" s="88"/>
      <c r="G769" s="93"/>
    </row>
    <row r="770" spans="3:7" ht="50.45" customHeight="1">
      <c r="C770" s="79"/>
      <c r="D770" s="116"/>
      <c r="E770" s="82"/>
      <c r="F770" s="89"/>
      <c r="G770" s="94"/>
    </row>
    <row r="771" spans="3:7" ht="55.5" customHeight="1">
      <c r="C771" s="78">
        <v>292</v>
      </c>
      <c r="D771" s="114" t="s">
        <v>391</v>
      </c>
      <c r="E771" s="80" t="s">
        <v>35</v>
      </c>
      <c r="F771" s="87">
        <v>263</v>
      </c>
      <c r="G771" s="92"/>
    </row>
    <row r="772" spans="3:7" ht="48.75" customHeight="1">
      <c r="C772" s="83"/>
      <c r="D772" s="115"/>
      <c r="E772" s="81"/>
      <c r="F772" s="88"/>
      <c r="G772" s="93"/>
    </row>
    <row r="773" spans="3:7" ht="52.9" customHeight="1">
      <c r="C773" s="79"/>
      <c r="D773" s="116"/>
      <c r="E773" s="82"/>
      <c r="F773" s="89"/>
      <c r="G773" s="94"/>
    </row>
    <row r="774" spans="3:7" ht="51" customHeight="1">
      <c r="C774" s="74" t="s">
        <v>3</v>
      </c>
      <c r="D774" s="75"/>
      <c r="E774" s="75"/>
      <c r="F774" s="75"/>
      <c r="G774" s="22">
        <f>SUM(G759:G773)</f>
        <v>0</v>
      </c>
    </row>
    <row r="775" spans="3:7" ht="60.75" customHeight="1">
      <c r="C775" s="78">
        <v>293</v>
      </c>
      <c r="D775" s="114" t="s">
        <v>392</v>
      </c>
      <c r="E775" s="80" t="s">
        <v>35</v>
      </c>
      <c r="F775" s="87">
        <v>25</v>
      </c>
      <c r="G775" s="92"/>
    </row>
    <row r="776" spans="3:7" ht="48" customHeight="1">
      <c r="C776" s="83"/>
      <c r="D776" s="115"/>
      <c r="E776" s="81"/>
      <c r="F776" s="88"/>
      <c r="G776" s="93"/>
    </row>
    <row r="777" spans="3:7" ht="63.6" customHeight="1">
      <c r="C777" s="79"/>
      <c r="D777" s="116"/>
      <c r="E777" s="82"/>
      <c r="F777" s="89"/>
      <c r="G777" s="94"/>
    </row>
    <row r="778" spans="3:7" ht="53.25" customHeight="1">
      <c r="C778" s="78">
        <v>294</v>
      </c>
      <c r="D778" s="114" t="s">
        <v>393</v>
      </c>
      <c r="E778" s="80" t="s">
        <v>36</v>
      </c>
      <c r="F778" s="87">
        <v>2</v>
      </c>
      <c r="G778" s="92"/>
    </row>
    <row r="779" spans="3:7" ht="45" customHeight="1">
      <c r="C779" s="83"/>
      <c r="D779" s="115"/>
      <c r="E779" s="81"/>
      <c r="F779" s="88"/>
      <c r="G779" s="93"/>
    </row>
    <row r="780" spans="3:7" ht="73.900000000000006" customHeight="1">
      <c r="C780" s="79"/>
      <c r="D780" s="116"/>
      <c r="E780" s="82"/>
      <c r="F780" s="89"/>
      <c r="G780" s="94"/>
    </row>
    <row r="781" spans="3:7" ht="58.5" customHeight="1">
      <c r="C781" s="78">
        <v>295</v>
      </c>
      <c r="D781" s="114" t="s">
        <v>394</v>
      </c>
      <c r="E781" s="80" t="s">
        <v>36</v>
      </c>
      <c r="F781" s="87">
        <v>430</v>
      </c>
      <c r="G781" s="92"/>
    </row>
    <row r="782" spans="3:7" ht="47.25" customHeight="1">
      <c r="C782" s="83"/>
      <c r="D782" s="115"/>
      <c r="E782" s="81"/>
      <c r="F782" s="88"/>
      <c r="G782" s="93"/>
    </row>
    <row r="783" spans="3:7" ht="45.6" customHeight="1">
      <c r="C783" s="79"/>
      <c r="D783" s="116"/>
      <c r="E783" s="82"/>
      <c r="F783" s="89"/>
      <c r="G783" s="94"/>
    </row>
    <row r="784" spans="3:7" ht="55.5" customHeight="1">
      <c r="C784" s="78">
        <v>296</v>
      </c>
      <c r="D784" s="114" t="s">
        <v>385</v>
      </c>
      <c r="E784" s="80" t="s">
        <v>36</v>
      </c>
      <c r="F784" s="87">
        <v>248</v>
      </c>
      <c r="G784" s="92"/>
    </row>
    <row r="785" spans="3:7" ht="48.75" customHeight="1">
      <c r="C785" s="83"/>
      <c r="D785" s="115"/>
      <c r="E785" s="81"/>
      <c r="F785" s="88"/>
      <c r="G785" s="93"/>
    </row>
    <row r="786" spans="3:7" ht="48.6" customHeight="1">
      <c r="C786" s="79"/>
      <c r="D786" s="116"/>
      <c r="E786" s="82"/>
      <c r="F786" s="89"/>
      <c r="G786" s="94"/>
    </row>
    <row r="787" spans="3:7" ht="55.5" customHeight="1">
      <c r="C787" s="78">
        <v>297</v>
      </c>
      <c r="D787" s="114" t="s">
        <v>395</v>
      </c>
      <c r="E787" s="80" t="s">
        <v>36</v>
      </c>
      <c r="F787" s="87">
        <v>260</v>
      </c>
      <c r="G787" s="92"/>
    </row>
    <row r="788" spans="3:7" ht="48.75" customHeight="1">
      <c r="C788" s="83"/>
      <c r="D788" s="115"/>
      <c r="E788" s="81"/>
      <c r="F788" s="88"/>
      <c r="G788" s="93"/>
    </row>
    <row r="789" spans="3:7" ht="61.9" customHeight="1">
      <c r="C789" s="79"/>
      <c r="D789" s="116"/>
      <c r="E789" s="82"/>
      <c r="F789" s="89"/>
      <c r="G789" s="94"/>
    </row>
    <row r="790" spans="3:7" ht="51" customHeight="1">
      <c r="C790" s="74" t="s">
        <v>3</v>
      </c>
      <c r="D790" s="75"/>
      <c r="E790" s="75"/>
      <c r="F790" s="75"/>
      <c r="G790" s="22">
        <f>SUM(G775:G789)</f>
        <v>0</v>
      </c>
    </row>
    <row r="791" spans="3:7" ht="60.75" customHeight="1">
      <c r="C791" s="78">
        <v>298</v>
      </c>
      <c r="D791" s="114" t="s">
        <v>396</v>
      </c>
      <c r="E791" s="80" t="s">
        <v>36</v>
      </c>
      <c r="F791" s="87">
        <v>75</v>
      </c>
      <c r="G791" s="92"/>
    </row>
    <row r="792" spans="3:7" ht="48" customHeight="1">
      <c r="C792" s="83"/>
      <c r="D792" s="115"/>
      <c r="E792" s="81"/>
      <c r="F792" s="88"/>
      <c r="G792" s="93"/>
    </row>
    <row r="793" spans="3:7" ht="55.15" customHeight="1">
      <c r="C793" s="79"/>
      <c r="D793" s="116"/>
      <c r="E793" s="82"/>
      <c r="F793" s="89"/>
      <c r="G793" s="94"/>
    </row>
    <row r="794" spans="3:7" ht="53.25" customHeight="1">
      <c r="C794" s="78">
        <v>299</v>
      </c>
      <c r="D794" s="114" t="s">
        <v>397</v>
      </c>
      <c r="E794" s="80" t="s">
        <v>36</v>
      </c>
      <c r="F794" s="87">
        <v>1146</v>
      </c>
      <c r="G794" s="92"/>
    </row>
    <row r="795" spans="3:7" ht="45" customHeight="1">
      <c r="C795" s="83"/>
      <c r="D795" s="115"/>
      <c r="E795" s="81"/>
      <c r="F795" s="88"/>
      <c r="G795" s="93"/>
    </row>
    <row r="796" spans="3:7" ht="55.9" customHeight="1">
      <c r="C796" s="79"/>
      <c r="D796" s="116"/>
      <c r="E796" s="82"/>
      <c r="F796" s="89"/>
      <c r="G796" s="94"/>
    </row>
    <row r="797" spans="3:7" ht="58.5" customHeight="1">
      <c r="C797" s="78">
        <v>300</v>
      </c>
      <c r="D797" s="114" t="s">
        <v>398</v>
      </c>
      <c r="E797" s="80" t="s">
        <v>36</v>
      </c>
      <c r="F797" s="87">
        <v>4</v>
      </c>
      <c r="G797" s="92"/>
    </row>
    <row r="798" spans="3:7" ht="47.25" customHeight="1">
      <c r="C798" s="83"/>
      <c r="D798" s="115"/>
      <c r="E798" s="81"/>
      <c r="F798" s="88"/>
      <c r="G798" s="93"/>
    </row>
    <row r="799" spans="3:7" ht="48.6" customHeight="1">
      <c r="C799" s="79"/>
      <c r="D799" s="116"/>
      <c r="E799" s="82"/>
      <c r="F799" s="89"/>
      <c r="G799" s="94"/>
    </row>
    <row r="800" spans="3:7" ht="55.5" customHeight="1">
      <c r="C800" s="78">
        <v>301</v>
      </c>
      <c r="D800" s="114" t="s">
        <v>399</v>
      </c>
      <c r="E800" s="80" t="s">
        <v>36</v>
      </c>
      <c r="F800" s="87">
        <v>6</v>
      </c>
      <c r="G800" s="92"/>
    </row>
    <row r="801" spans="3:7" ht="48.75" customHeight="1">
      <c r="C801" s="83"/>
      <c r="D801" s="115"/>
      <c r="E801" s="81"/>
      <c r="F801" s="88"/>
      <c r="G801" s="93"/>
    </row>
    <row r="802" spans="3:7" ht="49.15" customHeight="1">
      <c r="C802" s="79"/>
      <c r="D802" s="116"/>
      <c r="E802" s="82"/>
      <c r="F802" s="89"/>
      <c r="G802" s="94"/>
    </row>
    <row r="803" spans="3:7" ht="55.5" customHeight="1">
      <c r="C803" s="78">
        <v>302</v>
      </c>
      <c r="D803" s="114" t="s">
        <v>400</v>
      </c>
      <c r="E803" s="80" t="s">
        <v>36</v>
      </c>
      <c r="F803" s="87">
        <v>3</v>
      </c>
      <c r="G803" s="92"/>
    </row>
    <row r="804" spans="3:7" ht="48.75" customHeight="1">
      <c r="C804" s="83"/>
      <c r="D804" s="115"/>
      <c r="E804" s="81"/>
      <c r="F804" s="88"/>
      <c r="G804" s="93"/>
    </row>
    <row r="805" spans="3:7" ht="58.15" customHeight="1">
      <c r="C805" s="79"/>
      <c r="D805" s="116"/>
      <c r="E805" s="82"/>
      <c r="F805" s="89"/>
      <c r="G805" s="94"/>
    </row>
    <row r="806" spans="3:7" ht="51" customHeight="1">
      <c r="C806" s="124" t="s">
        <v>3</v>
      </c>
      <c r="D806" s="124"/>
      <c r="E806" s="124"/>
      <c r="F806" s="124"/>
      <c r="G806" s="22">
        <f>SUM(G791:G805)</f>
        <v>0</v>
      </c>
    </row>
    <row r="807" spans="3:7" ht="60.75" customHeight="1">
      <c r="C807" s="83">
        <v>303</v>
      </c>
      <c r="D807" s="142" t="s">
        <v>401</v>
      </c>
      <c r="E807" s="105" t="s">
        <v>36</v>
      </c>
      <c r="F807" s="104">
        <v>226</v>
      </c>
      <c r="G807" s="97"/>
    </row>
    <row r="808" spans="3:7" ht="48" customHeight="1">
      <c r="C808" s="83"/>
      <c r="D808" s="142"/>
      <c r="E808" s="105"/>
      <c r="F808" s="104"/>
      <c r="G808" s="97"/>
    </row>
    <row r="809" spans="3:7" ht="22.5" customHeight="1">
      <c r="C809" s="79"/>
      <c r="D809" s="142"/>
      <c r="E809" s="105"/>
      <c r="F809" s="104"/>
      <c r="G809" s="97"/>
    </row>
    <row r="810" spans="3:7" ht="53.25" customHeight="1">
      <c r="C810" s="78">
        <v>304</v>
      </c>
      <c r="D810" s="114" t="s">
        <v>402</v>
      </c>
      <c r="E810" s="80" t="s">
        <v>36</v>
      </c>
      <c r="F810" s="87">
        <v>490</v>
      </c>
      <c r="G810" s="92"/>
    </row>
    <row r="811" spans="3:7" ht="45" customHeight="1">
      <c r="C811" s="83"/>
      <c r="D811" s="115"/>
      <c r="E811" s="81"/>
      <c r="F811" s="88"/>
      <c r="G811" s="93"/>
    </row>
    <row r="812" spans="3:7" ht="36" customHeight="1">
      <c r="C812" s="79"/>
      <c r="D812" s="116"/>
      <c r="E812" s="82"/>
      <c r="F812" s="89"/>
      <c r="G812" s="94"/>
    </row>
    <row r="813" spans="3:7" ht="58.5" customHeight="1">
      <c r="C813" s="78">
        <v>305</v>
      </c>
      <c r="D813" s="114" t="s">
        <v>403</v>
      </c>
      <c r="E813" s="80" t="s">
        <v>36</v>
      </c>
      <c r="F813" s="87">
        <v>108</v>
      </c>
      <c r="G813" s="92"/>
    </row>
    <row r="814" spans="3:7" ht="47.25" customHeight="1">
      <c r="C814" s="83"/>
      <c r="D814" s="115"/>
      <c r="E814" s="81"/>
      <c r="F814" s="88"/>
      <c r="G814" s="93"/>
    </row>
    <row r="815" spans="3:7" ht="26.25" customHeight="1">
      <c r="C815" s="79"/>
      <c r="D815" s="116"/>
      <c r="E815" s="82"/>
      <c r="F815" s="89"/>
      <c r="G815" s="94"/>
    </row>
    <row r="816" spans="3:7" ht="55.5" customHeight="1">
      <c r="C816" s="78">
        <v>306</v>
      </c>
      <c r="D816" s="114" t="s">
        <v>404</v>
      </c>
      <c r="E816" s="80" t="s">
        <v>36</v>
      </c>
      <c r="F816" s="87">
        <v>66</v>
      </c>
      <c r="G816" s="92"/>
    </row>
    <row r="817" spans="3:7" ht="48.75" customHeight="1">
      <c r="C817" s="83"/>
      <c r="D817" s="115"/>
      <c r="E817" s="81"/>
      <c r="F817" s="88"/>
      <c r="G817" s="93"/>
    </row>
    <row r="818" spans="3:7" ht="27.75" customHeight="1">
      <c r="C818" s="79"/>
      <c r="D818" s="116"/>
      <c r="E818" s="82"/>
      <c r="F818" s="89"/>
      <c r="G818" s="94"/>
    </row>
    <row r="819" spans="3:7" ht="53.45" customHeight="1">
      <c r="C819" s="78">
        <v>307</v>
      </c>
      <c r="D819" s="114" t="s">
        <v>405</v>
      </c>
      <c r="E819" s="80" t="s">
        <v>36</v>
      </c>
      <c r="F819" s="87">
        <v>77</v>
      </c>
      <c r="G819" s="92"/>
    </row>
    <row r="820" spans="3:7" ht="53.45" customHeight="1">
      <c r="C820" s="79"/>
      <c r="D820" s="116"/>
      <c r="E820" s="82"/>
      <c r="F820" s="89"/>
      <c r="G820" s="94"/>
    </row>
    <row r="821" spans="3:7" ht="51" customHeight="1">
      <c r="C821" s="74" t="s">
        <v>3</v>
      </c>
      <c r="D821" s="75"/>
      <c r="E821" s="75"/>
      <c r="F821" s="75"/>
      <c r="G821" s="22">
        <f>SUM(G807:G820)</f>
        <v>0</v>
      </c>
    </row>
    <row r="822" spans="3:7" ht="60.75" customHeight="1">
      <c r="C822" s="78">
        <v>308</v>
      </c>
      <c r="D822" s="114" t="s">
        <v>406</v>
      </c>
      <c r="E822" s="80" t="s">
        <v>36</v>
      </c>
      <c r="F822" s="87">
        <v>1</v>
      </c>
      <c r="G822" s="92"/>
    </row>
    <row r="823" spans="3:7" ht="60.75" customHeight="1">
      <c r="C823" s="83"/>
      <c r="D823" s="115"/>
      <c r="E823" s="81"/>
      <c r="F823" s="88"/>
      <c r="G823" s="93"/>
    </row>
    <row r="824" spans="3:7" ht="48" customHeight="1">
      <c r="C824" s="83"/>
      <c r="D824" s="115"/>
      <c r="E824" s="81"/>
      <c r="F824" s="88"/>
      <c r="G824" s="93"/>
    </row>
    <row r="825" spans="3:7" ht="46.9" customHeight="1">
      <c r="C825" s="79"/>
      <c r="D825" s="116"/>
      <c r="E825" s="82"/>
      <c r="F825" s="89"/>
      <c r="G825" s="94"/>
    </row>
    <row r="826" spans="3:7" ht="60" customHeight="1">
      <c r="C826" s="63">
        <v>309</v>
      </c>
      <c r="D826" s="20" t="s">
        <v>413</v>
      </c>
      <c r="E826" s="40" t="s">
        <v>36</v>
      </c>
      <c r="F826" s="68">
        <v>715</v>
      </c>
      <c r="G826" s="23"/>
    </row>
    <row r="827" spans="3:7" ht="60" customHeight="1">
      <c r="C827" s="63">
        <v>310</v>
      </c>
      <c r="D827" s="19" t="s">
        <v>241</v>
      </c>
      <c r="E827" s="40" t="s">
        <v>36</v>
      </c>
      <c r="F827" s="68">
        <v>13</v>
      </c>
      <c r="G827" s="23"/>
    </row>
    <row r="828" spans="3:7" ht="60" customHeight="1">
      <c r="C828" s="63">
        <v>311</v>
      </c>
      <c r="D828" s="13" t="s">
        <v>242</v>
      </c>
      <c r="E828" s="43" t="s">
        <v>36</v>
      </c>
      <c r="F828" s="69">
        <v>54</v>
      </c>
      <c r="G828" s="23"/>
    </row>
    <row r="829" spans="3:7" ht="60" customHeight="1">
      <c r="C829" s="63">
        <v>312</v>
      </c>
      <c r="D829" s="13" t="s">
        <v>243</v>
      </c>
      <c r="E829" s="12" t="s">
        <v>36</v>
      </c>
      <c r="F829" s="69">
        <v>46</v>
      </c>
      <c r="G829" s="23"/>
    </row>
    <row r="830" spans="3:7" ht="60" customHeight="1">
      <c r="C830" s="63">
        <v>313</v>
      </c>
      <c r="D830" s="13" t="s">
        <v>244</v>
      </c>
      <c r="E830" s="12" t="s">
        <v>36</v>
      </c>
      <c r="F830" s="69">
        <v>69</v>
      </c>
      <c r="G830" s="23"/>
    </row>
    <row r="831" spans="3:7" ht="60" customHeight="1">
      <c r="C831" s="63">
        <v>314</v>
      </c>
      <c r="D831" s="13" t="s">
        <v>245</v>
      </c>
      <c r="E831" s="12" t="s">
        <v>36</v>
      </c>
      <c r="F831" s="69">
        <v>24</v>
      </c>
      <c r="G831" s="23"/>
    </row>
    <row r="832" spans="3:7" ht="60" customHeight="1">
      <c r="C832" s="63">
        <v>315</v>
      </c>
      <c r="D832" s="13" t="s">
        <v>246</v>
      </c>
      <c r="E832" s="12" t="s">
        <v>36</v>
      </c>
      <c r="F832" s="69">
        <v>24</v>
      </c>
      <c r="G832" s="23"/>
    </row>
    <row r="833" spans="3:7" ht="60" customHeight="1">
      <c r="C833" s="63">
        <v>316</v>
      </c>
      <c r="D833" s="13" t="s">
        <v>247</v>
      </c>
      <c r="E833" s="12" t="s">
        <v>36</v>
      </c>
      <c r="F833" s="69">
        <v>181</v>
      </c>
      <c r="G833" s="23"/>
    </row>
    <row r="834" spans="3:7" ht="78.599999999999994" customHeight="1">
      <c r="C834" s="78">
        <v>317</v>
      </c>
      <c r="D834" s="90" t="s">
        <v>407</v>
      </c>
      <c r="E834" s="84" t="s">
        <v>36</v>
      </c>
      <c r="F834" s="76">
        <v>258</v>
      </c>
      <c r="G834" s="92"/>
    </row>
    <row r="835" spans="3:7" ht="78.599999999999994" customHeight="1">
      <c r="C835" s="79"/>
      <c r="D835" s="91"/>
      <c r="E835" s="86"/>
      <c r="F835" s="77"/>
      <c r="G835" s="94"/>
    </row>
    <row r="836" spans="3:7" ht="51" customHeight="1">
      <c r="C836" s="74" t="s">
        <v>3</v>
      </c>
      <c r="D836" s="75"/>
      <c r="E836" s="75"/>
      <c r="F836" s="75"/>
      <c r="G836" s="22">
        <f>SUM(G822:G835)</f>
        <v>0</v>
      </c>
    </row>
    <row r="837" spans="3:7" ht="96.75" customHeight="1">
      <c r="C837" s="99">
        <v>318</v>
      </c>
      <c r="D837" s="90" t="s">
        <v>408</v>
      </c>
      <c r="E837" s="98" t="s">
        <v>36</v>
      </c>
      <c r="F837" s="107">
        <v>120</v>
      </c>
      <c r="G837" s="97"/>
    </row>
    <row r="838" spans="3:7" ht="63.6" customHeight="1">
      <c r="C838" s="99"/>
      <c r="D838" s="91"/>
      <c r="E838" s="98"/>
      <c r="F838" s="107"/>
      <c r="G838" s="97"/>
    </row>
    <row r="839" spans="3:7" ht="217.15" customHeight="1">
      <c r="C839" s="58">
        <v>319</v>
      </c>
      <c r="D839" s="13" t="s">
        <v>250</v>
      </c>
      <c r="E839" s="12" t="s">
        <v>36</v>
      </c>
      <c r="F839" s="69">
        <v>182</v>
      </c>
      <c r="G839" s="8"/>
    </row>
    <row r="840" spans="3:7" ht="181.9" customHeight="1">
      <c r="C840" s="58">
        <v>320</v>
      </c>
      <c r="D840" s="19" t="s">
        <v>248</v>
      </c>
      <c r="E840" s="12" t="s">
        <v>36</v>
      </c>
      <c r="F840" s="69">
        <v>500</v>
      </c>
      <c r="G840" s="8"/>
    </row>
    <row r="841" spans="3:7" ht="185.45" customHeight="1">
      <c r="C841" s="58">
        <v>321</v>
      </c>
      <c r="D841" s="13" t="s">
        <v>251</v>
      </c>
      <c r="E841" s="12" t="s">
        <v>36</v>
      </c>
      <c r="F841" s="69">
        <v>116</v>
      </c>
      <c r="G841" s="8"/>
    </row>
    <row r="842" spans="3:7" ht="51" customHeight="1">
      <c r="C842" s="74" t="s">
        <v>3</v>
      </c>
      <c r="D842" s="75"/>
      <c r="E842" s="75"/>
      <c r="F842" s="75"/>
      <c r="G842" s="22">
        <f>SUM(G835:G841)</f>
        <v>0</v>
      </c>
    </row>
    <row r="843" spans="3:7" ht="190.15" customHeight="1">
      <c r="C843" s="58">
        <v>322</v>
      </c>
      <c r="D843" s="13" t="s">
        <v>249</v>
      </c>
      <c r="E843" s="12" t="s">
        <v>36</v>
      </c>
      <c r="F843" s="69">
        <v>95</v>
      </c>
      <c r="G843" s="8"/>
    </row>
    <row r="844" spans="3:7" ht="184.9" customHeight="1">
      <c r="C844" s="63">
        <v>323</v>
      </c>
      <c r="D844" s="13" t="s">
        <v>252</v>
      </c>
      <c r="E844" s="12" t="s">
        <v>36</v>
      </c>
      <c r="F844" s="69">
        <v>218</v>
      </c>
      <c r="G844" s="23"/>
    </row>
    <row r="845" spans="3:7" ht="157.15" customHeight="1">
      <c r="C845" s="63">
        <v>324</v>
      </c>
      <c r="D845" s="19" t="s">
        <v>253</v>
      </c>
      <c r="E845" s="40" t="s">
        <v>36</v>
      </c>
      <c r="F845" s="68">
        <v>252</v>
      </c>
      <c r="G845" s="23"/>
    </row>
    <row r="846" spans="3:7" ht="180.6" customHeight="1">
      <c r="C846" s="63">
        <v>325</v>
      </c>
      <c r="D846" s="13" t="s">
        <v>254</v>
      </c>
      <c r="E846" s="40" t="s">
        <v>36</v>
      </c>
      <c r="F846" s="68">
        <v>1</v>
      </c>
      <c r="G846" s="23"/>
    </row>
    <row r="847" spans="3:7" ht="205.9" customHeight="1">
      <c r="C847" s="63">
        <v>326</v>
      </c>
      <c r="D847" s="19" t="s">
        <v>255</v>
      </c>
      <c r="E847" s="40" t="s">
        <v>36</v>
      </c>
      <c r="F847" s="68">
        <v>15</v>
      </c>
      <c r="G847" s="23"/>
    </row>
    <row r="848" spans="3:7" ht="51" customHeight="1">
      <c r="C848" s="74" t="s">
        <v>3</v>
      </c>
      <c r="D848" s="75"/>
      <c r="E848" s="75"/>
      <c r="F848" s="75"/>
      <c r="G848" s="22">
        <f>SUM(G837:G847)</f>
        <v>0</v>
      </c>
    </row>
    <row r="849" spans="2:7" ht="216.6" customHeight="1">
      <c r="C849" s="63">
        <v>327</v>
      </c>
      <c r="D849" s="13" t="s">
        <v>256</v>
      </c>
      <c r="E849" s="43" t="s">
        <v>36</v>
      </c>
      <c r="F849" s="69">
        <v>206</v>
      </c>
      <c r="G849" s="23"/>
    </row>
    <row r="850" spans="2:7" ht="200.45" customHeight="1">
      <c r="C850" s="63">
        <v>328</v>
      </c>
      <c r="D850" s="13" t="s">
        <v>257</v>
      </c>
      <c r="E850" s="12" t="s">
        <v>36</v>
      </c>
      <c r="F850" s="69">
        <v>33</v>
      </c>
      <c r="G850" s="23"/>
    </row>
    <row r="851" spans="2:7" ht="207.6" customHeight="1">
      <c r="C851" s="63">
        <v>329</v>
      </c>
      <c r="D851" s="13" t="s">
        <v>273</v>
      </c>
      <c r="E851" s="12" t="s">
        <v>36</v>
      </c>
      <c r="F851" s="69">
        <v>1</v>
      </c>
      <c r="G851" s="23"/>
    </row>
    <row r="852" spans="2:7" ht="51" customHeight="1">
      <c r="C852" s="74" t="s">
        <v>3</v>
      </c>
      <c r="D852" s="75"/>
      <c r="E852" s="75"/>
      <c r="F852" s="75"/>
      <c r="G852" s="22">
        <f>SUM(G845:G851)</f>
        <v>0</v>
      </c>
    </row>
    <row r="853" spans="2:7" s="56" customFormat="1" ht="151.5" customHeight="1">
      <c r="B853" s="3"/>
      <c r="C853" s="58">
        <v>330</v>
      </c>
      <c r="D853" s="13" t="s">
        <v>258</v>
      </c>
      <c r="E853" s="12" t="s">
        <v>36</v>
      </c>
      <c r="F853" s="69">
        <v>12</v>
      </c>
      <c r="G853" s="8"/>
    </row>
    <row r="854" spans="2:7" ht="162.75" customHeight="1">
      <c r="C854" s="58">
        <v>331</v>
      </c>
      <c r="D854" s="13" t="s">
        <v>259</v>
      </c>
      <c r="E854" s="12" t="s">
        <v>36</v>
      </c>
      <c r="F854" s="69">
        <v>12</v>
      </c>
      <c r="G854" s="8"/>
    </row>
    <row r="855" spans="2:7" s="56" customFormat="1" ht="134.44999999999999" customHeight="1">
      <c r="B855" s="3"/>
      <c r="C855" s="58">
        <v>332</v>
      </c>
      <c r="D855" s="13" t="s">
        <v>260</v>
      </c>
      <c r="E855" s="12" t="s">
        <v>36</v>
      </c>
      <c r="F855" s="69">
        <v>55</v>
      </c>
      <c r="G855" s="8"/>
    </row>
    <row r="856" spans="2:7" ht="167.45" customHeight="1">
      <c r="C856" s="58">
        <v>333</v>
      </c>
      <c r="D856" s="13" t="s">
        <v>261</v>
      </c>
      <c r="E856" s="12" t="s">
        <v>36</v>
      </c>
      <c r="F856" s="69">
        <v>6</v>
      </c>
      <c r="G856" s="8"/>
    </row>
    <row r="857" spans="2:7" ht="51" customHeight="1">
      <c r="C857" s="74" t="s">
        <v>3</v>
      </c>
      <c r="D857" s="75"/>
      <c r="E857" s="75"/>
      <c r="F857" s="75"/>
      <c r="G857" s="22">
        <f>SUM(G853:G856)</f>
        <v>0</v>
      </c>
    </row>
    <row r="858" spans="2:7" ht="35.1" customHeight="1">
      <c r="G858" s="33"/>
    </row>
    <row r="859" spans="2:7" ht="35.1" customHeight="1">
      <c r="G859" s="33"/>
    </row>
    <row r="860" spans="2:7" ht="35.1" customHeight="1">
      <c r="G860" s="33"/>
    </row>
    <row r="861" spans="2:7" ht="35.1" customHeight="1">
      <c r="G861" s="33"/>
    </row>
    <row r="862" spans="2:7" ht="35.1" customHeight="1">
      <c r="G862" s="33"/>
    </row>
    <row r="863" spans="2:7" ht="35.1" customHeight="1">
      <c r="G863" s="33"/>
    </row>
    <row r="864" spans="2:7" ht="35.1" customHeight="1">
      <c r="G864" s="33"/>
    </row>
    <row r="865" spans="7:7" ht="35.1" customHeight="1">
      <c r="G865" s="33"/>
    </row>
    <row r="866" spans="7:7" ht="35.1" customHeight="1">
      <c r="G866" s="33"/>
    </row>
    <row r="867" spans="7:7" ht="35.1" customHeight="1">
      <c r="G867" s="33"/>
    </row>
    <row r="868" spans="7:7" ht="35.1" customHeight="1">
      <c r="G868" s="33"/>
    </row>
    <row r="869" spans="7:7" ht="35.1" customHeight="1">
      <c r="G869" s="33"/>
    </row>
    <row r="870" spans="7:7" ht="35.1" customHeight="1">
      <c r="G870" s="33"/>
    </row>
    <row r="871" spans="7:7" ht="35.1" customHeight="1">
      <c r="G871" s="33"/>
    </row>
    <row r="872" spans="7:7" ht="35.1" customHeight="1">
      <c r="G872" s="33"/>
    </row>
    <row r="873" spans="7:7" ht="35.1" customHeight="1">
      <c r="G873" s="33"/>
    </row>
    <row r="874" spans="7:7" ht="35.1" customHeight="1">
      <c r="G874" s="33"/>
    </row>
    <row r="875" spans="7:7" ht="35.1" customHeight="1">
      <c r="G875" s="33"/>
    </row>
    <row r="876" spans="7:7" ht="35.1" customHeight="1">
      <c r="G876" s="33"/>
    </row>
    <row r="877" spans="7:7" ht="35.1" customHeight="1">
      <c r="G877" s="33"/>
    </row>
    <row r="878" spans="7:7" ht="35.1" customHeight="1">
      <c r="G878" s="33"/>
    </row>
    <row r="879" spans="7:7" ht="35.1" customHeight="1">
      <c r="G879" s="33"/>
    </row>
    <row r="880" spans="7:7" ht="35.1" customHeight="1">
      <c r="G880" s="33"/>
    </row>
    <row r="881" spans="7:7" ht="35.1" customHeight="1">
      <c r="G881" s="33"/>
    </row>
    <row r="882" spans="7:7" ht="35.1" customHeight="1">
      <c r="G882" s="33"/>
    </row>
    <row r="883" spans="7:7" ht="35.1" customHeight="1">
      <c r="G883" s="33"/>
    </row>
    <row r="884" spans="7:7" ht="35.1" customHeight="1">
      <c r="G884" s="33"/>
    </row>
    <row r="885" spans="7:7" ht="35.1" customHeight="1">
      <c r="G885" s="33"/>
    </row>
    <row r="886" spans="7:7" ht="35.1" customHeight="1">
      <c r="G886" s="33"/>
    </row>
    <row r="887" spans="7:7" ht="35.1" customHeight="1">
      <c r="G887" s="33"/>
    </row>
    <row r="888" spans="7:7" ht="35.1" customHeight="1">
      <c r="G888" s="33"/>
    </row>
    <row r="889" spans="7:7" ht="35.1" customHeight="1">
      <c r="G889" s="33"/>
    </row>
    <row r="890" spans="7:7" ht="35.1" customHeight="1">
      <c r="G890" s="33"/>
    </row>
    <row r="891" spans="7:7" ht="35.1" customHeight="1">
      <c r="G891" s="33"/>
    </row>
    <row r="892" spans="7:7" ht="35.1" customHeight="1">
      <c r="G892" s="33"/>
    </row>
    <row r="893" spans="7:7" ht="35.1" customHeight="1">
      <c r="G893" s="33"/>
    </row>
    <row r="894" spans="7:7" ht="35.1" customHeight="1">
      <c r="G894" s="33"/>
    </row>
    <row r="895" spans="7:7" ht="35.1" customHeight="1">
      <c r="G895" s="33"/>
    </row>
    <row r="896" spans="7:7" ht="35.1" customHeight="1">
      <c r="G896" s="33"/>
    </row>
    <row r="897" spans="7:7" ht="35.1" customHeight="1">
      <c r="G897" s="33"/>
    </row>
    <row r="898" spans="7:7" ht="35.1" customHeight="1">
      <c r="G898" s="33"/>
    </row>
    <row r="899" spans="7:7" ht="35.1" customHeight="1">
      <c r="G899" s="33"/>
    </row>
    <row r="900" spans="7:7" ht="35.1" customHeight="1">
      <c r="G900" s="33"/>
    </row>
    <row r="901" spans="7:7" ht="35.1" customHeight="1">
      <c r="G901" s="33"/>
    </row>
    <row r="902" spans="7:7" ht="35.1" customHeight="1">
      <c r="G902" s="33"/>
    </row>
    <row r="903" spans="7:7" ht="35.1" customHeight="1">
      <c r="G903" s="33"/>
    </row>
    <row r="904" spans="7:7" ht="35.1" customHeight="1">
      <c r="G904" s="33"/>
    </row>
    <row r="905" spans="7:7" ht="35.1" customHeight="1">
      <c r="G905" s="33"/>
    </row>
    <row r="906" spans="7:7" ht="35.1" customHeight="1">
      <c r="G906" s="33"/>
    </row>
    <row r="907" spans="7:7" ht="35.1" customHeight="1">
      <c r="G907" s="33"/>
    </row>
    <row r="908" spans="7:7" ht="35.1" customHeight="1">
      <c r="G908" s="33"/>
    </row>
    <row r="909" spans="7:7" ht="35.1" customHeight="1">
      <c r="G909" s="33"/>
    </row>
    <row r="910" spans="7:7" ht="35.1" customHeight="1">
      <c r="G910" s="33"/>
    </row>
    <row r="911" spans="7:7" ht="35.1" customHeight="1">
      <c r="G911" s="33"/>
    </row>
    <row r="912" spans="7:7" ht="35.1" customHeight="1">
      <c r="G912" s="33"/>
    </row>
    <row r="913" spans="7:7" ht="35.1" customHeight="1">
      <c r="G913" s="33"/>
    </row>
    <row r="914" spans="7:7" ht="35.1" customHeight="1">
      <c r="G914" s="33"/>
    </row>
    <row r="915" spans="7:7" ht="35.1" customHeight="1">
      <c r="G915" s="33"/>
    </row>
    <row r="916" spans="7:7" ht="35.1" customHeight="1">
      <c r="G916" s="33"/>
    </row>
    <row r="917" spans="7:7" ht="35.1" customHeight="1">
      <c r="G917" s="33"/>
    </row>
    <row r="918" spans="7:7" ht="35.1" customHeight="1">
      <c r="G918" s="33"/>
    </row>
    <row r="919" spans="7:7" ht="35.1" customHeight="1">
      <c r="G919" s="33"/>
    </row>
    <row r="920" spans="7:7" ht="35.1" customHeight="1">
      <c r="G920" s="33"/>
    </row>
    <row r="921" spans="7:7" ht="35.1" customHeight="1">
      <c r="G921" s="33"/>
    </row>
    <row r="922" spans="7:7" ht="35.1" customHeight="1">
      <c r="G922" s="33"/>
    </row>
    <row r="923" spans="7:7" ht="35.1" customHeight="1">
      <c r="G923" s="33"/>
    </row>
    <row r="924" spans="7:7" ht="35.1" customHeight="1">
      <c r="G924" s="33"/>
    </row>
    <row r="925" spans="7:7" ht="35.1" customHeight="1">
      <c r="G925" s="33"/>
    </row>
    <row r="926" spans="7:7" ht="35.1" customHeight="1">
      <c r="G926" s="33"/>
    </row>
    <row r="927" spans="7:7" ht="35.1" customHeight="1">
      <c r="G927" s="33"/>
    </row>
    <row r="928" spans="7:7" ht="35.1" customHeight="1">
      <c r="G928" s="33"/>
    </row>
    <row r="929" spans="7:7" ht="35.1" customHeight="1">
      <c r="G929" s="33"/>
    </row>
    <row r="930" spans="7:7" ht="35.1" customHeight="1">
      <c r="G930" s="33"/>
    </row>
    <row r="931" spans="7:7" ht="35.1" customHeight="1">
      <c r="G931" s="33"/>
    </row>
    <row r="932" spans="7:7" ht="35.1" customHeight="1">
      <c r="G932" s="33"/>
    </row>
    <row r="933" spans="7:7" ht="35.1" customHeight="1">
      <c r="G933" s="33"/>
    </row>
    <row r="934" spans="7:7" ht="35.1" customHeight="1">
      <c r="G934" s="33"/>
    </row>
    <row r="935" spans="7:7" ht="35.1" customHeight="1">
      <c r="G935" s="33"/>
    </row>
    <row r="936" spans="7:7" ht="35.1" customHeight="1">
      <c r="G936" s="33"/>
    </row>
    <row r="937" spans="7:7" ht="35.1" customHeight="1">
      <c r="G937" s="33"/>
    </row>
    <row r="938" spans="7:7" ht="35.1" customHeight="1">
      <c r="G938" s="33"/>
    </row>
    <row r="939" spans="7:7" ht="35.1" customHeight="1">
      <c r="G939" s="33"/>
    </row>
    <row r="940" spans="7:7" ht="35.1" customHeight="1">
      <c r="G940" s="33"/>
    </row>
    <row r="941" spans="7:7" ht="35.1" customHeight="1">
      <c r="G941" s="33"/>
    </row>
    <row r="942" spans="7:7" ht="35.1" customHeight="1">
      <c r="G942" s="33"/>
    </row>
    <row r="943" spans="7:7" ht="35.1" customHeight="1">
      <c r="G943" s="33"/>
    </row>
    <row r="944" spans="7:7" ht="35.1" customHeight="1">
      <c r="G944" s="33"/>
    </row>
    <row r="945" spans="7:7" ht="35.1" customHeight="1">
      <c r="G945" s="33"/>
    </row>
    <row r="946" spans="7:7" ht="35.1" customHeight="1">
      <c r="G946" s="33"/>
    </row>
    <row r="947" spans="7:7" ht="35.1" customHeight="1">
      <c r="G947" s="33"/>
    </row>
    <row r="948" spans="7:7" ht="35.1" customHeight="1">
      <c r="G948" s="33"/>
    </row>
    <row r="949" spans="7:7" ht="35.1" customHeight="1">
      <c r="G949" s="33"/>
    </row>
    <row r="950" spans="7:7" ht="35.1" customHeight="1">
      <c r="G950" s="33"/>
    </row>
    <row r="951" spans="7:7" ht="35.1" customHeight="1">
      <c r="G951" s="33"/>
    </row>
    <row r="952" spans="7:7" ht="35.1" customHeight="1">
      <c r="G952" s="33"/>
    </row>
    <row r="953" spans="7:7" ht="35.1" customHeight="1">
      <c r="G953" s="33"/>
    </row>
    <row r="954" spans="7:7" ht="35.1" customHeight="1">
      <c r="G954" s="33"/>
    </row>
    <row r="955" spans="7:7" ht="35.1" customHeight="1">
      <c r="G955" s="33"/>
    </row>
    <row r="956" spans="7:7" ht="35.1" customHeight="1">
      <c r="G956" s="33"/>
    </row>
    <row r="957" spans="7:7" ht="35.1" customHeight="1">
      <c r="G957" s="33"/>
    </row>
    <row r="958" spans="7:7" ht="35.1" customHeight="1">
      <c r="G958" s="33"/>
    </row>
    <row r="959" spans="7:7" ht="35.1" customHeight="1">
      <c r="G959" s="33"/>
    </row>
    <row r="960" spans="7:7" ht="35.1" customHeight="1">
      <c r="G960" s="33"/>
    </row>
    <row r="961" spans="7:7" ht="35.1" customHeight="1">
      <c r="G961" s="33"/>
    </row>
    <row r="962" spans="7:7" ht="35.1" customHeight="1">
      <c r="G962" s="33"/>
    </row>
    <row r="963" spans="7:7" ht="35.1" customHeight="1">
      <c r="G963" s="33"/>
    </row>
    <row r="964" spans="7:7" ht="35.1" customHeight="1">
      <c r="G964" s="33"/>
    </row>
    <row r="965" spans="7:7" ht="35.1" customHeight="1">
      <c r="G965" s="33"/>
    </row>
    <row r="966" spans="7:7" ht="35.1" customHeight="1">
      <c r="G966" s="33"/>
    </row>
    <row r="967" spans="7:7" ht="35.1" customHeight="1">
      <c r="G967" s="33"/>
    </row>
    <row r="968" spans="7:7" ht="35.1" customHeight="1">
      <c r="G968" s="33"/>
    </row>
    <row r="969" spans="7:7" ht="35.1" customHeight="1">
      <c r="G969" s="33"/>
    </row>
    <row r="970" spans="7:7" ht="35.1" customHeight="1">
      <c r="G970" s="33"/>
    </row>
    <row r="971" spans="7:7" ht="35.1" customHeight="1">
      <c r="G971" s="33"/>
    </row>
    <row r="972" spans="7:7" ht="35.1" customHeight="1">
      <c r="G972" s="33"/>
    </row>
    <row r="973" spans="7:7" ht="35.1" customHeight="1">
      <c r="G973" s="33"/>
    </row>
    <row r="974" spans="7:7" ht="35.1" customHeight="1">
      <c r="G974" s="33"/>
    </row>
    <row r="975" spans="7:7" ht="35.1" customHeight="1">
      <c r="G975" s="33"/>
    </row>
    <row r="976" spans="7:7" ht="35.1" customHeight="1">
      <c r="G976" s="33"/>
    </row>
    <row r="977" spans="7:7" ht="35.1" customHeight="1">
      <c r="G977" s="33"/>
    </row>
    <row r="978" spans="7:7" ht="35.1" customHeight="1">
      <c r="G978" s="33"/>
    </row>
    <row r="979" spans="7:7" ht="35.1" customHeight="1">
      <c r="G979" s="33"/>
    </row>
    <row r="980" spans="7:7" ht="35.1" customHeight="1">
      <c r="G980" s="33"/>
    </row>
    <row r="981" spans="7:7" ht="35.1" customHeight="1">
      <c r="G981" s="33"/>
    </row>
    <row r="982" spans="7:7" ht="35.1" customHeight="1">
      <c r="G982" s="33"/>
    </row>
    <row r="983" spans="7:7" ht="35.1" customHeight="1">
      <c r="G983" s="33"/>
    </row>
    <row r="984" spans="7:7" ht="35.1" customHeight="1">
      <c r="G984" s="33"/>
    </row>
    <row r="985" spans="7:7" ht="35.1" customHeight="1">
      <c r="G985" s="33"/>
    </row>
    <row r="986" spans="7:7" ht="35.1" customHeight="1">
      <c r="G986" s="33"/>
    </row>
    <row r="987" spans="7:7" ht="35.1" customHeight="1">
      <c r="G987" s="33"/>
    </row>
    <row r="988" spans="7:7" ht="35.1" customHeight="1">
      <c r="G988" s="33"/>
    </row>
    <row r="989" spans="7:7" ht="35.1" customHeight="1">
      <c r="G989" s="33"/>
    </row>
    <row r="990" spans="7:7" ht="35.1" customHeight="1">
      <c r="G990" s="33"/>
    </row>
    <row r="991" spans="7:7" ht="35.1" customHeight="1">
      <c r="G991" s="33"/>
    </row>
    <row r="992" spans="7:7" ht="35.1" customHeight="1">
      <c r="G992" s="33"/>
    </row>
    <row r="993" spans="7:7" ht="35.1" customHeight="1">
      <c r="G993" s="33"/>
    </row>
    <row r="994" spans="7:7" ht="35.1" customHeight="1">
      <c r="G994" s="33"/>
    </row>
    <row r="995" spans="7:7" ht="35.1" customHeight="1">
      <c r="G995" s="33"/>
    </row>
    <row r="996" spans="7:7" ht="35.1" customHeight="1">
      <c r="G996" s="33"/>
    </row>
    <row r="997" spans="7:7" ht="35.1" customHeight="1">
      <c r="G997" s="33"/>
    </row>
    <row r="998" spans="7:7" ht="35.1" customHeight="1">
      <c r="G998" s="33"/>
    </row>
    <row r="999" spans="7:7" ht="35.1" customHeight="1">
      <c r="G999" s="33"/>
    </row>
    <row r="1000" spans="7:7" ht="35.1" customHeight="1">
      <c r="G1000" s="33"/>
    </row>
    <row r="1001" spans="7:7" ht="35.1" customHeight="1">
      <c r="G1001" s="33"/>
    </row>
    <row r="1002" spans="7:7" ht="35.1" customHeight="1">
      <c r="G1002" s="33"/>
    </row>
    <row r="1003" spans="7:7" ht="35.1" customHeight="1">
      <c r="G1003" s="33"/>
    </row>
    <row r="1004" spans="7:7" ht="35.1" customHeight="1">
      <c r="G1004" s="33"/>
    </row>
    <row r="1005" spans="7:7" ht="35.1" customHeight="1">
      <c r="G1005" s="33"/>
    </row>
    <row r="1006" spans="7:7" ht="35.1" customHeight="1">
      <c r="G1006" s="33"/>
    </row>
    <row r="1007" spans="7:7" ht="35.1" customHeight="1">
      <c r="G1007" s="33"/>
    </row>
    <row r="1008" spans="7:7" ht="35.1" customHeight="1">
      <c r="G1008" s="33"/>
    </row>
    <row r="1009" spans="7:7" ht="35.1" customHeight="1">
      <c r="G1009" s="33"/>
    </row>
    <row r="1010" spans="7:7" ht="35.1" customHeight="1">
      <c r="G1010" s="33"/>
    </row>
    <row r="1011" spans="7:7" ht="35.1" customHeight="1">
      <c r="G1011" s="33"/>
    </row>
    <row r="1012" spans="7:7" ht="35.1" customHeight="1">
      <c r="G1012" s="33"/>
    </row>
    <row r="1013" spans="7:7" ht="35.1" customHeight="1">
      <c r="G1013" s="33"/>
    </row>
    <row r="1014" spans="7:7" ht="35.1" customHeight="1">
      <c r="G1014" s="33"/>
    </row>
    <row r="1015" spans="7:7" ht="35.1" customHeight="1">
      <c r="G1015" s="33"/>
    </row>
    <row r="1016" spans="7:7" ht="35.1" customHeight="1">
      <c r="G1016" s="33"/>
    </row>
    <row r="1017" spans="7:7" ht="35.1" customHeight="1">
      <c r="G1017" s="33"/>
    </row>
    <row r="1018" spans="7:7" ht="35.1" customHeight="1">
      <c r="G1018" s="33"/>
    </row>
    <row r="1019" spans="7:7" ht="35.1" customHeight="1">
      <c r="G1019" s="33"/>
    </row>
    <row r="1020" spans="7:7" ht="35.1" customHeight="1">
      <c r="G1020" s="33"/>
    </row>
    <row r="1021" spans="7:7" ht="35.1" customHeight="1">
      <c r="G1021" s="33"/>
    </row>
    <row r="1022" spans="7:7" ht="35.1" customHeight="1">
      <c r="G1022" s="33"/>
    </row>
    <row r="1023" spans="7:7" ht="35.1" customHeight="1">
      <c r="G1023" s="33"/>
    </row>
    <row r="1024" spans="7:7" ht="35.1" customHeight="1">
      <c r="G1024" s="33"/>
    </row>
    <row r="1025" spans="7:7" ht="35.1" customHeight="1">
      <c r="G1025" s="33"/>
    </row>
    <row r="1026" spans="7:7" ht="35.1" customHeight="1">
      <c r="G1026" s="33"/>
    </row>
    <row r="1027" spans="7:7" ht="35.1" customHeight="1">
      <c r="G1027" s="33"/>
    </row>
    <row r="1028" spans="7:7" ht="35.1" customHeight="1">
      <c r="G1028" s="33"/>
    </row>
    <row r="1029" spans="7:7" ht="35.1" customHeight="1">
      <c r="G1029" s="33"/>
    </row>
    <row r="1030" spans="7:7" ht="35.1" customHeight="1">
      <c r="G1030" s="33"/>
    </row>
    <row r="1031" spans="7:7" ht="35.1" customHeight="1">
      <c r="G1031" s="33"/>
    </row>
    <row r="1032" spans="7:7" ht="35.1" customHeight="1">
      <c r="G1032" s="33"/>
    </row>
    <row r="1033" spans="7:7" ht="35.1" customHeight="1">
      <c r="G1033" s="33"/>
    </row>
    <row r="1034" spans="7:7" ht="35.1" customHeight="1">
      <c r="G1034" s="33"/>
    </row>
    <row r="1035" spans="7:7" ht="35.1" customHeight="1">
      <c r="G1035" s="33"/>
    </row>
    <row r="1036" spans="7:7" ht="35.1" customHeight="1">
      <c r="G1036" s="33"/>
    </row>
    <row r="1037" spans="7:7" ht="35.1" customHeight="1">
      <c r="G1037" s="33"/>
    </row>
    <row r="1038" spans="7:7" ht="35.1" customHeight="1">
      <c r="G1038" s="33"/>
    </row>
    <row r="1039" spans="7:7" ht="35.1" customHeight="1">
      <c r="G1039" s="33"/>
    </row>
    <row r="1040" spans="7:7" ht="35.1" customHeight="1">
      <c r="G1040" s="33"/>
    </row>
    <row r="1041" spans="7:7" ht="35.1" customHeight="1">
      <c r="G1041" s="33"/>
    </row>
    <row r="1042" spans="7:7" ht="35.1" customHeight="1">
      <c r="G1042" s="33"/>
    </row>
    <row r="1043" spans="7:7" ht="35.1" customHeight="1">
      <c r="G1043" s="33"/>
    </row>
    <row r="1044" spans="7:7" ht="35.1" customHeight="1">
      <c r="G1044" s="33"/>
    </row>
    <row r="1045" spans="7:7" ht="35.1" customHeight="1">
      <c r="G1045" s="33"/>
    </row>
    <row r="1046" spans="7:7" ht="35.1" customHeight="1">
      <c r="G1046" s="33"/>
    </row>
    <row r="1047" spans="7:7" ht="35.1" customHeight="1">
      <c r="G1047" s="33"/>
    </row>
    <row r="1048" spans="7:7" ht="35.1" customHeight="1">
      <c r="G1048" s="33"/>
    </row>
    <row r="1049" spans="7:7" ht="35.1" customHeight="1">
      <c r="G1049" s="33"/>
    </row>
    <row r="1050" spans="7:7" ht="35.1" customHeight="1">
      <c r="G1050" s="33"/>
    </row>
    <row r="1051" spans="7:7" ht="35.1" customHeight="1">
      <c r="G1051" s="33"/>
    </row>
    <row r="1052" spans="7:7" ht="35.1" customHeight="1">
      <c r="G1052" s="33"/>
    </row>
    <row r="1053" spans="7:7" ht="35.1" customHeight="1">
      <c r="G1053" s="33"/>
    </row>
    <row r="1054" spans="7:7" ht="35.1" customHeight="1">
      <c r="G1054" s="33"/>
    </row>
    <row r="1055" spans="7:7" ht="35.1" customHeight="1">
      <c r="G1055" s="33"/>
    </row>
    <row r="1056" spans="7:7" ht="35.1" customHeight="1">
      <c r="G1056" s="33"/>
    </row>
    <row r="1057" spans="7:7" ht="35.1" customHeight="1">
      <c r="G1057" s="33"/>
    </row>
    <row r="1058" spans="7:7" ht="35.1" customHeight="1">
      <c r="G1058" s="33"/>
    </row>
    <row r="1059" spans="7:7" ht="35.1" customHeight="1">
      <c r="G1059" s="33"/>
    </row>
    <row r="1060" spans="7:7" ht="35.1" customHeight="1">
      <c r="G1060" s="33"/>
    </row>
    <row r="1061" spans="7:7" ht="35.1" customHeight="1">
      <c r="G1061" s="33"/>
    </row>
    <row r="1062" spans="7:7" ht="35.1" customHeight="1">
      <c r="G1062" s="33"/>
    </row>
    <row r="1063" spans="7:7" ht="35.1" customHeight="1">
      <c r="G1063" s="33"/>
    </row>
    <row r="1064" spans="7:7" ht="35.1" customHeight="1">
      <c r="G1064" s="33"/>
    </row>
    <row r="1065" spans="7:7" ht="35.1" customHeight="1">
      <c r="G1065" s="33"/>
    </row>
    <row r="1066" spans="7:7" ht="35.1" customHeight="1">
      <c r="G1066" s="33"/>
    </row>
    <row r="1067" spans="7:7" ht="35.1" customHeight="1">
      <c r="G1067" s="33"/>
    </row>
    <row r="1068" spans="7:7" ht="35.1" customHeight="1">
      <c r="G1068" s="33"/>
    </row>
    <row r="1069" spans="7:7" ht="35.1" customHeight="1">
      <c r="G1069" s="33"/>
    </row>
    <row r="1070" spans="7:7" ht="35.1" customHeight="1">
      <c r="G1070" s="33"/>
    </row>
    <row r="1071" spans="7:7" ht="35.1" customHeight="1">
      <c r="G1071" s="33"/>
    </row>
    <row r="1072" spans="7:7" ht="35.1" customHeight="1">
      <c r="G1072" s="33"/>
    </row>
    <row r="1073" spans="7:7" ht="35.1" customHeight="1">
      <c r="G1073" s="33"/>
    </row>
    <row r="1074" spans="7:7" ht="35.1" customHeight="1">
      <c r="G1074" s="33"/>
    </row>
    <row r="1075" spans="7:7" ht="35.1" customHeight="1">
      <c r="G1075" s="33"/>
    </row>
    <row r="1076" spans="7:7" ht="35.1" customHeight="1">
      <c r="G1076" s="33"/>
    </row>
    <row r="1077" spans="7:7" ht="35.1" customHeight="1">
      <c r="G1077" s="33"/>
    </row>
    <row r="1078" spans="7:7" ht="35.1" customHeight="1">
      <c r="G1078" s="33"/>
    </row>
    <row r="1079" spans="7:7" ht="35.1" customHeight="1">
      <c r="G1079" s="33"/>
    </row>
    <row r="1080" spans="7:7" ht="35.1" customHeight="1">
      <c r="G1080" s="33"/>
    </row>
    <row r="1081" spans="7:7" ht="35.1" customHeight="1">
      <c r="G1081" s="33"/>
    </row>
    <row r="1082" spans="7:7" ht="35.1" customHeight="1">
      <c r="G1082" s="33"/>
    </row>
    <row r="1083" spans="7:7" ht="35.1" customHeight="1">
      <c r="G1083" s="33"/>
    </row>
    <row r="1084" spans="7:7" ht="35.1" customHeight="1">
      <c r="G1084" s="33"/>
    </row>
    <row r="1085" spans="7:7" ht="35.1" customHeight="1">
      <c r="G1085" s="33"/>
    </row>
    <row r="1086" spans="7:7" ht="35.1" customHeight="1">
      <c r="G1086" s="33"/>
    </row>
    <row r="1087" spans="7:7" ht="35.1" customHeight="1">
      <c r="G1087" s="33"/>
    </row>
    <row r="1088" spans="7:7" ht="35.1" customHeight="1">
      <c r="G1088" s="33"/>
    </row>
    <row r="1089" spans="7:7" ht="35.1" customHeight="1">
      <c r="G1089" s="33"/>
    </row>
    <row r="1090" spans="7:7" ht="35.1" customHeight="1">
      <c r="G1090" s="33"/>
    </row>
    <row r="1091" spans="7:7" ht="35.1" customHeight="1">
      <c r="G1091" s="33"/>
    </row>
    <row r="1092" spans="7:7" ht="35.1" customHeight="1">
      <c r="G1092" s="33"/>
    </row>
    <row r="1093" spans="7:7" ht="35.1" customHeight="1">
      <c r="G1093" s="33"/>
    </row>
    <row r="1094" spans="7:7" ht="35.1" customHeight="1">
      <c r="G1094" s="33"/>
    </row>
    <row r="1095" spans="7:7" ht="35.1" customHeight="1">
      <c r="G1095" s="33"/>
    </row>
    <row r="1096" spans="7:7" ht="35.1" customHeight="1">
      <c r="G1096" s="33"/>
    </row>
    <row r="1097" spans="7:7" ht="35.1" customHeight="1">
      <c r="G1097" s="33"/>
    </row>
    <row r="1098" spans="7:7" ht="35.1" customHeight="1">
      <c r="G1098" s="33"/>
    </row>
    <row r="1099" spans="7:7" ht="35.1" customHeight="1">
      <c r="G1099" s="33"/>
    </row>
    <row r="1100" spans="7:7" ht="35.1" customHeight="1">
      <c r="G1100" s="33"/>
    </row>
    <row r="1101" spans="7:7" ht="35.1" customHeight="1">
      <c r="G1101" s="33"/>
    </row>
    <row r="1102" spans="7:7" ht="35.1" customHeight="1">
      <c r="G1102" s="33"/>
    </row>
    <row r="1103" spans="7:7" ht="35.1" customHeight="1">
      <c r="G1103" s="33"/>
    </row>
    <row r="1104" spans="7:7" ht="35.1" customHeight="1">
      <c r="G1104" s="65"/>
    </row>
    <row r="1105" spans="7:7" ht="35.1" customHeight="1">
      <c r="G1105" s="65"/>
    </row>
    <row r="1106" spans="7:7" ht="35.1" customHeight="1">
      <c r="G1106" s="65"/>
    </row>
    <row r="1107" spans="7:7" ht="35.1" customHeight="1">
      <c r="G1107" s="65"/>
    </row>
    <row r="1108" spans="7:7" ht="35.1" customHeight="1">
      <c r="G1108" s="65"/>
    </row>
    <row r="1109" spans="7:7" ht="35.1" customHeight="1">
      <c r="G1109" s="65"/>
    </row>
    <row r="1110" spans="7:7" ht="35.1" customHeight="1">
      <c r="G1110" s="65"/>
    </row>
    <row r="1111" spans="7:7" ht="35.1" customHeight="1">
      <c r="G1111" s="65"/>
    </row>
    <row r="1112" spans="7:7" ht="35.1" customHeight="1">
      <c r="G1112" s="65"/>
    </row>
    <row r="1113" spans="7:7" ht="35.1" customHeight="1">
      <c r="G1113" s="65"/>
    </row>
    <row r="1114" spans="7:7" ht="35.1" customHeight="1">
      <c r="G1114" s="65"/>
    </row>
    <row r="1115" spans="7:7" ht="35.1" customHeight="1">
      <c r="G1115" s="65"/>
    </row>
    <row r="1116" spans="7:7" ht="35.1" customHeight="1">
      <c r="G1116" s="65"/>
    </row>
    <row r="1117" spans="7:7" ht="35.1" customHeight="1">
      <c r="G1117" s="65"/>
    </row>
    <row r="1118" spans="7:7" ht="35.1" customHeight="1">
      <c r="G1118" s="65"/>
    </row>
    <row r="1119" spans="7:7" ht="35.1" customHeight="1">
      <c r="G1119" s="65"/>
    </row>
    <row r="1120" spans="7:7" ht="35.1" customHeight="1">
      <c r="G1120" s="65"/>
    </row>
    <row r="1121" spans="7:7" ht="35.1" customHeight="1">
      <c r="G1121" s="65"/>
    </row>
    <row r="1122" spans="7:7" ht="35.1" customHeight="1">
      <c r="G1122" s="65"/>
    </row>
    <row r="1123" spans="7:7" ht="35.1" customHeight="1">
      <c r="G1123" s="65"/>
    </row>
    <row r="1124" spans="7:7" ht="35.1" customHeight="1">
      <c r="G1124" s="65"/>
    </row>
    <row r="1125" spans="7:7" ht="35.1" customHeight="1">
      <c r="G1125" s="65"/>
    </row>
    <row r="1126" spans="7:7" ht="35.1" customHeight="1">
      <c r="G1126" s="65"/>
    </row>
    <row r="1127" spans="7:7" ht="35.1" customHeight="1">
      <c r="G1127" s="65"/>
    </row>
    <row r="1128" spans="7:7" ht="35.1" customHeight="1">
      <c r="G1128" s="65"/>
    </row>
    <row r="1129" spans="7:7" ht="35.1" customHeight="1">
      <c r="G1129" s="65"/>
    </row>
    <row r="1130" spans="7:7" ht="35.1" customHeight="1">
      <c r="G1130" s="65"/>
    </row>
    <row r="1131" spans="7:7" ht="35.1" customHeight="1">
      <c r="G1131" s="65"/>
    </row>
    <row r="1132" spans="7:7" ht="35.1" customHeight="1">
      <c r="G1132" s="65"/>
    </row>
    <row r="1133" spans="7:7" ht="35.1" customHeight="1">
      <c r="G1133" s="65"/>
    </row>
    <row r="1134" spans="7:7" ht="35.1" customHeight="1">
      <c r="G1134" s="65"/>
    </row>
    <row r="1135" spans="7:7" ht="35.1" customHeight="1">
      <c r="G1135" s="65"/>
    </row>
    <row r="1136" spans="7:7" ht="35.1" customHeight="1">
      <c r="G1136" s="65"/>
    </row>
    <row r="1137" spans="7:7" ht="35.1" customHeight="1">
      <c r="G1137" s="65"/>
    </row>
    <row r="1138" spans="7:7" ht="35.1" customHeight="1">
      <c r="G1138" s="65"/>
    </row>
    <row r="1139" spans="7:7" ht="35.1" customHeight="1">
      <c r="G1139" s="65"/>
    </row>
    <row r="1140" spans="7:7" ht="35.1" customHeight="1">
      <c r="G1140" s="65"/>
    </row>
    <row r="1141" spans="7:7" ht="35.1" customHeight="1">
      <c r="G1141" s="65"/>
    </row>
    <row r="1142" spans="7:7" ht="35.1" customHeight="1">
      <c r="G1142" s="65"/>
    </row>
    <row r="1143" spans="7:7" ht="35.1" customHeight="1">
      <c r="G1143" s="65"/>
    </row>
    <row r="1144" spans="7:7" ht="35.1" customHeight="1">
      <c r="G1144" s="65"/>
    </row>
    <row r="1145" spans="7:7" ht="35.1" customHeight="1">
      <c r="G1145" s="65"/>
    </row>
    <row r="1146" spans="7:7" ht="35.1" customHeight="1">
      <c r="G1146" s="65"/>
    </row>
    <row r="1147" spans="7:7" ht="35.1" customHeight="1">
      <c r="G1147" s="65"/>
    </row>
    <row r="1148" spans="7:7" ht="35.1" customHeight="1">
      <c r="G1148" s="65"/>
    </row>
    <row r="1149" spans="7:7" ht="35.1" customHeight="1">
      <c r="G1149" s="65"/>
    </row>
    <row r="1150" spans="7:7" ht="35.1" customHeight="1">
      <c r="G1150" s="65"/>
    </row>
    <row r="1151" spans="7:7" ht="35.1" customHeight="1">
      <c r="G1151" s="65"/>
    </row>
    <row r="1152" spans="7:7" ht="35.1" customHeight="1">
      <c r="G1152" s="65"/>
    </row>
    <row r="1153" spans="7:7" ht="35.1" customHeight="1">
      <c r="G1153" s="65"/>
    </row>
    <row r="1154" spans="7:7" ht="35.1" customHeight="1">
      <c r="G1154" s="65"/>
    </row>
    <row r="1155" spans="7:7" ht="35.1" customHeight="1">
      <c r="G1155" s="65"/>
    </row>
    <row r="1156" spans="7:7" ht="35.1" customHeight="1">
      <c r="G1156" s="65"/>
    </row>
    <row r="1157" spans="7:7" ht="35.1" customHeight="1">
      <c r="G1157" s="65"/>
    </row>
    <row r="1158" spans="7:7" ht="35.1" customHeight="1">
      <c r="G1158" s="65"/>
    </row>
    <row r="1159" spans="7:7" ht="35.1" customHeight="1">
      <c r="G1159" s="65"/>
    </row>
    <row r="1160" spans="7:7" ht="35.1" customHeight="1">
      <c r="G1160" s="65"/>
    </row>
    <row r="1161" spans="7:7" ht="35.1" customHeight="1">
      <c r="G1161" s="65"/>
    </row>
    <row r="1162" spans="7:7" ht="35.1" customHeight="1">
      <c r="G1162" s="65"/>
    </row>
    <row r="1163" spans="7:7" ht="35.1" customHeight="1">
      <c r="G1163" s="65"/>
    </row>
    <row r="1164" spans="7:7" ht="35.1" customHeight="1">
      <c r="G1164" s="65"/>
    </row>
    <row r="1165" spans="7:7" ht="35.1" customHeight="1">
      <c r="G1165" s="65"/>
    </row>
    <row r="1166" spans="7:7" ht="35.1" customHeight="1">
      <c r="G1166" s="65"/>
    </row>
    <row r="1167" spans="7:7" ht="35.1" customHeight="1">
      <c r="G1167" s="65"/>
    </row>
    <row r="1168" spans="7:7" ht="35.1" customHeight="1">
      <c r="G1168" s="65"/>
    </row>
    <row r="1169" spans="7:7" ht="35.1" customHeight="1">
      <c r="G1169" s="65"/>
    </row>
    <row r="1170" spans="7:7" ht="35.1" customHeight="1">
      <c r="G1170" s="65"/>
    </row>
    <row r="1171" spans="7:7" ht="35.1" customHeight="1">
      <c r="G1171" s="65"/>
    </row>
    <row r="1172" spans="7:7" ht="35.1" customHeight="1">
      <c r="G1172" s="65"/>
    </row>
    <row r="1173" spans="7:7" ht="35.1" customHeight="1">
      <c r="G1173" s="65"/>
    </row>
    <row r="1174" spans="7:7" ht="35.1" customHeight="1">
      <c r="G1174" s="65"/>
    </row>
    <row r="1175" spans="7:7" ht="35.1" customHeight="1">
      <c r="G1175" s="65"/>
    </row>
    <row r="1176" spans="7:7" ht="35.1" customHeight="1">
      <c r="G1176" s="65"/>
    </row>
    <row r="1177" spans="7:7" ht="35.1" customHeight="1">
      <c r="G1177" s="65"/>
    </row>
    <row r="1178" spans="7:7" ht="35.1" customHeight="1">
      <c r="G1178" s="65"/>
    </row>
    <row r="1179" spans="7:7" ht="35.1" customHeight="1">
      <c r="G1179" s="65"/>
    </row>
    <row r="1180" spans="7:7" ht="35.1" customHeight="1">
      <c r="G1180" s="65"/>
    </row>
    <row r="1181" spans="7:7" ht="35.1" customHeight="1">
      <c r="G1181" s="65"/>
    </row>
    <row r="1182" spans="7:7" ht="35.1" customHeight="1">
      <c r="G1182" s="65"/>
    </row>
    <row r="1183" spans="7:7" ht="35.1" customHeight="1">
      <c r="G1183" s="65"/>
    </row>
    <row r="1184" spans="7:7" ht="35.1" customHeight="1">
      <c r="G1184" s="65"/>
    </row>
    <row r="1185" spans="7:7" ht="35.1" customHeight="1">
      <c r="G1185" s="65"/>
    </row>
    <row r="1186" spans="7:7" ht="35.1" customHeight="1">
      <c r="G1186" s="65"/>
    </row>
    <row r="1187" spans="7:7" ht="35.1" customHeight="1">
      <c r="G1187" s="65"/>
    </row>
    <row r="1188" spans="7:7" ht="35.1" customHeight="1">
      <c r="G1188" s="65"/>
    </row>
    <row r="1189" spans="7:7" ht="35.1" customHeight="1">
      <c r="G1189" s="65"/>
    </row>
    <row r="1190" spans="7:7" ht="35.1" customHeight="1">
      <c r="G1190" s="65"/>
    </row>
    <row r="1191" spans="7:7" ht="35.1" customHeight="1">
      <c r="G1191" s="65"/>
    </row>
    <row r="1192" spans="7:7" ht="35.1" customHeight="1">
      <c r="G1192" s="65"/>
    </row>
    <row r="1193" spans="7:7" ht="35.1" customHeight="1">
      <c r="G1193" s="65"/>
    </row>
    <row r="1194" spans="7:7" ht="35.1" customHeight="1">
      <c r="G1194" s="65"/>
    </row>
    <row r="1195" spans="7:7" ht="35.1" customHeight="1">
      <c r="G1195" s="65"/>
    </row>
    <row r="1196" spans="7:7" ht="35.1" customHeight="1">
      <c r="G1196" s="65"/>
    </row>
    <row r="1197" spans="7:7" ht="35.1" customHeight="1">
      <c r="G1197" s="65"/>
    </row>
    <row r="1198" spans="7:7" ht="35.1" customHeight="1">
      <c r="G1198" s="65"/>
    </row>
    <row r="1199" spans="7:7" ht="35.1" customHeight="1">
      <c r="G1199" s="65"/>
    </row>
    <row r="1200" spans="7:7" ht="35.1" customHeight="1">
      <c r="G1200" s="65"/>
    </row>
    <row r="1201" spans="7:7" ht="35.1" customHeight="1">
      <c r="G1201" s="65"/>
    </row>
    <row r="1202" spans="7:7" ht="35.1" customHeight="1">
      <c r="G1202" s="65"/>
    </row>
    <row r="1203" spans="7:7" ht="35.1" customHeight="1">
      <c r="G1203" s="65"/>
    </row>
    <row r="1204" spans="7:7" ht="35.1" customHeight="1">
      <c r="G1204" s="65"/>
    </row>
    <row r="1205" spans="7:7" ht="35.1" customHeight="1">
      <c r="G1205" s="65"/>
    </row>
    <row r="1206" spans="7:7" ht="35.1" customHeight="1">
      <c r="G1206" s="65"/>
    </row>
    <row r="1207" spans="7:7" ht="35.1" customHeight="1">
      <c r="G1207" s="65"/>
    </row>
    <row r="1208" spans="7:7" ht="35.1" customHeight="1">
      <c r="G1208" s="65"/>
    </row>
    <row r="1209" spans="7:7" ht="35.1" customHeight="1">
      <c r="G1209" s="65"/>
    </row>
    <row r="1210" spans="7:7" ht="35.1" customHeight="1">
      <c r="G1210" s="65"/>
    </row>
    <row r="1211" spans="7:7" ht="35.1" customHeight="1">
      <c r="G1211" s="65"/>
    </row>
    <row r="1212" spans="7:7" ht="35.1" customHeight="1">
      <c r="G1212" s="65"/>
    </row>
    <row r="1213" spans="7:7" ht="35.1" customHeight="1">
      <c r="G1213" s="65"/>
    </row>
    <row r="1214" spans="7:7" ht="35.1" customHeight="1">
      <c r="G1214" s="65"/>
    </row>
    <row r="1215" spans="7:7" ht="35.1" customHeight="1">
      <c r="G1215" s="65"/>
    </row>
    <row r="1216" spans="7:7" ht="35.1" customHeight="1">
      <c r="G1216" s="65"/>
    </row>
    <row r="1217" spans="7:7" ht="35.1" customHeight="1">
      <c r="G1217" s="65"/>
    </row>
    <row r="1218" spans="7:7" ht="35.1" customHeight="1">
      <c r="G1218" s="65"/>
    </row>
    <row r="1219" spans="7:7" ht="35.1" customHeight="1">
      <c r="G1219" s="65"/>
    </row>
    <row r="1220" spans="7:7" ht="35.1" customHeight="1">
      <c r="G1220" s="65"/>
    </row>
    <row r="1221" spans="7:7" ht="35.1" customHeight="1">
      <c r="G1221" s="65"/>
    </row>
    <row r="1222" spans="7:7" ht="35.1" customHeight="1">
      <c r="G1222" s="65"/>
    </row>
    <row r="1223" spans="7:7" ht="35.1" customHeight="1">
      <c r="G1223" s="65"/>
    </row>
    <row r="1224" spans="7:7" ht="35.1" customHeight="1">
      <c r="G1224" s="65"/>
    </row>
    <row r="1225" spans="7:7" ht="35.1" customHeight="1">
      <c r="G1225" s="65"/>
    </row>
    <row r="1226" spans="7:7" ht="35.1" customHeight="1">
      <c r="G1226" s="65"/>
    </row>
    <row r="1227" spans="7:7" ht="35.1" customHeight="1">
      <c r="G1227" s="65"/>
    </row>
    <row r="1228" spans="7:7" ht="35.1" customHeight="1">
      <c r="G1228" s="65"/>
    </row>
    <row r="1229" spans="7:7" ht="35.1" customHeight="1">
      <c r="G1229" s="65"/>
    </row>
    <row r="1230" spans="7:7" ht="35.1" customHeight="1">
      <c r="G1230" s="65"/>
    </row>
    <row r="1231" spans="7:7" ht="35.1" customHeight="1">
      <c r="G1231" s="65"/>
    </row>
    <row r="1232" spans="7:7" ht="35.1" customHeight="1">
      <c r="G1232" s="65"/>
    </row>
    <row r="1233" spans="7:7" ht="35.1" customHeight="1">
      <c r="G1233" s="65"/>
    </row>
    <row r="1234" spans="7:7" ht="35.1" customHeight="1">
      <c r="G1234" s="65"/>
    </row>
    <row r="1235" spans="7:7" ht="35.1" customHeight="1">
      <c r="G1235" s="65"/>
    </row>
    <row r="1236" spans="7:7" ht="35.1" customHeight="1">
      <c r="G1236" s="65"/>
    </row>
    <row r="1237" spans="7:7" ht="35.1" customHeight="1">
      <c r="G1237" s="65"/>
    </row>
    <row r="1238" spans="7:7" ht="35.1" customHeight="1">
      <c r="G1238" s="65"/>
    </row>
    <row r="1239" spans="7:7" ht="35.1" customHeight="1">
      <c r="G1239" s="65"/>
    </row>
    <row r="1240" spans="7:7" ht="35.1" customHeight="1">
      <c r="G1240" s="65"/>
    </row>
    <row r="1241" spans="7:7" ht="35.1" customHeight="1">
      <c r="G1241" s="65"/>
    </row>
    <row r="1242" spans="7:7" ht="35.1" customHeight="1">
      <c r="G1242" s="65"/>
    </row>
    <row r="1243" spans="7:7" ht="35.1" customHeight="1">
      <c r="G1243" s="65"/>
    </row>
    <row r="1244" spans="7:7" ht="35.1" customHeight="1">
      <c r="G1244" s="65"/>
    </row>
    <row r="1245" spans="7:7" ht="35.1" customHeight="1">
      <c r="G1245" s="65"/>
    </row>
    <row r="1246" spans="7:7" ht="35.1" customHeight="1">
      <c r="G1246" s="65"/>
    </row>
    <row r="1247" spans="7:7" ht="35.1" customHeight="1">
      <c r="G1247" s="65"/>
    </row>
    <row r="1248" spans="7:7" ht="35.1" customHeight="1">
      <c r="G1248" s="65"/>
    </row>
    <row r="1249" spans="7:7" ht="35.1" customHeight="1">
      <c r="G1249" s="65"/>
    </row>
    <row r="1250" spans="7:7" ht="35.1" customHeight="1">
      <c r="G1250" s="65"/>
    </row>
    <row r="1251" spans="7:7" ht="35.1" customHeight="1">
      <c r="G1251" s="65"/>
    </row>
    <row r="1252" spans="7:7" ht="35.1" customHeight="1">
      <c r="G1252" s="65"/>
    </row>
    <row r="1253" spans="7:7" ht="35.1" customHeight="1">
      <c r="G1253" s="65"/>
    </row>
    <row r="1254" spans="7:7" ht="35.1" customHeight="1">
      <c r="G1254" s="65"/>
    </row>
    <row r="1255" spans="7:7" ht="35.1" customHeight="1">
      <c r="G1255" s="65"/>
    </row>
    <row r="1256" spans="7:7" ht="35.1" customHeight="1">
      <c r="G1256" s="65"/>
    </row>
    <row r="1257" spans="7:7" ht="35.1" customHeight="1">
      <c r="G1257" s="65"/>
    </row>
    <row r="1258" spans="7:7" ht="35.1" customHeight="1">
      <c r="G1258" s="65"/>
    </row>
    <row r="1259" spans="7:7" ht="35.1" customHeight="1">
      <c r="G1259" s="65"/>
    </row>
    <row r="1260" spans="7:7" ht="35.1" customHeight="1">
      <c r="G1260" s="65"/>
    </row>
    <row r="1261" spans="7:7" ht="35.1" customHeight="1">
      <c r="G1261" s="65"/>
    </row>
    <row r="1262" spans="7:7" ht="35.1" customHeight="1">
      <c r="G1262" s="65"/>
    </row>
    <row r="1263" spans="7:7" ht="35.1" customHeight="1">
      <c r="G1263" s="65"/>
    </row>
    <row r="1264" spans="7:7" ht="35.1" customHeight="1">
      <c r="G1264" s="65"/>
    </row>
    <row r="1265" spans="7:7" ht="35.1" customHeight="1">
      <c r="G1265" s="65"/>
    </row>
    <row r="1266" spans="7:7" ht="35.1" customHeight="1">
      <c r="G1266" s="65"/>
    </row>
    <row r="1267" spans="7:7" ht="35.1" customHeight="1">
      <c r="G1267" s="65"/>
    </row>
    <row r="1268" spans="7:7" ht="35.1" customHeight="1">
      <c r="G1268" s="65"/>
    </row>
    <row r="1269" spans="7:7" ht="35.1" customHeight="1">
      <c r="G1269" s="65"/>
    </row>
    <row r="1270" spans="7:7" ht="35.1" customHeight="1">
      <c r="G1270" s="65"/>
    </row>
    <row r="1271" spans="7:7" ht="35.1" customHeight="1">
      <c r="G1271" s="65"/>
    </row>
    <row r="1272" spans="7:7" ht="35.1" customHeight="1">
      <c r="G1272" s="65"/>
    </row>
    <row r="1273" spans="7:7" ht="35.1" customHeight="1">
      <c r="G1273" s="65"/>
    </row>
    <row r="1274" spans="7:7" ht="35.1" customHeight="1">
      <c r="G1274" s="65"/>
    </row>
    <row r="1275" spans="7:7" ht="35.1" customHeight="1">
      <c r="G1275" s="65"/>
    </row>
    <row r="1276" spans="7:7" ht="35.1" customHeight="1">
      <c r="G1276" s="65"/>
    </row>
    <row r="1277" spans="7:7" ht="35.1" customHeight="1">
      <c r="G1277" s="65"/>
    </row>
    <row r="1278" spans="7:7" ht="35.1" customHeight="1">
      <c r="G1278" s="65"/>
    </row>
    <row r="1279" spans="7:7" ht="35.1" customHeight="1">
      <c r="G1279" s="65"/>
    </row>
    <row r="1280" spans="7:7" ht="35.1" customHeight="1">
      <c r="G1280" s="65"/>
    </row>
    <row r="1281" spans="7:7" ht="35.1" customHeight="1">
      <c r="G1281" s="65"/>
    </row>
    <row r="1282" spans="7:7" ht="35.1" customHeight="1">
      <c r="G1282" s="65"/>
    </row>
    <row r="1283" spans="7:7" ht="35.1" customHeight="1">
      <c r="G1283" s="65"/>
    </row>
    <row r="1284" spans="7:7" ht="35.1" customHeight="1">
      <c r="G1284" s="65"/>
    </row>
    <row r="1285" spans="7:7" ht="35.1" customHeight="1">
      <c r="G1285" s="65"/>
    </row>
    <row r="1286" spans="7:7" ht="35.1" customHeight="1">
      <c r="G1286" s="65"/>
    </row>
    <row r="1287" spans="7:7" ht="35.1" customHeight="1">
      <c r="G1287" s="65"/>
    </row>
    <row r="1288" spans="7:7" ht="35.1" customHeight="1">
      <c r="G1288" s="65"/>
    </row>
    <row r="1289" spans="7:7" ht="35.1" customHeight="1">
      <c r="G1289" s="65"/>
    </row>
    <row r="1290" spans="7:7" ht="35.1" customHeight="1">
      <c r="G1290" s="65"/>
    </row>
    <row r="1291" spans="7:7" ht="35.1" customHeight="1">
      <c r="G1291" s="65"/>
    </row>
    <row r="1292" spans="7:7" ht="35.1" customHeight="1">
      <c r="G1292" s="65"/>
    </row>
    <row r="1293" spans="7:7" ht="35.1" customHeight="1">
      <c r="G1293" s="65"/>
    </row>
    <row r="1294" spans="7:7" ht="35.1" customHeight="1">
      <c r="G1294" s="65"/>
    </row>
    <row r="1295" spans="7:7" ht="35.1" customHeight="1">
      <c r="G1295" s="65"/>
    </row>
    <row r="1296" spans="7:7" ht="35.1" customHeight="1">
      <c r="G1296" s="65"/>
    </row>
    <row r="1297" spans="7:7" ht="35.1" customHeight="1">
      <c r="G1297" s="65"/>
    </row>
    <row r="1298" spans="7:7" ht="35.1" customHeight="1">
      <c r="G1298" s="65"/>
    </row>
    <row r="1299" spans="7:7" ht="35.1" customHeight="1">
      <c r="G1299" s="65"/>
    </row>
    <row r="1300" spans="7:7" ht="35.1" customHeight="1">
      <c r="G1300" s="65"/>
    </row>
    <row r="1301" spans="7:7" ht="35.1" customHeight="1">
      <c r="G1301" s="65"/>
    </row>
    <row r="1302" spans="7:7" ht="35.1" customHeight="1">
      <c r="G1302" s="65"/>
    </row>
    <row r="1303" spans="7:7" ht="35.1" customHeight="1">
      <c r="G1303" s="65"/>
    </row>
    <row r="1304" spans="7:7" ht="35.1" customHeight="1">
      <c r="G1304" s="65"/>
    </row>
    <row r="1305" spans="7:7" ht="35.1" customHeight="1">
      <c r="G1305" s="65"/>
    </row>
    <row r="1306" spans="7:7" ht="35.1" customHeight="1">
      <c r="G1306" s="65"/>
    </row>
    <row r="1307" spans="7:7" ht="35.1" customHeight="1">
      <c r="G1307" s="65"/>
    </row>
    <row r="1308" spans="7:7" ht="35.1" customHeight="1">
      <c r="G1308" s="65"/>
    </row>
    <row r="1309" spans="7:7" ht="35.1" customHeight="1">
      <c r="G1309" s="65"/>
    </row>
    <row r="1310" spans="7:7" ht="35.1" customHeight="1">
      <c r="G1310" s="65"/>
    </row>
    <row r="1311" spans="7:7" ht="35.1" customHeight="1">
      <c r="G1311" s="65"/>
    </row>
    <row r="1312" spans="7:7" ht="35.1" customHeight="1">
      <c r="G1312" s="65"/>
    </row>
    <row r="1313" spans="7:7" ht="35.1" customHeight="1">
      <c r="G1313" s="65"/>
    </row>
    <row r="1314" spans="7:7" ht="35.1" customHeight="1">
      <c r="G1314" s="65"/>
    </row>
    <row r="1315" spans="7:7" ht="35.1" customHeight="1">
      <c r="G1315" s="65"/>
    </row>
    <row r="1316" spans="7:7" ht="35.1" customHeight="1">
      <c r="G1316" s="65"/>
    </row>
    <row r="1317" spans="7:7" ht="35.1" customHeight="1">
      <c r="G1317" s="65"/>
    </row>
    <row r="1318" spans="7:7" ht="35.1" customHeight="1">
      <c r="G1318" s="65"/>
    </row>
    <row r="1319" spans="7:7" ht="35.1" customHeight="1">
      <c r="G1319" s="65"/>
    </row>
    <row r="1320" spans="7:7" ht="35.1" customHeight="1">
      <c r="G1320" s="65"/>
    </row>
    <row r="1321" spans="7:7" ht="35.1" customHeight="1">
      <c r="G1321" s="65"/>
    </row>
    <row r="1322" spans="7:7" ht="35.1" customHeight="1">
      <c r="G1322" s="65"/>
    </row>
    <row r="1323" spans="7:7" ht="35.1" customHeight="1">
      <c r="G1323" s="65"/>
    </row>
    <row r="1324" spans="7:7" ht="35.1" customHeight="1">
      <c r="G1324" s="65"/>
    </row>
    <row r="1325" spans="7:7" ht="35.1" customHeight="1">
      <c r="G1325" s="65"/>
    </row>
    <row r="1326" spans="7:7" ht="35.1" customHeight="1">
      <c r="G1326" s="65"/>
    </row>
    <row r="1327" spans="7:7" ht="35.1" customHeight="1">
      <c r="G1327" s="65"/>
    </row>
    <row r="1328" spans="7:7" ht="35.1" customHeight="1">
      <c r="G1328" s="65"/>
    </row>
    <row r="1329" spans="7:7" ht="35.1" customHeight="1">
      <c r="G1329" s="65"/>
    </row>
    <row r="1330" spans="7:7" ht="35.1" customHeight="1">
      <c r="G1330" s="65"/>
    </row>
    <row r="1331" spans="7:7" ht="35.1" customHeight="1">
      <c r="G1331" s="65"/>
    </row>
    <row r="1332" spans="7:7" ht="35.1" customHeight="1">
      <c r="G1332" s="65"/>
    </row>
    <row r="1333" spans="7:7" ht="35.1" customHeight="1">
      <c r="G1333" s="65"/>
    </row>
    <row r="1334" spans="7:7" ht="35.1" customHeight="1">
      <c r="G1334" s="65"/>
    </row>
    <row r="1335" spans="7:7" ht="35.1" customHeight="1">
      <c r="G1335" s="65"/>
    </row>
    <row r="1336" spans="7:7" ht="35.1" customHeight="1">
      <c r="G1336" s="65"/>
    </row>
    <row r="1337" spans="7:7" ht="35.1" customHeight="1">
      <c r="G1337" s="65"/>
    </row>
    <row r="1338" spans="7:7" ht="35.1" customHeight="1">
      <c r="G1338" s="65"/>
    </row>
    <row r="1339" spans="7:7" ht="35.1" customHeight="1">
      <c r="G1339" s="65"/>
    </row>
    <row r="1340" spans="7:7" ht="35.1" customHeight="1">
      <c r="G1340" s="65"/>
    </row>
    <row r="1341" spans="7:7" ht="35.1" customHeight="1">
      <c r="G1341" s="65"/>
    </row>
    <row r="1342" spans="7:7" ht="35.1" customHeight="1">
      <c r="G1342" s="65"/>
    </row>
    <row r="1343" spans="7:7" ht="35.1" customHeight="1">
      <c r="G1343" s="65"/>
    </row>
    <row r="1344" spans="7:7" ht="35.1" customHeight="1">
      <c r="G1344" s="65"/>
    </row>
    <row r="1345" spans="7:7" ht="35.1" customHeight="1">
      <c r="G1345" s="65"/>
    </row>
    <row r="1346" spans="7:7" ht="35.1" customHeight="1">
      <c r="G1346" s="65"/>
    </row>
    <row r="1347" spans="7:7" ht="35.1" customHeight="1">
      <c r="G1347" s="65"/>
    </row>
    <row r="1348" spans="7:7" ht="35.1" customHeight="1">
      <c r="G1348" s="65"/>
    </row>
    <row r="1349" spans="7:7" ht="35.1" customHeight="1">
      <c r="G1349" s="65"/>
    </row>
    <row r="1350" spans="7:7" ht="35.1" customHeight="1">
      <c r="G1350" s="65"/>
    </row>
    <row r="1351" spans="7:7" ht="35.1" customHeight="1">
      <c r="G1351" s="65"/>
    </row>
    <row r="1352" spans="7:7" ht="35.1" customHeight="1">
      <c r="G1352" s="65"/>
    </row>
    <row r="1353" spans="7:7" ht="35.1" customHeight="1">
      <c r="G1353" s="65"/>
    </row>
    <row r="1354" spans="7:7" ht="35.1" customHeight="1">
      <c r="G1354" s="65"/>
    </row>
    <row r="1355" spans="7:7" ht="35.1" customHeight="1">
      <c r="G1355" s="65"/>
    </row>
    <row r="1356" spans="7:7" ht="35.1" customHeight="1">
      <c r="G1356" s="65"/>
    </row>
    <row r="1357" spans="7:7" ht="35.1" customHeight="1">
      <c r="G1357" s="65"/>
    </row>
    <row r="1358" spans="7:7" ht="35.1" customHeight="1">
      <c r="G1358" s="65"/>
    </row>
    <row r="1359" spans="7:7" ht="35.1" customHeight="1">
      <c r="G1359" s="65"/>
    </row>
    <row r="1360" spans="7:7" ht="35.1" customHeight="1">
      <c r="G1360" s="65"/>
    </row>
    <row r="1361" spans="7:7" ht="35.1" customHeight="1">
      <c r="G1361" s="65"/>
    </row>
    <row r="1362" spans="7:7" ht="35.1" customHeight="1">
      <c r="G1362" s="65"/>
    </row>
    <row r="1363" spans="7:7" ht="35.1" customHeight="1">
      <c r="G1363" s="65"/>
    </row>
    <row r="1364" spans="7:7" ht="35.1" customHeight="1">
      <c r="G1364" s="65"/>
    </row>
    <row r="1365" spans="7:7" ht="35.1" customHeight="1">
      <c r="G1365" s="65"/>
    </row>
    <row r="1366" spans="7:7" ht="35.1" customHeight="1">
      <c r="G1366" s="65"/>
    </row>
    <row r="1367" spans="7:7" ht="35.1" customHeight="1">
      <c r="G1367" s="65"/>
    </row>
    <row r="1368" spans="7:7" ht="35.1" customHeight="1">
      <c r="G1368" s="65"/>
    </row>
    <row r="1369" spans="7:7" ht="35.1" customHeight="1">
      <c r="G1369" s="65"/>
    </row>
    <row r="1370" spans="7:7" ht="35.1" customHeight="1">
      <c r="G1370" s="65"/>
    </row>
    <row r="1371" spans="7:7" ht="35.1" customHeight="1">
      <c r="G1371" s="65"/>
    </row>
    <row r="1372" spans="7:7" ht="35.1" customHeight="1">
      <c r="G1372" s="65"/>
    </row>
    <row r="1373" spans="7:7" ht="35.1" customHeight="1">
      <c r="G1373" s="65"/>
    </row>
    <row r="1374" spans="7:7" ht="35.1" customHeight="1">
      <c r="G1374" s="65"/>
    </row>
    <row r="1375" spans="7:7" ht="35.1" customHeight="1">
      <c r="G1375" s="65"/>
    </row>
    <row r="1376" spans="7:7" ht="35.1" customHeight="1">
      <c r="G1376" s="65"/>
    </row>
    <row r="1377" spans="7:7" ht="35.1" customHeight="1">
      <c r="G1377" s="65"/>
    </row>
    <row r="1378" spans="7:7" ht="35.1" customHeight="1">
      <c r="G1378" s="65"/>
    </row>
    <row r="1379" spans="7:7" ht="35.1" customHeight="1">
      <c r="G1379" s="65"/>
    </row>
    <row r="1380" spans="7:7" ht="35.1" customHeight="1">
      <c r="G1380" s="65"/>
    </row>
    <row r="1381" spans="7:7" ht="35.1" customHeight="1">
      <c r="G1381" s="65"/>
    </row>
    <row r="1382" spans="7:7" ht="35.1" customHeight="1">
      <c r="G1382" s="65"/>
    </row>
    <row r="1383" spans="7:7" ht="35.1" customHeight="1">
      <c r="G1383" s="65"/>
    </row>
    <row r="1384" spans="7:7" ht="35.1" customHeight="1">
      <c r="G1384" s="65"/>
    </row>
    <row r="1385" spans="7:7" ht="35.1" customHeight="1">
      <c r="G1385" s="65"/>
    </row>
    <row r="1386" spans="7:7" ht="35.1" customHeight="1">
      <c r="G1386" s="65"/>
    </row>
    <row r="1387" spans="7:7" ht="35.1" customHeight="1">
      <c r="G1387" s="65"/>
    </row>
    <row r="1388" spans="7:7" ht="35.1" customHeight="1">
      <c r="G1388" s="65"/>
    </row>
    <row r="1389" spans="7:7" ht="35.1" customHeight="1">
      <c r="G1389" s="65"/>
    </row>
    <row r="1390" spans="7:7" ht="35.1" customHeight="1">
      <c r="G1390" s="65"/>
    </row>
    <row r="1391" spans="7:7" ht="35.1" customHeight="1">
      <c r="G1391" s="65"/>
    </row>
    <row r="1392" spans="7:7" ht="35.1" customHeight="1">
      <c r="G1392" s="65"/>
    </row>
    <row r="1393" spans="7:7" ht="35.1" customHeight="1">
      <c r="G1393" s="65"/>
    </row>
    <row r="1394" spans="7:7" ht="35.1" customHeight="1">
      <c r="G1394" s="65"/>
    </row>
    <row r="1395" spans="7:7" ht="35.1" customHeight="1">
      <c r="G1395" s="65"/>
    </row>
    <row r="1396" spans="7:7" ht="35.1" customHeight="1">
      <c r="G1396" s="65"/>
    </row>
    <row r="1397" spans="7:7" ht="35.1" customHeight="1">
      <c r="G1397" s="65"/>
    </row>
    <row r="1398" spans="7:7" ht="35.1" customHeight="1">
      <c r="G1398" s="65"/>
    </row>
    <row r="1399" spans="7:7" ht="35.1" customHeight="1">
      <c r="G1399" s="65"/>
    </row>
    <row r="1400" spans="7:7" ht="35.1" customHeight="1">
      <c r="G1400" s="65"/>
    </row>
    <row r="1401" spans="7:7" ht="35.1" customHeight="1">
      <c r="G1401" s="65"/>
    </row>
    <row r="1402" spans="7:7" ht="35.1" customHeight="1">
      <c r="G1402" s="65"/>
    </row>
    <row r="1403" spans="7:7" ht="35.1" customHeight="1">
      <c r="G1403" s="65"/>
    </row>
    <row r="1404" spans="7:7" ht="35.1" customHeight="1">
      <c r="G1404" s="65"/>
    </row>
    <row r="1405" spans="7:7" ht="35.1" customHeight="1">
      <c r="G1405" s="65"/>
    </row>
    <row r="1406" spans="7:7" ht="35.1" customHeight="1">
      <c r="G1406" s="65"/>
    </row>
    <row r="1407" spans="7:7" ht="35.1" customHeight="1">
      <c r="G1407" s="65"/>
    </row>
    <row r="1408" spans="7:7" ht="35.1" customHeight="1">
      <c r="G1408" s="65"/>
    </row>
    <row r="1409" spans="7:7" ht="35.1" customHeight="1">
      <c r="G1409" s="65"/>
    </row>
    <row r="1410" spans="7:7" ht="35.1" customHeight="1">
      <c r="G1410" s="65"/>
    </row>
    <row r="1411" spans="7:7" ht="35.1" customHeight="1">
      <c r="G1411" s="65"/>
    </row>
    <row r="1412" spans="7:7" ht="35.1" customHeight="1">
      <c r="G1412" s="65"/>
    </row>
    <row r="1413" spans="7:7" ht="35.1" customHeight="1">
      <c r="G1413" s="65"/>
    </row>
    <row r="1414" spans="7:7" ht="35.1" customHeight="1">
      <c r="G1414" s="65"/>
    </row>
    <row r="1415" spans="7:7" ht="35.1" customHeight="1">
      <c r="G1415" s="65"/>
    </row>
    <row r="1416" spans="7:7" ht="35.1" customHeight="1">
      <c r="G1416" s="65"/>
    </row>
    <row r="1417" spans="7:7" ht="35.1" customHeight="1">
      <c r="G1417" s="65"/>
    </row>
    <row r="1418" spans="7:7" ht="35.1" customHeight="1">
      <c r="G1418" s="65"/>
    </row>
    <row r="1419" spans="7:7" ht="35.1" customHeight="1">
      <c r="G1419" s="65"/>
    </row>
  </sheetData>
  <sheetProtection formatCells="0" formatColumns="0" formatRows="0" insertColumns="0" insertHyperlinks="0" deleteColumns="0" deleteRows="0" sort="0" autoFilter="0" pivotTables="0"/>
  <mergeCells count="1229">
    <mergeCell ref="E816:E818"/>
    <mergeCell ref="C816:C818"/>
    <mergeCell ref="C803:C805"/>
    <mergeCell ref="F816:F818"/>
    <mergeCell ref="E822:E825"/>
    <mergeCell ref="F810:F812"/>
    <mergeCell ref="F807:F809"/>
    <mergeCell ref="C540:C543"/>
    <mergeCell ref="C544:C547"/>
    <mergeCell ref="C61:C62"/>
    <mergeCell ref="C59:C60"/>
    <mergeCell ref="F59:F60"/>
    <mergeCell ref="D594:D595"/>
    <mergeCell ref="F678:F680"/>
    <mergeCell ref="D572:D573"/>
    <mergeCell ref="E673:E674"/>
    <mergeCell ref="C673:C674"/>
    <mergeCell ref="E675:E677"/>
    <mergeCell ref="C675:C677"/>
    <mergeCell ref="D536:D539"/>
    <mergeCell ref="F669:F671"/>
    <mergeCell ref="F602:F604"/>
    <mergeCell ref="E602:E604"/>
    <mergeCell ref="C602:C604"/>
    <mergeCell ref="E599:E601"/>
    <mergeCell ref="C596:C598"/>
    <mergeCell ref="E585:E586"/>
    <mergeCell ref="C585:C586"/>
    <mergeCell ref="D585:D586"/>
    <mergeCell ref="F72:F73"/>
    <mergeCell ref="C74:C75"/>
    <mergeCell ref="C72:C73"/>
    <mergeCell ref="C67:F67"/>
    <mergeCell ref="G59:G60"/>
    <mergeCell ref="D460:D461"/>
    <mergeCell ref="D456:D457"/>
    <mergeCell ref="D452:D453"/>
    <mergeCell ref="D450:D451"/>
    <mergeCell ref="D624:D626"/>
    <mergeCell ref="D469:D471"/>
    <mergeCell ref="D466:D468"/>
    <mergeCell ref="D816:D818"/>
    <mergeCell ref="G803:G805"/>
    <mergeCell ref="C797:C799"/>
    <mergeCell ref="D797:D799"/>
    <mergeCell ref="D540:D543"/>
    <mergeCell ref="G694:G696"/>
    <mergeCell ref="E800:E802"/>
    <mergeCell ref="C800:C802"/>
    <mergeCell ref="G797:G799"/>
    <mergeCell ref="G605:G607"/>
    <mergeCell ref="C627:F627"/>
    <mergeCell ref="D648:D649"/>
    <mergeCell ref="D634:D636"/>
    <mergeCell ref="D631:D633"/>
    <mergeCell ref="G691:G693"/>
    <mergeCell ref="D794:D796"/>
    <mergeCell ref="D768:D770"/>
    <mergeCell ref="D755:D757"/>
    <mergeCell ref="G663:G665"/>
    <mergeCell ref="D800:D802"/>
    <mergeCell ref="G800:G802"/>
    <mergeCell ref="F797:F799"/>
    <mergeCell ref="F787:F789"/>
    <mergeCell ref="C848:F848"/>
    <mergeCell ref="C834:C835"/>
    <mergeCell ref="C659:F659"/>
    <mergeCell ref="G816:G818"/>
    <mergeCell ref="G822:G825"/>
    <mergeCell ref="C821:F821"/>
    <mergeCell ref="E819:E820"/>
    <mergeCell ref="C836:F836"/>
    <mergeCell ref="D581:D582"/>
    <mergeCell ref="F819:F820"/>
    <mergeCell ref="F837:F838"/>
    <mergeCell ref="E803:E805"/>
    <mergeCell ref="D743:D745"/>
    <mergeCell ref="D730:D732"/>
    <mergeCell ref="D605:D607"/>
    <mergeCell ref="D602:D604"/>
    <mergeCell ref="D599:D601"/>
    <mergeCell ref="D596:D598"/>
    <mergeCell ref="G837:G838"/>
    <mergeCell ref="F834:F835"/>
    <mergeCell ref="F822:F825"/>
    <mergeCell ref="F803:F805"/>
    <mergeCell ref="G819:G820"/>
    <mergeCell ref="G645:G647"/>
    <mergeCell ref="E787:E789"/>
    <mergeCell ref="C787:C789"/>
    <mergeCell ref="C781:C783"/>
    <mergeCell ref="C775:C777"/>
    <mergeCell ref="D819:D820"/>
    <mergeCell ref="C842:F842"/>
    <mergeCell ref="D837:D838"/>
    <mergeCell ref="D834:D835"/>
    <mergeCell ref="E834:E835"/>
    <mergeCell ref="E837:E838"/>
    <mergeCell ref="C837:C838"/>
    <mergeCell ref="D656:D658"/>
    <mergeCell ref="D653:D655"/>
    <mergeCell ref="C653:C655"/>
    <mergeCell ref="D685:D687"/>
    <mergeCell ref="F640:F643"/>
    <mergeCell ref="E640:E643"/>
    <mergeCell ref="C608:F608"/>
    <mergeCell ref="D675:D677"/>
    <mergeCell ref="D678:D680"/>
    <mergeCell ref="F800:F802"/>
    <mergeCell ref="D645:D647"/>
    <mergeCell ref="D640:D643"/>
    <mergeCell ref="G781:G783"/>
    <mergeCell ref="F781:F783"/>
    <mergeCell ref="E781:E783"/>
    <mergeCell ref="D822:D825"/>
    <mergeCell ref="E810:E812"/>
    <mergeCell ref="D694:D696"/>
    <mergeCell ref="C678:C680"/>
    <mergeCell ref="C681:C683"/>
    <mergeCell ref="D681:D683"/>
    <mergeCell ref="C822:C825"/>
    <mergeCell ref="C819:C820"/>
    <mergeCell ref="C810:C812"/>
    <mergeCell ref="F813:F815"/>
    <mergeCell ref="E813:E815"/>
    <mergeCell ref="C813:C815"/>
    <mergeCell ref="C697:F697"/>
    <mergeCell ref="D803:D805"/>
    <mergeCell ref="D781:D783"/>
    <mergeCell ref="G784:G786"/>
    <mergeCell ref="D784:D786"/>
    <mergeCell ref="D787:D789"/>
    <mergeCell ref="C791:C793"/>
    <mergeCell ref="D791:D793"/>
    <mergeCell ref="G791:G793"/>
    <mergeCell ref="F784:F786"/>
    <mergeCell ref="E784:E786"/>
    <mergeCell ref="C784:C786"/>
    <mergeCell ref="C790:F790"/>
    <mergeCell ref="G787:G789"/>
    <mergeCell ref="G813:G815"/>
    <mergeCell ref="D807:D809"/>
    <mergeCell ref="D810:D812"/>
    <mergeCell ref="G807:G809"/>
    <mergeCell ref="D813:D815"/>
    <mergeCell ref="C806:F806"/>
    <mergeCell ref="G765:G767"/>
    <mergeCell ref="D762:D764"/>
    <mergeCell ref="G768:G770"/>
    <mergeCell ref="G771:G773"/>
    <mergeCell ref="F771:F773"/>
    <mergeCell ref="E771:E773"/>
    <mergeCell ref="F768:F770"/>
    <mergeCell ref="C771:C773"/>
    <mergeCell ref="F778:F780"/>
    <mergeCell ref="E778:E780"/>
    <mergeCell ref="C778:C780"/>
    <mergeCell ref="C774:F774"/>
    <mergeCell ref="D771:D773"/>
    <mergeCell ref="D775:D777"/>
    <mergeCell ref="D778:D780"/>
    <mergeCell ref="G775:G777"/>
    <mergeCell ref="G778:G780"/>
    <mergeCell ref="E768:E770"/>
    <mergeCell ref="C768:C770"/>
    <mergeCell ref="F775:F777"/>
    <mergeCell ref="E775:E777"/>
    <mergeCell ref="G717:G719"/>
    <mergeCell ref="E720:E722"/>
    <mergeCell ref="C749:C751"/>
    <mergeCell ref="F752:F754"/>
    <mergeCell ref="E752:E754"/>
    <mergeCell ref="C752:C754"/>
    <mergeCell ref="D752:D754"/>
    <mergeCell ref="D749:D751"/>
    <mergeCell ref="F749:F751"/>
    <mergeCell ref="E746:E748"/>
    <mergeCell ref="E749:E751"/>
    <mergeCell ref="F746:F748"/>
    <mergeCell ref="G752:G754"/>
    <mergeCell ref="C746:C748"/>
    <mergeCell ref="D746:D748"/>
    <mergeCell ref="C739:C741"/>
    <mergeCell ref="G743:G745"/>
    <mergeCell ref="C742:F742"/>
    <mergeCell ref="F743:F745"/>
    <mergeCell ref="E743:E745"/>
    <mergeCell ref="C743:C745"/>
    <mergeCell ref="D739:D741"/>
    <mergeCell ref="G746:G748"/>
    <mergeCell ref="C730:C732"/>
    <mergeCell ref="F730:F732"/>
    <mergeCell ref="G730:G732"/>
    <mergeCell ref="F733:F735"/>
    <mergeCell ref="G733:G735"/>
    <mergeCell ref="E733:E735"/>
    <mergeCell ref="F739:F741"/>
    <mergeCell ref="E739:E741"/>
    <mergeCell ref="G739:G741"/>
    <mergeCell ref="F736:F738"/>
    <mergeCell ref="C736:C738"/>
    <mergeCell ref="D736:D738"/>
    <mergeCell ref="E730:E732"/>
    <mergeCell ref="G736:G738"/>
    <mergeCell ref="D720:D722"/>
    <mergeCell ref="F720:F722"/>
    <mergeCell ref="G727:G729"/>
    <mergeCell ref="G723:G725"/>
    <mergeCell ref="C723:C725"/>
    <mergeCell ref="G720:G722"/>
    <mergeCell ref="G660:G662"/>
    <mergeCell ref="F660:F662"/>
    <mergeCell ref="G653:G655"/>
    <mergeCell ref="G650:G652"/>
    <mergeCell ref="E698:E700"/>
    <mergeCell ref="C698:C700"/>
    <mergeCell ref="F704:F706"/>
    <mergeCell ref="E704:E706"/>
    <mergeCell ref="G707:G709"/>
    <mergeCell ref="C704:C706"/>
    <mergeCell ref="G701:G703"/>
    <mergeCell ref="D701:D703"/>
    <mergeCell ref="E707:E709"/>
    <mergeCell ref="G704:G706"/>
    <mergeCell ref="D704:D706"/>
    <mergeCell ref="F707:F709"/>
    <mergeCell ref="C710:F710"/>
    <mergeCell ref="C707:C709"/>
    <mergeCell ref="D707:D709"/>
    <mergeCell ref="F698:F700"/>
    <mergeCell ref="F701:F703"/>
    <mergeCell ref="E701:E703"/>
    <mergeCell ref="C701:C703"/>
    <mergeCell ref="G637:G639"/>
    <mergeCell ref="C631:C633"/>
    <mergeCell ref="D637:D639"/>
    <mergeCell ref="G631:G633"/>
    <mergeCell ref="D628:D630"/>
    <mergeCell ref="E631:E633"/>
    <mergeCell ref="G648:G649"/>
    <mergeCell ref="G640:G643"/>
    <mergeCell ref="G634:G636"/>
    <mergeCell ref="C644:F644"/>
    <mergeCell ref="C648:C649"/>
    <mergeCell ref="E681:E683"/>
    <mergeCell ref="D673:D674"/>
    <mergeCell ref="E678:E680"/>
    <mergeCell ref="C691:C693"/>
    <mergeCell ref="D691:D693"/>
    <mergeCell ref="G688:G690"/>
    <mergeCell ref="F688:F690"/>
    <mergeCell ref="E688:E690"/>
    <mergeCell ref="D688:D690"/>
    <mergeCell ref="F681:F683"/>
    <mergeCell ref="G673:G674"/>
    <mergeCell ref="F685:F687"/>
    <mergeCell ref="E685:E687"/>
    <mergeCell ref="F653:F655"/>
    <mergeCell ref="F648:F649"/>
    <mergeCell ref="G666:G668"/>
    <mergeCell ref="C684:F684"/>
    <mergeCell ref="G685:G687"/>
    <mergeCell ref="E645:E647"/>
    <mergeCell ref="C637:C639"/>
    <mergeCell ref="E648:E649"/>
    <mergeCell ref="F605:F607"/>
    <mergeCell ref="E605:E607"/>
    <mergeCell ref="C605:C607"/>
    <mergeCell ref="E609:E617"/>
    <mergeCell ref="F624:F626"/>
    <mergeCell ref="E624:E626"/>
    <mergeCell ref="C609:C617"/>
    <mergeCell ref="F609:F617"/>
    <mergeCell ref="F628:F630"/>
    <mergeCell ref="G628:G630"/>
    <mergeCell ref="G618:G620"/>
    <mergeCell ref="G624:G626"/>
    <mergeCell ref="F618:F620"/>
    <mergeCell ref="G609:G617"/>
    <mergeCell ref="C621:C623"/>
    <mergeCell ref="E628:E630"/>
    <mergeCell ref="C628:C630"/>
    <mergeCell ref="C624:C626"/>
    <mergeCell ref="E618:E620"/>
    <mergeCell ref="E621:E623"/>
    <mergeCell ref="D621:D623"/>
    <mergeCell ref="C618:C620"/>
    <mergeCell ref="G621:G623"/>
    <mergeCell ref="D618:D620"/>
    <mergeCell ref="D610:D617"/>
    <mergeCell ref="G68:G69"/>
    <mergeCell ref="G585:G586"/>
    <mergeCell ref="D583:D584"/>
    <mergeCell ref="F587:F588"/>
    <mergeCell ref="E587:E588"/>
    <mergeCell ref="C587:C588"/>
    <mergeCell ref="F589:F590"/>
    <mergeCell ref="E589:E590"/>
    <mergeCell ref="C589:C590"/>
    <mergeCell ref="D589:D590"/>
    <mergeCell ref="D587:D588"/>
    <mergeCell ref="F591:F592"/>
    <mergeCell ref="G587:G588"/>
    <mergeCell ref="G589:G590"/>
    <mergeCell ref="D591:D592"/>
    <mergeCell ref="G594:G595"/>
    <mergeCell ref="G596:G598"/>
    <mergeCell ref="C593:F593"/>
    <mergeCell ref="E591:E592"/>
    <mergeCell ref="E594:E595"/>
    <mergeCell ref="C594:C595"/>
    <mergeCell ref="F594:F595"/>
    <mergeCell ref="F596:F598"/>
    <mergeCell ref="E596:E598"/>
    <mergeCell ref="C591:C592"/>
    <mergeCell ref="G591:G592"/>
    <mergeCell ref="D161:D162"/>
    <mergeCell ref="D478:D479"/>
    <mergeCell ref="C58:F58"/>
    <mergeCell ref="C78:F78"/>
    <mergeCell ref="E85:E86"/>
    <mergeCell ref="C83:C84"/>
    <mergeCell ref="F83:F84"/>
    <mergeCell ref="E83:E84"/>
    <mergeCell ref="F70:F71"/>
    <mergeCell ref="E70:E71"/>
    <mergeCell ref="E59:E60"/>
    <mergeCell ref="F61:F62"/>
    <mergeCell ref="E61:E62"/>
    <mergeCell ref="G65:G66"/>
    <mergeCell ref="F65:F66"/>
    <mergeCell ref="E65:E66"/>
    <mergeCell ref="C81:C82"/>
    <mergeCell ref="E81:E82"/>
    <mergeCell ref="G83:G84"/>
    <mergeCell ref="G79:G80"/>
    <mergeCell ref="G61:G62"/>
    <mergeCell ref="C65:C66"/>
    <mergeCell ref="G63:G64"/>
    <mergeCell ref="F63:F64"/>
    <mergeCell ref="E63:E64"/>
    <mergeCell ref="C63:C64"/>
    <mergeCell ref="E68:E69"/>
    <mergeCell ref="C68:C69"/>
    <mergeCell ref="G74:G75"/>
    <mergeCell ref="F74:F75"/>
    <mergeCell ref="E74:E75"/>
    <mergeCell ref="G72:G73"/>
    <mergeCell ref="G70:G71"/>
    <mergeCell ref="C70:C71"/>
    <mergeCell ref="C79:C80"/>
    <mergeCell ref="G81:G82"/>
    <mergeCell ref="G91:G93"/>
    <mergeCell ref="F91:F93"/>
    <mergeCell ref="C85:C86"/>
    <mergeCell ref="C90:F90"/>
    <mergeCell ref="C87:C89"/>
    <mergeCell ref="F79:F80"/>
    <mergeCell ref="E79:E80"/>
    <mergeCell ref="G76:G77"/>
    <mergeCell ref="F76:F77"/>
    <mergeCell ref="E76:E77"/>
    <mergeCell ref="F81:F82"/>
    <mergeCell ref="F85:F86"/>
    <mergeCell ref="F87:F89"/>
    <mergeCell ref="E87:E89"/>
    <mergeCell ref="E72:E73"/>
    <mergeCell ref="C76:C77"/>
    <mergeCell ref="F94:F96"/>
    <mergeCell ref="C91:C93"/>
    <mergeCell ref="G105:G108"/>
    <mergeCell ref="E94:E96"/>
    <mergeCell ref="G102:G104"/>
    <mergeCell ref="C112:F112"/>
    <mergeCell ref="F105:F108"/>
    <mergeCell ref="E91:E93"/>
    <mergeCell ref="C102:C104"/>
    <mergeCell ref="E105:E108"/>
    <mergeCell ref="E102:E104"/>
    <mergeCell ref="F102:F104"/>
    <mergeCell ref="G94:G96"/>
    <mergeCell ref="G97:G100"/>
    <mergeCell ref="G109:G111"/>
    <mergeCell ref="G87:G89"/>
    <mergeCell ref="G85:G86"/>
    <mergeCell ref="F113:F114"/>
    <mergeCell ref="C109:C111"/>
    <mergeCell ref="G117:G118"/>
    <mergeCell ref="G115:G116"/>
    <mergeCell ref="E113:E114"/>
    <mergeCell ref="E109:E111"/>
    <mergeCell ref="G139:G141"/>
    <mergeCell ref="C136:F136"/>
    <mergeCell ref="G134:G135"/>
    <mergeCell ref="E131:E133"/>
    <mergeCell ref="C131:C133"/>
    <mergeCell ref="D131:D132"/>
    <mergeCell ref="G129:G130"/>
    <mergeCell ref="E120:E121"/>
    <mergeCell ref="G120:G121"/>
    <mergeCell ref="C97:C100"/>
    <mergeCell ref="C101:F101"/>
    <mergeCell ref="G161:G164"/>
    <mergeCell ref="E173:E175"/>
    <mergeCell ref="F161:F164"/>
    <mergeCell ref="C149:C151"/>
    <mergeCell ref="C152:C155"/>
    <mergeCell ref="F157:F160"/>
    <mergeCell ref="G146:G148"/>
    <mergeCell ref="F146:F148"/>
    <mergeCell ref="E146:E148"/>
    <mergeCell ref="C146:C148"/>
    <mergeCell ref="G152:G155"/>
    <mergeCell ref="G149:G151"/>
    <mergeCell ref="E152:E155"/>
    <mergeCell ref="C157:C160"/>
    <mergeCell ref="D157:D158"/>
    <mergeCell ref="G173:G175"/>
    <mergeCell ref="D152:D153"/>
    <mergeCell ref="F152:F155"/>
    <mergeCell ref="C176:C178"/>
    <mergeCell ref="C161:C164"/>
    <mergeCell ref="C190:C193"/>
    <mergeCell ref="E190:E193"/>
    <mergeCell ref="E181:E184"/>
    <mergeCell ref="F181:F184"/>
    <mergeCell ref="C181:C184"/>
    <mergeCell ref="F185:F188"/>
    <mergeCell ref="E185:E188"/>
    <mergeCell ref="C185:C188"/>
    <mergeCell ref="C189:F189"/>
    <mergeCell ref="F176:F178"/>
    <mergeCell ref="E176:E178"/>
    <mergeCell ref="F173:F175"/>
    <mergeCell ref="D165:D166"/>
    <mergeCell ref="F165:F168"/>
    <mergeCell ref="E161:E164"/>
    <mergeCell ref="E170:E172"/>
    <mergeCell ref="E165:E168"/>
    <mergeCell ref="C165:C168"/>
    <mergeCell ref="C170:C172"/>
    <mergeCell ref="G207:G210"/>
    <mergeCell ref="G198:G201"/>
    <mergeCell ref="C194:C197"/>
    <mergeCell ref="F198:F201"/>
    <mergeCell ref="E198:E201"/>
    <mergeCell ref="C198:C201"/>
    <mergeCell ref="E207:E210"/>
    <mergeCell ref="C207:C210"/>
    <mergeCell ref="F211:F212"/>
    <mergeCell ref="E211:E212"/>
    <mergeCell ref="C211:C212"/>
    <mergeCell ref="F207:F210"/>
    <mergeCell ref="G181:G184"/>
    <mergeCell ref="F190:F193"/>
    <mergeCell ref="G190:G193"/>
    <mergeCell ref="F194:F197"/>
    <mergeCell ref="E194:E197"/>
    <mergeCell ref="C202:F202"/>
    <mergeCell ref="F203:F206"/>
    <mergeCell ref="E203:E206"/>
    <mergeCell ref="C203:C206"/>
    <mergeCell ref="G194:G197"/>
    <mergeCell ref="G203:G206"/>
    <mergeCell ref="F214:F215"/>
    <mergeCell ref="E214:E215"/>
    <mergeCell ref="F216:F218"/>
    <mergeCell ref="C219:C220"/>
    <mergeCell ref="G219:G220"/>
    <mergeCell ref="C214:C215"/>
    <mergeCell ref="G214:G215"/>
    <mergeCell ref="E216:E218"/>
    <mergeCell ref="C216:C218"/>
    <mergeCell ref="F219:F220"/>
    <mergeCell ref="G216:G218"/>
    <mergeCell ref="G211:G212"/>
    <mergeCell ref="F242:F243"/>
    <mergeCell ref="E242:E243"/>
    <mergeCell ref="G234:G235"/>
    <mergeCell ref="G225:G226"/>
    <mergeCell ref="F232:F233"/>
    <mergeCell ref="C232:C233"/>
    <mergeCell ref="E232:E233"/>
    <mergeCell ref="E227:E228"/>
    <mergeCell ref="C213:F213"/>
    <mergeCell ref="G254:G256"/>
    <mergeCell ref="F254:F256"/>
    <mergeCell ref="E254:E256"/>
    <mergeCell ref="C254:C256"/>
    <mergeCell ref="G257:G258"/>
    <mergeCell ref="G245:G247"/>
    <mergeCell ref="C229:F229"/>
    <mergeCell ref="G227:G228"/>
    <mergeCell ref="E219:E220"/>
    <mergeCell ref="C221:F221"/>
    <mergeCell ref="E225:E226"/>
    <mergeCell ref="F227:F228"/>
    <mergeCell ref="E230:E231"/>
    <mergeCell ref="G232:G233"/>
    <mergeCell ref="C225:C226"/>
    <mergeCell ref="G222:G224"/>
    <mergeCell ref="F230:F231"/>
    <mergeCell ref="C230:C231"/>
    <mergeCell ref="F225:F226"/>
    <mergeCell ref="G230:G231"/>
    <mergeCell ref="C236:F236"/>
    <mergeCell ref="E234:E235"/>
    <mergeCell ref="C234:C235"/>
    <mergeCell ref="F234:F235"/>
    <mergeCell ref="C262:C264"/>
    <mergeCell ref="F265:F267"/>
    <mergeCell ref="E265:E267"/>
    <mergeCell ref="C265:C267"/>
    <mergeCell ref="F262:F264"/>
    <mergeCell ref="E262:E264"/>
    <mergeCell ref="C268:C270"/>
    <mergeCell ref="C272:C273"/>
    <mergeCell ref="F268:F270"/>
    <mergeCell ref="E268:E270"/>
    <mergeCell ref="G259:G260"/>
    <mergeCell ref="C261:F261"/>
    <mergeCell ref="F259:F260"/>
    <mergeCell ref="G262:G264"/>
    <mergeCell ref="E259:E260"/>
    <mergeCell ref="C259:C260"/>
    <mergeCell ref="F257:F258"/>
    <mergeCell ref="E257:E258"/>
    <mergeCell ref="C257:C258"/>
    <mergeCell ref="G274:G275"/>
    <mergeCell ref="G310:G312"/>
    <mergeCell ref="G307:G309"/>
    <mergeCell ref="G279:G283"/>
    <mergeCell ref="F279:F283"/>
    <mergeCell ref="E279:E283"/>
    <mergeCell ref="C279:C283"/>
    <mergeCell ref="C303:C305"/>
    <mergeCell ref="G301:G302"/>
    <mergeCell ref="C295:F295"/>
    <mergeCell ref="F276:F277"/>
    <mergeCell ref="E276:E277"/>
    <mergeCell ref="G276:G277"/>
    <mergeCell ref="G272:G273"/>
    <mergeCell ref="C276:C277"/>
    <mergeCell ref="F288:F290"/>
    <mergeCell ref="G288:G290"/>
    <mergeCell ref="F310:F312"/>
    <mergeCell ref="G296:G297"/>
    <mergeCell ref="G291:G294"/>
    <mergeCell ref="G284:G287"/>
    <mergeCell ref="E274:E275"/>
    <mergeCell ref="C274:C275"/>
    <mergeCell ref="F274:F275"/>
    <mergeCell ref="F272:F273"/>
    <mergeCell ref="E272:E273"/>
    <mergeCell ref="F320:F322"/>
    <mergeCell ref="E320:E322"/>
    <mergeCell ref="C320:C322"/>
    <mergeCell ref="F316:F318"/>
    <mergeCell ref="C319:F319"/>
    <mergeCell ref="G316:G318"/>
    <mergeCell ref="E313:E315"/>
    <mergeCell ref="F326:F328"/>
    <mergeCell ref="E347:E348"/>
    <mergeCell ref="F347:F348"/>
    <mergeCell ref="F360:F361"/>
    <mergeCell ref="C336:C337"/>
    <mergeCell ref="G360:G361"/>
    <mergeCell ref="C316:C318"/>
    <mergeCell ref="G333:G335"/>
    <mergeCell ref="F333:F335"/>
    <mergeCell ref="G329:G331"/>
    <mergeCell ref="G362:G363"/>
    <mergeCell ref="G347:G348"/>
    <mergeCell ref="G336:G337"/>
    <mergeCell ref="F351:F352"/>
    <mergeCell ref="E351:E352"/>
    <mergeCell ref="G349:G350"/>
    <mergeCell ref="F349:F350"/>
    <mergeCell ref="G351:G352"/>
    <mergeCell ref="F357:F358"/>
    <mergeCell ref="F353:F354"/>
    <mergeCell ref="C355:C356"/>
    <mergeCell ref="C357:C358"/>
    <mergeCell ref="C359:F359"/>
    <mergeCell ref="F345:F346"/>
    <mergeCell ref="C342:F342"/>
    <mergeCell ref="E360:E361"/>
    <mergeCell ref="C360:C361"/>
    <mergeCell ref="C345:C346"/>
    <mergeCell ref="C347:C348"/>
    <mergeCell ref="E384:E386"/>
    <mergeCell ref="C374:C376"/>
    <mergeCell ref="C380:F380"/>
    <mergeCell ref="F368:F370"/>
    <mergeCell ref="G387:G389"/>
    <mergeCell ref="F387:F389"/>
    <mergeCell ref="G381:G383"/>
    <mergeCell ref="G384:G386"/>
    <mergeCell ref="C366:C367"/>
    <mergeCell ref="G364:G365"/>
    <mergeCell ref="E407:E408"/>
    <mergeCell ref="C407:C408"/>
    <mergeCell ref="C405:C406"/>
    <mergeCell ref="C401:C402"/>
    <mergeCell ref="G401:G402"/>
    <mergeCell ref="F401:F402"/>
    <mergeCell ref="E401:E402"/>
    <mergeCell ref="F364:F365"/>
    <mergeCell ref="E364:E365"/>
    <mergeCell ref="C377:C379"/>
    <mergeCell ref="F374:F376"/>
    <mergeCell ref="E374:E376"/>
    <mergeCell ref="G366:G367"/>
    <mergeCell ref="G430:G432"/>
    <mergeCell ref="C413:F413"/>
    <mergeCell ref="C419:C421"/>
    <mergeCell ref="D419:D421"/>
    <mergeCell ref="F416:F418"/>
    <mergeCell ref="E416:E418"/>
    <mergeCell ref="D416:D418"/>
    <mergeCell ref="C416:C418"/>
    <mergeCell ref="C422:C423"/>
    <mergeCell ref="C390:C391"/>
    <mergeCell ref="F399:F400"/>
    <mergeCell ref="E397:E398"/>
    <mergeCell ref="C397:C398"/>
    <mergeCell ref="E394:E395"/>
    <mergeCell ref="F397:F398"/>
    <mergeCell ref="C399:C400"/>
    <mergeCell ref="F422:F423"/>
    <mergeCell ref="E422:E423"/>
    <mergeCell ref="G409:G410"/>
    <mergeCell ref="C6:C7"/>
    <mergeCell ref="F6:F7"/>
    <mergeCell ref="D6:D7"/>
    <mergeCell ref="E5:F5"/>
    <mergeCell ref="C42:F42"/>
    <mergeCell ref="E6:E7"/>
    <mergeCell ref="C15:F15"/>
    <mergeCell ref="C35:F35"/>
    <mergeCell ref="C25:F25"/>
    <mergeCell ref="G6:G7"/>
    <mergeCell ref="F409:F410"/>
    <mergeCell ref="G407:G408"/>
    <mergeCell ref="C424:C425"/>
    <mergeCell ref="G419:G421"/>
    <mergeCell ref="F419:F421"/>
    <mergeCell ref="F394:F395"/>
    <mergeCell ref="E3:F4"/>
    <mergeCell ref="G394:G395"/>
    <mergeCell ref="G416:G418"/>
    <mergeCell ref="G397:G398"/>
    <mergeCell ref="E424:E425"/>
    <mergeCell ref="G403:G404"/>
    <mergeCell ref="D424:D425"/>
    <mergeCell ref="C4:D4"/>
    <mergeCell ref="G411:G412"/>
    <mergeCell ref="C403:C404"/>
    <mergeCell ref="F403:F404"/>
    <mergeCell ref="E403:E404"/>
    <mergeCell ref="E411:E412"/>
    <mergeCell ref="F411:F412"/>
    <mergeCell ref="E409:E410"/>
    <mergeCell ref="G399:G400"/>
    <mergeCell ref="G475:G477"/>
    <mergeCell ref="G450:G451"/>
    <mergeCell ref="F450:F451"/>
    <mergeCell ref="E450:E451"/>
    <mergeCell ref="C450:C451"/>
    <mergeCell ref="G469:G471"/>
    <mergeCell ref="C442:C444"/>
    <mergeCell ref="C436:C438"/>
    <mergeCell ref="C439:C441"/>
    <mergeCell ref="E436:E438"/>
    <mergeCell ref="D439:D441"/>
    <mergeCell ref="D436:D438"/>
    <mergeCell ref="F442:F444"/>
    <mergeCell ref="D442:D444"/>
    <mergeCell ref="D445:D446"/>
    <mergeCell ref="C445:C446"/>
    <mergeCell ref="G442:G444"/>
    <mergeCell ref="G436:G438"/>
    <mergeCell ref="E442:E444"/>
    <mergeCell ref="F439:F441"/>
    <mergeCell ref="E439:E441"/>
    <mergeCell ref="F445:F446"/>
    <mergeCell ref="F436:F438"/>
    <mergeCell ref="E557:E558"/>
    <mergeCell ref="G536:G539"/>
    <mergeCell ref="E506:E509"/>
    <mergeCell ref="D514:D517"/>
    <mergeCell ref="F506:F509"/>
    <mergeCell ref="D531:D534"/>
    <mergeCell ref="G540:G543"/>
    <mergeCell ref="C535:F535"/>
    <mergeCell ref="G531:G534"/>
    <mergeCell ref="C549:C550"/>
    <mergeCell ref="C536:C539"/>
    <mergeCell ref="D506:D509"/>
    <mergeCell ref="E544:E547"/>
    <mergeCell ref="F531:F534"/>
    <mergeCell ref="F519:F522"/>
    <mergeCell ref="G506:G509"/>
    <mergeCell ref="G510:G513"/>
    <mergeCell ref="C50:F50"/>
    <mergeCell ref="G568:G569"/>
    <mergeCell ref="C568:C569"/>
    <mergeCell ref="E117:E118"/>
    <mergeCell ref="C117:C118"/>
    <mergeCell ref="E568:E569"/>
    <mergeCell ref="C115:C116"/>
    <mergeCell ref="D561:D562"/>
    <mergeCell ref="F561:F562"/>
    <mergeCell ref="G564:G565"/>
    <mergeCell ref="G527:G530"/>
    <mergeCell ref="G544:G547"/>
    <mergeCell ref="F544:F547"/>
    <mergeCell ref="F549:F550"/>
    <mergeCell ref="G549:G550"/>
    <mergeCell ref="C551:F551"/>
    <mergeCell ref="E561:E562"/>
    <mergeCell ref="G561:G562"/>
    <mergeCell ref="E564:E565"/>
    <mergeCell ref="F557:F558"/>
    <mergeCell ref="G557:G558"/>
    <mergeCell ref="D559:D560"/>
    <mergeCell ref="D549:D550"/>
    <mergeCell ref="D544:D547"/>
    <mergeCell ref="F559:F560"/>
    <mergeCell ref="F536:F539"/>
    <mergeCell ref="E536:E539"/>
    <mergeCell ref="F540:F543"/>
    <mergeCell ref="E540:E543"/>
    <mergeCell ref="D557:D558"/>
    <mergeCell ref="E549:E550"/>
    <mergeCell ref="C557:C558"/>
    <mergeCell ref="C857:F857"/>
    <mergeCell ref="C564:C565"/>
    <mergeCell ref="C563:F563"/>
    <mergeCell ref="C559:C560"/>
    <mergeCell ref="G559:G560"/>
    <mergeCell ref="E656:E658"/>
    <mergeCell ref="C650:C652"/>
    <mergeCell ref="C666:C668"/>
    <mergeCell ref="D669:D671"/>
    <mergeCell ref="C645:C647"/>
    <mergeCell ref="F631:F633"/>
    <mergeCell ref="D650:D652"/>
    <mergeCell ref="E653:E655"/>
    <mergeCell ref="F645:F647"/>
    <mergeCell ref="C656:C658"/>
    <mergeCell ref="C640:C643"/>
    <mergeCell ref="C634:C636"/>
    <mergeCell ref="F637:F639"/>
    <mergeCell ref="E637:E639"/>
    <mergeCell ref="F634:F636"/>
    <mergeCell ref="C852:F852"/>
    <mergeCell ref="F794:F796"/>
    <mergeCell ref="E794:E796"/>
    <mergeCell ref="C794:C796"/>
    <mergeCell ref="E807:E809"/>
    <mergeCell ref="C807:C809"/>
    <mergeCell ref="E559:E560"/>
    <mergeCell ref="F576:F577"/>
    <mergeCell ref="E576:E577"/>
    <mergeCell ref="F574:F575"/>
    <mergeCell ref="E574:E575"/>
    <mergeCell ref="C574:C575"/>
    <mergeCell ref="G834:G835"/>
    <mergeCell ref="E797:E799"/>
    <mergeCell ref="F791:F793"/>
    <mergeCell ref="E791:E793"/>
    <mergeCell ref="G810:G812"/>
    <mergeCell ref="F714:F716"/>
    <mergeCell ref="E714:E716"/>
    <mergeCell ref="C714:C716"/>
    <mergeCell ref="D711:D713"/>
    <mergeCell ref="D714:D716"/>
    <mergeCell ref="D717:D719"/>
    <mergeCell ref="E736:E738"/>
    <mergeCell ref="C733:C735"/>
    <mergeCell ref="E755:E757"/>
    <mergeCell ref="C755:C757"/>
    <mergeCell ref="C758:F758"/>
    <mergeCell ref="G755:G757"/>
    <mergeCell ref="F759:F761"/>
    <mergeCell ref="E759:E761"/>
    <mergeCell ref="C759:C761"/>
    <mergeCell ref="D759:D761"/>
    <mergeCell ref="F762:F764"/>
    <mergeCell ref="E762:E764"/>
    <mergeCell ref="C762:C764"/>
    <mergeCell ref="G759:G761"/>
    <mergeCell ref="G762:G764"/>
    <mergeCell ref="F765:F767"/>
    <mergeCell ref="E765:E767"/>
    <mergeCell ref="C765:C767"/>
    <mergeCell ref="D765:D767"/>
    <mergeCell ref="F755:F757"/>
    <mergeCell ref="G794:G796"/>
    <mergeCell ref="G749:G751"/>
    <mergeCell ref="C688:C690"/>
    <mergeCell ref="F675:F677"/>
    <mergeCell ref="G678:G680"/>
    <mergeCell ref="G681:G683"/>
    <mergeCell ref="G675:G677"/>
    <mergeCell ref="C672:F672"/>
    <mergeCell ref="G669:G671"/>
    <mergeCell ref="G698:G700"/>
    <mergeCell ref="D733:D735"/>
    <mergeCell ref="E711:E713"/>
    <mergeCell ref="C711:C713"/>
    <mergeCell ref="F711:F713"/>
    <mergeCell ref="G711:G713"/>
    <mergeCell ref="G714:G716"/>
    <mergeCell ref="E717:E719"/>
    <mergeCell ref="C717:C719"/>
    <mergeCell ref="F694:F696"/>
    <mergeCell ref="E694:E696"/>
    <mergeCell ref="C694:C696"/>
    <mergeCell ref="D698:D700"/>
    <mergeCell ref="F673:F674"/>
    <mergeCell ref="C720:C722"/>
    <mergeCell ref="E723:E725"/>
    <mergeCell ref="F727:F729"/>
    <mergeCell ref="E727:E729"/>
    <mergeCell ref="D727:D729"/>
    <mergeCell ref="D723:D725"/>
    <mergeCell ref="C726:F726"/>
    <mergeCell ref="F723:F725"/>
    <mergeCell ref="F717:F719"/>
    <mergeCell ref="C727:C729"/>
    <mergeCell ref="F663:F665"/>
    <mergeCell ref="E663:E665"/>
    <mergeCell ref="C663:C665"/>
    <mergeCell ref="F572:F573"/>
    <mergeCell ref="E572:E573"/>
    <mergeCell ref="C572:C573"/>
    <mergeCell ref="E570:E571"/>
    <mergeCell ref="C570:C571"/>
    <mergeCell ref="D570:D571"/>
    <mergeCell ref="F691:F693"/>
    <mergeCell ref="E691:E693"/>
    <mergeCell ref="F650:F652"/>
    <mergeCell ref="E650:E652"/>
    <mergeCell ref="E634:E636"/>
    <mergeCell ref="C578:F578"/>
    <mergeCell ref="D576:D577"/>
    <mergeCell ref="F579:F580"/>
    <mergeCell ref="E579:E580"/>
    <mergeCell ref="C579:C580"/>
    <mergeCell ref="F581:F582"/>
    <mergeCell ref="F666:F668"/>
    <mergeCell ref="E666:E668"/>
    <mergeCell ref="C685:C687"/>
    <mergeCell ref="E669:E671"/>
    <mergeCell ref="C669:C671"/>
    <mergeCell ref="D666:D668"/>
    <mergeCell ref="D663:D665"/>
    <mergeCell ref="D660:D662"/>
    <mergeCell ref="C576:C577"/>
    <mergeCell ref="F570:F571"/>
    <mergeCell ref="F599:F601"/>
    <mergeCell ref="C599:C601"/>
    <mergeCell ref="F564:F565"/>
    <mergeCell ref="F568:F569"/>
    <mergeCell ref="D564:D565"/>
    <mergeCell ref="C561:C562"/>
    <mergeCell ref="D566:D567"/>
    <mergeCell ref="G566:G567"/>
    <mergeCell ref="D574:D575"/>
    <mergeCell ref="E660:E662"/>
    <mergeCell ref="C660:C662"/>
    <mergeCell ref="G570:G571"/>
    <mergeCell ref="G579:G580"/>
    <mergeCell ref="G581:G582"/>
    <mergeCell ref="E581:E582"/>
    <mergeCell ref="C581:C582"/>
    <mergeCell ref="D579:D580"/>
    <mergeCell ref="G583:G584"/>
    <mergeCell ref="F583:F584"/>
    <mergeCell ref="E583:E584"/>
    <mergeCell ref="C583:C584"/>
    <mergeCell ref="F585:F586"/>
    <mergeCell ref="F656:F658"/>
    <mergeCell ref="G656:G658"/>
    <mergeCell ref="C566:C567"/>
    <mergeCell ref="G576:G577"/>
    <mergeCell ref="F566:F567"/>
    <mergeCell ref="E566:E567"/>
    <mergeCell ref="D568:D569"/>
    <mergeCell ref="G574:G575"/>
    <mergeCell ref="G572:G573"/>
    <mergeCell ref="G599:G601"/>
    <mergeCell ref="G602:G604"/>
    <mergeCell ref="F621:F623"/>
    <mergeCell ref="C94:C96"/>
    <mergeCell ref="G439:G441"/>
    <mergeCell ref="D523:D526"/>
    <mergeCell ref="F523:F526"/>
    <mergeCell ref="E523:E526"/>
    <mergeCell ref="C523:C526"/>
    <mergeCell ref="G519:G522"/>
    <mergeCell ref="G514:G517"/>
    <mergeCell ref="G345:G346"/>
    <mergeCell ref="G343:G344"/>
    <mergeCell ref="C137:C138"/>
    <mergeCell ref="F68:F69"/>
    <mergeCell ref="F109:F111"/>
    <mergeCell ref="G122:G124"/>
    <mergeCell ref="F122:F124"/>
    <mergeCell ref="G131:G133"/>
    <mergeCell ref="G125:G127"/>
    <mergeCell ref="C493:C496"/>
    <mergeCell ref="F497:F500"/>
    <mergeCell ref="E497:E500"/>
    <mergeCell ref="D502:D505"/>
    <mergeCell ref="D489:D492"/>
    <mergeCell ref="D485:D488"/>
    <mergeCell ref="C497:C500"/>
    <mergeCell ref="E489:E492"/>
    <mergeCell ref="C489:C492"/>
    <mergeCell ref="G489:G492"/>
    <mergeCell ref="D475:D477"/>
    <mergeCell ref="F489:F492"/>
    <mergeCell ref="G472:G474"/>
    <mergeCell ref="F478:F479"/>
    <mergeCell ref="G485:G488"/>
    <mergeCell ref="C120:C121"/>
    <mergeCell ref="F120:F121"/>
    <mergeCell ref="E122:E124"/>
    <mergeCell ref="C113:C114"/>
    <mergeCell ref="C105:C108"/>
    <mergeCell ref="F97:F100"/>
    <mergeCell ref="E97:E100"/>
    <mergeCell ref="C156:F156"/>
    <mergeCell ref="F149:F151"/>
    <mergeCell ref="E149:E151"/>
    <mergeCell ref="F131:F133"/>
    <mergeCell ref="C129:C130"/>
    <mergeCell ref="F115:F116"/>
    <mergeCell ref="G113:G114"/>
    <mergeCell ref="C122:C124"/>
    <mergeCell ref="C128:F128"/>
    <mergeCell ref="F129:F130"/>
    <mergeCell ref="E129:E130"/>
    <mergeCell ref="F125:F127"/>
    <mergeCell ref="C145:F145"/>
    <mergeCell ref="F142:F144"/>
    <mergeCell ref="E142:E144"/>
    <mergeCell ref="C142:C144"/>
    <mergeCell ref="F137:F138"/>
    <mergeCell ref="E137:E138"/>
    <mergeCell ref="E139:E141"/>
    <mergeCell ref="C139:C141"/>
    <mergeCell ref="F139:F141"/>
    <mergeCell ref="G137:G138"/>
    <mergeCell ref="C119:F119"/>
    <mergeCell ref="F117:F118"/>
    <mergeCell ref="E115:E116"/>
    <mergeCell ref="G142:G144"/>
    <mergeCell ref="F134:F135"/>
    <mergeCell ref="E134:E135"/>
    <mergeCell ref="C134:C135"/>
    <mergeCell ref="C169:F169"/>
    <mergeCell ref="C173:C175"/>
    <mergeCell ref="G165:G168"/>
    <mergeCell ref="G523:G526"/>
    <mergeCell ref="G170:G172"/>
    <mergeCell ref="C179:F179"/>
    <mergeCell ref="G157:G160"/>
    <mergeCell ref="E157:E160"/>
    <mergeCell ref="G185:G188"/>
    <mergeCell ref="G176:G178"/>
    <mergeCell ref="F170:F172"/>
    <mergeCell ref="C125:C127"/>
    <mergeCell ref="E125:E127"/>
    <mergeCell ref="F480:F481"/>
    <mergeCell ref="G502:G505"/>
    <mergeCell ref="C502:C505"/>
    <mergeCell ref="G493:G496"/>
    <mergeCell ref="C501:F501"/>
    <mergeCell ref="G497:G500"/>
    <mergeCell ref="F469:F471"/>
    <mergeCell ref="F475:F477"/>
    <mergeCell ref="G483:G484"/>
    <mergeCell ref="G480:G481"/>
    <mergeCell ref="G478:G479"/>
    <mergeCell ref="C482:F482"/>
    <mergeCell ref="E483:E484"/>
    <mergeCell ref="C483:C484"/>
    <mergeCell ref="C469:C471"/>
    <mergeCell ref="E531:E534"/>
    <mergeCell ref="C531:C534"/>
    <mergeCell ref="F527:F530"/>
    <mergeCell ref="E527:E530"/>
    <mergeCell ref="C296:C297"/>
    <mergeCell ref="E303:E305"/>
    <mergeCell ref="C227:C228"/>
    <mergeCell ref="D527:D530"/>
    <mergeCell ref="C527:C530"/>
    <mergeCell ref="D519:D522"/>
    <mergeCell ref="E519:E522"/>
    <mergeCell ref="C519:C522"/>
    <mergeCell ref="C506:C509"/>
    <mergeCell ref="D510:D513"/>
    <mergeCell ref="E514:E517"/>
    <mergeCell ref="C514:C517"/>
    <mergeCell ref="C518:F518"/>
    <mergeCell ref="F514:F517"/>
    <mergeCell ref="F510:F513"/>
    <mergeCell ref="F301:F302"/>
    <mergeCell ref="E301:E302"/>
    <mergeCell ref="F472:F474"/>
    <mergeCell ref="D483:D484"/>
    <mergeCell ref="E469:E471"/>
    <mergeCell ref="F452:F453"/>
    <mergeCell ref="E452:E453"/>
    <mergeCell ref="C452:C453"/>
    <mergeCell ref="E475:E477"/>
    <mergeCell ref="F483:F484"/>
    <mergeCell ref="D472:D474"/>
    <mergeCell ref="F430:F432"/>
    <mergeCell ref="F424:F425"/>
    <mergeCell ref="F291:F294"/>
    <mergeCell ref="C288:C290"/>
    <mergeCell ref="F336:F337"/>
    <mergeCell ref="E336:E337"/>
    <mergeCell ref="F323:F325"/>
    <mergeCell ref="E323:E325"/>
    <mergeCell ref="E510:E513"/>
    <mergeCell ref="C510:C513"/>
    <mergeCell ref="F485:F488"/>
    <mergeCell ref="E485:E488"/>
    <mergeCell ref="F502:F505"/>
    <mergeCell ref="D497:D500"/>
    <mergeCell ref="D493:D496"/>
    <mergeCell ref="E345:E346"/>
    <mergeCell ref="C291:C294"/>
    <mergeCell ref="F284:F287"/>
    <mergeCell ref="C323:C325"/>
    <mergeCell ref="F377:F379"/>
    <mergeCell ref="E377:E379"/>
    <mergeCell ref="F362:F363"/>
    <mergeCell ref="F366:F367"/>
    <mergeCell ref="D433:D435"/>
    <mergeCell ref="E430:E432"/>
    <mergeCell ref="E433:E435"/>
    <mergeCell ref="D430:D432"/>
    <mergeCell ref="C429:F429"/>
    <mergeCell ref="D426:D428"/>
    <mergeCell ref="E399:E400"/>
    <mergeCell ref="E405:E406"/>
    <mergeCell ref="C411:C412"/>
    <mergeCell ref="F390:F391"/>
    <mergeCell ref="E390:E391"/>
    <mergeCell ref="F222:F224"/>
    <mergeCell ref="E222:E224"/>
    <mergeCell ref="C222:C224"/>
    <mergeCell ref="C240:C241"/>
    <mergeCell ref="F237:F239"/>
    <mergeCell ref="E237:E239"/>
    <mergeCell ref="C237:C239"/>
    <mergeCell ref="C244:F244"/>
    <mergeCell ref="C242:C243"/>
    <mergeCell ref="G242:G243"/>
    <mergeCell ref="G237:G239"/>
    <mergeCell ref="G240:G241"/>
    <mergeCell ref="F240:F241"/>
    <mergeCell ref="E240:E241"/>
    <mergeCell ref="C253:F253"/>
    <mergeCell ref="G250:G252"/>
    <mergeCell ref="F250:F252"/>
    <mergeCell ref="E245:E247"/>
    <mergeCell ref="E250:E252"/>
    <mergeCell ref="C250:C252"/>
    <mergeCell ref="F248:F249"/>
    <mergeCell ref="E248:E249"/>
    <mergeCell ref="C313:C315"/>
    <mergeCell ref="F303:F305"/>
    <mergeCell ref="G326:G328"/>
    <mergeCell ref="C301:C302"/>
    <mergeCell ref="E326:E328"/>
    <mergeCell ref="C326:C328"/>
    <mergeCell ref="G323:G325"/>
    <mergeCell ref="F313:F315"/>
    <mergeCell ref="E316:E318"/>
    <mergeCell ref="F307:F309"/>
    <mergeCell ref="E307:E309"/>
    <mergeCell ref="C307:C309"/>
    <mergeCell ref="C306:F306"/>
    <mergeCell ref="G303:G305"/>
    <mergeCell ref="C248:C249"/>
    <mergeCell ref="C245:C247"/>
    <mergeCell ref="F245:F247"/>
    <mergeCell ref="G248:G249"/>
    <mergeCell ref="F296:F297"/>
    <mergeCell ref="E296:E297"/>
    <mergeCell ref="C298:C300"/>
    <mergeCell ref="E298:E300"/>
    <mergeCell ref="G298:G300"/>
    <mergeCell ref="F298:F300"/>
    <mergeCell ref="G265:G267"/>
    <mergeCell ref="C271:F271"/>
    <mergeCell ref="C284:C287"/>
    <mergeCell ref="E284:E287"/>
    <mergeCell ref="C278:F278"/>
    <mergeCell ref="E291:E294"/>
    <mergeCell ref="E288:E290"/>
    <mergeCell ref="G268:G270"/>
    <mergeCell ref="E366:E367"/>
    <mergeCell ref="F355:F356"/>
    <mergeCell ref="G357:G358"/>
    <mergeCell ref="G355:G356"/>
    <mergeCell ref="E353:E354"/>
    <mergeCell ref="C349:C350"/>
    <mergeCell ref="C351:C352"/>
    <mergeCell ref="C353:C354"/>
    <mergeCell ref="G353:G354"/>
    <mergeCell ref="E357:E358"/>
    <mergeCell ref="E355:E356"/>
    <mergeCell ref="E362:E363"/>
    <mergeCell ref="C362:C363"/>
    <mergeCell ref="C364:C365"/>
    <mergeCell ref="E349:E350"/>
    <mergeCell ref="G313:G315"/>
    <mergeCell ref="E310:E312"/>
    <mergeCell ref="C310:C312"/>
    <mergeCell ref="C343:C344"/>
    <mergeCell ref="G338:G339"/>
    <mergeCell ref="F338:F339"/>
    <mergeCell ref="E338:E339"/>
    <mergeCell ref="C338:C339"/>
    <mergeCell ref="F329:F331"/>
    <mergeCell ref="E329:E331"/>
    <mergeCell ref="F343:F344"/>
    <mergeCell ref="E343:E344"/>
    <mergeCell ref="E333:E335"/>
    <mergeCell ref="C332:F332"/>
    <mergeCell ref="C329:C331"/>
    <mergeCell ref="C333:C335"/>
    <mergeCell ref="G320:G322"/>
    <mergeCell ref="G466:G468"/>
    <mergeCell ref="F466:F468"/>
    <mergeCell ref="E458:E459"/>
    <mergeCell ref="C458:C459"/>
    <mergeCell ref="D458:D459"/>
    <mergeCell ref="E445:E446"/>
    <mergeCell ref="E466:E468"/>
    <mergeCell ref="F447:F448"/>
    <mergeCell ref="E368:E370"/>
    <mergeCell ref="E387:E389"/>
    <mergeCell ref="C387:C389"/>
    <mergeCell ref="E381:E383"/>
    <mergeCell ref="C384:C386"/>
    <mergeCell ref="G377:G379"/>
    <mergeCell ref="G374:G376"/>
    <mergeCell ref="C368:C370"/>
    <mergeCell ref="F381:F383"/>
    <mergeCell ref="F384:F386"/>
    <mergeCell ref="C381:C383"/>
    <mergeCell ref="G368:G370"/>
    <mergeCell ref="F371:F373"/>
    <mergeCell ref="E371:E373"/>
    <mergeCell ref="G390:G391"/>
    <mergeCell ref="G371:G373"/>
    <mergeCell ref="C371:C373"/>
    <mergeCell ref="G424:G425"/>
    <mergeCell ref="G426:G428"/>
    <mergeCell ref="G433:G435"/>
    <mergeCell ref="G392:G393"/>
    <mergeCell ref="G405:G406"/>
    <mergeCell ref="E392:E393"/>
    <mergeCell ref="G422:G423"/>
    <mergeCell ref="G462:G464"/>
    <mergeCell ref="F462:F464"/>
    <mergeCell ref="E462:E464"/>
    <mergeCell ref="C462:C464"/>
    <mergeCell ref="D462:D464"/>
    <mergeCell ref="C449:F449"/>
    <mergeCell ref="D447:D448"/>
    <mergeCell ref="G456:G457"/>
    <mergeCell ref="C460:C461"/>
    <mergeCell ref="G454:G455"/>
    <mergeCell ref="E460:E461"/>
    <mergeCell ref="G460:G461"/>
    <mergeCell ref="F458:F459"/>
    <mergeCell ref="G458:G459"/>
    <mergeCell ref="G445:G446"/>
    <mergeCell ref="G447:G448"/>
    <mergeCell ref="E447:E448"/>
    <mergeCell ref="C447:C448"/>
    <mergeCell ref="G452:G453"/>
    <mergeCell ref="C456:C457"/>
    <mergeCell ref="F456:F457"/>
    <mergeCell ref="E456:E457"/>
    <mergeCell ref="F460:F461"/>
    <mergeCell ref="F454:F455"/>
    <mergeCell ref="E454:E455"/>
    <mergeCell ref="C454:C455"/>
    <mergeCell ref="D454:D455"/>
    <mergeCell ref="C396:F396"/>
    <mergeCell ref="F392:F393"/>
    <mergeCell ref="C394:C395"/>
    <mergeCell ref="E426:E428"/>
    <mergeCell ref="C426:C428"/>
    <mergeCell ref="C409:C410"/>
    <mergeCell ref="E472:E474"/>
    <mergeCell ref="C472:C474"/>
    <mergeCell ref="C480:C481"/>
    <mergeCell ref="C475:C477"/>
    <mergeCell ref="F433:F435"/>
    <mergeCell ref="E502:E505"/>
    <mergeCell ref="C392:C393"/>
    <mergeCell ref="D480:D481"/>
    <mergeCell ref="E480:E481"/>
    <mergeCell ref="C478:C479"/>
    <mergeCell ref="E478:E479"/>
    <mergeCell ref="C466:C468"/>
    <mergeCell ref="C465:F465"/>
    <mergeCell ref="F426:F428"/>
    <mergeCell ref="C430:C432"/>
    <mergeCell ref="C433:C435"/>
    <mergeCell ref="F407:F408"/>
    <mergeCell ref="F405:F406"/>
    <mergeCell ref="E419:E421"/>
    <mergeCell ref="C485:C488"/>
    <mergeCell ref="F493:F496"/>
    <mergeCell ref="E493:E496"/>
  </mergeCells>
  <phoneticPr fontId="4" type="noConversion"/>
  <conditionalFormatting sqref="C15 G112 G189 G202 G221 G229 G295 G359 G396 G413 G535 G672 G697">
    <cfRule type="cellIs" dxfId="85" priority="927" stopIfTrue="1" operator="equal">
      <formula>0</formula>
    </cfRule>
  </conditionalFormatting>
  <conditionalFormatting sqref="C25 C35 C42 C50">
    <cfRule type="cellIs" dxfId="84" priority="928" stopIfTrue="1" operator="equal">
      <formula>0</formula>
    </cfRule>
  </conditionalFormatting>
  <conditionalFormatting sqref="C58 C67 C78">
    <cfRule type="cellIs" dxfId="83" priority="944" stopIfTrue="1" operator="equal">
      <formula>0</formula>
    </cfRule>
  </conditionalFormatting>
  <conditionalFormatting sqref="C90 C101">
    <cfRule type="cellIs" dxfId="82" priority="1879" stopIfTrue="1" operator="equal">
      <formula>0</formula>
    </cfRule>
  </conditionalFormatting>
  <conditionalFormatting sqref="F8:F15">
    <cfRule type="cellIs" dxfId="81" priority="3" stopIfTrue="1" operator="equal">
      <formula>0</formula>
    </cfRule>
  </conditionalFormatting>
  <conditionalFormatting sqref="F16:F25">
    <cfRule type="cellIs" dxfId="80" priority="16" stopIfTrue="1" operator="equal">
      <formula>0</formula>
    </cfRule>
  </conditionalFormatting>
  <conditionalFormatting sqref="F26:F35">
    <cfRule type="cellIs" dxfId="79" priority="15" stopIfTrue="1" operator="equal">
      <formula>0</formula>
    </cfRule>
  </conditionalFormatting>
  <conditionalFormatting sqref="F36:F42">
    <cfRule type="cellIs" dxfId="78" priority="14" stopIfTrue="1" operator="equal">
      <formula>0</formula>
    </cfRule>
  </conditionalFormatting>
  <conditionalFormatting sqref="F43:F50">
    <cfRule type="cellIs" dxfId="77" priority="13" stopIfTrue="1" operator="equal">
      <formula>0</formula>
    </cfRule>
  </conditionalFormatting>
  <conditionalFormatting sqref="F51:F58">
    <cfRule type="cellIs" dxfId="76" priority="12" stopIfTrue="1" operator="equal">
      <formula>0</formula>
    </cfRule>
  </conditionalFormatting>
  <conditionalFormatting sqref="F59 F61 F63 F65">
    <cfRule type="cellIs" dxfId="75" priority="11" stopIfTrue="1" operator="equal">
      <formula>0</formula>
    </cfRule>
  </conditionalFormatting>
  <conditionalFormatting sqref="F67">
    <cfRule type="cellIs" dxfId="74" priority="17" stopIfTrue="1" operator="equal">
      <formula>0</formula>
    </cfRule>
  </conditionalFormatting>
  <conditionalFormatting sqref="F68 F70 F72 F74 F76">
    <cfRule type="cellIs" dxfId="73" priority="10" stopIfTrue="1" operator="equal">
      <formula>0</formula>
    </cfRule>
  </conditionalFormatting>
  <conditionalFormatting sqref="F78">
    <cfRule type="cellIs" dxfId="72" priority="33" stopIfTrue="1" operator="equal">
      <formula>0</formula>
    </cfRule>
  </conditionalFormatting>
  <conditionalFormatting sqref="F79 F81 F83 F85 F87">
    <cfRule type="cellIs" dxfId="71" priority="9" stopIfTrue="1" operator="equal">
      <formula>0</formula>
    </cfRule>
  </conditionalFormatting>
  <conditionalFormatting sqref="F90">
    <cfRule type="cellIs" dxfId="70" priority="36" stopIfTrue="1" operator="equal">
      <formula>0</formula>
    </cfRule>
  </conditionalFormatting>
  <conditionalFormatting sqref="F91 F94 F97">
    <cfRule type="cellIs" dxfId="69" priority="8" stopIfTrue="1" operator="equal">
      <formula>0</formula>
    </cfRule>
  </conditionalFormatting>
  <conditionalFormatting sqref="F101">
    <cfRule type="cellIs" dxfId="68" priority="35" stopIfTrue="1" operator="equal">
      <formula>0</formula>
    </cfRule>
  </conditionalFormatting>
  <conditionalFormatting sqref="F102 F105">
    <cfRule type="cellIs" dxfId="67" priority="7" stopIfTrue="1" operator="equal">
      <formula>0</formula>
    </cfRule>
  </conditionalFormatting>
  <conditionalFormatting sqref="F109">
    <cfRule type="cellIs" dxfId="66" priority="6" stopIfTrue="1" operator="equal">
      <formula>0</formula>
    </cfRule>
  </conditionalFormatting>
  <conditionalFormatting sqref="F113 F115 F117">
    <cfRule type="cellIs" dxfId="65" priority="5" stopIfTrue="1" operator="equal">
      <formula>0</formula>
    </cfRule>
  </conditionalFormatting>
  <conditionalFormatting sqref="F129">
    <cfRule type="cellIs" dxfId="64" priority="4" stopIfTrue="1" operator="equal">
      <formula>0</formula>
    </cfRule>
  </conditionalFormatting>
  <conditionalFormatting sqref="F131">
    <cfRule type="cellIs" dxfId="63" priority="2" stopIfTrue="1" operator="equal">
      <formula>0</formula>
    </cfRule>
  </conditionalFormatting>
  <conditionalFormatting sqref="F134">
    <cfRule type="cellIs" dxfId="62" priority="1" stopIfTrue="1" operator="equal">
      <formula>0</formula>
    </cfRule>
  </conditionalFormatting>
  <conditionalFormatting sqref="F185:F187">
    <cfRule type="cellIs" dxfId="61" priority="31" stopIfTrue="1" operator="equal">
      <formula>0</formula>
    </cfRule>
  </conditionalFormatting>
  <conditionalFormatting sqref="F198:F200">
    <cfRule type="cellIs" dxfId="60" priority="30" stopIfTrue="1" operator="equal">
      <formula>0</formula>
    </cfRule>
  </conditionalFormatting>
  <conditionalFormatting sqref="F211:F212">
    <cfRule type="cellIs" dxfId="59" priority="29" stopIfTrue="1" operator="equal">
      <formula>0</formula>
    </cfRule>
  </conditionalFormatting>
  <conditionalFormatting sqref="F219:F220">
    <cfRule type="cellIs" dxfId="58" priority="28" stopIfTrue="1" operator="equal">
      <formula>0</formula>
    </cfRule>
  </conditionalFormatting>
  <conditionalFormatting sqref="F227:F228">
    <cfRule type="cellIs" dxfId="57" priority="27" stopIfTrue="1" operator="equal">
      <formula>0</formula>
    </cfRule>
  </conditionalFormatting>
  <conditionalFormatting sqref="F234:F235">
    <cfRule type="cellIs" dxfId="56" priority="26" stopIfTrue="1" operator="equal">
      <formula>0</formula>
    </cfRule>
  </conditionalFormatting>
  <conditionalFormatting sqref="F242:F243">
    <cfRule type="cellIs" dxfId="55" priority="25" stopIfTrue="1" operator="equal">
      <formula>0</formula>
    </cfRule>
  </conditionalFormatting>
  <conditionalFormatting sqref="F250:F252">
    <cfRule type="cellIs" dxfId="54" priority="24" stopIfTrue="1" operator="equal">
      <formula>0</formula>
    </cfRule>
  </conditionalFormatting>
  <conditionalFormatting sqref="F259:F260">
    <cfRule type="cellIs" dxfId="53" priority="23" stopIfTrue="1" operator="equal">
      <formula>0</formula>
    </cfRule>
  </conditionalFormatting>
  <conditionalFormatting sqref="F268:F270">
    <cfRule type="cellIs" dxfId="52" priority="22" stopIfTrue="1" operator="equal">
      <formula>0</formula>
    </cfRule>
  </conditionalFormatting>
  <conditionalFormatting sqref="F276:F277">
    <cfRule type="cellIs" dxfId="51" priority="21" stopIfTrue="1" operator="equal">
      <formula>0</formula>
    </cfRule>
  </conditionalFormatting>
  <conditionalFormatting sqref="F288:F294">
    <cfRule type="cellIs" dxfId="50" priority="20" stopIfTrue="1" operator="equal">
      <formula>0</formula>
    </cfRule>
  </conditionalFormatting>
  <conditionalFormatting sqref="F301:F305 F338:F341">
    <cfRule type="cellIs" dxfId="49" priority="37" stopIfTrue="1" operator="equal">
      <formula>0</formula>
    </cfRule>
  </conditionalFormatting>
  <conditionalFormatting sqref="F313:F318">
    <cfRule type="cellIs" dxfId="48" priority="19" stopIfTrue="1" operator="equal">
      <formula>0</formula>
    </cfRule>
  </conditionalFormatting>
  <conditionalFormatting sqref="F326:F331">
    <cfRule type="cellIs" dxfId="47" priority="18" stopIfTrue="1" operator="equal">
      <formula>0</formula>
    </cfRule>
  </conditionalFormatting>
  <conditionalFormatting sqref="G119">
    <cfRule type="cellIs" dxfId="46" priority="336" stopIfTrue="1" operator="equal">
      <formula>0</formula>
    </cfRule>
  </conditionalFormatting>
  <conditionalFormatting sqref="G128">
    <cfRule type="cellIs" dxfId="45" priority="847" stopIfTrue="1" operator="equal">
      <formula>0</formula>
    </cfRule>
  </conditionalFormatting>
  <conditionalFormatting sqref="G136">
    <cfRule type="cellIs" dxfId="44" priority="315" stopIfTrue="1" operator="equal">
      <formula>0</formula>
    </cfRule>
  </conditionalFormatting>
  <conditionalFormatting sqref="G145">
    <cfRule type="cellIs" dxfId="43" priority="833" stopIfTrue="1" operator="equal">
      <formula>0</formula>
    </cfRule>
  </conditionalFormatting>
  <conditionalFormatting sqref="G156">
    <cfRule type="cellIs" dxfId="42" priority="826" stopIfTrue="1" operator="equal">
      <formula>0</formula>
    </cfRule>
  </conditionalFormatting>
  <conditionalFormatting sqref="G169">
    <cfRule type="cellIs" dxfId="41" priority="819" stopIfTrue="1" operator="equal">
      <formula>0</formula>
    </cfRule>
  </conditionalFormatting>
  <conditionalFormatting sqref="G179">
    <cfRule type="cellIs" dxfId="40" priority="812" stopIfTrue="1" operator="equal">
      <formula>0</formula>
    </cfRule>
  </conditionalFormatting>
  <conditionalFormatting sqref="G213">
    <cfRule type="cellIs" dxfId="39" priority="791" stopIfTrue="1" operator="equal">
      <formula>0</formula>
    </cfRule>
  </conditionalFormatting>
  <conditionalFormatting sqref="G236">
    <cfRule type="cellIs" dxfId="38" priority="770" stopIfTrue="1" operator="equal">
      <formula>0</formula>
    </cfRule>
  </conditionalFormatting>
  <conditionalFormatting sqref="G244">
    <cfRule type="cellIs" dxfId="37" priority="763" stopIfTrue="1" operator="equal">
      <formula>0</formula>
    </cfRule>
  </conditionalFormatting>
  <conditionalFormatting sqref="G253">
    <cfRule type="cellIs" dxfId="36" priority="756" stopIfTrue="1" operator="equal">
      <formula>0</formula>
    </cfRule>
  </conditionalFormatting>
  <conditionalFormatting sqref="G261">
    <cfRule type="cellIs" dxfId="35" priority="749" stopIfTrue="1" operator="equal">
      <formula>0</formula>
    </cfRule>
  </conditionalFormatting>
  <conditionalFormatting sqref="G271">
    <cfRule type="cellIs" dxfId="34" priority="742" stopIfTrue="1" operator="equal">
      <formula>0</formula>
    </cfRule>
  </conditionalFormatting>
  <conditionalFormatting sqref="G278">
    <cfRule type="cellIs" dxfId="33" priority="735" stopIfTrue="1" operator="equal">
      <formula>0</formula>
    </cfRule>
  </conditionalFormatting>
  <conditionalFormatting sqref="G306">
    <cfRule type="cellIs" dxfId="32" priority="721" stopIfTrue="1" operator="equal">
      <formula>0</formula>
    </cfRule>
  </conditionalFormatting>
  <conditionalFormatting sqref="G319">
    <cfRule type="cellIs" dxfId="31" priority="714" stopIfTrue="1" operator="equal">
      <formula>0</formula>
    </cfRule>
  </conditionalFormatting>
  <conditionalFormatting sqref="G332">
    <cfRule type="cellIs" dxfId="30" priority="707" stopIfTrue="1" operator="equal">
      <formula>0</formula>
    </cfRule>
  </conditionalFormatting>
  <conditionalFormatting sqref="G342">
    <cfRule type="cellIs" dxfId="29" priority="700" stopIfTrue="1" operator="equal">
      <formula>0</formula>
    </cfRule>
  </conditionalFormatting>
  <conditionalFormatting sqref="G380">
    <cfRule type="cellIs" dxfId="28" priority="671" stopIfTrue="1" operator="equal">
      <formula>0</formula>
    </cfRule>
  </conditionalFormatting>
  <conditionalFormatting sqref="G429">
    <cfRule type="cellIs" dxfId="27" priority="639" stopIfTrue="1" operator="equal">
      <formula>0</formula>
    </cfRule>
  </conditionalFormatting>
  <conditionalFormatting sqref="G449">
    <cfRule type="cellIs" dxfId="26" priority="629" stopIfTrue="1" operator="equal">
      <formula>0</formula>
    </cfRule>
  </conditionalFormatting>
  <conditionalFormatting sqref="G465">
    <cfRule type="cellIs" dxfId="25" priority="619" stopIfTrue="1" operator="equal">
      <formula>0</formula>
    </cfRule>
  </conditionalFormatting>
  <conditionalFormatting sqref="G482">
    <cfRule type="cellIs" dxfId="24" priority="609" stopIfTrue="1" operator="equal">
      <formula>0</formula>
    </cfRule>
  </conditionalFormatting>
  <conditionalFormatting sqref="G501">
    <cfRule type="cellIs" dxfId="23" priority="599" stopIfTrue="1" operator="equal">
      <formula>0</formula>
    </cfRule>
  </conditionalFormatting>
  <conditionalFormatting sqref="G518">
    <cfRule type="cellIs" dxfId="22" priority="589" stopIfTrue="1" operator="equal">
      <formula>0</formula>
    </cfRule>
  </conditionalFormatting>
  <conditionalFormatting sqref="G551">
    <cfRule type="cellIs" dxfId="21" priority="575" stopIfTrue="1" operator="equal">
      <formula>0</formula>
    </cfRule>
  </conditionalFormatting>
  <conditionalFormatting sqref="G563">
    <cfRule type="cellIs" dxfId="20" priority="568" stopIfTrue="1" operator="equal">
      <formula>0</formula>
    </cfRule>
  </conditionalFormatting>
  <conditionalFormatting sqref="G578">
    <cfRule type="cellIs" dxfId="19" priority="559" stopIfTrue="1" operator="equal">
      <formula>0</formula>
    </cfRule>
  </conditionalFormatting>
  <conditionalFormatting sqref="G593">
    <cfRule type="cellIs" dxfId="18" priority="554" stopIfTrue="1" operator="equal">
      <formula>0</formula>
    </cfRule>
  </conditionalFormatting>
  <conditionalFormatting sqref="G608">
    <cfRule type="cellIs" dxfId="17" priority="549" stopIfTrue="1" operator="equal">
      <formula>0</formula>
    </cfRule>
  </conditionalFormatting>
  <conditionalFormatting sqref="G627">
    <cfRule type="cellIs" dxfId="16" priority="544" stopIfTrue="1" operator="equal">
      <formula>0</formula>
    </cfRule>
  </conditionalFormatting>
  <conditionalFormatting sqref="G644">
    <cfRule type="cellIs" dxfId="15" priority="535" stopIfTrue="1" operator="equal">
      <formula>0</formula>
    </cfRule>
  </conditionalFormatting>
  <conditionalFormatting sqref="G659">
    <cfRule type="cellIs" dxfId="14" priority="527" stopIfTrue="1" operator="equal">
      <formula>0</formula>
    </cfRule>
  </conditionalFormatting>
  <conditionalFormatting sqref="G684">
    <cfRule type="cellIs" dxfId="13" priority="513" stopIfTrue="1" operator="equal">
      <formula>0</formula>
    </cfRule>
  </conditionalFormatting>
  <conditionalFormatting sqref="G710">
    <cfRule type="cellIs" dxfId="12" priority="501" stopIfTrue="1" operator="equal">
      <formula>0</formula>
    </cfRule>
  </conditionalFormatting>
  <conditionalFormatting sqref="G726">
    <cfRule type="cellIs" dxfId="11" priority="495" stopIfTrue="1" operator="equal">
      <formula>0</formula>
    </cfRule>
  </conditionalFormatting>
  <conditionalFormatting sqref="G742">
    <cfRule type="cellIs" dxfId="10" priority="317" stopIfTrue="1" operator="equal">
      <formula>0</formula>
    </cfRule>
  </conditionalFormatting>
  <conditionalFormatting sqref="G758">
    <cfRule type="cellIs" dxfId="9" priority="479" stopIfTrue="1" operator="equal">
      <formula>0</formula>
    </cfRule>
  </conditionalFormatting>
  <conditionalFormatting sqref="G774">
    <cfRule type="cellIs" dxfId="8" priority="471" stopIfTrue="1" operator="equal">
      <formula>0</formula>
    </cfRule>
  </conditionalFormatting>
  <conditionalFormatting sqref="G790">
    <cfRule type="cellIs" dxfId="7" priority="463" stopIfTrue="1" operator="equal">
      <formula>0</formula>
    </cfRule>
  </conditionalFormatting>
  <conditionalFormatting sqref="G806">
    <cfRule type="cellIs" dxfId="6" priority="455" stopIfTrue="1" operator="equal">
      <formula>0</formula>
    </cfRule>
  </conditionalFormatting>
  <conditionalFormatting sqref="G821">
    <cfRule type="cellIs" dxfId="5" priority="447" stopIfTrue="1" operator="equal">
      <formula>0</formula>
    </cfRule>
  </conditionalFormatting>
  <conditionalFormatting sqref="G836">
    <cfRule type="cellIs" dxfId="4" priority="419" stopIfTrue="1" operator="equal">
      <formula>0</formula>
    </cfRule>
  </conditionalFormatting>
  <conditionalFormatting sqref="G842">
    <cfRule type="cellIs" dxfId="3" priority="362" stopIfTrue="1" operator="equal">
      <formula>0</formula>
    </cfRule>
  </conditionalFormatting>
  <conditionalFormatting sqref="G848">
    <cfRule type="cellIs" dxfId="2" priority="428" stopIfTrue="1" operator="equal">
      <formula>0</formula>
    </cfRule>
  </conditionalFormatting>
  <conditionalFormatting sqref="G852">
    <cfRule type="cellIs" dxfId="1" priority="413" stopIfTrue="1" operator="equal">
      <formula>0</formula>
    </cfRule>
  </conditionalFormatting>
  <conditionalFormatting sqref="G857">
    <cfRule type="cellIs" dxfId="0" priority="405" stopIfTrue="1" operator="equal">
      <formula>0</formula>
    </cfRule>
  </conditionalFormatting>
  <printOptions horizontalCentered="1"/>
  <pageMargins left="0.23622047244094491" right="0.23622047244094491" top="0.55118110236220474" bottom="0.35433070866141736" header="0.39370078740157483" footer="0.31496062992125984"/>
  <pageSetup paperSize="9" scale="46" fitToHeight="0" orientation="landscape" r:id="rId1"/>
  <headerFooter>
    <oddFooter>&amp;C&amp;20Page &amp;P of &amp;N</oddFooter>
  </headerFooter>
  <rowBreaks count="68" manualBreakCount="68">
    <brk id="15" max="6" man="1"/>
    <brk id="25" max="6" man="1"/>
    <brk id="35" max="6" man="1"/>
    <brk id="42" max="6" man="1"/>
    <brk id="50" max="6" man="1"/>
    <brk id="58" max="6" man="1"/>
    <brk id="67" max="6" man="1"/>
    <brk id="78" max="6" man="1"/>
    <brk id="90" max="6" man="1"/>
    <brk id="101" max="6" man="1"/>
    <brk id="112" max="6" man="1"/>
    <brk id="119" max="6" man="1"/>
    <brk id="128" max="6" man="1"/>
    <brk id="136" max="6" man="1"/>
    <brk id="145" max="6" man="1"/>
    <brk id="156" max="6" man="1"/>
    <brk id="169" max="6" man="1"/>
    <brk id="179" max="6" man="1"/>
    <brk id="189" max="6" man="1"/>
    <brk id="202" max="6" man="1"/>
    <brk id="213" max="6" man="1"/>
    <brk id="221" max="6" man="1"/>
    <brk id="229" max="6" man="1"/>
    <brk id="236" max="6" man="1"/>
    <brk id="244" max="6" man="1"/>
    <brk id="253" max="6" man="1"/>
    <brk id="261" max="6" man="1"/>
    <brk id="271" max="6" man="1"/>
    <brk id="278" max="6" man="1"/>
    <brk id="295" max="6" man="1"/>
    <brk id="306" max="6" man="1"/>
    <brk id="319" max="6" man="1"/>
    <brk id="332" max="6" man="1"/>
    <brk id="342" max="6" man="1"/>
    <brk id="359" max="6" man="1"/>
    <brk id="380" max="6" man="1"/>
    <brk id="396" max="6" man="1"/>
    <brk id="413" max="6" man="1"/>
    <brk id="429" max="6" man="1"/>
    <brk id="449" max="6" man="1"/>
    <brk id="465" max="6" man="1"/>
    <brk id="482" max="6" man="1"/>
    <brk id="501" max="6" man="1"/>
    <brk id="518" max="6" man="1"/>
    <brk id="535" max="6" man="1"/>
    <brk id="551" max="6" man="1"/>
    <brk id="563" max="6" man="1"/>
    <brk id="578" max="6" man="1"/>
    <brk id="593" max="6" man="1"/>
    <brk id="608" max="6" man="1"/>
    <brk id="627" max="6" man="1"/>
    <brk id="644" max="6" man="1"/>
    <brk id="659" max="6" man="1"/>
    <brk id="672" max="6" man="1"/>
    <brk id="684" max="6" man="1"/>
    <brk id="697" max="6" man="1"/>
    <brk id="710" max="6" man="1"/>
    <brk id="726" max="6" man="1"/>
    <brk id="742" max="6" man="1"/>
    <brk id="758" max="6" man="1"/>
    <brk id="774" max="6" man="1"/>
    <brk id="790" max="6" man="1"/>
    <brk id="806" max="6" man="1"/>
    <brk id="821" max="6" man="1"/>
    <brk id="836" max="6" man="1"/>
    <brk id="842" max="6" man="1"/>
    <brk id="848" max="6" man="1"/>
    <brk id="852" max="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02CD7-9411-4041-AEA6-4247C0A55031}">
  <dimension ref="A1:D17"/>
  <sheetViews>
    <sheetView view="pageBreakPreview" zoomScaleNormal="100" zoomScaleSheetLayoutView="100" workbookViewId="0">
      <selection activeCell="B10" sqref="B10"/>
    </sheetView>
  </sheetViews>
  <sheetFormatPr defaultRowHeight="12.75"/>
  <cols>
    <col min="1" max="4" width="30.7109375" customWidth="1"/>
  </cols>
  <sheetData>
    <row r="1" spans="1:4" ht="30" customHeight="1">
      <c r="A1" s="51" t="s">
        <v>412</v>
      </c>
      <c r="B1" s="51" t="s">
        <v>411</v>
      </c>
      <c r="C1" s="51" t="s">
        <v>410</v>
      </c>
      <c r="D1" s="51" t="s">
        <v>409</v>
      </c>
    </row>
    <row r="2" spans="1:4" ht="30" customHeight="1">
      <c r="A2" s="51">
        <f>B2*C2</f>
        <v>5991.3</v>
      </c>
      <c r="B2" s="51">
        <v>18</v>
      </c>
      <c r="C2" s="51">
        <v>332.85</v>
      </c>
      <c r="D2" s="51">
        <v>1</v>
      </c>
    </row>
    <row r="3" spans="1:4" ht="30" customHeight="1">
      <c r="A3" s="51">
        <f t="shared" ref="A3:A17" si="0">B3*C3</f>
        <v>1625.0400000000002</v>
      </c>
      <c r="B3" s="51">
        <v>366</v>
      </c>
      <c r="C3" s="51">
        <v>4.4400000000000004</v>
      </c>
      <c r="D3" s="51">
        <v>5</v>
      </c>
    </row>
    <row r="4" spans="1:4" ht="30" customHeight="1">
      <c r="A4" s="51">
        <f t="shared" si="0"/>
        <v>9729</v>
      </c>
      <c r="B4" s="51">
        <v>150</v>
      </c>
      <c r="C4" s="51">
        <v>64.86</v>
      </c>
      <c r="D4" s="51">
        <v>6</v>
      </c>
    </row>
    <row r="5" spans="1:4" ht="30" customHeight="1">
      <c r="A5" s="51">
        <f t="shared" si="0"/>
        <v>13813.8</v>
      </c>
      <c r="B5" s="51">
        <v>78</v>
      </c>
      <c r="C5" s="51">
        <v>177.1</v>
      </c>
      <c r="D5" s="51">
        <v>45</v>
      </c>
    </row>
    <row r="6" spans="1:4" ht="30" customHeight="1">
      <c r="A6" s="51">
        <f t="shared" si="0"/>
        <v>766.92000000000007</v>
      </c>
      <c r="B6" s="51">
        <v>42</v>
      </c>
      <c r="C6" s="51">
        <v>18.260000000000002</v>
      </c>
      <c r="D6" s="51">
        <v>72</v>
      </c>
    </row>
    <row r="7" spans="1:4" ht="30" customHeight="1">
      <c r="A7" s="51">
        <f t="shared" si="0"/>
        <v>144244.5</v>
      </c>
      <c r="B7" s="51">
        <v>150</v>
      </c>
      <c r="C7" s="51">
        <v>961.63</v>
      </c>
      <c r="D7" s="51">
        <v>77</v>
      </c>
    </row>
    <row r="8" spans="1:4" ht="30" customHeight="1">
      <c r="A8" s="51">
        <f t="shared" si="0"/>
        <v>255.78</v>
      </c>
      <c r="B8" s="51">
        <v>25.2</v>
      </c>
      <c r="C8" s="51">
        <v>10.15</v>
      </c>
      <c r="D8" s="51">
        <v>125</v>
      </c>
    </row>
    <row r="9" spans="1:4" ht="30" customHeight="1">
      <c r="A9" s="51">
        <f t="shared" si="0"/>
        <v>5221.26</v>
      </c>
      <c r="B9" s="51">
        <v>66</v>
      </c>
      <c r="C9" s="51">
        <v>79.11</v>
      </c>
      <c r="D9" s="51">
        <v>176</v>
      </c>
    </row>
    <row r="10" spans="1:4" ht="30" customHeight="1">
      <c r="A10" s="51">
        <f t="shared" si="0"/>
        <v>662.68799999999999</v>
      </c>
      <c r="B10" s="51">
        <v>70.8</v>
      </c>
      <c r="C10" s="51">
        <v>9.36</v>
      </c>
      <c r="D10" s="51">
        <v>177</v>
      </c>
    </row>
    <row r="11" spans="1:4" ht="30" customHeight="1">
      <c r="A11" s="51">
        <f t="shared" si="0"/>
        <v>1326</v>
      </c>
      <c r="B11" s="51">
        <v>102</v>
      </c>
      <c r="C11" s="51">
        <v>13</v>
      </c>
      <c r="D11" s="51">
        <v>178</v>
      </c>
    </row>
    <row r="12" spans="1:4" ht="30" customHeight="1">
      <c r="A12" s="51">
        <f t="shared" si="0"/>
        <v>3013.5239999999999</v>
      </c>
      <c r="B12" s="51">
        <v>85.2</v>
      </c>
      <c r="C12" s="51">
        <v>35.369999999999997</v>
      </c>
      <c r="D12" s="51">
        <v>179</v>
      </c>
    </row>
    <row r="13" spans="1:4" ht="30" customHeight="1">
      <c r="A13" s="51">
        <f t="shared" si="0"/>
        <v>3016.5360000000001</v>
      </c>
      <c r="B13" s="51">
        <v>94.8</v>
      </c>
      <c r="C13" s="51">
        <v>31.82</v>
      </c>
      <c r="D13" s="51">
        <v>180</v>
      </c>
    </row>
    <row r="14" spans="1:4" ht="30" customHeight="1">
      <c r="A14" s="51">
        <f t="shared" si="0"/>
        <v>2816.424</v>
      </c>
      <c r="B14" s="51">
        <v>70.8</v>
      </c>
      <c r="C14" s="51">
        <v>39.78</v>
      </c>
      <c r="D14" s="51">
        <v>181</v>
      </c>
    </row>
    <row r="15" spans="1:4" ht="30" customHeight="1">
      <c r="A15" s="51">
        <f t="shared" si="0"/>
        <v>7879.0319999999992</v>
      </c>
      <c r="B15" s="51">
        <v>75.599999999999994</v>
      </c>
      <c r="C15" s="51">
        <v>104.22</v>
      </c>
      <c r="D15" s="51">
        <v>185</v>
      </c>
    </row>
    <row r="16" spans="1:4" ht="30" customHeight="1">
      <c r="A16" s="51">
        <f t="shared" si="0"/>
        <v>2964</v>
      </c>
      <c r="B16" s="51">
        <v>91.2</v>
      </c>
      <c r="C16" s="51">
        <v>32.5</v>
      </c>
      <c r="D16" s="51">
        <v>186</v>
      </c>
    </row>
    <row r="17" spans="1:4" ht="30" customHeight="1">
      <c r="A17" s="51">
        <f t="shared" si="0"/>
        <v>14858.339999999998</v>
      </c>
      <c r="B17" s="51">
        <v>102</v>
      </c>
      <c r="C17" s="51">
        <v>145.66999999999999</v>
      </c>
      <c r="D17" s="51">
        <v>187</v>
      </c>
    </row>
  </sheetData>
  <pageMargins left="0.7" right="0.7" top="0.75" bottom="0.75" header="0.3" footer="0.3"/>
  <pageSetup scale="7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BOQ</vt:lpstr>
      <vt:lpstr>Sheet2</vt:lpstr>
      <vt:lpstr>BOQ!Print_Area</vt:lpstr>
      <vt:lpstr>BOQ!Print_Titles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ARC 7ALAWANI</dc:creator>
  <cp:lastModifiedBy>azam alyousef</cp:lastModifiedBy>
  <cp:lastPrinted>2024-02-20T09:16:05Z</cp:lastPrinted>
  <dcterms:created xsi:type="dcterms:W3CDTF">1980-01-08T20:30:26Z</dcterms:created>
  <dcterms:modified xsi:type="dcterms:W3CDTF">2026-04-28T16:40:38Z</dcterms:modified>
</cp:coreProperties>
</file>