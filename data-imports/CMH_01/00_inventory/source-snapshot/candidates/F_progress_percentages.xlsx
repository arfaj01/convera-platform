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تقارير الاستشاري\Weekly Reports\"/>
    </mc:Choice>
  </mc:AlternateContent>
  <xr:revisionPtr revIDLastSave="0" documentId="13_ncr:1_{FE9AC821-3471-48DE-AA62-3DD610923DBD}" xr6:coauthVersionLast="36" xr6:coauthVersionMax="36" xr10:uidLastSave="{00000000-0000-0000-0000-000000000000}"/>
  <bookViews>
    <workbookView xWindow="0" yWindow="0" windowWidth="23040" windowHeight="8940" xr2:uid="{9F18F54D-41CF-4696-AF9D-188ED2031F6B}"/>
  </bookViews>
  <sheets>
    <sheet name="Sheet1" sheetId="1" r:id="rId1"/>
  </sheets>
  <definedNames>
    <definedName name="_xlnm.Print_Area" localSheetId="0">Sheet1!$A$1:$Q$65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2" i="1" l="1"/>
  <c r="L82" i="1" s="1"/>
  <c r="K82" i="1"/>
  <c r="I83" i="1"/>
  <c r="K83" i="1"/>
  <c r="L83" i="1"/>
  <c r="K81" i="1" l="1"/>
  <c r="L81" i="1"/>
  <c r="I81" i="1"/>
  <c r="K80" i="1" l="1"/>
  <c r="L80" i="1"/>
  <c r="I80" i="1"/>
  <c r="I79" i="1" l="1"/>
  <c r="K79" i="1"/>
  <c r="L79" i="1"/>
  <c r="T78" i="1" l="1"/>
  <c r="S78" i="1"/>
  <c r="K78" i="1" l="1"/>
  <c r="L78" i="1"/>
  <c r="I78" i="1"/>
  <c r="I77" i="1"/>
  <c r="L77" i="1" l="1"/>
  <c r="K77" i="1" l="1"/>
  <c r="I75" i="1"/>
  <c r="K75" i="1" s="1"/>
  <c r="I76" i="1"/>
  <c r="K76" i="1" s="1"/>
  <c r="L76" i="1" l="1"/>
  <c r="L75" i="1"/>
  <c r="S74" i="1"/>
  <c r="T74" i="1"/>
  <c r="K74" i="1"/>
  <c r="L74" i="1"/>
  <c r="I74" i="1"/>
  <c r="T73" i="1" l="1"/>
  <c r="S73" i="1"/>
  <c r="K73" i="1" l="1"/>
  <c r="I73" i="1"/>
  <c r="L73" i="1" s="1"/>
  <c r="I72" i="1" l="1"/>
  <c r="K72" i="1" s="1"/>
  <c r="I71" i="1"/>
  <c r="K71" i="1" s="1"/>
  <c r="L71" i="1" l="1"/>
  <c r="L72" i="1"/>
  <c r="I70" i="1"/>
  <c r="K70" i="1" s="1"/>
  <c r="L70" i="1" l="1"/>
  <c r="I69" i="1"/>
  <c r="K69" i="1" s="1"/>
  <c r="L69" i="1" l="1"/>
  <c r="I68" i="1"/>
  <c r="L68" i="1" s="1"/>
  <c r="T68" i="1"/>
  <c r="S68" i="1"/>
  <c r="K68" i="1" l="1"/>
  <c r="I67" i="1"/>
  <c r="K67" i="1" s="1"/>
  <c r="I66" i="1"/>
  <c r="L67" i="1" l="1"/>
  <c r="T66" i="1"/>
  <c r="S66" i="1"/>
  <c r="S64" i="1"/>
  <c r="K66" i="1"/>
  <c r="L66" i="1"/>
  <c r="I3" i="1"/>
  <c r="T64" i="1" l="1"/>
  <c r="I9" i="1" l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K56" i="1" s="1"/>
  <c r="I57" i="1"/>
  <c r="K57" i="1" s="1"/>
  <c r="I58" i="1"/>
  <c r="K58" i="1" s="1"/>
  <c r="I59" i="1"/>
  <c r="K59" i="1" s="1"/>
  <c r="I60" i="1"/>
  <c r="K60" i="1" s="1"/>
  <c r="I61" i="1"/>
  <c r="K61" i="1" s="1"/>
  <c r="I62" i="1"/>
  <c r="K62" i="1" s="1"/>
  <c r="I63" i="1"/>
  <c r="K63" i="1" s="1"/>
  <c r="I64" i="1"/>
  <c r="K64" i="1" s="1"/>
  <c r="I65" i="1"/>
  <c r="K65" i="1" s="1"/>
  <c r="I4" i="1"/>
  <c r="I5" i="1"/>
  <c r="I6" i="1"/>
  <c r="I7" i="1"/>
  <c r="I8" i="1"/>
  <c r="I2" i="1"/>
  <c r="G3" i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L63" i="1" l="1"/>
  <c r="L61" i="1"/>
  <c r="L60" i="1"/>
  <c r="L62" i="1"/>
  <c r="L59" i="1"/>
  <c r="L58" i="1"/>
  <c r="L65" i="1"/>
  <c r="L57" i="1"/>
  <c r="L64" i="1"/>
  <c r="L56" i="1"/>
</calcChain>
</file>

<file path=xl/sharedStrings.xml><?xml version="1.0" encoding="utf-8"?>
<sst xmlns="http://schemas.openxmlformats.org/spreadsheetml/2006/main" count="33" uniqueCount="33">
  <si>
    <t>نسبة الانجاز المخططة</t>
  </si>
  <si>
    <t>25-30/11/2023</t>
  </si>
  <si>
    <t>نسبة الانجاز الفعلية</t>
  </si>
  <si>
    <t>الفرق</t>
  </si>
  <si>
    <t>معدل الاداء</t>
  </si>
  <si>
    <t>02-07/12/2023</t>
  </si>
  <si>
    <t>09-14/12/2023</t>
  </si>
  <si>
    <t>16-21/12/2024</t>
  </si>
  <si>
    <t>23-28/12/2023</t>
  </si>
  <si>
    <t>30/12-4/1/2024</t>
  </si>
  <si>
    <t>6-11/1/2024</t>
  </si>
  <si>
    <t>13-18/1/2024</t>
  </si>
  <si>
    <t>ما تم صرفه</t>
  </si>
  <si>
    <t>قيمة العقد</t>
  </si>
  <si>
    <t>نسبة الصرف</t>
  </si>
  <si>
    <t>المتبقي</t>
  </si>
  <si>
    <t>20-25/1/2024</t>
  </si>
  <si>
    <t>27/1-1/2/2024</t>
  </si>
  <si>
    <t>تمديد 120 يوم</t>
  </si>
  <si>
    <t>10-15/2/2024</t>
  </si>
  <si>
    <t>03-08/2/2024</t>
  </si>
  <si>
    <t>17-21/02/2024</t>
  </si>
  <si>
    <t>24-29/02/2024</t>
  </si>
  <si>
    <t>02-07/03/2024</t>
  </si>
  <si>
    <t>09-14/03/2024</t>
  </si>
  <si>
    <t>16-21/03/2024</t>
  </si>
  <si>
    <t>23-28/03/2024</t>
  </si>
  <si>
    <t>30/3-04/04/2024</t>
  </si>
  <si>
    <t>13-18/04/2024</t>
  </si>
  <si>
    <t xml:space="preserve"> اجازة عيد الفطر</t>
  </si>
  <si>
    <t>20-25/04/2024</t>
  </si>
  <si>
    <t>11-16/05/2024</t>
  </si>
  <si>
    <t>18-23/05/2024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</si>
</sst>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Bahij TheSansArabic Bold"/>
      <family val="1"/>
    </font>
    <font>
      <sz val="11"/>
      <color rgb="FF000000"/>
      <name val="Bahij TheSansArabic Bold"/>
      <family val="1"/>
    </font>
    <font>
      <sz val="10"/>
      <color rgb="FF000000"/>
      <name val="Bahij TheSansArabic Bold"/>
      <family val="1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3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9" fontId="0" fillId="0" borderId="0" xfId="1" applyFont="1"/>
    <xf numFmtId="10" fontId="0" fillId="0" borderId="0" xfId="1" applyNumberFormat="1" applyFont="1"/>
    <xf numFmtId="10" fontId="0" fillId="0" borderId="0" xfId="0" applyNumberFormat="1"/>
    <xf numFmtId="9" fontId="0" fillId="0" borderId="0" xfId="1" applyNumberFormat="1" applyFont="1"/>
    <xf numFmtId="2" fontId="0" fillId="0" borderId="0" xfId="0" applyNumberFormat="1"/>
    <xf numFmtId="4" fontId="0" fillId="0" borderId="0" xfId="0" applyNumberFormat="1"/>
    <xf numFmtId="4" fontId="2" fillId="0" borderId="0" xfId="0" applyNumberFormat="1" applyFont="1"/>
    <xf numFmtId="4" fontId="3" fillId="0" borderId="0" xfId="0" applyNumberFormat="1" applyFont="1"/>
    <xf numFmtId="0" fontId="0" fillId="2" borderId="0" xfId="0" applyFill="1"/>
    <xf numFmtId="14" fontId="0" fillId="2" borderId="0" xfId="0" applyNumberFormat="1" applyFill="1"/>
    <xf numFmtId="10" fontId="0" fillId="2" borderId="0" xfId="1" applyNumberFormat="1" applyFont="1" applyFill="1"/>
    <xf numFmtId="10" fontId="0" fillId="2" borderId="0" xfId="0" applyNumberFormat="1" applyFill="1"/>
    <xf numFmtId="2" fontId="0" fillId="2" borderId="0" xfId="0" applyNumberFormat="1" applyFill="1"/>
    <xf numFmtId="9" fontId="0" fillId="2" borderId="0" xfId="1" applyNumberFormat="1" applyFont="1" applyFill="1"/>
    <xf numFmtId="10" fontId="0" fillId="0" borderId="0" xfId="1" applyNumberFormat="1" applyFont="1" applyFill="1"/>
    <xf numFmtId="0" fontId="4" fillId="0" borderId="0" xfId="0" applyFont="1"/>
    <xf numFmtId="9" fontId="0" fillId="0" borderId="0" xfId="0" applyNumberFormat="1"/>
    <xf numFmtId="0" fontId="5" fillId="3" borderId="0" xfId="2" applyAlignment="1">
      <alignment horizontal="center"/>
    </xf>
  </cellXfs>
  <cellStyles count="3">
    <cellStyle name="Bad" xfId="2" builtinId="27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B197A-C6BE-4355-8074-29A1D01002C1}">
  <dimension ref="D1:T83"/>
  <sheetViews>
    <sheetView tabSelected="1" topLeftCell="C1" zoomScaleNormal="100" workbookViewId="0">
      <pane ySplit="1" topLeftCell="A76" activePane="bottomLeft" state="frozen"/>
      <selection pane="bottomLeft" activeCell="K86" sqref="K86"/>
    </sheetView>
  </sheetViews>
  <sheetFormatPr defaultRowHeight="14.4" x14ac:dyDescent="0.3"/>
  <cols>
    <col min="6" max="7" width="10.5546875" bestFit="1" customWidth="1"/>
    <col min="8" max="8" width="15.109375" bestFit="1" customWidth="1"/>
    <col min="9" max="9" width="15.88671875" bestFit="1" customWidth="1"/>
    <col min="10" max="10" width="14" bestFit="1" customWidth="1"/>
    <col min="11" max="11" width="12.109375" customWidth="1"/>
    <col min="12" max="12" width="8.44140625" bestFit="1" customWidth="1"/>
    <col min="17" max="17" width="13.88671875" bestFit="1" customWidth="1"/>
    <col min="18" max="18" width="16" bestFit="1" customWidth="1"/>
    <col min="19" max="19" width="12" bestFit="1" customWidth="1"/>
    <col min="20" max="20" width="12.44140625" bestFit="1" customWidth="1"/>
  </cols>
  <sheetData>
    <row r="1" spans="5:12" x14ac:dyDescent="0.3">
      <c r="I1" t="s">
        <v>0</v>
      </c>
      <c r="J1" t="s">
        <v>2</v>
      </c>
      <c r="K1" t="s">
        <v>3</v>
      </c>
      <c r="L1" t="s">
        <v>4</v>
      </c>
    </row>
    <row r="2" spans="5:12" x14ac:dyDescent="0.3">
      <c r="E2">
        <v>1</v>
      </c>
      <c r="F2" s="1">
        <v>44873</v>
      </c>
      <c r="G2" s="1">
        <v>44879</v>
      </c>
      <c r="I2" s="2">
        <f>(E2-1)/64</f>
        <v>0</v>
      </c>
    </row>
    <row r="3" spans="5:12" x14ac:dyDescent="0.3">
      <c r="E3">
        <v>2</v>
      </c>
      <c r="F3" s="1">
        <f>F2+7</f>
        <v>44880</v>
      </c>
      <c r="G3" s="1">
        <f>G2+7</f>
        <v>44886</v>
      </c>
      <c r="I3" s="3">
        <f>(E3-1)/64</f>
        <v>1.5625E-2</v>
      </c>
    </row>
    <row r="4" spans="5:12" x14ac:dyDescent="0.3">
      <c r="E4">
        <v>3</v>
      </c>
      <c r="F4" s="1">
        <f t="shared" ref="F4:F67" si="0">F3+7</f>
        <v>44887</v>
      </c>
      <c r="G4" s="1">
        <f t="shared" ref="G4:G67" si="1">G3+7</f>
        <v>44893</v>
      </c>
      <c r="I4" s="3">
        <f t="shared" ref="I4:I65" si="2">(E4-1)/64</f>
        <v>3.125E-2</v>
      </c>
    </row>
    <row r="5" spans="5:12" x14ac:dyDescent="0.3">
      <c r="E5">
        <v>4</v>
      </c>
      <c r="F5" s="1">
        <f t="shared" si="0"/>
        <v>44894</v>
      </c>
      <c r="G5" s="1">
        <f t="shared" si="1"/>
        <v>44900</v>
      </c>
      <c r="I5" s="3">
        <f t="shared" si="2"/>
        <v>4.6875E-2</v>
      </c>
    </row>
    <row r="6" spans="5:12" x14ac:dyDescent="0.3">
      <c r="E6">
        <v>5</v>
      </c>
      <c r="F6" s="1">
        <f t="shared" si="0"/>
        <v>44901</v>
      </c>
      <c r="G6" s="1">
        <f t="shared" si="1"/>
        <v>44907</v>
      </c>
      <c r="I6" s="3">
        <f t="shared" si="2"/>
        <v>6.25E-2</v>
      </c>
    </row>
    <row r="7" spans="5:12" x14ac:dyDescent="0.3">
      <c r="E7">
        <v>6</v>
      </c>
      <c r="F7" s="1">
        <f t="shared" si="0"/>
        <v>44908</v>
      </c>
      <c r="G7" s="1">
        <f t="shared" si="1"/>
        <v>44914</v>
      </c>
      <c r="I7" s="3">
        <f t="shared" si="2"/>
        <v>7.8125E-2</v>
      </c>
    </row>
    <row r="8" spans="5:12" x14ac:dyDescent="0.3">
      <c r="E8">
        <v>7</v>
      </c>
      <c r="F8" s="1">
        <f t="shared" si="0"/>
        <v>44915</v>
      </c>
      <c r="G8" s="1">
        <f t="shared" si="1"/>
        <v>44921</v>
      </c>
      <c r="I8" s="3">
        <f t="shared" si="2"/>
        <v>9.375E-2</v>
      </c>
    </row>
    <row r="9" spans="5:12" x14ac:dyDescent="0.3">
      <c r="E9">
        <v>8</v>
      </c>
      <c r="F9" s="1">
        <f t="shared" si="0"/>
        <v>44922</v>
      </c>
      <c r="G9" s="1">
        <f t="shared" si="1"/>
        <v>44928</v>
      </c>
      <c r="I9" s="3">
        <f t="shared" si="2"/>
        <v>0.109375</v>
      </c>
    </row>
    <row r="10" spans="5:12" x14ac:dyDescent="0.3">
      <c r="E10">
        <v>9</v>
      </c>
      <c r="F10" s="1">
        <f t="shared" si="0"/>
        <v>44929</v>
      </c>
      <c r="G10" s="1">
        <f t="shared" si="1"/>
        <v>44935</v>
      </c>
      <c r="I10" s="3">
        <f t="shared" si="2"/>
        <v>0.125</v>
      </c>
    </row>
    <row r="11" spans="5:12" x14ac:dyDescent="0.3">
      <c r="E11">
        <v>10</v>
      </c>
      <c r="F11" s="1">
        <f t="shared" si="0"/>
        <v>44936</v>
      </c>
      <c r="G11" s="1">
        <f t="shared" si="1"/>
        <v>44942</v>
      </c>
      <c r="I11" s="3">
        <f t="shared" si="2"/>
        <v>0.140625</v>
      </c>
    </row>
    <row r="12" spans="5:12" x14ac:dyDescent="0.3">
      <c r="E12">
        <v>11</v>
      </c>
      <c r="F12" s="1">
        <f t="shared" si="0"/>
        <v>44943</v>
      </c>
      <c r="G12" s="1">
        <f t="shared" si="1"/>
        <v>44949</v>
      </c>
      <c r="I12" s="3">
        <f t="shared" si="2"/>
        <v>0.15625</v>
      </c>
    </row>
    <row r="13" spans="5:12" x14ac:dyDescent="0.3">
      <c r="E13">
        <v>12</v>
      </c>
      <c r="F13" s="1">
        <f t="shared" si="0"/>
        <v>44950</v>
      </c>
      <c r="G13" s="1">
        <f t="shared" si="1"/>
        <v>44956</v>
      </c>
      <c r="I13" s="3">
        <f t="shared" si="2"/>
        <v>0.171875</v>
      </c>
    </row>
    <row r="14" spans="5:12" x14ac:dyDescent="0.3">
      <c r="E14">
        <v>13</v>
      </c>
      <c r="F14" s="1">
        <f t="shared" si="0"/>
        <v>44957</v>
      </c>
      <c r="G14" s="1">
        <f t="shared" si="1"/>
        <v>44963</v>
      </c>
      <c r="I14" s="3">
        <f t="shared" si="2"/>
        <v>0.1875</v>
      </c>
    </row>
    <row r="15" spans="5:12" x14ac:dyDescent="0.3">
      <c r="E15">
        <v>14</v>
      </c>
      <c r="F15" s="1">
        <f t="shared" si="0"/>
        <v>44964</v>
      </c>
      <c r="G15" s="1">
        <f t="shared" si="1"/>
        <v>44970</v>
      </c>
      <c r="I15" s="3">
        <f t="shared" si="2"/>
        <v>0.203125</v>
      </c>
    </row>
    <row r="16" spans="5:12" x14ac:dyDescent="0.3">
      <c r="E16">
        <v>15</v>
      </c>
      <c r="F16" s="1">
        <f t="shared" si="0"/>
        <v>44971</v>
      </c>
      <c r="G16" s="1">
        <f t="shared" si="1"/>
        <v>44977</v>
      </c>
      <c r="I16" s="3">
        <f t="shared" si="2"/>
        <v>0.21875</v>
      </c>
    </row>
    <row r="17" spans="5:9" x14ac:dyDescent="0.3">
      <c r="E17">
        <v>16</v>
      </c>
      <c r="F17" s="1">
        <f t="shared" si="0"/>
        <v>44978</v>
      </c>
      <c r="G17" s="1">
        <f t="shared" si="1"/>
        <v>44984</v>
      </c>
      <c r="I17" s="3">
        <f t="shared" si="2"/>
        <v>0.234375</v>
      </c>
    </row>
    <row r="18" spans="5:9" x14ac:dyDescent="0.3">
      <c r="E18">
        <v>17</v>
      </c>
      <c r="F18" s="1">
        <f t="shared" si="0"/>
        <v>44985</v>
      </c>
      <c r="G18" s="1">
        <f t="shared" si="1"/>
        <v>44991</v>
      </c>
      <c r="I18" s="3">
        <f t="shared" si="2"/>
        <v>0.25</v>
      </c>
    </row>
    <row r="19" spans="5:9" x14ac:dyDescent="0.3">
      <c r="E19">
        <v>18</v>
      </c>
      <c r="F19" s="1">
        <f t="shared" si="0"/>
        <v>44992</v>
      </c>
      <c r="G19" s="1">
        <f t="shared" si="1"/>
        <v>44998</v>
      </c>
      <c r="I19" s="3">
        <f t="shared" si="2"/>
        <v>0.265625</v>
      </c>
    </row>
    <row r="20" spans="5:9" x14ac:dyDescent="0.3">
      <c r="E20">
        <v>19</v>
      </c>
      <c r="F20" s="1">
        <f t="shared" si="0"/>
        <v>44999</v>
      </c>
      <c r="G20" s="1">
        <f t="shared" si="1"/>
        <v>45005</v>
      </c>
      <c r="I20" s="3">
        <f t="shared" si="2"/>
        <v>0.28125</v>
      </c>
    </row>
    <row r="21" spans="5:9" x14ac:dyDescent="0.3">
      <c r="E21">
        <v>20</v>
      </c>
      <c r="F21" s="1">
        <f t="shared" si="0"/>
        <v>45006</v>
      </c>
      <c r="G21" s="1">
        <f t="shared" si="1"/>
        <v>45012</v>
      </c>
      <c r="I21" s="3">
        <f t="shared" si="2"/>
        <v>0.296875</v>
      </c>
    </row>
    <row r="22" spans="5:9" x14ac:dyDescent="0.3">
      <c r="E22">
        <v>21</v>
      </c>
      <c r="F22" s="1">
        <f t="shared" si="0"/>
        <v>45013</v>
      </c>
      <c r="G22" s="1">
        <f t="shared" si="1"/>
        <v>45019</v>
      </c>
      <c r="I22" s="3">
        <f t="shared" si="2"/>
        <v>0.3125</v>
      </c>
    </row>
    <row r="23" spans="5:9" x14ac:dyDescent="0.3">
      <c r="E23">
        <v>22</v>
      </c>
      <c r="F23" s="1">
        <f t="shared" si="0"/>
        <v>45020</v>
      </c>
      <c r="G23" s="1">
        <f t="shared" si="1"/>
        <v>45026</v>
      </c>
      <c r="I23" s="3">
        <f t="shared" si="2"/>
        <v>0.328125</v>
      </c>
    </row>
    <row r="24" spans="5:9" x14ac:dyDescent="0.3">
      <c r="E24">
        <v>23</v>
      </c>
      <c r="F24" s="1">
        <f t="shared" si="0"/>
        <v>45027</v>
      </c>
      <c r="G24" s="1">
        <f t="shared" si="1"/>
        <v>45033</v>
      </c>
      <c r="I24" s="3">
        <f t="shared" si="2"/>
        <v>0.34375</v>
      </c>
    </row>
    <row r="25" spans="5:9" x14ac:dyDescent="0.3">
      <c r="E25">
        <v>24</v>
      </c>
      <c r="F25" s="1">
        <f t="shared" si="0"/>
        <v>45034</v>
      </c>
      <c r="G25" s="1">
        <f t="shared" si="1"/>
        <v>45040</v>
      </c>
      <c r="I25" s="3">
        <f t="shared" si="2"/>
        <v>0.359375</v>
      </c>
    </row>
    <row r="26" spans="5:9" x14ac:dyDescent="0.3">
      <c r="E26">
        <v>25</v>
      </c>
      <c r="F26" s="1">
        <f t="shared" si="0"/>
        <v>45041</v>
      </c>
      <c r="G26" s="1">
        <f t="shared" si="1"/>
        <v>45047</v>
      </c>
      <c r="I26" s="3">
        <f t="shared" si="2"/>
        <v>0.375</v>
      </c>
    </row>
    <row r="27" spans="5:9" x14ac:dyDescent="0.3">
      <c r="E27">
        <v>26</v>
      </c>
      <c r="F27" s="1">
        <f t="shared" si="0"/>
        <v>45048</v>
      </c>
      <c r="G27" s="1">
        <f t="shared" si="1"/>
        <v>45054</v>
      </c>
      <c r="I27" s="3">
        <f t="shared" si="2"/>
        <v>0.390625</v>
      </c>
    </row>
    <row r="28" spans="5:9" x14ac:dyDescent="0.3">
      <c r="E28">
        <v>27</v>
      </c>
      <c r="F28" s="1">
        <f t="shared" si="0"/>
        <v>45055</v>
      </c>
      <c r="G28" s="1">
        <f t="shared" si="1"/>
        <v>45061</v>
      </c>
      <c r="I28" s="3">
        <f t="shared" si="2"/>
        <v>0.40625</v>
      </c>
    </row>
    <row r="29" spans="5:9" x14ac:dyDescent="0.3">
      <c r="E29">
        <v>28</v>
      </c>
      <c r="F29" s="1">
        <f t="shared" si="0"/>
        <v>45062</v>
      </c>
      <c r="G29" s="1">
        <f t="shared" si="1"/>
        <v>45068</v>
      </c>
      <c r="I29" s="3">
        <f t="shared" si="2"/>
        <v>0.421875</v>
      </c>
    </row>
    <row r="30" spans="5:9" x14ac:dyDescent="0.3">
      <c r="E30">
        <v>29</v>
      </c>
      <c r="F30" s="1">
        <f t="shared" si="0"/>
        <v>45069</v>
      </c>
      <c r="G30" s="1">
        <f t="shared" si="1"/>
        <v>45075</v>
      </c>
      <c r="I30" s="3">
        <f t="shared" si="2"/>
        <v>0.4375</v>
      </c>
    </row>
    <row r="31" spans="5:9" x14ac:dyDescent="0.3">
      <c r="E31">
        <v>30</v>
      </c>
      <c r="F31" s="1">
        <f t="shared" si="0"/>
        <v>45076</v>
      </c>
      <c r="G31" s="1">
        <f t="shared" si="1"/>
        <v>45082</v>
      </c>
      <c r="I31" s="3">
        <f t="shared" si="2"/>
        <v>0.453125</v>
      </c>
    </row>
    <row r="32" spans="5:9" x14ac:dyDescent="0.3">
      <c r="E32">
        <v>31</v>
      </c>
      <c r="F32" s="1">
        <f t="shared" si="0"/>
        <v>45083</v>
      </c>
      <c r="G32" s="1">
        <f t="shared" si="1"/>
        <v>45089</v>
      </c>
      <c r="I32" s="3">
        <f t="shared" si="2"/>
        <v>0.46875</v>
      </c>
    </row>
    <row r="33" spans="5:9" x14ac:dyDescent="0.3">
      <c r="E33">
        <v>32</v>
      </c>
      <c r="F33" s="1">
        <f t="shared" si="0"/>
        <v>45090</v>
      </c>
      <c r="G33" s="1">
        <f t="shared" si="1"/>
        <v>45096</v>
      </c>
      <c r="I33" s="3">
        <f t="shared" si="2"/>
        <v>0.484375</v>
      </c>
    </row>
    <row r="34" spans="5:9" x14ac:dyDescent="0.3">
      <c r="E34">
        <v>33</v>
      </c>
      <c r="F34" s="1">
        <f t="shared" si="0"/>
        <v>45097</v>
      </c>
      <c r="G34" s="1">
        <f t="shared" si="1"/>
        <v>45103</v>
      </c>
      <c r="I34" s="3">
        <f t="shared" si="2"/>
        <v>0.5</v>
      </c>
    </row>
    <row r="35" spans="5:9" x14ac:dyDescent="0.3">
      <c r="E35">
        <v>34</v>
      </c>
      <c r="F35" s="1">
        <f t="shared" si="0"/>
        <v>45104</v>
      </c>
      <c r="G35" s="1">
        <f t="shared" si="1"/>
        <v>45110</v>
      </c>
      <c r="I35" s="3">
        <f t="shared" si="2"/>
        <v>0.515625</v>
      </c>
    </row>
    <row r="36" spans="5:9" x14ac:dyDescent="0.3">
      <c r="E36">
        <v>35</v>
      </c>
      <c r="F36" s="1">
        <f t="shared" si="0"/>
        <v>45111</v>
      </c>
      <c r="G36" s="1">
        <f t="shared" si="1"/>
        <v>45117</v>
      </c>
      <c r="I36" s="3">
        <f t="shared" si="2"/>
        <v>0.53125</v>
      </c>
    </row>
    <row r="37" spans="5:9" x14ac:dyDescent="0.3">
      <c r="E37">
        <v>36</v>
      </c>
      <c r="F37" s="1">
        <f t="shared" si="0"/>
        <v>45118</v>
      </c>
      <c r="G37" s="1">
        <f t="shared" si="1"/>
        <v>45124</v>
      </c>
      <c r="I37" s="3">
        <f t="shared" si="2"/>
        <v>0.546875</v>
      </c>
    </row>
    <row r="38" spans="5:9" x14ac:dyDescent="0.3">
      <c r="E38">
        <v>37</v>
      </c>
      <c r="F38" s="1">
        <f t="shared" si="0"/>
        <v>45125</v>
      </c>
      <c r="G38" s="1">
        <f t="shared" si="1"/>
        <v>45131</v>
      </c>
      <c r="I38" s="3">
        <f t="shared" si="2"/>
        <v>0.5625</v>
      </c>
    </row>
    <row r="39" spans="5:9" x14ac:dyDescent="0.3">
      <c r="E39">
        <v>38</v>
      </c>
      <c r="F39" s="1">
        <f t="shared" si="0"/>
        <v>45132</v>
      </c>
      <c r="G39" s="1">
        <f t="shared" si="1"/>
        <v>45138</v>
      </c>
      <c r="I39" s="3">
        <f t="shared" si="2"/>
        <v>0.578125</v>
      </c>
    </row>
    <row r="40" spans="5:9" x14ac:dyDescent="0.3">
      <c r="E40">
        <v>39</v>
      </c>
      <c r="F40" s="1">
        <f t="shared" si="0"/>
        <v>45139</v>
      </c>
      <c r="G40" s="1">
        <f t="shared" si="1"/>
        <v>45145</v>
      </c>
      <c r="I40" s="3">
        <f t="shared" si="2"/>
        <v>0.59375</v>
      </c>
    </row>
    <row r="41" spans="5:9" x14ac:dyDescent="0.3">
      <c r="E41">
        <v>40</v>
      </c>
      <c r="F41" s="1">
        <f t="shared" si="0"/>
        <v>45146</v>
      </c>
      <c r="G41" s="1">
        <f t="shared" si="1"/>
        <v>45152</v>
      </c>
      <c r="I41" s="3">
        <f t="shared" si="2"/>
        <v>0.609375</v>
      </c>
    </row>
    <row r="42" spans="5:9" x14ac:dyDescent="0.3">
      <c r="E42">
        <v>41</v>
      </c>
      <c r="F42" s="1">
        <f t="shared" si="0"/>
        <v>45153</v>
      </c>
      <c r="G42" s="1">
        <f t="shared" si="1"/>
        <v>45159</v>
      </c>
      <c r="I42" s="3">
        <f t="shared" si="2"/>
        <v>0.625</v>
      </c>
    </row>
    <row r="43" spans="5:9" x14ac:dyDescent="0.3">
      <c r="E43">
        <v>42</v>
      </c>
      <c r="F43" s="1">
        <f t="shared" si="0"/>
        <v>45160</v>
      </c>
      <c r="G43" s="1">
        <f t="shared" si="1"/>
        <v>45166</v>
      </c>
      <c r="I43" s="3">
        <f t="shared" si="2"/>
        <v>0.640625</v>
      </c>
    </row>
    <row r="44" spans="5:9" x14ac:dyDescent="0.3">
      <c r="E44">
        <v>43</v>
      </c>
      <c r="F44" s="1">
        <f t="shared" si="0"/>
        <v>45167</v>
      </c>
      <c r="G44" s="1">
        <f t="shared" si="1"/>
        <v>45173</v>
      </c>
      <c r="I44" s="3">
        <f t="shared" si="2"/>
        <v>0.65625</v>
      </c>
    </row>
    <row r="45" spans="5:9" x14ac:dyDescent="0.3">
      <c r="E45">
        <v>44</v>
      </c>
      <c r="F45" s="1">
        <f t="shared" si="0"/>
        <v>45174</v>
      </c>
      <c r="G45" s="1">
        <f t="shared" si="1"/>
        <v>45180</v>
      </c>
      <c r="I45" s="3">
        <f t="shared" si="2"/>
        <v>0.671875</v>
      </c>
    </row>
    <row r="46" spans="5:9" x14ac:dyDescent="0.3">
      <c r="E46">
        <v>45</v>
      </c>
      <c r="F46" s="1">
        <f t="shared" si="0"/>
        <v>45181</v>
      </c>
      <c r="G46" s="1">
        <f t="shared" si="1"/>
        <v>45187</v>
      </c>
      <c r="I46" s="3">
        <f t="shared" si="2"/>
        <v>0.6875</v>
      </c>
    </row>
    <row r="47" spans="5:9" x14ac:dyDescent="0.3">
      <c r="E47">
        <v>46</v>
      </c>
      <c r="F47" s="1">
        <f t="shared" si="0"/>
        <v>45188</v>
      </c>
      <c r="G47" s="1">
        <f t="shared" si="1"/>
        <v>45194</v>
      </c>
      <c r="I47" s="3">
        <f t="shared" si="2"/>
        <v>0.703125</v>
      </c>
    </row>
    <row r="48" spans="5:9" x14ac:dyDescent="0.3">
      <c r="E48">
        <v>47</v>
      </c>
      <c r="F48" s="1">
        <f t="shared" si="0"/>
        <v>45195</v>
      </c>
      <c r="G48" s="1">
        <f t="shared" si="1"/>
        <v>45201</v>
      </c>
      <c r="I48" s="3">
        <f t="shared" si="2"/>
        <v>0.71875</v>
      </c>
    </row>
    <row r="49" spans="5:20" x14ac:dyDescent="0.3">
      <c r="E49">
        <v>48</v>
      </c>
      <c r="F49" s="1">
        <f t="shared" si="0"/>
        <v>45202</v>
      </c>
      <c r="G49" s="1">
        <f t="shared" si="1"/>
        <v>45208</v>
      </c>
      <c r="I49" s="3">
        <f t="shared" si="2"/>
        <v>0.734375</v>
      </c>
    </row>
    <row r="50" spans="5:20" x14ac:dyDescent="0.3">
      <c r="E50">
        <v>49</v>
      </c>
      <c r="F50" s="1">
        <f t="shared" si="0"/>
        <v>45209</v>
      </c>
      <c r="G50" s="1">
        <f t="shared" si="1"/>
        <v>45215</v>
      </c>
      <c r="I50" s="3">
        <f t="shared" si="2"/>
        <v>0.75</v>
      </c>
    </row>
    <row r="51" spans="5:20" x14ac:dyDescent="0.3">
      <c r="E51">
        <v>50</v>
      </c>
      <c r="F51" s="1">
        <f t="shared" si="0"/>
        <v>45216</v>
      </c>
      <c r="G51" s="1">
        <f t="shared" si="1"/>
        <v>45222</v>
      </c>
      <c r="I51" s="3">
        <f t="shared" si="2"/>
        <v>0.765625</v>
      </c>
    </row>
    <row r="52" spans="5:20" x14ac:dyDescent="0.3">
      <c r="E52">
        <v>51</v>
      </c>
      <c r="F52" s="1">
        <f t="shared" si="0"/>
        <v>45223</v>
      </c>
      <c r="G52" s="1">
        <f t="shared" si="1"/>
        <v>45229</v>
      </c>
      <c r="I52" s="3">
        <f t="shared" si="2"/>
        <v>0.78125</v>
      </c>
    </row>
    <row r="53" spans="5:20" x14ac:dyDescent="0.3">
      <c r="E53">
        <v>52</v>
      </c>
      <c r="F53" s="1">
        <f t="shared" si="0"/>
        <v>45230</v>
      </c>
      <c r="G53" s="1">
        <f t="shared" si="1"/>
        <v>45236</v>
      </c>
      <c r="I53" s="3">
        <f t="shared" si="2"/>
        <v>0.796875</v>
      </c>
    </row>
    <row r="54" spans="5:20" x14ac:dyDescent="0.3">
      <c r="E54">
        <v>53</v>
      </c>
      <c r="F54" s="1">
        <f t="shared" si="0"/>
        <v>45237</v>
      </c>
      <c r="G54" s="1">
        <f t="shared" si="1"/>
        <v>45243</v>
      </c>
      <c r="I54" s="3">
        <f t="shared" si="2"/>
        <v>0.8125</v>
      </c>
    </row>
    <row r="55" spans="5:20" x14ac:dyDescent="0.3">
      <c r="E55">
        <v>54</v>
      </c>
      <c r="F55" s="1">
        <f t="shared" si="0"/>
        <v>45244</v>
      </c>
      <c r="G55" s="1">
        <f t="shared" si="1"/>
        <v>45250</v>
      </c>
      <c r="I55" s="3">
        <f t="shared" si="2"/>
        <v>0.828125</v>
      </c>
    </row>
    <row r="56" spans="5:20" x14ac:dyDescent="0.3">
      <c r="E56">
        <v>55</v>
      </c>
      <c r="F56" s="1">
        <f t="shared" si="0"/>
        <v>45251</v>
      </c>
      <c r="G56" s="1">
        <f t="shared" si="1"/>
        <v>45257</v>
      </c>
      <c r="H56" t="s">
        <v>1</v>
      </c>
      <c r="I56" s="3">
        <f t="shared" si="2"/>
        <v>0.84375</v>
      </c>
      <c r="J56" s="4">
        <v>0.23369999999999999</v>
      </c>
      <c r="K56" s="6">
        <f t="shared" ref="K56:K66" si="3">(I56-J56)*100</f>
        <v>61.004999999999995</v>
      </c>
      <c r="L56" s="5">
        <f t="shared" ref="L56:L66" si="4">J56/I56</f>
        <v>0.27697777777777777</v>
      </c>
    </row>
    <row r="57" spans="5:20" x14ac:dyDescent="0.3">
      <c r="E57">
        <v>56</v>
      </c>
      <c r="F57" s="1">
        <f t="shared" si="0"/>
        <v>45258</v>
      </c>
      <c r="G57" s="1">
        <f t="shared" si="1"/>
        <v>45264</v>
      </c>
      <c r="H57" t="s">
        <v>5</v>
      </c>
      <c r="I57" s="3">
        <f t="shared" si="2"/>
        <v>0.859375</v>
      </c>
      <c r="J57" s="4">
        <v>0.245</v>
      </c>
      <c r="K57" s="6">
        <f t="shared" si="3"/>
        <v>61.4375</v>
      </c>
      <c r="L57" s="5">
        <f t="shared" si="4"/>
        <v>0.28509090909090906</v>
      </c>
    </row>
    <row r="58" spans="5:20" x14ac:dyDescent="0.3">
      <c r="E58">
        <v>57</v>
      </c>
      <c r="F58" s="1">
        <f t="shared" si="0"/>
        <v>45265</v>
      </c>
      <c r="G58" s="1">
        <f t="shared" si="1"/>
        <v>45271</v>
      </c>
      <c r="H58" t="s">
        <v>6</v>
      </c>
      <c r="I58" s="3">
        <f t="shared" si="2"/>
        <v>0.875</v>
      </c>
      <c r="J58" s="4">
        <v>0.26200000000000001</v>
      </c>
      <c r="K58" s="6">
        <f t="shared" si="3"/>
        <v>61.3</v>
      </c>
      <c r="L58" s="5">
        <f t="shared" si="4"/>
        <v>0.29942857142857143</v>
      </c>
    </row>
    <row r="59" spans="5:20" x14ac:dyDescent="0.3">
      <c r="E59">
        <v>58</v>
      </c>
      <c r="F59" s="1">
        <f t="shared" si="0"/>
        <v>45272</v>
      </c>
      <c r="G59" s="1">
        <f t="shared" si="1"/>
        <v>45278</v>
      </c>
      <c r="H59" t="s">
        <v>7</v>
      </c>
      <c r="I59" s="3">
        <f t="shared" si="2"/>
        <v>0.890625</v>
      </c>
      <c r="J59" s="4">
        <v>0.27300000000000002</v>
      </c>
      <c r="K59" s="6">
        <f t="shared" si="3"/>
        <v>61.762499999999996</v>
      </c>
      <c r="L59" s="5">
        <f t="shared" si="4"/>
        <v>0.3065263157894737</v>
      </c>
    </row>
    <row r="60" spans="5:20" x14ac:dyDescent="0.3">
      <c r="E60">
        <v>59</v>
      </c>
      <c r="F60" s="1">
        <f t="shared" si="0"/>
        <v>45279</v>
      </c>
      <c r="G60" s="1">
        <f t="shared" si="1"/>
        <v>45285</v>
      </c>
      <c r="H60" t="s">
        <v>8</v>
      </c>
      <c r="I60" s="3">
        <f t="shared" si="2"/>
        <v>0.90625</v>
      </c>
      <c r="J60" s="4">
        <v>0.28299999999999997</v>
      </c>
      <c r="K60" s="6">
        <f t="shared" si="3"/>
        <v>62.32500000000001</v>
      </c>
      <c r="L60" s="5">
        <f t="shared" si="4"/>
        <v>0.31227586206896552</v>
      </c>
    </row>
    <row r="61" spans="5:20" x14ac:dyDescent="0.3">
      <c r="E61">
        <v>60</v>
      </c>
      <c r="F61" s="1">
        <f t="shared" si="0"/>
        <v>45286</v>
      </c>
      <c r="G61" s="1">
        <f t="shared" si="1"/>
        <v>45292</v>
      </c>
      <c r="H61" t="s">
        <v>9</v>
      </c>
      <c r="I61" s="3">
        <f t="shared" si="2"/>
        <v>0.921875</v>
      </c>
      <c r="J61" s="4">
        <v>0.29299999999999998</v>
      </c>
      <c r="K61" s="6">
        <f t="shared" si="3"/>
        <v>62.88750000000001</v>
      </c>
      <c r="L61" s="5">
        <f t="shared" si="4"/>
        <v>0.31783050847457628</v>
      </c>
    </row>
    <row r="62" spans="5:20" x14ac:dyDescent="0.3">
      <c r="E62">
        <v>61</v>
      </c>
      <c r="F62" s="1">
        <f t="shared" si="0"/>
        <v>45293</v>
      </c>
      <c r="G62" s="1">
        <f t="shared" si="1"/>
        <v>45299</v>
      </c>
      <c r="H62" t="s">
        <v>10</v>
      </c>
      <c r="I62" s="3">
        <f t="shared" si="2"/>
        <v>0.9375</v>
      </c>
      <c r="J62" s="4">
        <v>0.30199999999999999</v>
      </c>
      <c r="K62" s="6">
        <f t="shared" si="3"/>
        <v>63.55</v>
      </c>
      <c r="L62" s="5">
        <f t="shared" si="4"/>
        <v>0.32213333333333333</v>
      </c>
    </row>
    <row r="63" spans="5:20" x14ac:dyDescent="0.3">
      <c r="E63">
        <v>62</v>
      </c>
      <c r="F63" s="1">
        <f t="shared" si="0"/>
        <v>45300</v>
      </c>
      <c r="G63" s="1">
        <f t="shared" si="1"/>
        <v>45306</v>
      </c>
      <c r="H63" t="s">
        <v>11</v>
      </c>
      <c r="I63" s="3">
        <f t="shared" si="2"/>
        <v>0.953125</v>
      </c>
      <c r="J63" s="4">
        <v>0.313</v>
      </c>
      <c r="K63" s="6">
        <f t="shared" si="3"/>
        <v>64.012500000000003</v>
      </c>
      <c r="L63" s="5">
        <f t="shared" si="4"/>
        <v>0.32839344262295084</v>
      </c>
      <c r="Q63" t="s">
        <v>12</v>
      </c>
      <c r="R63" t="s">
        <v>13</v>
      </c>
      <c r="S63" t="s">
        <v>14</v>
      </c>
      <c r="T63" t="s">
        <v>15</v>
      </c>
    </row>
    <row r="64" spans="5:20" ht="21.6" x14ac:dyDescent="0.7">
      <c r="E64">
        <v>63</v>
      </c>
      <c r="F64" s="1">
        <f t="shared" si="0"/>
        <v>45307</v>
      </c>
      <c r="G64" s="1">
        <f t="shared" si="1"/>
        <v>45313</v>
      </c>
      <c r="H64" t="s">
        <v>16</v>
      </c>
      <c r="I64" s="3">
        <f t="shared" si="2"/>
        <v>0.96875</v>
      </c>
      <c r="J64" s="4">
        <v>0.32100000000000001</v>
      </c>
      <c r="K64" s="6">
        <f t="shared" si="3"/>
        <v>64.775000000000006</v>
      </c>
      <c r="L64" s="5">
        <f t="shared" si="4"/>
        <v>0.33135483870967741</v>
      </c>
      <c r="Q64" s="9">
        <v>12393920.810000001</v>
      </c>
      <c r="R64" s="8">
        <v>65767202.57</v>
      </c>
      <c r="S64">
        <f>Q64/R64</f>
        <v>0.18845139105328987</v>
      </c>
      <c r="T64" s="7">
        <f>R64-Q64</f>
        <v>53373281.759999998</v>
      </c>
    </row>
    <row r="65" spans="4:20" s="10" customFormat="1" x14ac:dyDescent="0.3">
      <c r="D65" s="10" t="s">
        <v>18</v>
      </c>
      <c r="E65" s="10">
        <v>64</v>
      </c>
      <c r="F65" s="11">
        <f t="shared" si="0"/>
        <v>45314</v>
      </c>
      <c r="G65" s="11">
        <f t="shared" si="1"/>
        <v>45320</v>
      </c>
      <c r="H65" s="10" t="s">
        <v>17</v>
      </c>
      <c r="I65" s="12">
        <f t="shared" si="2"/>
        <v>0.984375</v>
      </c>
      <c r="J65" s="13">
        <v>0.32900000000000001</v>
      </c>
      <c r="K65" s="14">
        <f t="shared" si="3"/>
        <v>65.537500000000009</v>
      </c>
      <c r="L65" s="15">
        <f t="shared" si="4"/>
        <v>0.33422222222222225</v>
      </c>
    </row>
    <row r="66" spans="4:20" ht="19.8" x14ac:dyDescent="0.65">
      <c r="E66">
        <v>65</v>
      </c>
      <c r="F66" s="1">
        <f t="shared" si="0"/>
        <v>45321</v>
      </c>
      <c r="G66" s="1">
        <f t="shared" si="1"/>
        <v>45327</v>
      </c>
      <c r="H66" t="s">
        <v>20</v>
      </c>
      <c r="I66" s="16">
        <f t="shared" ref="I66:I71" si="5">(E66-1)/82</f>
        <v>0.78048780487804881</v>
      </c>
      <c r="J66" s="4">
        <v>0.33200000000000002</v>
      </c>
      <c r="K66" s="6">
        <f t="shared" si="3"/>
        <v>44.848780487804881</v>
      </c>
      <c r="L66" s="5">
        <f t="shared" si="4"/>
        <v>0.425375</v>
      </c>
      <c r="Q66" s="9">
        <v>12393920.810000001</v>
      </c>
      <c r="R66" s="9">
        <v>69690099.400000006</v>
      </c>
      <c r="S66">
        <f>Q66/R66</f>
        <v>0.17784335101694515</v>
      </c>
      <c r="T66" s="7">
        <f>R66-Q66</f>
        <v>57296178.590000004</v>
      </c>
    </row>
    <row r="67" spans="4:20" x14ac:dyDescent="0.3">
      <c r="E67">
        <v>66</v>
      </c>
      <c r="F67" s="1">
        <f t="shared" si="0"/>
        <v>45328</v>
      </c>
      <c r="G67" s="1">
        <f t="shared" si="1"/>
        <v>45334</v>
      </c>
      <c r="H67" t="s">
        <v>19</v>
      </c>
      <c r="I67" s="16">
        <f t="shared" si="5"/>
        <v>0.79268292682926833</v>
      </c>
      <c r="J67" s="4">
        <v>0.33900000000000002</v>
      </c>
      <c r="K67" s="6">
        <f t="shared" ref="K67" si="6">(I67-J67)*100</f>
        <v>45.368292682926828</v>
      </c>
      <c r="L67" s="5">
        <f t="shared" ref="L67" si="7">J67/I67</f>
        <v>0.42766153846153848</v>
      </c>
    </row>
    <row r="68" spans="4:20" ht="19.8" x14ac:dyDescent="0.65">
      <c r="E68">
        <v>67</v>
      </c>
      <c r="F68" s="1">
        <f t="shared" ref="F68:G83" si="8">F67+7</f>
        <v>45335</v>
      </c>
      <c r="G68" s="1">
        <f t="shared" si="8"/>
        <v>45341</v>
      </c>
      <c r="H68" t="s">
        <v>21</v>
      </c>
      <c r="I68" s="16">
        <f t="shared" si="5"/>
        <v>0.80487804878048785</v>
      </c>
      <c r="J68" s="4">
        <v>0.34100000000000003</v>
      </c>
      <c r="K68" s="6">
        <f t="shared" ref="K68" si="9">(I68-J68)*100</f>
        <v>46.387804878048783</v>
      </c>
      <c r="L68" s="5">
        <f t="shared" ref="L68" si="10">J68/I68</f>
        <v>0.42366666666666669</v>
      </c>
      <c r="Q68" s="9">
        <v>17096781.030000001</v>
      </c>
      <c r="R68" s="9">
        <v>69690099.400000006</v>
      </c>
      <c r="S68">
        <f>Q68/R68</f>
        <v>0.24532582357028465</v>
      </c>
      <c r="T68" s="7">
        <f>R68-Q68</f>
        <v>52593318.370000005</v>
      </c>
    </row>
    <row r="69" spans="4:20" x14ac:dyDescent="0.3">
      <c r="E69">
        <v>68</v>
      </c>
      <c r="F69" s="1">
        <f t="shared" si="8"/>
        <v>45342</v>
      </c>
      <c r="G69" s="1">
        <f t="shared" si="8"/>
        <v>45348</v>
      </c>
      <c r="H69" t="s">
        <v>22</v>
      </c>
      <c r="I69" s="16">
        <f t="shared" si="5"/>
        <v>0.81707317073170727</v>
      </c>
      <c r="J69" s="4">
        <v>0.34600000000000003</v>
      </c>
      <c r="K69" s="6">
        <f t="shared" ref="K69" si="11">(I69-J69)*100</f>
        <v>47.107317073170726</v>
      </c>
      <c r="L69" s="5">
        <f t="shared" ref="L69" si="12">J69/I69</f>
        <v>0.42346268656716424</v>
      </c>
    </row>
    <row r="70" spans="4:20" ht="16.2" customHeight="1" x14ac:dyDescent="0.3">
      <c r="E70">
        <v>69</v>
      </c>
      <c r="F70" s="1">
        <f t="shared" si="8"/>
        <v>45349</v>
      </c>
      <c r="G70" s="1">
        <f t="shared" si="8"/>
        <v>45355</v>
      </c>
      <c r="H70" t="s">
        <v>23</v>
      </c>
      <c r="I70" s="16">
        <f t="shared" si="5"/>
        <v>0.82926829268292679</v>
      </c>
      <c r="J70" s="4">
        <v>0.35099999999999998</v>
      </c>
      <c r="K70" s="6">
        <f t="shared" ref="K70:K71" si="13">(I70-J70)*100</f>
        <v>47.826829268292684</v>
      </c>
      <c r="L70" s="5">
        <f t="shared" ref="L70:L71" si="14">J70/I70</f>
        <v>0.42326470588235293</v>
      </c>
    </row>
    <row r="71" spans="4:20" ht="18.600000000000001" x14ac:dyDescent="0.6">
      <c r="E71">
        <v>70</v>
      </c>
      <c r="F71" s="1">
        <f t="shared" si="8"/>
        <v>45356</v>
      </c>
      <c r="G71" s="1">
        <f t="shared" si="8"/>
        <v>45362</v>
      </c>
      <c r="H71" t="s">
        <v>24</v>
      </c>
      <c r="I71" s="16">
        <f t="shared" si="5"/>
        <v>0.84146341463414631</v>
      </c>
      <c r="J71" s="4">
        <v>0.35899999999999999</v>
      </c>
      <c r="K71" s="6">
        <f t="shared" si="13"/>
        <v>48.24634146341463</v>
      </c>
      <c r="L71" s="5">
        <f t="shared" si="14"/>
        <v>0.4266376811594203</v>
      </c>
      <c r="O71" s="17"/>
    </row>
    <row r="72" spans="4:20" x14ac:dyDescent="0.3">
      <c r="E72">
        <v>71</v>
      </c>
      <c r="F72" s="1">
        <f t="shared" si="8"/>
        <v>45363</v>
      </c>
      <c r="G72" s="1">
        <f t="shared" si="8"/>
        <v>45369</v>
      </c>
      <c r="H72" t="s">
        <v>25</v>
      </c>
      <c r="I72" s="16">
        <f>(E72-1)/82</f>
        <v>0.85365853658536583</v>
      </c>
      <c r="J72" s="4">
        <v>0.36899999999999999</v>
      </c>
      <c r="K72" s="6">
        <f>(I72-J72)*100</f>
        <v>48.465853658536581</v>
      </c>
      <c r="L72" s="5">
        <f>J72/I72</f>
        <v>0.43225714285714284</v>
      </c>
    </row>
    <row r="73" spans="4:20" ht="19.8" x14ac:dyDescent="0.65">
      <c r="E73">
        <v>72</v>
      </c>
      <c r="F73" s="1">
        <f t="shared" si="8"/>
        <v>45370</v>
      </c>
      <c r="G73" s="1">
        <f t="shared" si="8"/>
        <v>45376</v>
      </c>
      <c r="H73" t="s">
        <v>26</v>
      </c>
      <c r="I73" s="16">
        <f>(E73-1)/82</f>
        <v>0.86585365853658536</v>
      </c>
      <c r="J73" s="4">
        <v>0.375</v>
      </c>
      <c r="K73" s="6">
        <f>(I73-J73)*100</f>
        <v>49.085365853658537</v>
      </c>
      <c r="L73" s="5">
        <f>J73/I73</f>
        <v>0.43309859154929575</v>
      </c>
      <c r="Q73" s="9">
        <v>18251842.52</v>
      </c>
      <c r="R73" s="9">
        <v>69690099.400000006</v>
      </c>
      <c r="S73">
        <f>Q73/R73</f>
        <v>0.26190007873629173</v>
      </c>
      <c r="T73" s="7">
        <f>R73-Q73</f>
        <v>51438256.88000001</v>
      </c>
    </row>
    <row r="74" spans="4:20" ht="18.600000000000001" customHeight="1" x14ac:dyDescent="0.65">
      <c r="E74">
        <v>73</v>
      </c>
      <c r="F74" s="1">
        <f t="shared" si="8"/>
        <v>45377</v>
      </c>
      <c r="G74" s="1">
        <f t="shared" si="8"/>
        <v>45383</v>
      </c>
      <c r="H74" t="s">
        <v>27</v>
      </c>
      <c r="I74" s="16">
        <f>(E74-1)/82</f>
        <v>0.87804878048780488</v>
      </c>
      <c r="J74" s="4">
        <v>0.38100000000000001</v>
      </c>
      <c r="K74" s="6">
        <f>(I74-J74)*100</f>
        <v>49.704878048780486</v>
      </c>
      <c r="L74" s="5">
        <f>J74/I74</f>
        <v>0.43391666666666667</v>
      </c>
      <c r="Q74" s="9">
        <v>19274524.059999999</v>
      </c>
      <c r="R74" s="9">
        <v>69690099.400000006</v>
      </c>
      <c r="S74">
        <f>Q74/R74</f>
        <v>0.27657478215621539</v>
      </c>
      <c r="T74" s="7">
        <f>R74-Q74</f>
        <v>50415575.340000004</v>
      </c>
    </row>
    <row r="75" spans="4:20" ht="18.600000000000001" customHeight="1" x14ac:dyDescent="0.3">
      <c r="E75">
        <v>74</v>
      </c>
      <c r="F75" s="1">
        <f t="shared" si="8"/>
        <v>45384</v>
      </c>
      <c r="G75" s="1">
        <f t="shared" si="8"/>
        <v>45390</v>
      </c>
      <c r="I75" s="16">
        <f t="shared" ref="I75:I76" si="15">(E75-1)/82</f>
        <v>0.8902439024390244</v>
      </c>
      <c r="J75" s="4">
        <v>0.38700000000000001</v>
      </c>
      <c r="K75" s="6">
        <f t="shared" ref="K75:K76" si="16">(I75-J75)*100</f>
        <v>50.324390243902442</v>
      </c>
      <c r="L75" s="5">
        <f t="shared" ref="L75:L76" si="17">J75/I75</f>
        <v>0.43471232876712329</v>
      </c>
      <c r="N75" s="19" t="s">
        <v>29</v>
      </c>
      <c r="O75" s="19"/>
      <c r="P75" s="19"/>
    </row>
    <row r="76" spans="4:20" ht="18.600000000000001" customHeight="1" x14ac:dyDescent="0.3">
      <c r="E76">
        <v>75</v>
      </c>
      <c r="F76" s="1">
        <f t="shared" si="8"/>
        <v>45391</v>
      </c>
      <c r="G76" s="1">
        <f t="shared" si="8"/>
        <v>45397</v>
      </c>
      <c r="H76" t="s">
        <v>28</v>
      </c>
      <c r="I76" s="16">
        <f t="shared" si="15"/>
        <v>0.90243902439024393</v>
      </c>
      <c r="J76" s="4">
        <v>0.39600000000000002</v>
      </c>
      <c r="K76" s="6">
        <f t="shared" si="16"/>
        <v>50.643902439024387</v>
      </c>
      <c r="L76" s="5">
        <f t="shared" si="17"/>
        <v>0.4388108108108108</v>
      </c>
    </row>
    <row r="77" spans="4:20" ht="18.600000000000001" customHeight="1" x14ac:dyDescent="0.3">
      <c r="E77">
        <v>76</v>
      </c>
      <c r="F77" s="1">
        <f t="shared" si="8"/>
        <v>45398</v>
      </c>
      <c r="G77" s="1">
        <f t="shared" si="8"/>
        <v>45404</v>
      </c>
      <c r="H77" t="s">
        <v>30</v>
      </c>
      <c r="I77" s="16">
        <f>(E77-1)/82</f>
        <v>0.91463414634146345</v>
      </c>
      <c r="J77" s="18">
        <v>0.4</v>
      </c>
      <c r="K77" s="6">
        <f t="shared" ref="K77:K78" si="18">(I77-J77)*100</f>
        <v>51.463414634146346</v>
      </c>
      <c r="L77" s="5">
        <f t="shared" ref="L77:L78" si="19">J77/I77</f>
        <v>0.43733333333333335</v>
      </c>
    </row>
    <row r="78" spans="4:20" ht="18.600000000000001" customHeight="1" x14ac:dyDescent="0.65">
      <c r="E78">
        <v>77</v>
      </c>
      <c r="F78" s="1">
        <f t="shared" si="8"/>
        <v>45405</v>
      </c>
      <c r="G78" s="1">
        <f t="shared" si="8"/>
        <v>45411</v>
      </c>
      <c r="I78" s="16">
        <f>(E78-1)/82</f>
        <v>0.92682926829268297</v>
      </c>
      <c r="J78" s="4">
        <v>0.40600000000000003</v>
      </c>
      <c r="K78" s="6">
        <f t="shared" si="18"/>
        <v>52.082926829268295</v>
      </c>
      <c r="L78" s="5">
        <f t="shared" si="19"/>
        <v>0.43805263157894736</v>
      </c>
      <c r="Q78" s="9">
        <v>21242567.32</v>
      </c>
      <c r="R78" s="9">
        <v>69690099.400000006</v>
      </c>
      <c r="S78">
        <f>Q78/R78</f>
        <v>0.30481470829987078</v>
      </c>
      <c r="T78" s="7">
        <f>R78-Q78</f>
        <v>48447532.080000006</v>
      </c>
    </row>
    <row r="79" spans="4:20" ht="18.600000000000001" customHeight="1" x14ac:dyDescent="0.3">
      <c r="E79">
        <v>78</v>
      </c>
      <c r="F79" s="1">
        <f t="shared" si="8"/>
        <v>45412</v>
      </c>
      <c r="G79" s="1">
        <f t="shared" si="8"/>
        <v>45418</v>
      </c>
      <c r="I79" s="16">
        <f t="shared" ref="I79:I81" si="20">(E79-1)/82</f>
        <v>0.93902439024390238</v>
      </c>
      <c r="J79" s="4">
        <v>0.41199999999999998</v>
      </c>
      <c r="K79" s="6">
        <f t="shared" ref="K79:K81" si="21">(I79-J79)*100</f>
        <v>52.702439024390245</v>
      </c>
      <c r="L79" s="5">
        <f t="shared" ref="L79:L81" si="22">J79/I79</f>
        <v>0.43875324675324673</v>
      </c>
    </row>
    <row r="80" spans="4:20" ht="18.600000000000001" customHeight="1" x14ac:dyDescent="0.3">
      <c r="E80">
        <v>79</v>
      </c>
      <c r="F80" s="1">
        <f t="shared" si="8"/>
        <v>45419</v>
      </c>
      <c r="G80" s="1">
        <f t="shared" si="8"/>
        <v>45425</v>
      </c>
      <c r="H80" t="s">
        <v>31</v>
      </c>
      <c r="I80" s="16">
        <f t="shared" si="20"/>
        <v>0.95121951219512191</v>
      </c>
      <c r="J80" s="4">
        <v>0.41799999999999998</v>
      </c>
      <c r="K80" s="6">
        <f t="shared" si="21"/>
        <v>53.321951219512201</v>
      </c>
      <c r="L80" s="5">
        <f t="shared" si="22"/>
        <v>0.43943589743589745</v>
      </c>
    </row>
    <row r="81" spans="5:12" ht="18.600000000000001" customHeight="1" x14ac:dyDescent="0.3">
      <c r="E81">
        <v>80</v>
      </c>
      <c r="F81" s="1">
        <f t="shared" si="8"/>
        <v>45426</v>
      </c>
      <c r="G81" s="1">
        <f t="shared" si="8"/>
        <v>45432</v>
      </c>
      <c r="H81" t="s">
        <v>32</v>
      </c>
      <c r="I81" s="16">
        <f t="shared" si="20"/>
        <v>0.96341463414634143</v>
      </c>
      <c r="J81" s="4">
        <v>0.42599999999999999</v>
      </c>
      <c r="K81" s="6">
        <f t="shared" si="21"/>
        <v>53.741463414634147</v>
      </c>
      <c r="L81" s="5">
        <f t="shared" si="22"/>
        <v>0.44217721518987341</v>
      </c>
    </row>
    <row r="82" spans="5:12" ht="18.600000000000001" customHeight="1" x14ac:dyDescent="0.3">
      <c r="E82">
        <v>81</v>
      </c>
      <c r="F82" s="1">
        <f t="shared" si="8"/>
        <v>45433</v>
      </c>
      <c r="G82" s="1">
        <f t="shared" si="8"/>
        <v>45439</v>
      </c>
      <c r="I82" s="16">
        <f t="shared" ref="I82:I83" si="23">(E82-1)/82</f>
        <v>0.97560975609756095</v>
      </c>
      <c r="J82" s="4">
        <v>0.433</v>
      </c>
      <c r="K82" s="6">
        <f t="shared" ref="K82:K83" si="24">(I82-J82)*100</f>
        <v>54.260975609756088</v>
      </c>
      <c r="L82" s="5">
        <f t="shared" ref="L82:L83" si="25">J82/I82</f>
        <v>0.44382500000000003</v>
      </c>
    </row>
    <row r="83" spans="5:12" ht="18.600000000000001" customHeight="1" x14ac:dyDescent="0.3">
      <c r="E83">
        <v>82</v>
      </c>
      <c r="F83" s="1">
        <f t="shared" si="8"/>
        <v>45440</v>
      </c>
      <c r="G83" s="1">
        <f t="shared" si="8"/>
        <v>45446</v>
      </c>
      <c r="I83" s="16">
        <f t="shared" si="23"/>
        <v>0.98780487804878048</v>
      </c>
      <c r="J83" s="4">
        <v>0.433</v>
      </c>
      <c r="K83" s="6">
        <f t="shared" si="24"/>
        <v>55.480487804878045</v>
      </c>
      <c r="L83" s="5">
        <f t="shared" si="25"/>
        <v>0.43834567901234567</v>
      </c>
    </row>
  </sheetData>
  <mergeCells count="1">
    <mergeCell ref="N75:P7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2023-12-16T12:19:48Z</dcterms:created>
  <dcterms:modified xsi:type="dcterms:W3CDTF">2024-06-02T09:08:21Z</dcterms:modified>
</cp:coreProperties>
</file>