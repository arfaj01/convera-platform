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Administrator\Desktop\convera-platform\data-imports\CMH_01\00_inventory\source-snapshot\candidates\"/>
    </mc:Choice>
  </mc:AlternateContent>
  <xr:revisionPtr revIDLastSave="0" documentId="8_{C94AFDAE-B403-411B-BBA7-FCB649AD901E}" xr6:coauthVersionLast="36" xr6:coauthVersionMax="36" xr10:uidLastSave="{00000000-0000-0000-0000-000000000000}"/>
  <bookViews>
    <workbookView xWindow="0" yWindow="0" windowWidth="23040" windowHeight="9804" xr2:uid="{00000000-000D-0000-FFFF-FFFF00000000}"/>
  </bookViews>
  <sheets>
    <sheet name="ابدأ هنا" sheetId="1" r:id="rId1"/>
    <sheet name="العقد" sheetId="2" r:id="rId2"/>
    <sheet name="بنود العقد" sheetId="3" r:id="rId3"/>
    <sheet name="المطالبات" sheetId="4" r:id="rId4"/>
    <sheet name="بنود المطالبات" sheetId="5" r:id="rId5"/>
    <sheet name="الملخص التراكمي" sheetId="6" r:id="rId6"/>
    <sheet name="أوامر التغيير" sheetId="7" r:id="rId7"/>
    <sheet name="بنود أوامر التغيير" sheetId="8" r:id="rId8"/>
    <sheet name="المستخدمون" sheetId="9" r:id="rId9"/>
    <sheet name="الجاهزية" sheetId="10" r:id="rId10"/>
    <sheet name="سجل الحركة" sheetId="11" r:id="rId11"/>
    <sheet name="Sheet1" sheetId="14" r:id="rId12"/>
    <sheet name="مراجع" sheetId="12" state="hidden" r:id="rId13"/>
    <sheet name="سجل المرفقات" sheetId="13" r:id="rId14"/>
  </sheets>
  <definedNames>
    <definedName name="_xlnm._FilterDatabase" localSheetId="7" hidden="1">'بنود أوامر التغيير'!$A$1:$M$725</definedName>
  </definedNames>
  <calcPr calcId="191029"/>
  <fileRecoveryPr repairLoad="1"/>
</workbook>
</file>

<file path=xl/calcChain.xml><?xml version="1.0" encoding="utf-8"?>
<calcChain xmlns="http://schemas.openxmlformats.org/spreadsheetml/2006/main">
  <c r="F233" i="13" l="1"/>
  <c r="C233" i="13"/>
  <c r="B233" i="13"/>
  <c r="F232" i="13"/>
  <c r="C232" i="13"/>
  <c r="B232" i="13"/>
  <c r="F231" i="13"/>
  <c r="C231" i="13"/>
  <c r="B231" i="13"/>
  <c r="F230" i="13"/>
  <c r="C230" i="13"/>
  <c r="B230" i="13"/>
  <c r="F229" i="13"/>
  <c r="C229" i="13"/>
  <c r="B229" i="13"/>
  <c r="F228" i="13"/>
  <c r="C228" i="13"/>
  <c r="B228" i="13"/>
  <c r="F227" i="13"/>
  <c r="C227" i="13"/>
  <c r="B227" i="13"/>
  <c r="F226" i="13"/>
  <c r="C226" i="13"/>
  <c r="B226" i="13"/>
  <c r="F225" i="13"/>
  <c r="C225" i="13"/>
  <c r="B225" i="13"/>
  <c r="F224" i="13"/>
  <c r="C224" i="13"/>
  <c r="B224" i="13"/>
  <c r="F223" i="13"/>
  <c r="C223" i="13"/>
  <c r="B223" i="13"/>
  <c r="F222" i="13"/>
  <c r="C222" i="13"/>
  <c r="B222" i="13"/>
  <c r="F221" i="13"/>
  <c r="C221" i="13"/>
  <c r="B221" i="13"/>
  <c r="F220" i="13"/>
  <c r="C220" i="13"/>
  <c r="B220" i="13"/>
  <c r="F219" i="13"/>
  <c r="C219" i="13"/>
  <c r="B219" i="13"/>
  <c r="F218" i="13"/>
  <c r="C218" i="13"/>
  <c r="B218" i="13"/>
  <c r="F217" i="13"/>
  <c r="C217" i="13"/>
  <c r="B217" i="13"/>
  <c r="F216" i="13"/>
  <c r="C216" i="13"/>
  <c r="B216" i="13"/>
  <c r="F215" i="13"/>
  <c r="C215" i="13"/>
  <c r="B215" i="13"/>
  <c r="F214" i="13"/>
  <c r="C214" i="13"/>
  <c r="B214" i="13"/>
  <c r="F213" i="13"/>
  <c r="C213" i="13"/>
  <c r="B213" i="13"/>
  <c r="F212" i="13"/>
  <c r="C212" i="13"/>
  <c r="B212" i="13"/>
  <c r="F211" i="13"/>
  <c r="C211" i="13"/>
  <c r="B211" i="13"/>
  <c r="F210" i="13"/>
  <c r="C210" i="13"/>
  <c r="B210" i="13"/>
  <c r="F209" i="13"/>
  <c r="C209" i="13"/>
  <c r="B209" i="13"/>
  <c r="F208" i="13"/>
  <c r="C208" i="13"/>
  <c r="B208" i="13"/>
  <c r="F207" i="13"/>
  <c r="C207" i="13"/>
  <c r="B207" i="13"/>
  <c r="F206" i="13"/>
  <c r="C206" i="13"/>
  <c r="B206" i="13"/>
  <c r="F205" i="13"/>
  <c r="C205" i="13"/>
  <c r="B205" i="13"/>
  <c r="F204" i="13"/>
  <c r="C204" i="13"/>
  <c r="B204" i="13"/>
  <c r="F203" i="13"/>
  <c r="C203" i="13"/>
  <c r="B203" i="13"/>
  <c r="F202" i="13"/>
  <c r="C202" i="13"/>
  <c r="B202" i="13"/>
  <c r="F201" i="13"/>
  <c r="C201" i="13"/>
  <c r="B201" i="13"/>
  <c r="F200" i="13"/>
  <c r="C200" i="13"/>
  <c r="B200" i="13"/>
  <c r="F199" i="13"/>
  <c r="C199" i="13"/>
  <c r="B199" i="13"/>
  <c r="F198" i="13"/>
  <c r="C198" i="13"/>
  <c r="B198" i="13"/>
  <c r="F197" i="13"/>
  <c r="C197" i="13"/>
  <c r="B197" i="13"/>
  <c r="F196" i="13"/>
  <c r="C196" i="13"/>
  <c r="B196" i="13"/>
  <c r="F195" i="13"/>
  <c r="C195" i="13"/>
  <c r="B195" i="13"/>
  <c r="F194" i="13"/>
  <c r="C194" i="13"/>
  <c r="B194" i="13"/>
  <c r="F193" i="13"/>
  <c r="C193" i="13"/>
  <c r="B193" i="13"/>
  <c r="F192" i="13"/>
  <c r="C192" i="13"/>
  <c r="B192" i="13"/>
  <c r="F191" i="13"/>
  <c r="C191" i="13"/>
  <c r="B191" i="13"/>
  <c r="F190" i="13"/>
  <c r="C190" i="13"/>
  <c r="B190" i="13"/>
  <c r="F189" i="13"/>
  <c r="C189" i="13"/>
  <c r="B189" i="13"/>
  <c r="F188" i="13"/>
  <c r="C188" i="13"/>
  <c r="B188" i="13"/>
  <c r="F187" i="13"/>
  <c r="C187" i="13"/>
  <c r="B187" i="13"/>
  <c r="F186" i="13"/>
  <c r="C186" i="13"/>
  <c r="B186" i="13"/>
  <c r="F185" i="13"/>
  <c r="C185" i="13"/>
  <c r="B185" i="13"/>
  <c r="F184" i="13"/>
  <c r="C184" i="13"/>
  <c r="B184" i="13"/>
  <c r="F183" i="13"/>
  <c r="C183" i="13"/>
  <c r="B183" i="13"/>
  <c r="F182" i="13"/>
  <c r="C182" i="13"/>
  <c r="B182" i="13"/>
  <c r="F181" i="13"/>
  <c r="C181" i="13"/>
  <c r="B181" i="13"/>
  <c r="F180" i="13"/>
  <c r="C180" i="13"/>
  <c r="B180" i="13"/>
  <c r="F179" i="13"/>
  <c r="C179" i="13"/>
  <c r="B179" i="13"/>
  <c r="F178" i="13"/>
  <c r="C178" i="13"/>
  <c r="B178" i="13"/>
  <c r="F177" i="13"/>
  <c r="C177" i="13"/>
  <c r="B177" i="13"/>
  <c r="F176" i="13"/>
  <c r="C176" i="13"/>
  <c r="B176" i="13"/>
  <c r="F175" i="13"/>
  <c r="C175" i="13"/>
  <c r="B175" i="13"/>
  <c r="F174" i="13"/>
  <c r="C174" i="13"/>
  <c r="B174" i="13"/>
  <c r="F173" i="13"/>
  <c r="C173" i="13"/>
  <c r="B173" i="13"/>
  <c r="F172" i="13"/>
  <c r="C172" i="13"/>
  <c r="B172" i="13"/>
  <c r="F171" i="13"/>
  <c r="C171" i="13"/>
  <c r="B171" i="13"/>
  <c r="F170" i="13"/>
  <c r="C170" i="13"/>
  <c r="B170" i="13"/>
  <c r="F169" i="13"/>
  <c r="C169" i="13"/>
  <c r="B169" i="13"/>
  <c r="F168" i="13"/>
  <c r="C168" i="13"/>
  <c r="B168" i="13"/>
  <c r="F167" i="13"/>
  <c r="C167" i="13"/>
  <c r="B167" i="13"/>
  <c r="F166" i="13"/>
  <c r="C166" i="13"/>
  <c r="B166" i="13"/>
  <c r="F165" i="13"/>
  <c r="C165" i="13"/>
  <c r="B165" i="13"/>
  <c r="F164" i="13"/>
  <c r="C164" i="13"/>
  <c r="B164" i="13"/>
  <c r="F163" i="13"/>
  <c r="C163" i="13"/>
  <c r="B163" i="13"/>
  <c r="F162" i="13"/>
  <c r="C162" i="13"/>
  <c r="B162" i="13"/>
  <c r="F161" i="13"/>
  <c r="C161" i="13"/>
  <c r="B161" i="13"/>
  <c r="F160" i="13"/>
  <c r="C160" i="13"/>
  <c r="B160" i="13"/>
  <c r="F159" i="13"/>
  <c r="C159" i="13"/>
  <c r="B159" i="13"/>
  <c r="F158" i="13"/>
  <c r="C158" i="13"/>
  <c r="B158" i="13"/>
  <c r="F157" i="13"/>
  <c r="C157" i="13"/>
  <c r="B157" i="13"/>
  <c r="F156" i="13"/>
  <c r="C156" i="13"/>
  <c r="B156" i="13"/>
  <c r="F155" i="13"/>
  <c r="C155" i="13"/>
  <c r="B155" i="13"/>
  <c r="F154" i="13"/>
  <c r="C154" i="13"/>
  <c r="B154" i="13"/>
  <c r="F153" i="13"/>
  <c r="C153" i="13"/>
  <c r="B153" i="13"/>
  <c r="F152" i="13"/>
  <c r="C152" i="13"/>
  <c r="B152" i="13"/>
  <c r="F151" i="13"/>
  <c r="C151" i="13"/>
  <c r="B151" i="13"/>
  <c r="F150" i="13"/>
  <c r="C150" i="13"/>
  <c r="B150" i="13"/>
  <c r="F149" i="13"/>
  <c r="C149" i="13"/>
  <c r="B149" i="13"/>
  <c r="F148" i="13"/>
  <c r="C148" i="13"/>
  <c r="B148" i="13"/>
  <c r="F147" i="13"/>
  <c r="C147" i="13"/>
  <c r="B147" i="13"/>
  <c r="F146" i="13"/>
  <c r="C146" i="13"/>
  <c r="B146" i="13"/>
  <c r="F145" i="13"/>
  <c r="C145" i="13"/>
  <c r="B145" i="13"/>
  <c r="F144" i="13"/>
  <c r="C144" i="13"/>
  <c r="B144" i="13"/>
  <c r="F143" i="13"/>
  <c r="C143" i="13"/>
  <c r="B143" i="13"/>
  <c r="F142" i="13"/>
  <c r="C142" i="13"/>
  <c r="B142" i="13"/>
  <c r="F141" i="13"/>
  <c r="C141" i="13"/>
  <c r="B141" i="13"/>
  <c r="F140" i="13"/>
  <c r="C140" i="13"/>
  <c r="B140" i="13"/>
  <c r="F139" i="13"/>
  <c r="C139" i="13"/>
  <c r="B139" i="13"/>
  <c r="F138" i="13"/>
  <c r="C138" i="13"/>
  <c r="B138" i="13"/>
  <c r="F137" i="13"/>
  <c r="C137" i="13"/>
  <c r="B137" i="13"/>
  <c r="F136" i="13"/>
  <c r="C136" i="13"/>
  <c r="B136" i="13"/>
  <c r="F135" i="13"/>
  <c r="C135" i="13"/>
  <c r="B135" i="13"/>
  <c r="F134" i="13"/>
  <c r="C134" i="13"/>
  <c r="B134" i="13"/>
  <c r="F133" i="13"/>
  <c r="C133" i="13"/>
  <c r="B133" i="13"/>
  <c r="F132" i="13"/>
  <c r="C132" i="13"/>
  <c r="B132" i="13"/>
  <c r="F131" i="13"/>
  <c r="C131" i="13"/>
  <c r="B131" i="13"/>
  <c r="F130" i="13"/>
  <c r="C130" i="13"/>
  <c r="B130" i="13"/>
  <c r="F129" i="13"/>
  <c r="C129" i="13"/>
  <c r="B129" i="13"/>
  <c r="F128" i="13"/>
  <c r="C128" i="13"/>
  <c r="B128" i="13"/>
  <c r="F127" i="13"/>
  <c r="C127" i="13"/>
  <c r="B127" i="13"/>
  <c r="F126" i="13"/>
  <c r="C126" i="13"/>
  <c r="B126" i="13"/>
  <c r="F125" i="13"/>
  <c r="C125" i="13"/>
  <c r="B125" i="13"/>
  <c r="F124" i="13"/>
  <c r="C124" i="13"/>
  <c r="B124" i="13"/>
  <c r="F123" i="13"/>
  <c r="C123" i="13"/>
  <c r="B123" i="13"/>
  <c r="F122" i="13"/>
  <c r="C122" i="13"/>
  <c r="B122" i="13"/>
  <c r="F121" i="13"/>
  <c r="C121" i="13"/>
  <c r="B121" i="13"/>
  <c r="F120" i="13"/>
  <c r="C120" i="13"/>
  <c r="B120" i="13"/>
  <c r="F119" i="13"/>
  <c r="C119" i="13"/>
  <c r="B119" i="13"/>
  <c r="F118" i="13"/>
  <c r="C118" i="13"/>
  <c r="B118" i="13"/>
  <c r="F117" i="13"/>
  <c r="C117" i="13"/>
  <c r="B117" i="13"/>
  <c r="F116" i="13"/>
  <c r="C116" i="13"/>
  <c r="B116" i="13"/>
  <c r="F115" i="13"/>
  <c r="C115" i="13"/>
  <c r="B115" i="13"/>
  <c r="F114" i="13"/>
  <c r="C114" i="13"/>
  <c r="B114" i="13"/>
  <c r="F113" i="13"/>
  <c r="C113" i="13"/>
  <c r="B113" i="13"/>
  <c r="F112" i="13"/>
  <c r="C112" i="13"/>
  <c r="B112" i="13"/>
  <c r="F111" i="13"/>
  <c r="C111" i="13"/>
  <c r="B111" i="13"/>
  <c r="F110" i="13"/>
  <c r="C110" i="13"/>
  <c r="B110" i="13"/>
  <c r="F109" i="13"/>
  <c r="C109" i="13"/>
  <c r="B109" i="13"/>
  <c r="F108" i="13"/>
  <c r="C108" i="13"/>
  <c r="B108" i="13"/>
  <c r="F107" i="13"/>
  <c r="C107" i="13"/>
  <c r="B107" i="13"/>
  <c r="F106" i="13"/>
  <c r="C106" i="13"/>
  <c r="B106" i="13"/>
  <c r="F105" i="13"/>
  <c r="C105" i="13"/>
  <c r="B105" i="13"/>
  <c r="F104" i="13"/>
  <c r="C104" i="13"/>
  <c r="B104" i="13"/>
  <c r="F103" i="13"/>
  <c r="C103" i="13"/>
  <c r="B103" i="13"/>
  <c r="F102" i="13"/>
  <c r="C102" i="13"/>
  <c r="B102" i="13"/>
  <c r="F101" i="13"/>
  <c r="C101" i="13"/>
  <c r="B101" i="13"/>
  <c r="F100" i="13"/>
  <c r="C100" i="13"/>
  <c r="B100" i="13"/>
  <c r="F99" i="13"/>
  <c r="C99" i="13"/>
  <c r="B99" i="13"/>
  <c r="F98" i="13"/>
  <c r="C98" i="13"/>
  <c r="B98" i="13"/>
  <c r="F97" i="13"/>
  <c r="C97" i="13"/>
  <c r="B97" i="13"/>
  <c r="F96" i="13"/>
  <c r="C96" i="13"/>
  <c r="B96" i="13"/>
  <c r="F95" i="13"/>
  <c r="C95" i="13"/>
  <c r="B95" i="13"/>
  <c r="F94" i="13"/>
  <c r="C94" i="13"/>
  <c r="B94" i="13"/>
  <c r="F93" i="13"/>
  <c r="C93" i="13"/>
  <c r="B93" i="13"/>
  <c r="F92" i="13"/>
  <c r="C92" i="13"/>
  <c r="B92" i="13"/>
  <c r="F91" i="13"/>
  <c r="C91" i="13"/>
  <c r="B91" i="13"/>
  <c r="F90" i="13"/>
  <c r="C90" i="13"/>
  <c r="B90" i="13"/>
  <c r="F89" i="13"/>
  <c r="C89" i="13"/>
  <c r="B89" i="13"/>
  <c r="F88" i="13"/>
  <c r="C88" i="13"/>
  <c r="B88" i="13"/>
  <c r="F87" i="13"/>
  <c r="C87" i="13"/>
  <c r="B87" i="13"/>
  <c r="F86" i="13"/>
  <c r="C86" i="13"/>
  <c r="B86" i="13"/>
  <c r="F85" i="13"/>
  <c r="C85" i="13"/>
  <c r="B85" i="13"/>
  <c r="F84" i="13"/>
  <c r="C84" i="13"/>
  <c r="B84" i="13"/>
  <c r="F83" i="13"/>
  <c r="C83" i="13"/>
  <c r="B83" i="13"/>
  <c r="F82" i="13"/>
  <c r="C82" i="13"/>
  <c r="B82" i="13"/>
  <c r="F81" i="13"/>
  <c r="C81" i="13"/>
  <c r="B81" i="13"/>
  <c r="F80" i="13"/>
  <c r="C80" i="13"/>
  <c r="B80" i="13"/>
  <c r="F79" i="13"/>
  <c r="C79" i="13"/>
  <c r="B79" i="13"/>
  <c r="F78" i="13"/>
  <c r="C78" i="13"/>
  <c r="B78" i="13"/>
  <c r="F77" i="13"/>
  <c r="C77" i="13"/>
  <c r="B77" i="13"/>
  <c r="F76" i="13"/>
  <c r="C76" i="13"/>
  <c r="B76" i="13"/>
  <c r="F75" i="13"/>
  <c r="C75" i="13"/>
  <c r="B75" i="13"/>
  <c r="F74" i="13"/>
  <c r="C74" i="13"/>
  <c r="B74" i="13"/>
  <c r="F73" i="13"/>
  <c r="C73" i="13"/>
  <c r="B73" i="13"/>
  <c r="F72" i="13"/>
  <c r="C72" i="13"/>
  <c r="B72" i="13"/>
  <c r="F71" i="13"/>
  <c r="C71" i="13"/>
  <c r="B71" i="13"/>
  <c r="F70" i="13"/>
  <c r="C70" i="13"/>
  <c r="B70" i="13"/>
  <c r="F69" i="13"/>
  <c r="C69" i="13"/>
  <c r="B69" i="13"/>
  <c r="F68" i="13"/>
  <c r="C68" i="13"/>
  <c r="B68" i="13"/>
  <c r="F67" i="13"/>
  <c r="C67" i="13"/>
  <c r="B67" i="13"/>
  <c r="F66" i="13"/>
  <c r="C66" i="13"/>
  <c r="B66" i="13"/>
  <c r="F65" i="13"/>
  <c r="C65" i="13"/>
  <c r="B65" i="13"/>
  <c r="F64" i="13"/>
  <c r="C64" i="13"/>
  <c r="B64" i="13"/>
  <c r="F63" i="13"/>
  <c r="C63" i="13"/>
  <c r="B63" i="13"/>
  <c r="F62" i="13"/>
  <c r="C62" i="13"/>
  <c r="B62" i="13"/>
  <c r="F61" i="13"/>
  <c r="C61" i="13"/>
  <c r="B61" i="13"/>
  <c r="F60" i="13"/>
  <c r="C60" i="13"/>
  <c r="B60" i="13"/>
  <c r="F59" i="13"/>
  <c r="C59" i="13"/>
  <c r="B59" i="13"/>
  <c r="F58" i="13"/>
  <c r="C58" i="13"/>
  <c r="B58" i="13"/>
  <c r="F57" i="13"/>
  <c r="C57" i="13"/>
  <c r="B57" i="13"/>
  <c r="F56" i="13"/>
  <c r="C56" i="13"/>
  <c r="B56" i="13"/>
  <c r="F55" i="13"/>
  <c r="C55" i="13"/>
  <c r="B55" i="13"/>
  <c r="F54" i="13"/>
  <c r="C54" i="13"/>
  <c r="B54" i="13"/>
  <c r="F53" i="13"/>
  <c r="C53" i="13"/>
  <c r="B53" i="13"/>
  <c r="F52" i="13"/>
  <c r="C52" i="13"/>
  <c r="B52" i="13"/>
  <c r="F51" i="13"/>
  <c r="C51" i="13"/>
  <c r="B51" i="13"/>
  <c r="F50" i="13"/>
  <c r="C50" i="13"/>
  <c r="B50" i="13"/>
  <c r="F49" i="13"/>
  <c r="C49" i="13"/>
  <c r="B49" i="13"/>
  <c r="F48" i="13"/>
  <c r="C48" i="13"/>
  <c r="B48" i="13"/>
  <c r="F47" i="13"/>
  <c r="C47" i="13"/>
  <c r="B47" i="13"/>
  <c r="F46" i="13"/>
  <c r="C46" i="13"/>
  <c r="B46" i="13"/>
  <c r="F45" i="13"/>
  <c r="C45" i="13"/>
  <c r="B45" i="13"/>
  <c r="F44" i="13"/>
  <c r="C44" i="13"/>
  <c r="B44" i="13"/>
  <c r="F43" i="13"/>
  <c r="C43" i="13"/>
  <c r="B43" i="13"/>
  <c r="F42" i="13"/>
  <c r="C42" i="13"/>
  <c r="B42" i="13"/>
  <c r="F41" i="13"/>
  <c r="C41" i="13"/>
  <c r="B41" i="13"/>
  <c r="F40" i="13"/>
  <c r="C40" i="13"/>
  <c r="B40" i="13"/>
  <c r="F39" i="13"/>
  <c r="C39" i="13"/>
  <c r="B39" i="13"/>
  <c r="F38" i="13"/>
  <c r="C38" i="13"/>
  <c r="B38" i="13"/>
  <c r="F37" i="13"/>
  <c r="C37" i="13"/>
  <c r="B37" i="13"/>
  <c r="F36" i="13"/>
  <c r="C36" i="13"/>
  <c r="B36" i="13"/>
  <c r="F35" i="13"/>
  <c r="C35" i="13"/>
  <c r="B35" i="13"/>
  <c r="F34" i="13"/>
  <c r="C34" i="13"/>
  <c r="B34" i="13"/>
  <c r="F33" i="13"/>
  <c r="C33" i="13"/>
  <c r="B33" i="13"/>
  <c r="F32" i="13"/>
  <c r="C32" i="13"/>
  <c r="B32" i="13"/>
  <c r="F31" i="13"/>
  <c r="C31" i="13"/>
  <c r="B31" i="13"/>
  <c r="F30" i="13"/>
  <c r="C30" i="13"/>
  <c r="B30" i="13"/>
  <c r="F29" i="13"/>
  <c r="C29" i="13"/>
  <c r="B29" i="13"/>
  <c r="F28" i="13"/>
  <c r="C28" i="13"/>
  <c r="B28" i="13"/>
  <c r="F27" i="13"/>
  <c r="C27" i="13"/>
  <c r="B27" i="13"/>
  <c r="F26" i="13"/>
  <c r="C26" i="13"/>
  <c r="B26" i="13"/>
  <c r="F25" i="13"/>
  <c r="C25" i="13"/>
  <c r="B25" i="13"/>
  <c r="F24" i="13"/>
  <c r="C24" i="13"/>
  <c r="B24" i="13"/>
  <c r="F23" i="13"/>
  <c r="C23" i="13"/>
  <c r="B23" i="13"/>
  <c r="F22" i="13"/>
  <c r="C22" i="13"/>
  <c r="B22" i="13"/>
  <c r="F21" i="13"/>
  <c r="C21" i="13"/>
  <c r="B21" i="13"/>
  <c r="F20" i="13"/>
  <c r="C20" i="13"/>
  <c r="B20" i="13"/>
  <c r="F19" i="13"/>
  <c r="C19" i="13"/>
  <c r="B19" i="13"/>
  <c r="F18" i="13"/>
  <c r="C18" i="13"/>
  <c r="B18" i="13"/>
  <c r="F17" i="13"/>
  <c r="C17" i="13"/>
  <c r="B17" i="13"/>
  <c r="F16" i="13"/>
  <c r="C16" i="13"/>
  <c r="B16" i="13"/>
  <c r="F15" i="13"/>
  <c r="C15" i="13"/>
  <c r="B15" i="13"/>
  <c r="F14" i="13"/>
  <c r="C14" i="13"/>
  <c r="B14" i="13"/>
  <c r="F13" i="13"/>
  <c r="C13" i="13"/>
  <c r="B13" i="13"/>
  <c r="F12" i="13"/>
  <c r="C12" i="13"/>
  <c r="B12" i="13"/>
  <c r="F11" i="13"/>
  <c r="C11" i="13"/>
  <c r="B11" i="13"/>
  <c r="F10" i="13"/>
  <c r="C10" i="13"/>
  <c r="B10" i="13"/>
  <c r="F9" i="13"/>
  <c r="C9" i="13"/>
  <c r="B9" i="13"/>
  <c r="F8" i="13"/>
  <c r="C8" i="13"/>
  <c r="B8" i="13"/>
  <c r="F7" i="13"/>
  <c r="C7" i="13"/>
  <c r="B7" i="13"/>
  <c r="F6" i="13"/>
  <c r="C6" i="13"/>
  <c r="B6" i="13"/>
  <c r="N5" i="13"/>
  <c r="F5" i="13"/>
  <c r="C5" i="13"/>
  <c r="B5" i="13"/>
  <c r="N4" i="13"/>
  <c r="F4" i="13"/>
  <c r="C4" i="13"/>
  <c r="B4" i="13"/>
  <c r="N3" i="13"/>
  <c r="N2" i="13"/>
  <c r="J203" i="11"/>
  <c r="J202" i="11"/>
  <c r="J201" i="11"/>
  <c r="J200" i="11"/>
  <c r="J199" i="11"/>
  <c r="J198" i="11"/>
  <c r="J197" i="11"/>
  <c r="J196" i="11"/>
  <c r="J195" i="11"/>
  <c r="J194" i="11"/>
  <c r="J193" i="11"/>
  <c r="J192" i="11"/>
  <c r="J191" i="11"/>
  <c r="J190" i="11"/>
  <c r="J189" i="11"/>
  <c r="J188" i="11"/>
  <c r="J187" i="11"/>
  <c r="J186" i="11"/>
  <c r="J185" i="11"/>
  <c r="J184" i="11"/>
  <c r="J183" i="11"/>
  <c r="J182" i="11"/>
  <c r="J181" i="11"/>
  <c r="J180" i="11"/>
  <c r="J179" i="11"/>
  <c r="J178" i="11"/>
  <c r="J177" i="11"/>
  <c r="J176" i="11"/>
  <c r="J175" i="11"/>
  <c r="J174" i="11"/>
  <c r="J173" i="11"/>
  <c r="J172" i="11"/>
  <c r="J171" i="11"/>
  <c r="J170" i="11"/>
  <c r="J169" i="11"/>
  <c r="J168" i="11"/>
  <c r="J167" i="11"/>
  <c r="J166" i="11"/>
  <c r="J165" i="11"/>
  <c r="J164" i="11"/>
  <c r="J163" i="11"/>
  <c r="J162" i="11"/>
  <c r="J161" i="11"/>
  <c r="J160" i="11"/>
  <c r="J159" i="11"/>
  <c r="J158" i="11"/>
  <c r="J157" i="11"/>
  <c r="J156" i="11"/>
  <c r="J155" i="11"/>
  <c r="J154" i="11"/>
  <c r="J153" i="11"/>
  <c r="J152" i="11"/>
  <c r="J151" i="11"/>
  <c r="J150" i="11"/>
  <c r="J149" i="11"/>
  <c r="J148" i="11"/>
  <c r="J147" i="11"/>
  <c r="J146" i="11"/>
  <c r="J145" i="11"/>
  <c r="J144" i="11"/>
  <c r="J143" i="11"/>
  <c r="J142" i="11"/>
  <c r="J141" i="11"/>
  <c r="J140" i="11"/>
  <c r="J139" i="11"/>
  <c r="J138" i="11"/>
  <c r="J137" i="11"/>
  <c r="J136" i="11"/>
  <c r="J135" i="11"/>
  <c r="J134" i="11"/>
  <c r="J133" i="11"/>
  <c r="J132" i="11"/>
  <c r="J131" i="11"/>
  <c r="J130" i="11"/>
  <c r="J129" i="11"/>
  <c r="J128" i="11"/>
  <c r="J127" i="11"/>
  <c r="J126" i="11"/>
  <c r="J125" i="11"/>
  <c r="J124" i="11"/>
  <c r="J123" i="11"/>
  <c r="J122" i="11"/>
  <c r="J121" i="11"/>
  <c r="J120" i="11"/>
  <c r="J119" i="11"/>
  <c r="J118" i="11"/>
  <c r="J117" i="11"/>
  <c r="J116" i="11"/>
  <c r="J115" i="11"/>
  <c r="J114" i="11"/>
  <c r="J113" i="11"/>
  <c r="J112" i="11"/>
  <c r="J111" i="11"/>
  <c r="J110" i="11"/>
  <c r="J109" i="11"/>
  <c r="J108" i="11"/>
  <c r="J107" i="11"/>
  <c r="J106" i="11"/>
  <c r="J105" i="11"/>
  <c r="J104" i="11"/>
  <c r="J103" i="11"/>
  <c r="J102" i="11"/>
  <c r="J101" i="11"/>
  <c r="J100" i="11"/>
  <c r="J99" i="11"/>
  <c r="J98" i="11"/>
  <c r="J97" i="11"/>
  <c r="J96" i="11"/>
  <c r="J95" i="11"/>
  <c r="J94" i="11"/>
  <c r="J93" i="11"/>
  <c r="J92" i="11"/>
  <c r="J91" i="11"/>
  <c r="J90" i="11"/>
  <c r="J89" i="11"/>
  <c r="J88" i="11"/>
  <c r="J87" i="11"/>
  <c r="J86" i="11"/>
  <c r="J85" i="11"/>
  <c r="J84" i="11"/>
  <c r="J83" i="11"/>
  <c r="J82" i="11"/>
  <c r="J81" i="11"/>
  <c r="J80" i="11"/>
  <c r="J79" i="11"/>
  <c r="J78" i="11"/>
  <c r="J77" i="11"/>
  <c r="J76" i="11"/>
  <c r="J75" i="11"/>
  <c r="J74" i="11"/>
  <c r="J73" i="11"/>
  <c r="J72" i="11"/>
  <c r="J71" i="11"/>
  <c r="J70" i="11"/>
  <c r="J69" i="11"/>
  <c r="J68" i="11"/>
  <c r="J67" i="11"/>
  <c r="J66" i="11"/>
  <c r="J65" i="11"/>
  <c r="J64" i="11"/>
  <c r="J63" i="11"/>
  <c r="J62" i="11"/>
  <c r="J61" i="11"/>
  <c r="J60" i="11"/>
  <c r="J59" i="11"/>
  <c r="J58" i="11"/>
  <c r="J57" i="11"/>
  <c r="J56" i="11"/>
  <c r="J55" i="11"/>
  <c r="J54" i="11"/>
  <c r="J53" i="11"/>
  <c r="J52" i="11"/>
  <c r="J51" i="11"/>
  <c r="J50" i="11"/>
  <c r="J49" i="11"/>
  <c r="J48" i="11"/>
  <c r="J47" i="11"/>
  <c r="J46" i="11"/>
  <c r="J45" i="11"/>
  <c r="J44" i="11"/>
  <c r="J43" i="11"/>
  <c r="J42" i="11"/>
  <c r="J41" i="11"/>
  <c r="J40" i="11"/>
  <c r="J39" i="11"/>
  <c r="J38" i="11"/>
  <c r="J37" i="11"/>
  <c r="J36" i="11"/>
  <c r="J35" i="11"/>
  <c r="J34" i="11"/>
  <c r="J33" i="11"/>
  <c r="J32" i="11"/>
  <c r="J31" i="11"/>
  <c r="J30" i="11"/>
  <c r="J29" i="11"/>
  <c r="J28" i="11"/>
  <c r="J27" i="11"/>
  <c r="J26" i="11"/>
  <c r="J25" i="11"/>
  <c r="J24" i="11"/>
  <c r="J23" i="11"/>
  <c r="J22" i="11"/>
  <c r="J21" i="11"/>
  <c r="J20" i="11"/>
  <c r="J19" i="11"/>
  <c r="J18" i="11"/>
  <c r="J17" i="11"/>
  <c r="J16" i="11"/>
  <c r="J15" i="11"/>
  <c r="J14" i="11"/>
  <c r="J13" i="11"/>
  <c r="J12" i="11"/>
  <c r="J11" i="11"/>
  <c r="J10" i="11"/>
  <c r="J9" i="11"/>
  <c r="J8" i="11"/>
  <c r="J7" i="11"/>
  <c r="J6" i="11"/>
  <c r="J5" i="11"/>
  <c r="J4" i="11"/>
  <c r="D30" i="10"/>
  <c r="D29" i="10"/>
  <c r="D28" i="10"/>
  <c r="C28" i="10"/>
  <c r="D27" i="10"/>
  <c r="C27" i="10"/>
  <c r="D26" i="10"/>
  <c r="C26" i="10"/>
  <c r="D25" i="10"/>
  <c r="C25" i="10"/>
  <c r="D24" i="10"/>
  <c r="C24" i="10"/>
  <c r="D23" i="10"/>
  <c r="C23" i="10"/>
  <c r="C18" i="10"/>
  <c r="C17" i="10"/>
  <c r="C16" i="10"/>
  <c r="C15" i="10"/>
  <c r="C14" i="10"/>
  <c r="C13" i="10"/>
  <c r="E9" i="10"/>
  <c r="D9" i="10"/>
  <c r="C9" i="10"/>
  <c r="E8" i="10"/>
  <c r="D8" i="10"/>
  <c r="C8" i="10"/>
  <c r="E7" i="10"/>
  <c r="D7" i="10"/>
  <c r="E6" i="10"/>
  <c r="D6" i="10"/>
  <c r="E5" i="10"/>
  <c r="D5" i="10"/>
  <c r="E4" i="10"/>
  <c r="D4" i="10"/>
  <c r="L725" i="8"/>
  <c r="K725" i="8"/>
  <c r="J725" i="8"/>
  <c r="G725" i="8"/>
  <c r="F725" i="8"/>
  <c r="E725" i="8"/>
  <c r="L724" i="8"/>
  <c r="K724" i="8"/>
  <c r="J724" i="8"/>
  <c r="G724" i="8"/>
  <c r="F724" i="8"/>
  <c r="E724" i="8"/>
  <c r="L723" i="8"/>
  <c r="K723" i="8"/>
  <c r="J723" i="8"/>
  <c r="G723" i="8"/>
  <c r="F723" i="8"/>
  <c r="E723" i="8"/>
  <c r="L722" i="8"/>
  <c r="K722" i="8"/>
  <c r="J722" i="8"/>
  <c r="G722" i="8"/>
  <c r="F722" i="8"/>
  <c r="E722" i="8"/>
  <c r="L721" i="8"/>
  <c r="K721" i="8"/>
  <c r="J721" i="8"/>
  <c r="G721" i="8"/>
  <c r="F721" i="8"/>
  <c r="E721" i="8"/>
  <c r="L720" i="8"/>
  <c r="K720" i="8"/>
  <c r="J720" i="8"/>
  <c r="G720" i="8"/>
  <c r="F720" i="8"/>
  <c r="E720" i="8"/>
  <c r="L719" i="8"/>
  <c r="K719" i="8"/>
  <c r="J719" i="8"/>
  <c r="G719" i="8"/>
  <c r="F719" i="8"/>
  <c r="E719" i="8"/>
  <c r="L718" i="8"/>
  <c r="K718" i="8"/>
  <c r="J718" i="8"/>
  <c r="G718" i="8"/>
  <c r="F718" i="8"/>
  <c r="E718" i="8"/>
  <c r="L717" i="8"/>
  <c r="K717" i="8"/>
  <c r="J717" i="8"/>
  <c r="G717" i="8"/>
  <c r="F717" i="8"/>
  <c r="E717" i="8"/>
  <c r="L716" i="8"/>
  <c r="K716" i="8"/>
  <c r="J716" i="8"/>
  <c r="G716" i="8"/>
  <c r="F716" i="8"/>
  <c r="E716" i="8"/>
  <c r="L715" i="8"/>
  <c r="K715" i="8"/>
  <c r="J715" i="8"/>
  <c r="G715" i="8"/>
  <c r="F715" i="8"/>
  <c r="E715" i="8"/>
  <c r="L714" i="8"/>
  <c r="K714" i="8"/>
  <c r="J714" i="8"/>
  <c r="G714" i="8"/>
  <c r="F714" i="8"/>
  <c r="E714" i="8"/>
  <c r="L713" i="8"/>
  <c r="K713" i="8"/>
  <c r="J713" i="8"/>
  <c r="G713" i="8"/>
  <c r="F713" i="8"/>
  <c r="E713" i="8"/>
  <c r="L712" i="8"/>
  <c r="K712" i="8"/>
  <c r="J712" i="8"/>
  <c r="G712" i="8"/>
  <c r="F712" i="8"/>
  <c r="E712" i="8"/>
  <c r="L711" i="8"/>
  <c r="K711" i="8"/>
  <c r="J711" i="8"/>
  <c r="G711" i="8"/>
  <c r="F711" i="8"/>
  <c r="E711" i="8"/>
  <c r="L710" i="8"/>
  <c r="K710" i="8"/>
  <c r="J710" i="8"/>
  <c r="G710" i="8"/>
  <c r="F710" i="8"/>
  <c r="E710" i="8"/>
  <c r="L709" i="8"/>
  <c r="K709" i="8"/>
  <c r="J709" i="8"/>
  <c r="G709" i="8"/>
  <c r="F709" i="8"/>
  <c r="E709" i="8"/>
  <c r="L708" i="8"/>
  <c r="K708" i="8"/>
  <c r="J708" i="8"/>
  <c r="G708" i="8"/>
  <c r="F708" i="8"/>
  <c r="E708" i="8"/>
  <c r="L707" i="8"/>
  <c r="K707" i="8"/>
  <c r="J707" i="8"/>
  <c r="G707" i="8"/>
  <c r="F707" i="8"/>
  <c r="E707" i="8"/>
  <c r="L706" i="8"/>
  <c r="K706" i="8"/>
  <c r="J706" i="8"/>
  <c r="G706" i="8"/>
  <c r="F706" i="8"/>
  <c r="E706" i="8"/>
  <c r="L705" i="8"/>
  <c r="K705" i="8"/>
  <c r="J705" i="8"/>
  <c r="G705" i="8"/>
  <c r="F705" i="8"/>
  <c r="E705" i="8"/>
  <c r="L704" i="8"/>
  <c r="K704" i="8"/>
  <c r="J704" i="8"/>
  <c r="G704" i="8"/>
  <c r="F704" i="8"/>
  <c r="E704" i="8"/>
  <c r="L703" i="8"/>
  <c r="K703" i="8"/>
  <c r="J703" i="8"/>
  <c r="G703" i="8"/>
  <c r="F703" i="8"/>
  <c r="E703" i="8"/>
  <c r="L702" i="8"/>
  <c r="K702" i="8"/>
  <c r="J702" i="8"/>
  <c r="G702" i="8"/>
  <c r="F702" i="8"/>
  <c r="E702" i="8"/>
  <c r="L701" i="8"/>
  <c r="K701" i="8"/>
  <c r="J701" i="8"/>
  <c r="G701" i="8"/>
  <c r="F701" i="8"/>
  <c r="E701" i="8"/>
  <c r="L700" i="8"/>
  <c r="K700" i="8"/>
  <c r="J700" i="8"/>
  <c r="G700" i="8"/>
  <c r="F700" i="8"/>
  <c r="E700" i="8"/>
  <c r="L699" i="8"/>
  <c r="K699" i="8"/>
  <c r="J699" i="8"/>
  <c r="G699" i="8"/>
  <c r="F699" i="8"/>
  <c r="E699" i="8"/>
  <c r="L698" i="8"/>
  <c r="K698" i="8"/>
  <c r="J698" i="8"/>
  <c r="G698" i="8"/>
  <c r="F698" i="8"/>
  <c r="E698" i="8"/>
  <c r="L697" i="8"/>
  <c r="K697" i="8"/>
  <c r="J697" i="8"/>
  <c r="G697" i="8"/>
  <c r="F697" i="8"/>
  <c r="E697" i="8"/>
  <c r="L696" i="8"/>
  <c r="K696" i="8"/>
  <c r="J696" i="8"/>
  <c r="G696" i="8"/>
  <c r="F696" i="8"/>
  <c r="E696" i="8"/>
  <c r="L695" i="8"/>
  <c r="K695" i="8"/>
  <c r="J695" i="8"/>
  <c r="G695" i="8"/>
  <c r="F695" i="8"/>
  <c r="E695" i="8"/>
  <c r="L694" i="8"/>
  <c r="K694" i="8"/>
  <c r="J694" i="8"/>
  <c r="G694" i="8"/>
  <c r="F694" i="8"/>
  <c r="E694" i="8"/>
  <c r="L693" i="8"/>
  <c r="K693" i="8"/>
  <c r="J693" i="8"/>
  <c r="G693" i="8"/>
  <c r="F693" i="8"/>
  <c r="E693" i="8"/>
  <c r="L692" i="8"/>
  <c r="K692" i="8"/>
  <c r="J692" i="8"/>
  <c r="G692" i="8"/>
  <c r="F692" i="8"/>
  <c r="E692" i="8"/>
  <c r="L691" i="8"/>
  <c r="K691" i="8"/>
  <c r="J691" i="8"/>
  <c r="G691" i="8"/>
  <c r="F691" i="8"/>
  <c r="E691" i="8"/>
  <c r="L690" i="8"/>
  <c r="K690" i="8"/>
  <c r="J690" i="8"/>
  <c r="G690" i="8"/>
  <c r="F690" i="8"/>
  <c r="E690" i="8"/>
  <c r="L689" i="8"/>
  <c r="K689" i="8"/>
  <c r="J689" i="8"/>
  <c r="G689" i="8"/>
  <c r="F689" i="8"/>
  <c r="E689" i="8"/>
  <c r="L688" i="8"/>
  <c r="K688" i="8"/>
  <c r="J688" i="8"/>
  <c r="G688" i="8"/>
  <c r="F688" i="8"/>
  <c r="E688" i="8"/>
  <c r="L687" i="8"/>
  <c r="K687" i="8"/>
  <c r="J687" i="8"/>
  <c r="G687" i="8"/>
  <c r="F687" i="8"/>
  <c r="E687" i="8"/>
  <c r="L686" i="8"/>
  <c r="K686" i="8"/>
  <c r="J686" i="8"/>
  <c r="G686" i="8"/>
  <c r="F686" i="8"/>
  <c r="E686" i="8"/>
  <c r="L685" i="8"/>
  <c r="K685" i="8"/>
  <c r="J685" i="8"/>
  <c r="G685" i="8"/>
  <c r="F685" i="8"/>
  <c r="E685" i="8"/>
  <c r="L684" i="8"/>
  <c r="K684" i="8"/>
  <c r="J684" i="8"/>
  <c r="G684" i="8"/>
  <c r="F684" i="8"/>
  <c r="E684" i="8"/>
  <c r="L683" i="8"/>
  <c r="K683" i="8"/>
  <c r="J683" i="8"/>
  <c r="G683" i="8"/>
  <c r="F683" i="8"/>
  <c r="E683" i="8"/>
  <c r="L682" i="8"/>
  <c r="K682" i="8"/>
  <c r="J682" i="8"/>
  <c r="G682" i="8"/>
  <c r="F682" i="8"/>
  <c r="E682" i="8"/>
  <c r="L681" i="8"/>
  <c r="K681" i="8"/>
  <c r="J681" i="8"/>
  <c r="G681" i="8"/>
  <c r="F681" i="8"/>
  <c r="E681" i="8"/>
  <c r="L680" i="8"/>
  <c r="K680" i="8"/>
  <c r="J680" i="8"/>
  <c r="G680" i="8"/>
  <c r="F680" i="8"/>
  <c r="E680" i="8"/>
  <c r="L679" i="8"/>
  <c r="K679" i="8"/>
  <c r="J679" i="8"/>
  <c r="G679" i="8"/>
  <c r="F679" i="8"/>
  <c r="E679" i="8"/>
  <c r="L678" i="8"/>
  <c r="K678" i="8"/>
  <c r="J678" i="8"/>
  <c r="G678" i="8"/>
  <c r="F678" i="8"/>
  <c r="E678" i="8"/>
  <c r="L677" i="8"/>
  <c r="K677" i="8"/>
  <c r="J677" i="8"/>
  <c r="G677" i="8"/>
  <c r="F677" i="8"/>
  <c r="E677" i="8"/>
  <c r="L676" i="8"/>
  <c r="K676" i="8"/>
  <c r="J676" i="8"/>
  <c r="G676" i="8"/>
  <c r="F676" i="8"/>
  <c r="E676" i="8"/>
  <c r="L675" i="8"/>
  <c r="K675" i="8"/>
  <c r="J675" i="8"/>
  <c r="G675" i="8"/>
  <c r="F675" i="8"/>
  <c r="E675" i="8"/>
  <c r="L674" i="8"/>
  <c r="K674" i="8"/>
  <c r="J674" i="8"/>
  <c r="G674" i="8"/>
  <c r="F674" i="8"/>
  <c r="E674" i="8"/>
  <c r="L673" i="8"/>
  <c r="K673" i="8"/>
  <c r="J673" i="8"/>
  <c r="G673" i="8"/>
  <c r="F673" i="8"/>
  <c r="E673" i="8"/>
  <c r="L672" i="8"/>
  <c r="K672" i="8"/>
  <c r="J672" i="8"/>
  <c r="G672" i="8"/>
  <c r="F672" i="8"/>
  <c r="E672" i="8"/>
  <c r="L671" i="8"/>
  <c r="K671" i="8"/>
  <c r="J671" i="8"/>
  <c r="G671" i="8"/>
  <c r="F671" i="8"/>
  <c r="E671" i="8"/>
  <c r="L670" i="8"/>
  <c r="K670" i="8"/>
  <c r="J670" i="8"/>
  <c r="G670" i="8"/>
  <c r="F670" i="8"/>
  <c r="E670" i="8"/>
  <c r="L669" i="8"/>
  <c r="K669" i="8"/>
  <c r="J669" i="8"/>
  <c r="G669" i="8"/>
  <c r="F669" i="8"/>
  <c r="E669" i="8"/>
  <c r="L668" i="8"/>
  <c r="K668" i="8"/>
  <c r="J668" i="8"/>
  <c r="G668" i="8"/>
  <c r="F668" i="8"/>
  <c r="E668" i="8"/>
  <c r="L667" i="8"/>
  <c r="K667" i="8"/>
  <c r="J667" i="8"/>
  <c r="G667" i="8"/>
  <c r="F667" i="8"/>
  <c r="E667" i="8"/>
  <c r="L666" i="8"/>
  <c r="K666" i="8"/>
  <c r="J666" i="8"/>
  <c r="G666" i="8"/>
  <c r="F666" i="8"/>
  <c r="E666" i="8"/>
  <c r="L665" i="8"/>
  <c r="K665" i="8"/>
  <c r="J665" i="8"/>
  <c r="G665" i="8"/>
  <c r="F665" i="8"/>
  <c r="E665" i="8"/>
  <c r="L664" i="8"/>
  <c r="K664" i="8"/>
  <c r="J664" i="8"/>
  <c r="G664" i="8"/>
  <c r="F664" i="8"/>
  <c r="E664" i="8"/>
  <c r="L663" i="8"/>
  <c r="K663" i="8"/>
  <c r="J663" i="8"/>
  <c r="G663" i="8"/>
  <c r="F663" i="8"/>
  <c r="E663" i="8"/>
  <c r="L662" i="8"/>
  <c r="K662" i="8"/>
  <c r="J662" i="8"/>
  <c r="G662" i="8"/>
  <c r="F662" i="8"/>
  <c r="E662" i="8"/>
  <c r="L661" i="8"/>
  <c r="K661" i="8"/>
  <c r="J661" i="8"/>
  <c r="G661" i="8"/>
  <c r="F661" i="8"/>
  <c r="E661" i="8"/>
  <c r="L660" i="8"/>
  <c r="K660" i="8"/>
  <c r="J660" i="8"/>
  <c r="G660" i="8"/>
  <c r="F660" i="8"/>
  <c r="E660" i="8"/>
  <c r="L659" i="8"/>
  <c r="K659" i="8"/>
  <c r="J659" i="8"/>
  <c r="G659" i="8"/>
  <c r="F659" i="8"/>
  <c r="E659" i="8"/>
  <c r="L658" i="8"/>
  <c r="K658" i="8"/>
  <c r="J658" i="8"/>
  <c r="G658" i="8"/>
  <c r="F658" i="8"/>
  <c r="E658" i="8"/>
  <c r="L657" i="8"/>
  <c r="K657" i="8"/>
  <c r="J657" i="8"/>
  <c r="G657" i="8"/>
  <c r="F657" i="8"/>
  <c r="E657" i="8"/>
  <c r="L656" i="8"/>
  <c r="K656" i="8"/>
  <c r="J656" i="8"/>
  <c r="G656" i="8"/>
  <c r="F656" i="8"/>
  <c r="E656" i="8"/>
  <c r="L655" i="8"/>
  <c r="K655" i="8"/>
  <c r="J655" i="8"/>
  <c r="G655" i="8"/>
  <c r="F655" i="8"/>
  <c r="E655" i="8"/>
  <c r="L654" i="8"/>
  <c r="K654" i="8"/>
  <c r="J654" i="8"/>
  <c r="G654" i="8"/>
  <c r="F654" i="8"/>
  <c r="E654" i="8"/>
  <c r="L653" i="8"/>
  <c r="K653" i="8"/>
  <c r="J653" i="8"/>
  <c r="G653" i="8"/>
  <c r="F653" i="8"/>
  <c r="E653" i="8"/>
  <c r="L652" i="8"/>
  <c r="K652" i="8"/>
  <c r="J652" i="8"/>
  <c r="G652" i="8"/>
  <c r="F652" i="8"/>
  <c r="E652" i="8"/>
  <c r="L651" i="8"/>
  <c r="K651" i="8"/>
  <c r="J651" i="8"/>
  <c r="G651" i="8"/>
  <c r="F651" i="8"/>
  <c r="E651" i="8"/>
  <c r="L650" i="8"/>
  <c r="K650" i="8"/>
  <c r="J650" i="8"/>
  <c r="G650" i="8"/>
  <c r="F650" i="8"/>
  <c r="E650" i="8"/>
  <c r="L649" i="8"/>
  <c r="K649" i="8"/>
  <c r="J649" i="8"/>
  <c r="G649" i="8"/>
  <c r="F649" i="8"/>
  <c r="E649" i="8"/>
  <c r="L648" i="8"/>
  <c r="K648" i="8"/>
  <c r="J648" i="8"/>
  <c r="G648" i="8"/>
  <c r="F648" i="8"/>
  <c r="E648" i="8"/>
  <c r="L647" i="8"/>
  <c r="K647" i="8"/>
  <c r="J647" i="8"/>
  <c r="G647" i="8"/>
  <c r="F647" i="8"/>
  <c r="E647" i="8"/>
  <c r="L646" i="8"/>
  <c r="K646" i="8"/>
  <c r="J646" i="8"/>
  <c r="G646" i="8"/>
  <c r="F646" i="8"/>
  <c r="E646" i="8"/>
  <c r="L645" i="8"/>
  <c r="K645" i="8"/>
  <c r="J645" i="8"/>
  <c r="G645" i="8"/>
  <c r="F645" i="8"/>
  <c r="E645" i="8"/>
  <c r="L644" i="8"/>
  <c r="K644" i="8"/>
  <c r="J644" i="8"/>
  <c r="G644" i="8"/>
  <c r="F644" i="8"/>
  <c r="E644" i="8"/>
  <c r="L643" i="8"/>
  <c r="K643" i="8"/>
  <c r="J643" i="8"/>
  <c r="G643" i="8"/>
  <c r="F643" i="8"/>
  <c r="E643" i="8"/>
  <c r="L642" i="8"/>
  <c r="K642" i="8"/>
  <c r="J642" i="8"/>
  <c r="G642" i="8"/>
  <c r="F642" i="8"/>
  <c r="E642" i="8"/>
  <c r="L641" i="8"/>
  <c r="K641" i="8"/>
  <c r="J641" i="8"/>
  <c r="G641" i="8"/>
  <c r="F641" i="8"/>
  <c r="E641" i="8"/>
  <c r="L640" i="8"/>
  <c r="K640" i="8"/>
  <c r="J640" i="8"/>
  <c r="G640" i="8"/>
  <c r="F640" i="8"/>
  <c r="E640" i="8"/>
  <c r="L639" i="8"/>
  <c r="K639" i="8"/>
  <c r="J639" i="8"/>
  <c r="G639" i="8"/>
  <c r="F639" i="8"/>
  <c r="E639" i="8"/>
  <c r="L638" i="8"/>
  <c r="K638" i="8"/>
  <c r="J638" i="8"/>
  <c r="G638" i="8"/>
  <c r="F638" i="8"/>
  <c r="E638" i="8"/>
  <c r="L637" i="8"/>
  <c r="K637" i="8"/>
  <c r="J637" i="8"/>
  <c r="G637" i="8"/>
  <c r="F637" i="8"/>
  <c r="E637" i="8"/>
  <c r="L636" i="8"/>
  <c r="K636" i="8"/>
  <c r="J636" i="8"/>
  <c r="G636" i="8"/>
  <c r="F636" i="8"/>
  <c r="E636" i="8"/>
  <c r="L635" i="8"/>
  <c r="K635" i="8"/>
  <c r="J635" i="8"/>
  <c r="G635" i="8"/>
  <c r="F635" i="8"/>
  <c r="E635" i="8"/>
  <c r="L634" i="8"/>
  <c r="K634" i="8"/>
  <c r="J634" i="8"/>
  <c r="G634" i="8"/>
  <c r="F634" i="8"/>
  <c r="E634" i="8"/>
  <c r="L633" i="8"/>
  <c r="K633" i="8"/>
  <c r="J633" i="8"/>
  <c r="G633" i="8"/>
  <c r="F633" i="8"/>
  <c r="E633" i="8"/>
  <c r="L632" i="8"/>
  <c r="K632" i="8"/>
  <c r="J632" i="8"/>
  <c r="G632" i="8"/>
  <c r="F632" i="8"/>
  <c r="E632" i="8"/>
  <c r="L631" i="8"/>
  <c r="K631" i="8"/>
  <c r="J631" i="8"/>
  <c r="G631" i="8"/>
  <c r="F631" i="8"/>
  <c r="E631" i="8"/>
  <c r="L630" i="8"/>
  <c r="K630" i="8"/>
  <c r="J630" i="8"/>
  <c r="G630" i="8"/>
  <c r="F630" i="8"/>
  <c r="E630" i="8"/>
  <c r="L629" i="8"/>
  <c r="K629" i="8"/>
  <c r="J629" i="8"/>
  <c r="G629" i="8"/>
  <c r="F629" i="8"/>
  <c r="E629" i="8"/>
  <c r="L628" i="8"/>
  <c r="K628" i="8"/>
  <c r="J628" i="8"/>
  <c r="G628" i="8"/>
  <c r="F628" i="8"/>
  <c r="E628" i="8"/>
  <c r="L627" i="8"/>
  <c r="K627" i="8"/>
  <c r="J627" i="8"/>
  <c r="G627" i="8"/>
  <c r="F627" i="8"/>
  <c r="E627" i="8"/>
  <c r="L626" i="8"/>
  <c r="K626" i="8"/>
  <c r="J626" i="8"/>
  <c r="G626" i="8"/>
  <c r="F626" i="8"/>
  <c r="E626" i="8"/>
  <c r="L625" i="8"/>
  <c r="K625" i="8"/>
  <c r="J625" i="8"/>
  <c r="G625" i="8"/>
  <c r="F625" i="8"/>
  <c r="E625" i="8"/>
  <c r="L624" i="8"/>
  <c r="K624" i="8"/>
  <c r="J624" i="8"/>
  <c r="G624" i="8"/>
  <c r="F624" i="8"/>
  <c r="E624" i="8"/>
  <c r="L623" i="8"/>
  <c r="K623" i="8"/>
  <c r="J623" i="8"/>
  <c r="G623" i="8"/>
  <c r="F623" i="8"/>
  <c r="E623" i="8"/>
  <c r="L622" i="8"/>
  <c r="K622" i="8"/>
  <c r="J622" i="8"/>
  <c r="G622" i="8"/>
  <c r="F622" i="8"/>
  <c r="E622" i="8"/>
  <c r="L621" i="8"/>
  <c r="K621" i="8"/>
  <c r="J621" i="8"/>
  <c r="G621" i="8"/>
  <c r="F621" i="8"/>
  <c r="E621" i="8"/>
  <c r="L620" i="8"/>
  <c r="K620" i="8"/>
  <c r="J620" i="8"/>
  <c r="G620" i="8"/>
  <c r="F620" i="8"/>
  <c r="E620" i="8"/>
  <c r="L619" i="8"/>
  <c r="K619" i="8"/>
  <c r="J619" i="8"/>
  <c r="G619" i="8"/>
  <c r="F619" i="8"/>
  <c r="E619" i="8"/>
  <c r="L618" i="8"/>
  <c r="K618" i="8"/>
  <c r="J618" i="8"/>
  <c r="G618" i="8"/>
  <c r="F618" i="8"/>
  <c r="E618" i="8"/>
  <c r="L617" i="8"/>
  <c r="K617" i="8"/>
  <c r="J617" i="8"/>
  <c r="G617" i="8"/>
  <c r="F617" i="8"/>
  <c r="E617" i="8"/>
  <c r="L616" i="8"/>
  <c r="K616" i="8"/>
  <c r="J616" i="8"/>
  <c r="G616" i="8"/>
  <c r="F616" i="8"/>
  <c r="E616" i="8"/>
  <c r="L615" i="8"/>
  <c r="K615" i="8"/>
  <c r="J615" i="8"/>
  <c r="G615" i="8"/>
  <c r="F615" i="8"/>
  <c r="E615" i="8"/>
  <c r="L614" i="8"/>
  <c r="K614" i="8"/>
  <c r="J614" i="8"/>
  <c r="G614" i="8"/>
  <c r="F614" i="8"/>
  <c r="E614" i="8"/>
  <c r="L613" i="8"/>
  <c r="K613" i="8"/>
  <c r="J613" i="8"/>
  <c r="G613" i="8"/>
  <c r="F613" i="8"/>
  <c r="E613" i="8"/>
  <c r="L612" i="8"/>
  <c r="K612" i="8"/>
  <c r="J612" i="8"/>
  <c r="G612" i="8"/>
  <c r="F612" i="8"/>
  <c r="E612" i="8"/>
  <c r="L611" i="8"/>
  <c r="K611" i="8"/>
  <c r="J611" i="8"/>
  <c r="G611" i="8"/>
  <c r="F611" i="8"/>
  <c r="E611" i="8"/>
  <c r="L610" i="8"/>
  <c r="K610" i="8"/>
  <c r="J610" i="8"/>
  <c r="G610" i="8"/>
  <c r="F610" i="8"/>
  <c r="E610" i="8"/>
  <c r="L609" i="8"/>
  <c r="K609" i="8"/>
  <c r="J609" i="8"/>
  <c r="G609" i="8"/>
  <c r="F609" i="8"/>
  <c r="E609" i="8"/>
  <c r="L608" i="8"/>
  <c r="K608" i="8"/>
  <c r="J608" i="8"/>
  <c r="G608" i="8"/>
  <c r="F608" i="8"/>
  <c r="E608" i="8"/>
  <c r="L607" i="8"/>
  <c r="K607" i="8"/>
  <c r="J607" i="8"/>
  <c r="G607" i="8"/>
  <c r="F607" i="8"/>
  <c r="E607" i="8"/>
  <c r="L606" i="8"/>
  <c r="K606" i="8"/>
  <c r="J606" i="8"/>
  <c r="G606" i="8"/>
  <c r="F606" i="8"/>
  <c r="E606" i="8"/>
  <c r="L605" i="8"/>
  <c r="K605" i="8"/>
  <c r="J605" i="8"/>
  <c r="G605" i="8"/>
  <c r="F605" i="8"/>
  <c r="E605" i="8"/>
  <c r="L604" i="8"/>
  <c r="K604" i="8"/>
  <c r="J604" i="8"/>
  <c r="G604" i="8"/>
  <c r="F604" i="8"/>
  <c r="E604" i="8"/>
  <c r="L603" i="8"/>
  <c r="K603" i="8"/>
  <c r="J603" i="8"/>
  <c r="G603" i="8"/>
  <c r="F603" i="8"/>
  <c r="E603" i="8"/>
  <c r="L602" i="8"/>
  <c r="K602" i="8"/>
  <c r="J602" i="8"/>
  <c r="G602" i="8"/>
  <c r="F602" i="8"/>
  <c r="E602" i="8"/>
  <c r="L601" i="8"/>
  <c r="K601" i="8"/>
  <c r="J601" i="8"/>
  <c r="G601" i="8"/>
  <c r="F601" i="8"/>
  <c r="E601" i="8"/>
  <c r="L600" i="8"/>
  <c r="K600" i="8"/>
  <c r="J600" i="8"/>
  <c r="G600" i="8"/>
  <c r="F600" i="8"/>
  <c r="E600" i="8"/>
  <c r="L599" i="8"/>
  <c r="K599" i="8"/>
  <c r="J599" i="8"/>
  <c r="G599" i="8"/>
  <c r="F599" i="8"/>
  <c r="E599" i="8"/>
  <c r="L598" i="8"/>
  <c r="K598" i="8"/>
  <c r="J598" i="8"/>
  <c r="G598" i="8"/>
  <c r="F598" i="8"/>
  <c r="E598" i="8"/>
  <c r="L597" i="8"/>
  <c r="K597" i="8"/>
  <c r="J597" i="8"/>
  <c r="G597" i="8"/>
  <c r="F597" i="8"/>
  <c r="E597" i="8"/>
  <c r="L596" i="8"/>
  <c r="K596" i="8"/>
  <c r="J596" i="8"/>
  <c r="G596" i="8"/>
  <c r="F596" i="8"/>
  <c r="E596" i="8"/>
  <c r="L595" i="8"/>
  <c r="K595" i="8"/>
  <c r="J595" i="8"/>
  <c r="G595" i="8"/>
  <c r="F595" i="8"/>
  <c r="E595" i="8"/>
  <c r="L594" i="8"/>
  <c r="K594" i="8"/>
  <c r="J594" i="8"/>
  <c r="G594" i="8"/>
  <c r="F594" i="8"/>
  <c r="E594" i="8"/>
  <c r="L593" i="8"/>
  <c r="K593" i="8"/>
  <c r="J593" i="8"/>
  <c r="G593" i="8"/>
  <c r="F593" i="8"/>
  <c r="E593" i="8"/>
  <c r="L592" i="8"/>
  <c r="K592" i="8"/>
  <c r="J592" i="8"/>
  <c r="G592" i="8"/>
  <c r="F592" i="8"/>
  <c r="E592" i="8"/>
  <c r="L591" i="8"/>
  <c r="K591" i="8"/>
  <c r="J591" i="8"/>
  <c r="G591" i="8"/>
  <c r="F591" i="8"/>
  <c r="E591" i="8"/>
  <c r="L590" i="8"/>
  <c r="K590" i="8"/>
  <c r="J590" i="8"/>
  <c r="G590" i="8"/>
  <c r="F590" i="8"/>
  <c r="E590" i="8"/>
  <c r="L589" i="8"/>
  <c r="K589" i="8"/>
  <c r="J589" i="8"/>
  <c r="G589" i="8"/>
  <c r="F589" i="8"/>
  <c r="E589" i="8"/>
  <c r="L588" i="8"/>
  <c r="K588" i="8"/>
  <c r="J588" i="8"/>
  <c r="G588" i="8"/>
  <c r="F588" i="8"/>
  <c r="E588" i="8"/>
  <c r="L587" i="8"/>
  <c r="K587" i="8"/>
  <c r="J587" i="8"/>
  <c r="G587" i="8"/>
  <c r="F587" i="8"/>
  <c r="E587" i="8"/>
  <c r="L586" i="8"/>
  <c r="K586" i="8"/>
  <c r="J586" i="8"/>
  <c r="G586" i="8"/>
  <c r="F586" i="8"/>
  <c r="E586" i="8"/>
  <c r="L585" i="8"/>
  <c r="K585" i="8"/>
  <c r="J585" i="8"/>
  <c r="G585" i="8"/>
  <c r="F585" i="8"/>
  <c r="E585" i="8"/>
  <c r="L584" i="8"/>
  <c r="K584" i="8"/>
  <c r="J584" i="8"/>
  <c r="G584" i="8"/>
  <c r="F584" i="8"/>
  <c r="E584" i="8"/>
  <c r="L583" i="8"/>
  <c r="K583" i="8"/>
  <c r="J583" i="8"/>
  <c r="G583" i="8"/>
  <c r="F583" i="8"/>
  <c r="E583" i="8"/>
  <c r="L582" i="8"/>
  <c r="K582" i="8"/>
  <c r="J582" i="8"/>
  <c r="G582" i="8"/>
  <c r="F582" i="8"/>
  <c r="E582" i="8"/>
  <c r="L581" i="8"/>
  <c r="K581" i="8"/>
  <c r="J581" i="8"/>
  <c r="G581" i="8"/>
  <c r="F581" i="8"/>
  <c r="E581" i="8"/>
  <c r="L580" i="8"/>
  <c r="K580" i="8"/>
  <c r="J580" i="8"/>
  <c r="G580" i="8"/>
  <c r="F580" i="8"/>
  <c r="E580" i="8"/>
  <c r="L579" i="8"/>
  <c r="K579" i="8"/>
  <c r="J579" i="8"/>
  <c r="G579" i="8"/>
  <c r="F579" i="8"/>
  <c r="E579" i="8"/>
  <c r="L578" i="8"/>
  <c r="K578" i="8"/>
  <c r="J578" i="8"/>
  <c r="G578" i="8"/>
  <c r="F578" i="8"/>
  <c r="E578" i="8"/>
  <c r="L577" i="8"/>
  <c r="K577" i="8"/>
  <c r="J577" i="8"/>
  <c r="G577" i="8"/>
  <c r="F577" i="8"/>
  <c r="E577" i="8"/>
  <c r="L576" i="8"/>
  <c r="K576" i="8"/>
  <c r="J576" i="8"/>
  <c r="G576" i="8"/>
  <c r="F576" i="8"/>
  <c r="E576" i="8"/>
  <c r="L575" i="8"/>
  <c r="K575" i="8"/>
  <c r="J575" i="8"/>
  <c r="G575" i="8"/>
  <c r="F575" i="8"/>
  <c r="E575" i="8"/>
  <c r="L574" i="8"/>
  <c r="K574" i="8"/>
  <c r="J574" i="8"/>
  <c r="G574" i="8"/>
  <c r="F574" i="8"/>
  <c r="E574" i="8"/>
  <c r="L573" i="8"/>
  <c r="K573" i="8"/>
  <c r="J573" i="8"/>
  <c r="G573" i="8"/>
  <c r="F573" i="8"/>
  <c r="E573" i="8"/>
  <c r="L572" i="8"/>
  <c r="K572" i="8"/>
  <c r="J572" i="8"/>
  <c r="G572" i="8"/>
  <c r="F572" i="8"/>
  <c r="E572" i="8"/>
  <c r="L571" i="8"/>
  <c r="K571" i="8"/>
  <c r="J571" i="8"/>
  <c r="G571" i="8"/>
  <c r="F571" i="8"/>
  <c r="E571" i="8"/>
  <c r="L570" i="8"/>
  <c r="K570" i="8"/>
  <c r="J570" i="8"/>
  <c r="G570" i="8"/>
  <c r="F570" i="8"/>
  <c r="E570" i="8"/>
  <c r="L569" i="8"/>
  <c r="K569" i="8"/>
  <c r="J569" i="8"/>
  <c r="G569" i="8"/>
  <c r="F569" i="8"/>
  <c r="E569" i="8"/>
  <c r="L568" i="8"/>
  <c r="K568" i="8"/>
  <c r="J568" i="8"/>
  <c r="G568" i="8"/>
  <c r="F568" i="8"/>
  <c r="E568" i="8"/>
  <c r="L567" i="8"/>
  <c r="K567" i="8"/>
  <c r="J567" i="8"/>
  <c r="G567" i="8"/>
  <c r="F567" i="8"/>
  <c r="E567" i="8"/>
  <c r="L566" i="8"/>
  <c r="K566" i="8"/>
  <c r="J566" i="8"/>
  <c r="G566" i="8"/>
  <c r="F566" i="8"/>
  <c r="E566" i="8"/>
  <c r="L565" i="8"/>
  <c r="K565" i="8"/>
  <c r="J565" i="8"/>
  <c r="G565" i="8"/>
  <c r="F565" i="8"/>
  <c r="E565" i="8"/>
  <c r="L564" i="8"/>
  <c r="K564" i="8"/>
  <c r="J564" i="8"/>
  <c r="G564" i="8"/>
  <c r="F564" i="8"/>
  <c r="E564" i="8"/>
  <c r="L563" i="8"/>
  <c r="K563" i="8"/>
  <c r="J563" i="8"/>
  <c r="G563" i="8"/>
  <c r="F563" i="8"/>
  <c r="E563" i="8"/>
  <c r="L562" i="8"/>
  <c r="K562" i="8"/>
  <c r="J562" i="8"/>
  <c r="G562" i="8"/>
  <c r="F562" i="8"/>
  <c r="E562" i="8"/>
  <c r="L561" i="8"/>
  <c r="K561" i="8"/>
  <c r="J561" i="8"/>
  <c r="G561" i="8"/>
  <c r="F561" i="8"/>
  <c r="E561" i="8"/>
  <c r="L560" i="8"/>
  <c r="K560" i="8"/>
  <c r="J560" i="8"/>
  <c r="G560" i="8"/>
  <c r="F560" i="8"/>
  <c r="E560" i="8"/>
  <c r="L559" i="8"/>
  <c r="K559" i="8"/>
  <c r="J559" i="8"/>
  <c r="G559" i="8"/>
  <c r="F559" i="8"/>
  <c r="E559" i="8"/>
  <c r="L558" i="8"/>
  <c r="K558" i="8"/>
  <c r="J558" i="8"/>
  <c r="G558" i="8"/>
  <c r="F558" i="8"/>
  <c r="E558" i="8"/>
  <c r="L557" i="8"/>
  <c r="K557" i="8"/>
  <c r="J557" i="8"/>
  <c r="G557" i="8"/>
  <c r="F557" i="8"/>
  <c r="E557" i="8"/>
  <c r="L556" i="8"/>
  <c r="K556" i="8"/>
  <c r="J556" i="8"/>
  <c r="G556" i="8"/>
  <c r="F556" i="8"/>
  <c r="E556" i="8"/>
  <c r="L555" i="8"/>
  <c r="K555" i="8"/>
  <c r="J555" i="8"/>
  <c r="G555" i="8"/>
  <c r="F555" i="8"/>
  <c r="E555" i="8"/>
  <c r="L554" i="8"/>
  <c r="K554" i="8"/>
  <c r="J554" i="8"/>
  <c r="G554" i="8"/>
  <c r="F554" i="8"/>
  <c r="E554" i="8"/>
  <c r="L553" i="8"/>
  <c r="K553" i="8"/>
  <c r="J553" i="8"/>
  <c r="G553" i="8"/>
  <c r="F553" i="8"/>
  <c r="E553" i="8"/>
  <c r="L552" i="8"/>
  <c r="K552" i="8"/>
  <c r="J552" i="8"/>
  <c r="G552" i="8"/>
  <c r="F552" i="8"/>
  <c r="E552" i="8"/>
  <c r="L551" i="8"/>
  <c r="K551" i="8"/>
  <c r="J551" i="8"/>
  <c r="G551" i="8"/>
  <c r="F551" i="8"/>
  <c r="E551" i="8"/>
  <c r="L550" i="8"/>
  <c r="K550" i="8"/>
  <c r="J550" i="8"/>
  <c r="G550" i="8"/>
  <c r="F550" i="8"/>
  <c r="E550" i="8"/>
  <c r="L549" i="8"/>
  <c r="K549" i="8"/>
  <c r="J549" i="8"/>
  <c r="G549" i="8"/>
  <c r="F549" i="8"/>
  <c r="E549" i="8"/>
  <c r="L548" i="8"/>
  <c r="K548" i="8"/>
  <c r="J548" i="8"/>
  <c r="G548" i="8"/>
  <c r="F548" i="8"/>
  <c r="E548" i="8"/>
  <c r="L547" i="8"/>
  <c r="K547" i="8"/>
  <c r="J547" i="8"/>
  <c r="G547" i="8"/>
  <c r="F547" i="8"/>
  <c r="E547" i="8"/>
  <c r="L546" i="8"/>
  <c r="K546" i="8"/>
  <c r="J546" i="8"/>
  <c r="G546" i="8"/>
  <c r="F546" i="8"/>
  <c r="E546" i="8"/>
  <c r="L545" i="8"/>
  <c r="K545" i="8"/>
  <c r="J545" i="8"/>
  <c r="G545" i="8"/>
  <c r="F545" i="8"/>
  <c r="E545" i="8"/>
  <c r="L544" i="8"/>
  <c r="K544" i="8"/>
  <c r="J544" i="8"/>
  <c r="G544" i="8"/>
  <c r="F544" i="8"/>
  <c r="E544" i="8"/>
  <c r="L543" i="8"/>
  <c r="K543" i="8"/>
  <c r="J543" i="8"/>
  <c r="G543" i="8"/>
  <c r="F543" i="8"/>
  <c r="E543" i="8"/>
  <c r="L542" i="8"/>
  <c r="K542" i="8"/>
  <c r="J542" i="8"/>
  <c r="G542" i="8"/>
  <c r="F542" i="8"/>
  <c r="E542" i="8"/>
  <c r="L541" i="8"/>
  <c r="K541" i="8"/>
  <c r="J541" i="8"/>
  <c r="G541" i="8"/>
  <c r="F541" i="8"/>
  <c r="E541" i="8"/>
  <c r="L540" i="8"/>
  <c r="K540" i="8"/>
  <c r="J540" i="8"/>
  <c r="G540" i="8"/>
  <c r="F540" i="8"/>
  <c r="E540" i="8"/>
  <c r="L539" i="8"/>
  <c r="K539" i="8"/>
  <c r="J539" i="8"/>
  <c r="G539" i="8"/>
  <c r="F539" i="8"/>
  <c r="E539" i="8"/>
  <c r="L538" i="8"/>
  <c r="K538" i="8"/>
  <c r="J538" i="8"/>
  <c r="G538" i="8"/>
  <c r="F538" i="8"/>
  <c r="E538" i="8"/>
  <c r="L537" i="8"/>
  <c r="K537" i="8"/>
  <c r="J537" i="8"/>
  <c r="G537" i="8"/>
  <c r="F537" i="8"/>
  <c r="E537" i="8"/>
  <c r="L536" i="8"/>
  <c r="K536" i="8"/>
  <c r="J536" i="8"/>
  <c r="G536" i="8"/>
  <c r="F536" i="8"/>
  <c r="E536" i="8"/>
  <c r="L535" i="8"/>
  <c r="K535" i="8"/>
  <c r="J535" i="8"/>
  <c r="G535" i="8"/>
  <c r="F535" i="8"/>
  <c r="E535" i="8"/>
  <c r="L534" i="8"/>
  <c r="K534" i="8"/>
  <c r="J534" i="8"/>
  <c r="G534" i="8"/>
  <c r="F534" i="8"/>
  <c r="E534" i="8"/>
  <c r="L533" i="8"/>
  <c r="K533" i="8"/>
  <c r="J533" i="8"/>
  <c r="G533" i="8"/>
  <c r="F533" i="8"/>
  <c r="E533" i="8"/>
  <c r="L532" i="8"/>
  <c r="K532" i="8"/>
  <c r="J532" i="8"/>
  <c r="G532" i="8"/>
  <c r="F532" i="8"/>
  <c r="E532" i="8"/>
  <c r="L531" i="8"/>
  <c r="K531" i="8"/>
  <c r="J531" i="8"/>
  <c r="G531" i="8"/>
  <c r="F531" i="8"/>
  <c r="E531" i="8"/>
  <c r="L530" i="8"/>
  <c r="K530" i="8"/>
  <c r="J530" i="8"/>
  <c r="G530" i="8"/>
  <c r="F530" i="8"/>
  <c r="E530" i="8"/>
  <c r="L529" i="8"/>
  <c r="K529" i="8"/>
  <c r="J529" i="8"/>
  <c r="G529" i="8"/>
  <c r="F529" i="8"/>
  <c r="E529" i="8"/>
  <c r="L528" i="8"/>
  <c r="K528" i="8"/>
  <c r="J528" i="8"/>
  <c r="G528" i="8"/>
  <c r="F528" i="8"/>
  <c r="E528" i="8"/>
  <c r="L527" i="8"/>
  <c r="K527" i="8"/>
  <c r="J527" i="8"/>
  <c r="G527" i="8"/>
  <c r="F527" i="8"/>
  <c r="E527" i="8"/>
  <c r="L526" i="8"/>
  <c r="K526" i="8"/>
  <c r="J526" i="8"/>
  <c r="G526" i="8"/>
  <c r="F526" i="8"/>
  <c r="E526" i="8"/>
  <c r="L525" i="8"/>
  <c r="K525" i="8"/>
  <c r="J525" i="8"/>
  <c r="G525" i="8"/>
  <c r="F525" i="8"/>
  <c r="E525" i="8"/>
  <c r="L524" i="8"/>
  <c r="K524" i="8"/>
  <c r="J524" i="8"/>
  <c r="G524" i="8"/>
  <c r="F524" i="8"/>
  <c r="E524" i="8"/>
  <c r="L523" i="8"/>
  <c r="K523" i="8"/>
  <c r="J523" i="8"/>
  <c r="G523" i="8"/>
  <c r="F523" i="8"/>
  <c r="E523" i="8"/>
  <c r="L522" i="8"/>
  <c r="K522" i="8"/>
  <c r="J522" i="8"/>
  <c r="G522" i="8"/>
  <c r="F522" i="8"/>
  <c r="E522" i="8"/>
  <c r="L521" i="8"/>
  <c r="K521" i="8"/>
  <c r="J521" i="8"/>
  <c r="G521" i="8"/>
  <c r="F521" i="8"/>
  <c r="E521" i="8"/>
  <c r="L520" i="8"/>
  <c r="K520" i="8"/>
  <c r="J520" i="8"/>
  <c r="G520" i="8"/>
  <c r="F520" i="8"/>
  <c r="E520" i="8"/>
  <c r="L519" i="8"/>
  <c r="K519" i="8"/>
  <c r="J519" i="8"/>
  <c r="G519" i="8"/>
  <c r="F519" i="8"/>
  <c r="E519" i="8"/>
  <c r="L518" i="8"/>
  <c r="K518" i="8"/>
  <c r="J518" i="8"/>
  <c r="G518" i="8"/>
  <c r="F518" i="8"/>
  <c r="E518" i="8"/>
  <c r="L517" i="8"/>
  <c r="K517" i="8"/>
  <c r="J517" i="8"/>
  <c r="G517" i="8"/>
  <c r="F517" i="8"/>
  <c r="E517" i="8"/>
  <c r="L516" i="8"/>
  <c r="K516" i="8"/>
  <c r="J516" i="8"/>
  <c r="G516" i="8"/>
  <c r="F516" i="8"/>
  <c r="E516" i="8"/>
  <c r="L515" i="8"/>
  <c r="K515" i="8"/>
  <c r="J515" i="8"/>
  <c r="G515" i="8"/>
  <c r="F515" i="8"/>
  <c r="E515" i="8"/>
  <c r="L514" i="8"/>
  <c r="K514" i="8"/>
  <c r="J514" i="8"/>
  <c r="G514" i="8"/>
  <c r="F514" i="8"/>
  <c r="E514" i="8"/>
  <c r="L513" i="8"/>
  <c r="K513" i="8"/>
  <c r="J513" i="8"/>
  <c r="G513" i="8"/>
  <c r="F513" i="8"/>
  <c r="E513" i="8"/>
  <c r="L512" i="8"/>
  <c r="K512" i="8"/>
  <c r="J512" i="8"/>
  <c r="G512" i="8"/>
  <c r="F512" i="8"/>
  <c r="E512" i="8"/>
  <c r="L511" i="8"/>
  <c r="K511" i="8"/>
  <c r="J511" i="8"/>
  <c r="G511" i="8"/>
  <c r="F511" i="8"/>
  <c r="E511" i="8"/>
  <c r="L510" i="8"/>
  <c r="K510" i="8"/>
  <c r="J510" i="8"/>
  <c r="G510" i="8"/>
  <c r="F510" i="8"/>
  <c r="E510" i="8"/>
  <c r="L509" i="8"/>
  <c r="K509" i="8"/>
  <c r="J509" i="8"/>
  <c r="G509" i="8"/>
  <c r="F509" i="8"/>
  <c r="E509" i="8"/>
  <c r="L508" i="8"/>
  <c r="K508" i="8"/>
  <c r="J508" i="8"/>
  <c r="G508" i="8"/>
  <c r="F508" i="8"/>
  <c r="E508" i="8"/>
  <c r="L507" i="8"/>
  <c r="K507" i="8"/>
  <c r="J507" i="8"/>
  <c r="G507" i="8"/>
  <c r="F507" i="8"/>
  <c r="E507" i="8"/>
  <c r="L506" i="8"/>
  <c r="K506" i="8"/>
  <c r="J506" i="8"/>
  <c r="G506" i="8"/>
  <c r="F506" i="8"/>
  <c r="E506" i="8"/>
  <c r="L505" i="8"/>
  <c r="K505" i="8"/>
  <c r="J505" i="8"/>
  <c r="G505" i="8"/>
  <c r="F505" i="8"/>
  <c r="E505" i="8"/>
  <c r="L504" i="8"/>
  <c r="K504" i="8"/>
  <c r="J504" i="8"/>
  <c r="G504" i="8"/>
  <c r="F504" i="8"/>
  <c r="E504" i="8"/>
  <c r="L503" i="8"/>
  <c r="K503" i="8"/>
  <c r="J503" i="8"/>
  <c r="G503" i="8"/>
  <c r="F503" i="8"/>
  <c r="E503" i="8"/>
  <c r="L502" i="8"/>
  <c r="K502" i="8"/>
  <c r="J502" i="8"/>
  <c r="G502" i="8"/>
  <c r="F502" i="8"/>
  <c r="E502" i="8"/>
  <c r="L501" i="8"/>
  <c r="K501" i="8"/>
  <c r="J501" i="8"/>
  <c r="G501" i="8"/>
  <c r="F501" i="8"/>
  <c r="E501" i="8"/>
  <c r="L500" i="8"/>
  <c r="K500" i="8"/>
  <c r="J500" i="8"/>
  <c r="G500" i="8"/>
  <c r="F500" i="8"/>
  <c r="E500" i="8"/>
  <c r="L499" i="8"/>
  <c r="K499" i="8"/>
  <c r="J499" i="8"/>
  <c r="G499" i="8"/>
  <c r="F499" i="8"/>
  <c r="E499" i="8"/>
  <c r="L498" i="8"/>
  <c r="K498" i="8"/>
  <c r="J498" i="8"/>
  <c r="G498" i="8"/>
  <c r="F498" i="8"/>
  <c r="E498" i="8"/>
  <c r="L497" i="8"/>
  <c r="K497" i="8"/>
  <c r="J497" i="8"/>
  <c r="G497" i="8"/>
  <c r="F497" i="8"/>
  <c r="E497" i="8"/>
  <c r="L496" i="8"/>
  <c r="K496" i="8"/>
  <c r="J496" i="8"/>
  <c r="G496" i="8"/>
  <c r="F496" i="8"/>
  <c r="E496" i="8"/>
  <c r="L495" i="8"/>
  <c r="K495" i="8"/>
  <c r="J495" i="8"/>
  <c r="G495" i="8"/>
  <c r="F495" i="8"/>
  <c r="E495" i="8"/>
  <c r="L494" i="8"/>
  <c r="K494" i="8"/>
  <c r="J494" i="8"/>
  <c r="G494" i="8"/>
  <c r="F494" i="8"/>
  <c r="E494" i="8"/>
  <c r="L493" i="8"/>
  <c r="K493" i="8"/>
  <c r="J493" i="8"/>
  <c r="G493" i="8"/>
  <c r="F493" i="8"/>
  <c r="E493" i="8"/>
  <c r="L492" i="8"/>
  <c r="K492" i="8"/>
  <c r="J492" i="8"/>
  <c r="G492" i="8"/>
  <c r="F492" i="8"/>
  <c r="E492" i="8"/>
  <c r="L491" i="8"/>
  <c r="K491" i="8"/>
  <c r="J491" i="8"/>
  <c r="G491" i="8"/>
  <c r="F491" i="8"/>
  <c r="E491" i="8"/>
  <c r="L490" i="8"/>
  <c r="K490" i="8"/>
  <c r="J490" i="8"/>
  <c r="G490" i="8"/>
  <c r="F490" i="8"/>
  <c r="E490" i="8"/>
  <c r="L489" i="8"/>
  <c r="K489" i="8"/>
  <c r="J489" i="8"/>
  <c r="G489" i="8"/>
  <c r="F489" i="8"/>
  <c r="E489" i="8"/>
  <c r="L488" i="8"/>
  <c r="K488" i="8"/>
  <c r="J488" i="8"/>
  <c r="G488" i="8"/>
  <c r="F488" i="8"/>
  <c r="E488" i="8"/>
  <c r="L487" i="8"/>
  <c r="K487" i="8"/>
  <c r="J487" i="8"/>
  <c r="G487" i="8"/>
  <c r="F487" i="8"/>
  <c r="E487" i="8"/>
  <c r="L486" i="8"/>
  <c r="K486" i="8"/>
  <c r="J486" i="8"/>
  <c r="G486" i="8"/>
  <c r="F486" i="8"/>
  <c r="E486" i="8"/>
  <c r="L485" i="8"/>
  <c r="K485" i="8"/>
  <c r="J485" i="8"/>
  <c r="G485" i="8"/>
  <c r="F485" i="8"/>
  <c r="E485" i="8"/>
  <c r="L484" i="8"/>
  <c r="K484" i="8"/>
  <c r="J484" i="8"/>
  <c r="G484" i="8"/>
  <c r="F484" i="8"/>
  <c r="E484" i="8"/>
  <c r="L483" i="8"/>
  <c r="K483" i="8"/>
  <c r="J483" i="8"/>
  <c r="G483" i="8"/>
  <c r="F483" i="8"/>
  <c r="E483" i="8"/>
  <c r="L482" i="8"/>
  <c r="K482" i="8"/>
  <c r="J482" i="8"/>
  <c r="G482" i="8"/>
  <c r="F482" i="8"/>
  <c r="E482" i="8"/>
  <c r="L481" i="8"/>
  <c r="K481" i="8"/>
  <c r="J481" i="8"/>
  <c r="G481" i="8"/>
  <c r="F481" i="8"/>
  <c r="E481" i="8"/>
  <c r="L480" i="8"/>
  <c r="K480" i="8"/>
  <c r="J480" i="8"/>
  <c r="G480" i="8"/>
  <c r="F480" i="8"/>
  <c r="E480" i="8"/>
  <c r="L479" i="8"/>
  <c r="K479" i="8"/>
  <c r="J479" i="8"/>
  <c r="G479" i="8"/>
  <c r="F479" i="8"/>
  <c r="E479" i="8"/>
  <c r="L478" i="8"/>
  <c r="K478" i="8"/>
  <c r="J478" i="8"/>
  <c r="G478" i="8"/>
  <c r="F478" i="8"/>
  <c r="E478" i="8"/>
  <c r="L477" i="8"/>
  <c r="K477" i="8"/>
  <c r="J477" i="8"/>
  <c r="G477" i="8"/>
  <c r="F477" i="8"/>
  <c r="E477" i="8"/>
  <c r="L476" i="8"/>
  <c r="K476" i="8"/>
  <c r="J476" i="8"/>
  <c r="G476" i="8"/>
  <c r="F476" i="8"/>
  <c r="E476" i="8"/>
  <c r="L475" i="8"/>
  <c r="K475" i="8"/>
  <c r="J475" i="8"/>
  <c r="G475" i="8"/>
  <c r="F475" i="8"/>
  <c r="E475" i="8"/>
  <c r="L474" i="8"/>
  <c r="K474" i="8"/>
  <c r="J474" i="8"/>
  <c r="G474" i="8"/>
  <c r="F474" i="8"/>
  <c r="E474" i="8"/>
  <c r="L473" i="8"/>
  <c r="K473" i="8"/>
  <c r="J473" i="8"/>
  <c r="G473" i="8"/>
  <c r="F473" i="8"/>
  <c r="E473" i="8"/>
  <c r="L472" i="8"/>
  <c r="K472" i="8"/>
  <c r="J472" i="8"/>
  <c r="G472" i="8"/>
  <c r="F472" i="8"/>
  <c r="E472" i="8"/>
  <c r="L471" i="8"/>
  <c r="K471" i="8"/>
  <c r="J471" i="8"/>
  <c r="G471" i="8"/>
  <c r="F471" i="8"/>
  <c r="E471" i="8"/>
  <c r="L470" i="8"/>
  <c r="K470" i="8"/>
  <c r="J470" i="8"/>
  <c r="G470" i="8"/>
  <c r="F470" i="8"/>
  <c r="E470" i="8"/>
  <c r="L469" i="8"/>
  <c r="K469" i="8"/>
  <c r="J469" i="8"/>
  <c r="G469" i="8"/>
  <c r="F469" i="8"/>
  <c r="E469" i="8"/>
  <c r="L468" i="8"/>
  <c r="K468" i="8"/>
  <c r="J468" i="8"/>
  <c r="G468" i="8"/>
  <c r="F468" i="8"/>
  <c r="E468" i="8"/>
  <c r="L467" i="8"/>
  <c r="K467" i="8"/>
  <c r="J467" i="8"/>
  <c r="G467" i="8"/>
  <c r="F467" i="8"/>
  <c r="E467" i="8"/>
  <c r="L466" i="8"/>
  <c r="K466" i="8"/>
  <c r="J466" i="8"/>
  <c r="G466" i="8"/>
  <c r="F466" i="8"/>
  <c r="E466" i="8"/>
  <c r="L465" i="8"/>
  <c r="K465" i="8"/>
  <c r="J465" i="8"/>
  <c r="G465" i="8"/>
  <c r="F465" i="8"/>
  <c r="E465" i="8"/>
  <c r="L464" i="8"/>
  <c r="K464" i="8"/>
  <c r="J464" i="8"/>
  <c r="G464" i="8"/>
  <c r="F464" i="8"/>
  <c r="E464" i="8"/>
  <c r="L463" i="8"/>
  <c r="K463" i="8"/>
  <c r="J463" i="8"/>
  <c r="G463" i="8"/>
  <c r="F463" i="8"/>
  <c r="E463" i="8"/>
  <c r="L462" i="8"/>
  <c r="K462" i="8"/>
  <c r="J462" i="8"/>
  <c r="G462" i="8"/>
  <c r="F462" i="8"/>
  <c r="E462" i="8"/>
  <c r="L461" i="8"/>
  <c r="K461" i="8"/>
  <c r="J461" i="8"/>
  <c r="G461" i="8"/>
  <c r="F461" i="8"/>
  <c r="E461" i="8"/>
  <c r="L460" i="8"/>
  <c r="K460" i="8"/>
  <c r="J460" i="8"/>
  <c r="G460" i="8"/>
  <c r="F460" i="8"/>
  <c r="E460" i="8"/>
  <c r="L459" i="8"/>
  <c r="K459" i="8"/>
  <c r="J459" i="8"/>
  <c r="G459" i="8"/>
  <c r="F459" i="8"/>
  <c r="E459" i="8"/>
  <c r="L458" i="8"/>
  <c r="K458" i="8"/>
  <c r="J458" i="8"/>
  <c r="G458" i="8"/>
  <c r="F458" i="8"/>
  <c r="E458" i="8"/>
  <c r="L457" i="8"/>
  <c r="K457" i="8"/>
  <c r="J457" i="8"/>
  <c r="G457" i="8"/>
  <c r="F457" i="8"/>
  <c r="E457" i="8"/>
  <c r="L456" i="8"/>
  <c r="K456" i="8"/>
  <c r="J456" i="8"/>
  <c r="G456" i="8"/>
  <c r="F456" i="8"/>
  <c r="E456" i="8"/>
  <c r="L455" i="8"/>
  <c r="K455" i="8"/>
  <c r="J455" i="8"/>
  <c r="G455" i="8"/>
  <c r="F455" i="8"/>
  <c r="E455" i="8"/>
  <c r="L454" i="8"/>
  <c r="K454" i="8"/>
  <c r="J454" i="8"/>
  <c r="G454" i="8"/>
  <c r="F454" i="8"/>
  <c r="E454" i="8"/>
  <c r="L453" i="8"/>
  <c r="K453" i="8"/>
  <c r="J453" i="8"/>
  <c r="G453" i="8"/>
  <c r="F453" i="8"/>
  <c r="E453" i="8"/>
  <c r="L452" i="8"/>
  <c r="K452" i="8"/>
  <c r="J452" i="8"/>
  <c r="G452" i="8"/>
  <c r="F452" i="8"/>
  <c r="E452" i="8"/>
  <c r="L451" i="8"/>
  <c r="K451" i="8"/>
  <c r="J451" i="8"/>
  <c r="G451" i="8"/>
  <c r="F451" i="8"/>
  <c r="E451" i="8"/>
  <c r="L450" i="8"/>
  <c r="K450" i="8"/>
  <c r="J450" i="8"/>
  <c r="G450" i="8"/>
  <c r="F450" i="8"/>
  <c r="E450" i="8"/>
  <c r="L449" i="8"/>
  <c r="K449" i="8"/>
  <c r="J449" i="8"/>
  <c r="G449" i="8"/>
  <c r="F449" i="8"/>
  <c r="E449" i="8"/>
  <c r="L448" i="8"/>
  <c r="K448" i="8"/>
  <c r="J448" i="8"/>
  <c r="G448" i="8"/>
  <c r="F448" i="8"/>
  <c r="E448" i="8"/>
  <c r="L447" i="8"/>
  <c r="K447" i="8"/>
  <c r="J447" i="8"/>
  <c r="G447" i="8"/>
  <c r="F447" i="8"/>
  <c r="E447" i="8"/>
  <c r="L446" i="8"/>
  <c r="K446" i="8"/>
  <c r="J446" i="8"/>
  <c r="G446" i="8"/>
  <c r="F446" i="8"/>
  <c r="E446" i="8"/>
  <c r="L445" i="8"/>
  <c r="K445" i="8"/>
  <c r="J445" i="8"/>
  <c r="G445" i="8"/>
  <c r="F445" i="8"/>
  <c r="E445" i="8"/>
  <c r="L444" i="8"/>
  <c r="K444" i="8"/>
  <c r="J444" i="8"/>
  <c r="G444" i="8"/>
  <c r="F444" i="8"/>
  <c r="E444" i="8"/>
  <c r="L443" i="8"/>
  <c r="K443" i="8"/>
  <c r="J443" i="8"/>
  <c r="G443" i="8"/>
  <c r="F443" i="8"/>
  <c r="E443" i="8"/>
  <c r="L442" i="8"/>
  <c r="K442" i="8"/>
  <c r="J442" i="8"/>
  <c r="G442" i="8"/>
  <c r="F442" i="8"/>
  <c r="E442" i="8"/>
  <c r="L441" i="8"/>
  <c r="K441" i="8"/>
  <c r="J441" i="8"/>
  <c r="G441" i="8"/>
  <c r="F441" i="8"/>
  <c r="E441" i="8"/>
  <c r="L440" i="8"/>
  <c r="K440" i="8"/>
  <c r="J440" i="8"/>
  <c r="G440" i="8"/>
  <c r="F440" i="8"/>
  <c r="E440" i="8"/>
  <c r="L439" i="8"/>
  <c r="K439" i="8"/>
  <c r="J439" i="8"/>
  <c r="G439" i="8"/>
  <c r="F439" i="8"/>
  <c r="E439" i="8"/>
  <c r="L438" i="8"/>
  <c r="K438" i="8"/>
  <c r="J438" i="8"/>
  <c r="G438" i="8"/>
  <c r="F438" i="8"/>
  <c r="E438" i="8"/>
  <c r="L437" i="8"/>
  <c r="K437" i="8"/>
  <c r="J437" i="8"/>
  <c r="G437" i="8"/>
  <c r="F437" i="8"/>
  <c r="E437" i="8"/>
  <c r="L436" i="8"/>
  <c r="K436" i="8"/>
  <c r="J436" i="8"/>
  <c r="G436" i="8"/>
  <c r="F436" i="8"/>
  <c r="E436" i="8"/>
  <c r="L435" i="8"/>
  <c r="K435" i="8"/>
  <c r="J435" i="8"/>
  <c r="G435" i="8"/>
  <c r="F435" i="8"/>
  <c r="E435" i="8"/>
  <c r="L434" i="8"/>
  <c r="K434" i="8"/>
  <c r="J434" i="8"/>
  <c r="G434" i="8"/>
  <c r="F434" i="8"/>
  <c r="E434" i="8"/>
  <c r="L433" i="8"/>
  <c r="K433" i="8"/>
  <c r="J433" i="8"/>
  <c r="G433" i="8"/>
  <c r="F433" i="8"/>
  <c r="E433" i="8"/>
  <c r="L432" i="8"/>
  <c r="K432" i="8"/>
  <c r="J432" i="8"/>
  <c r="G432" i="8"/>
  <c r="F432" i="8"/>
  <c r="E432" i="8"/>
  <c r="L431" i="8"/>
  <c r="K431" i="8"/>
  <c r="J431" i="8"/>
  <c r="G431" i="8"/>
  <c r="F431" i="8"/>
  <c r="E431" i="8"/>
  <c r="L430" i="8"/>
  <c r="K430" i="8"/>
  <c r="J430" i="8"/>
  <c r="G430" i="8"/>
  <c r="F430" i="8"/>
  <c r="E430" i="8"/>
  <c r="L429" i="8"/>
  <c r="K429" i="8"/>
  <c r="J429" i="8"/>
  <c r="G429" i="8"/>
  <c r="F429" i="8"/>
  <c r="E429" i="8"/>
  <c r="L428" i="8"/>
  <c r="K428" i="8"/>
  <c r="J428" i="8"/>
  <c r="G428" i="8"/>
  <c r="F428" i="8"/>
  <c r="E428" i="8"/>
  <c r="L427" i="8"/>
  <c r="K427" i="8"/>
  <c r="J427" i="8"/>
  <c r="G427" i="8"/>
  <c r="F427" i="8"/>
  <c r="E427" i="8"/>
  <c r="L426" i="8"/>
  <c r="K426" i="8"/>
  <c r="J426" i="8"/>
  <c r="G426" i="8"/>
  <c r="F426" i="8"/>
  <c r="E426" i="8"/>
  <c r="L425" i="8"/>
  <c r="K425" i="8"/>
  <c r="J425" i="8"/>
  <c r="G425" i="8"/>
  <c r="F425" i="8"/>
  <c r="E425" i="8"/>
  <c r="L424" i="8"/>
  <c r="K424" i="8"/>
  <c r="J424" i="8"/>
  <c r="G424" i="8"/>
  <c r="F424" i="8"/>
  <c r="E424" i="8"/>
  <c r="L423" i="8"/>
  <c r="K423" i="8"/>
  <c r="J423" i="8"/>
  <c r="G423" i="8"/>
  <c r="F423" i="8"/>
  <c r="E423" i="8"/>
  <c r="L422" i="8"/>
  <c r="K422" i="8"/>
  <c r="J422" i="8"/>
  <c r="G422" i="8"/>
  <c r="F422" i="8"/>
  <c r="E422" i="8"/>
  <c r="L421" i="8"/>
  <c r="K421" i="8"/>
  <c r="J421" i="8"/>
  <c r="G421" i="8"/>
  <c r="F421" i="8"/>
  <c r="E421" i="8"/>
  <c r="L420" i="8"/>
  <c r="K420" i="8"/>
  <c r="J420" i="8"/>
  <c r="G420" i="8"/>
  <c r="F420" i="8"/>
  <c r="E420" i="8"/>
  <c r="L419" i="8"/>
  <c r="K419" i="8"/>
  <c r="J419" i="8"/>
  <c r="G419" i="8"/>
  <c r="F419" i="8"/>
  <c r="E419" i="8"/>
  <c r="L418" i="8"/>
  <c r="K418" i="8"/>
  <c r="J418" i="8"/>
  <c r="G418" i="8"/>
  <c r="F418" i="8"/>
  <c r="E418" i="8"/>
  <c r="L417" i="8"/>
  <c r="K417" i="8"/>
  <c r="J417" i="8"/>
  <c r="G417" i="8"/>
  <c r="F417" i="8"/>
  <c r="E417" i="8"/>
  <c r="L416" i="8"/>
  <c r="K416" i="8"/>
  <c r="J416" i="8"/>
  <c r="G416" i="8"/>
  <c r="F416" i="8"/>
  <c r="E416" i="8"/>
  <c r="L415" i="8"/>
  <c r="K415" i="8"/>
  <c r="J415" i="8"/>
  <c r="G415" i="8"/>
  <c r="F415" i="8"/>
  <c r="E415" i="8"/>
  <c r="L414" i="8"/>
  <c r="K414" i="8"/>
  <c r="J414" i="8"/>
  <c r="G414" i="8"/>
  <c r="F414" i="8"/>
  <c r="E414" i="8"/>
  <c r="L413" i="8"/>
  <c r="K413" i="8"/>
  <c r="J413" i="8"/>
  <c r="G413" i="8"/>
  <c r="F413" i="8"/>
  <c r="E413" i="8"/>
  <c r="L412" i="8"/>
  <c r="K412" i="8"/>
  <c r="J412" i="8"/>
  <c r="G412" i="8"/>
  <c r="F412" i="8"/>
  <c r="E412" i="8"/>
  <c r="L411" i="8"/>
  <c r="K411" i="8"/>
  <c r="J411" i="8"/>
  <c r="G411" i="8"/>
  <c r="F411" i="8"/>
  <c r="E411" i="8"/>
  <c r="L410" i="8"/>
  <c r="K410" i="8"/>
  <c r="J410" i="8"/>
  <c r="G410" i="8"/>
  <c r="F410" i="8"/>
  <c r="E410" i="8"/>
  <c r="L409" i="8"/>
  <c r="K409" i="8"/>
  <c r="J409" i="8"/>
  <c r="G409" i="8"/>
  <c r="F409" i="8"/>
  <c r="E409" i="8"/>
  <c r="L408" i="8"/>
  <c r="K408" i="8"/>
  <c r="J408" i="8"/>
  <c r="G408" i="8"/>
  <c r="F408" i="8"/>
  <c r="E408" i="8"/>
  <c r="L407" i="8"/>
  <c r="K407" i="8"/>
  <c r="J407" i="8"/>
  <c r="G407" i="8"/>
  <c r="F407" i="8"/>
  <c r="E407" i="8"/>
  <c r="L406" i="8"/>
  <c r="K406" i="8"/>
  <c r="J406" i="8"/>
  <c r="G406" i="8"/>
  <c r="F406" i="8"/>
  <c r="E406" i="8"/>
  <c r="L405" i="8"/>
  <c r="K405" i="8"/>
  <c r="J405" i="8"/>
  <c r="G405" i="8"/>
  <c r="F405" i="8"/>
  <c r="E405" i="8"/>
  <c r="L404" i="8"/>
  <c r="K404" i="8"/>
  <c r="J404" i="8"/>
  <c r="G404" i="8"/>
  <c r="F404" i="8"/>
  <c r="E404" i="8"/>
  <c r="L403" i="8"/>
  <c r="K403" i="8"/>
  <c r="J403" i="8"/>
  <c r="G403" i="8"/>
  <c r="F403" i="8"/>
  <c r="E403" i="8"/>
  <c r="L402" i="8"/>
  <c r="K402" i="8"/>
  <c r="J402" i="8"/>
  <c r="G402" i="8"/>
  <c r="F402" i="8"/>
  <c r="E402" i="8"/>
  <c r="L401" i="8"/>
  <c r="K401" i="8"/>
  <c r="J401" i="8"/>
  <c r="G401" i="8"/>
  <c r="F401" i="8"/>
  <c r="E401" i="8"/>
  <c r="L400" i="8"/>
  <c r="K400" i="8"/>
  <c r="J400" i="8"/>
  <c r="G400" i="8"/>
  <c r="F400" i="8"/>
  <c r="E400" i="8"/>
  <c r="L399" i="8"/>
  <c r="K399" i="8"/>
  <c r="J399" i="8"/>
  <c r="G399" i="8"/>
  <c r="F399" i="8"/>
  <c r="E399" i="8"/>
  <c r="L398" i="8"/>
  <c r="K398" i="8"/>
  <c r="J398" i="8"/>
  <c r="G398" i="8"/>
  <c r="F398" i="8"/>
  <c r="E398" i="8"/>
  <c r="L397" i="8"/>
  <c r="K397" i="8"/>
  <c r="J397" i="8"/>
  <c r="G397" i="8"/>
  <c r="F397" i="8"/>
  <c r="E397" i="8"/>
  <c r="L396" i="8"/>
  <c r="K396" i="8"/>
  <c r="J396" i="8"/>
  <c r="G396" i="8"/>
  <c r="F396" i="8"/>
  <c r="E396" i="8"/>
  <c r="L395" i="8"/>
  <c r="K395" i="8"/>
  <c r="J395" i="8"/>
  <c r="G395" i="8"/>
  <c r="F395" i="8"/>
  <c r="E395" i="8"/>
  <c r="L394" i="8"/>
  <c r="K394" i="8"/>
  <c r="J394" i="8"/>
  <c r="G394" i="8"/>
  <c r="F394" i="8"/>
  <c r="E394" i="8"/>
  <c r="L393" i="8"/>
  <c r="K393" i="8"/>
  <c r="J393" i="8"/>
  <c r="G393" i="8"/>
  <c r="F393" i="8"/>
  <c r="E393" i="8"/>
  <c r="L392" i="8"/>
  <c r="K392" i="8"/>
  <c r="J392" i="8"/>
  <c r="G392" i="8"/>
  <c r="F392" i="8"/>
  <c r="E392" i="8"/>
  <c r="L391" i="8"/>
  <c r="K391" i="8"/>
  <c r="J391" i="8"/>
  <c r="G391" i="8"/>
  <c r="F391" i="8"/>
  <c r="E391" i="8"/>
  <c r="L390" i="8"/>
  <c r="K390" i="8"/>
  <c r="J390" i="8"/>
  <c r="G390" i="8"/>
  <c r="F390" i="8"/>
  <c r="E390" i="8"/>
  <c r="L389" i="8"/>
  <c r="K389" i="8"/>
  <c r="J389" i="8"/>
  <c r="G389" i="8"/>
  <c r="F389" i="8"/>
  <c r="E389" i="8"/>
  <c r="L388" i="8"/>
  <c r="K388" i="8"/>
  <c r="J388" i="8"/>
  <c r="G388" i="8"/>
  <c r="F388" i="8"/>
  <c r="E388" i="8"/>
  <c r="L387" i="8"/>
  <c r="K387" i="8"/>
  <c r="J387" i="8"/>
  <c r="G387" i="8"/>
  <c r="F387" i="8"/>
  <c r="E387" i="8"/>
  <c r="L386" i="8"/>
  <c r="K386" i="8"/>
  <c r="J386" i="8"/>
  <c r="G386" i="8"/>
  <c r="F386" i="8"/>
  <c r="E386" i="8"/>
  <c r="L385" i="8"/>
  <c r="K385" i="8"/>
  <c r="J385" i="8"/>
  <c r="G385" i="8"/>
  <c r="F385" i="8"/>
  <c r="E385" i="8"/>
  <c r="L384" i="8"/>
  <c r="K384" i="8"/>
  <c r="J384" i="8"/>
  <c r="G384" i="8"/>
  <c r="F384" i="8"/>
  <c r="E384" i="8"/>
  <c r="L383" i="8"/>
  <c r="K383" i="8"/>
  <c r="J383" i="8"/>
  <c r="G383" i="8"/>
  <c r="F383" i="8"/>
  <c r="E383" i="8"/>
  <c r="L382" i="8"/>
  <c r="K382" i="8"/>
  <c r="J382" i="8"/>
  <c r="G382" i="8"/>
  <c r="F382" i="8"/>
  <c r="E382" i="8"/>
  <c r="L381" i="8"/>
  <c r="K381" i="8"/>
  <c r="J381" i="8"/>
  <c r="G381" i="8"/>
  <c r="F381" i="8"/>
  <c r="E381" i="8"/>
  <c r="L380" i="8"/>
  <c r="K380" i="8"/>
  <c r="J380" i="8"/>
  <c r="G380" i="8"/>
  <c r="F380" i="8"/>
  <c r="E380" i="8"/>
  <c r="L379" i="8"/>
  <c r="K379" i="8"/>
  <c r="J379" i="8"/>
  <c r="G379" i="8"/>
  <c r="F379" i="8"/>
  <c r="E379" i="8"/>
  <c r="L378" i="8"/>
  <c r="K378" i="8"/>
  <c r="J378" i="8"/>
  <c r="G378" i="8"/>
  <c r="F378" i="8"/>
  <c r="E378" i="8"/>
  <c r="L377" i="8"/>
  <c r="K377" i="8"/>
  <c r="J377" i="8"/>
  <c r="G377" i="8"/>
  <c r="F377" i="8"/>
  <c r="E377" i="8"/>
  <c r="L376" i="8"/>
  <c r="K376" i="8"/>
  <c r="J376" i="8"/>
  <c r="G376" i="8"/>
  <c r="F376" i="8"/>
  <c r="E376" i="8"/>
  <c r="L375" i="8"/>
  <c r="K375" i="8"/>
  <c r="J375" i="8"/>
  <c r="G375" i="8"/>
  <c r="F375" i="8"/>
  <c r="E375" i="8"/>
  <c r="L374" i="8"/>
  <c r="K374" i="8"/>
  <c r="J374" i="8"/>
  <c r="G374" i="8"/>
  <c r="F374" i="8"/>
  <c r="E374" i="8"/>
  <c r="L373" i="8"/>
  <c r="K373" i="8"/>
  <c r="J373" i="8"/>
  <c r="G373" i="8"/>
  <c r="F373" i="8"/>
  <c r="E373" i="8"/>
  <c r="L372" i="8"/>
  <c r="K372" i="8"/>
  <c r="J372" i="8"/>
  <c r="G372" i="8"/>
  <c r="F372" i="8"/>
  <c r="E372" i="8"/>
  <c r="L371" i="8"/>
  <c r="K371" i="8"/>
  <c r="J371" i="8"/>
  <c r="G371" i="8"/>
  <c r="F371" i="8"/>
  <c r="E371" i="8"/>
  <c r="L370" i="8"/>
  <c r="K370" i="8"/>
  <c r="J370" i="8"/>
  <c r="G370" i="8"/>
  <c r="F370" i="8"/>
  <c r="E370" i="8"/>
  <c r="L369" i="8"/>
  <c r="K369" i="8"/>
  <c r="J369" i="8"/>
  <c r="G369" i="8"/>
  <c r="F369" i="8"/>
  <c r="E369" i="8"/>
  <c r="L368" i="8"/>
  <c r="K368" i="8"/>
  <c r="J368" i="8"/>
  <c r="G368" i="8"/>
  <c r="F368" i="8"/>
  <c r="E368" i="8"/>
  <c r="L367" i="8"/>
  <c r="K367" i="8"/>
  <c r="J367" i="8"/>
  <c r="G367" i="8"/>
  <c r="F367" i="8"/>
  <c r="E367" i="8"/>
  <c r="L366" i="8"/>
  <c r="K366" i="8"/>
  <c r="J366" i="8"/>
  <c r="G366" i="8"/>
  <c r="F366" i="8"/>
  <c r="E366" i="8"/>
  <c r="L365" i="8"/>
  <c r="K365" i="8"/>
  <c r="J365" i="8"/>
  <c r="G365" i="8"/>
  <c r="F365" i="8"/>
  <c r="E365" i="8"/>
  <c r="L364" i="8"/>
  <c r="K364" i="8"/>
  <c r="J364" i="8"/>
  <c r="G364" i="8"/>
  <c r="F364" i="8"/>
  <c r="E364" i="8"/>
  <c r="L363" i="8"/>
  <c r="K363" i="8"/>
  <c r="J363" i="8"/>
  <c r="G363" i="8"/>
  <c r="F363" i="8"/>
  <c r="E363" i="8"/>
  <c r="L362" i="8"/>
  <c r="K362" i="8"/>
  <c r="J362" i="8"/>
  <c r="G362" i="8"/>
  <c r="F362" i="8"/>
  <c r="E362" i="8"/>
  <c r="L361" i="8"/>
  <c r="K361" i="8"/>
  <c r="J361" i="8"/>
  <c r="G361" i="8"/>
  <c r="F361" i="8"/>
  <c r="E361" i="8"/>
  <c r="L360" i="8"/>
  <c r="K360" i="8"/>
  <c r="J360" i="8"/>
  <c r="G360" i="8"/>
  <c r="F360" i="8"/>
  <c r="E360" i="8"/>
  <c r="L359" i="8"/>
  <c r="K359" i="8"/>
  <c r="J359" i="8"/>
  <c r="G359" i="8"/>
  <c r="F359" i="8"/>
  <c r="E359" i="8"/>
  <c r="L358" i="8"/>
  <c r="K358" i="8"/>
  <c r="J358" i="8"/>
  <c r="G358" i="8"/>
  <c r="F358" i="8"/>
  <c r="E358" i="8"/>
  <c r="L357" i="8"/>
  <c r="K357" i="8"/>
  <c r="J357" i="8"/>
  <c r="G357" i="8"/>
  <c r="F357" i="8"/>
  <c r="E357" i="8"/>
  <c r="L356" i="8"/>
  <c r="K356" i="8"/>
  <c r="J356" i="8"/>
  <c r="G356" i="8"/>
  <c r="F356" i="8"/>
  <c r="E356" i="8"/>
  <c r="L355" i="8"/>
  <c r="K355" i="8"/>
  <c r="J355" i="8"/>
  <c r="G355" i="8"/>
  <c r="F355" i="8"/>
  <c r="E355" i="8"/>
  <c r="L354" i="8"/>
  <c r="K354" i="8"/>
  <c r="J354" i="8"/>
  <c r="G354" i="8"/>
  <c r="F354" i="8"/>
  <c r="E354" i="8"/>
  <c r="L353" i="8"/>
  <c r="K353" i="8"/>
  <c r="J353" i="8"/>
  <c r="G353" i="8"/>
  <c r="F353" i="8"/>
  <c r="E353" i="8"/>
  <c r="L352" i="8"/>
  <c r="K352" i="8"/>
  <c r="J352" i="8"/>
  <c r="G352" i="8"/>
  <c r="F352" i="8"/>
  <c r="E352" i="8"/>
  <c r="L351" i="8"/>
  <c r="K351" i="8"/>
  <c r="J351" i="8"/>
  <c r="G351" i="8"/>
  <c r="F351" i="8"/>
  <c r="E351" i="8"/>
  <c r="L350" i="8"/>
  <c r="K350" i="8"/>
  <c r="J350" i="8"/>
  <c r="G350" i="8"/>
  <c r="F350" i="8"/>
  <c r="E350" i="8"/>
  <c r="L349" i="8"/>
  <c r="K349" i="8"/>
  <c r="J349" i="8"/>
  <c r="G349" i="8"/>
  <c r="F349" i="8"/>
  <c r="E349" i="8"/>
  <c r="L348" i="8"/>
  <c r="K348" i="8"/>
  <c r="J348" i="8"/>
  <c r="G348" i="8"/>
  <c r="F348" i="8"/>
  <c r="E348" i="8"/>
  <c r="L347" i="8"/>
  <c r="K347" i="8"/>
  <c r="J347" i="8"/>
  <c r="G347" i="8"/>
  <c r="F347" i="8"/>
  <c r="E347" i="8"/>
  <c r="L346" i="8"/>
  <c r="K346" i="8"/>
  <c r="J346" i="8"/>
  <c r="G346" i="8"/>
  <c r="F346" i="8"/>
  <c r="E346" i="8"/>
  <c r="L345" i="8"/>
  <c r="K345" i="8"/>
  <c r="J345" i="8"/>
  <c r="G345" i="8"/>
  <c r="F345" i="8"/>
  <c r="E345" i="8"/>
  <c r="L344" i="8"/>
  <c r="K344" i="8"/>
  <c r="J344" i="8"/>
  <c r="G344" i="8"/>
  <c r="F344" i="8"/>
  <c r="E344" i="8"/>
  <c r="L343" i="8"/>
  <c r="K343" i="8"/>
  <c r="J343" i="8"/>
  <c r="G343" i="8"/>
  <c r="F343" i="8"/>
  <c r="E343" i="8"/>
  <c r="L342" i="8"/>
  <c r="K342" i="8"/>
  <c r="J342" i="8"/>
  <c r="G342" i="8"/>
  <c r="F342" i="8"/>
  <c r="E342" i="8"/>
  <c r="L341" i="8"/>
  <c r="K341" i="8"/>
  <c r="J341" i="8"/>
  <c r="G341" i="8"/>
  <c r="F341" i="8"/>
  <c r="E341" i="8"/>
  <c r="L340" i="8"/>
  <c r="K340" i="8"/>
  <c r="J340" i="8"/>
  <c r="G340" i="8"/>
  <c r="F340" i="8"/>
  <c r="E340" i="8"/>
  <c r="L339" i="8"/>
  <c r="K339" i="8"/>
  <c r="J339" i="8"/>
  <c r="G339" i="8"/>
  <c r="F339" i="8"/>
  <c r="E339" i="8"/>
  <c r="L338" i="8"/>
  <c r="K338" i="8"/>
  <c r="J338" i="8"/>
  <c r="G338" i="8"/>
  <c r="F338" i="8"/>
  <c r="E338" i="8"/>
  <c r="L337" i="8"/>
  <c r="K337" i="8"/>
  <c r="J337" i="8"/>
  <c r="G337" i="8"/>
  <c r="F337" i="8"/>
  <c r="E337" i="8"/>
  <c r="L336" i="8"/>
  <c r="K336" i="8"/>
  <c r="J336" i="8"/>
  <c r="G336" i="8"/>
  <c r="F336" i="8"/>
  <c r="E336" i="8"/>
  <c r="L335" i="8"/>
  <c r="K335" i="8"/>
  <c r="J335" i="8"/>
  <c r="G335" i="8"/>
  <c r="F335" i="8"/>
  <c r="E335" i="8"/>
  <c r="L334" i="8"/>
  <c r="K334" i="8"/>
  <c r="J334" i="8"/>
  <c r="G334" i="8"/>
  <c r="F334" i="8"/>
  <c r="E334" i="8"/>
  <c r="L333" i="8"/>
  <c r="K333" i="8"/>
  <c r="J333" i="8"/>
  <c r="G333" i="8"/>
  <c r="F333" i="8"/>
  <c r="E333" i="8"/>
  <c r="L332" i="8"/>
  <c r="K332" i="8"/>
  <c r="J332" i="8"/>
  <c r="G332" i="8"/>
  <c r="F332" i="8"/>
  <c r="E332" i="8"/>
  <c r="L331" i="8"/>
  <c r="K331" i="8"/>
  <c r="J331" i="8"/>
  <c r="G331" i="8"/>
  <c r="F331" i="8"/>
  <c r="E331" i="8"/>
  <c r="L330" i="8"/>
  <c r="K330" i="8"/>
  <c r="J330" i="8"/>
  <c r="G330" i="8"/>
  <c r="F330" i="8"/>
  <c r="E330" i="8"/>
  <c r="L329" i="8"/>
  <c r="K329" i="8"/>
  <c r="J329" i="8"/>
  <c r="G329" i="8"/>
  <c r="F329" i="8"/>
  <c r="E329" i="8"/>
  <c r="L328" i="8"/>
  <c r="K328" i="8"/>
  <c r="J328" i="8"/>
  <c r="G328" i="8"/>
  <c r="F328" i="8"/>
  <c r="E328" i="8"/>
  <c r="L327" i="8"/>
  <c r="K327" i="8"/>
  <c r="J327" i="8"/>
  <c r="G327" i="8"/>
  <c r="F327" i="8"/>
  <c r="E327" i="8"/>
  <c r="L326" i="8"/>
  <c r="K326" i="8"/>
  <c r="J326" i="8"/>
  <c r="G326" i="8"/>
  <c r="F326" i="8"/>
  <c r="E326" i="8"/>
  <c r="L325" i="8"/>
  <c r="K325" i="8"/>
  <c r="J325" i="8"/>
  <c r="G325" i="8"/>
  <c r="F325" i="8"/>
  <c r="E325" i="8"/>
  <c r="L324" i="8"/>
  <c r="K324" i="8"/>
  <c r="J324" i="8"/>
  <c r="G324" i="8"/>
  <c r="F324" i="8"/>
  <c r="E324" i="8"/>
  <c r="L323" i="8"/>
  <c r="K323" i="8"/>
  <c r="J323" i="8"/>
  <c r="G323" i="8"/>
  <c r="F323" i="8"/>
  <c r="E323" i="8"/>
  <c r="L322" i="8"/>
  <c r="K322" i="8"/>
  <c r="J322" i="8"/>
  <c r="G322" i="8"/>
  <c r="F322" i="8"/>
  <c r="E322" i="8"/>
  <c r="L321" i="8"/>
  <c r="K321" i="8"/>
  <c r="J321" i="8"/>
  <c r="G321" i="8"/>
  <c r="F321" i="8"/>
  <c r="E321" i="8"/>
  <c r="L320" i="8"/>
  <c r="K320" i="8"/>
  <c r="J320" i="8"/>
  <c r="G320" i="8"/>
  <c r="F320" i="8"/>
  <c r="E320" i="8"/>
  <c r="L319" i="8"/>
  <c r="K319" i="8"/>
  <c r="J319" i="8"/>
  <c r="G319" i="8"/>
  <c r="F319" i="8"/>
  <c r="E319" i="8"/>
  <c r="L318" i="8"/>
  <c r="K318" i="8"/>
  <c r="J318" i="8"/>
  <c r="G318" i="8"/>
  <c r="F318" i="8"/>
  <c r="E318" i="8"/>
  <c r="L317" i="8"/>
  <c r="K317" i="8"/>
  <c r="J317" i="8"/>
  <c r="G317" i="8"/>
  <c r="F317" i="8"/>
  <c r="E317" i="8"/>
  <c r="L316" i="8"/>
  <c r="K316" i="8"/>
  <c r="J316" i="8"/>
  <c r="G316" i="8"/>
  <c r="F316" i="8"/>
  <c r="E316" i="8"/>
  <c r="L315" i="8"/>
  <c r="K315" i="8"/>
  <c r="J315" i="8"/>
  <c r="G315" i="8"/>
  <c r="F315" i="8"/>
  <c r="E315" i="8"/>
  <c r="L314" i="8"/>
  <c r="K314" i="8"/>
  <c r="J314" i="8"/>
  <c r="G314" i="8"/>
  <c r="F314" i="8"/>
  <c r="E314" i="8"/>
  <c r="L313" i="8"/>
  <c r="K313" i="8"/>
  <c r="J313" i="8"/>
  <c r="G313" i="8"/>
  <c r="F313" i="8"/>
  <c r="E313" i="8"/>
  <c r="L312" i="8"/>
  <c r="K312" i="8"/>
  <c r="J312" i="8"/>
  <c r="G312" i="8"/>
  <c r="F312" i="8"/>
  <c r="E312" i="8"/>
  <c r="L311" i="8"/>
  <c r="K311" i="8"/>
  <c r="J311" i="8"/>
  <c r="G311" i="8"/>
  <c r="F311" i="8"/>
  <c r="E311" i="8"/>
  <c r="L310" i="8"/>
  <c r="K310" i="8"/>
  <c r="J310" i="8"/>
  <c r="G310" i="8"/>
  <c r="F310" i="8"/>
  <c r="E310" i="8"/>
  <c r="L309" i="8"/>
  <c r="K309" i="8"/>
  <c r="J309" i="8"/>
  <c r="G309" i="8"/>
  <c r="F309" i="8"/>
  <c r="E309" i="8"/>
  <c r="L308" i="8"/>
  <c r="K308" i="8"/>
  <c r="J308" i="8"/>
  <c r="G308" i="8"/>
  <c r="F308" i="8"/>
  <c r="E308" i="8"/>
  <c r="L307" i="8"/>
  <c r="K307" i="8"/>
  <c r="J307" i="8"/>
  <c r="G307" i="8"/>
  <c r="F307" i="8"/>
  <c r="E307" i="8"/>
  <c r="L306" i="8"/>
  <c r="K306" i="8"/>
  <c r="J306" i="8"/>
  <c r="G306" i="8"/>
  <c r="F306" i="8"/>
  <c r="E306" i="8"/>
  <c r="L305" i="8"/>
  <c r="K305" i="8"/>
  <c r="J305" i="8"/>
  <c r="G305" i="8"/>
  <c r="F305" i="8"/>
  <c r="E305" i="8"/>
  <c r="L304" i="8"/>
  <c r="K304" i="8"/>
  <c r="J304" i="8"/>
  <c r="G304" i="8"/>
  <c r="F304" i="8"/>
  <c r="E304" i="8"/>
  <c r="L303" i="8"/>
  <c r="K303" i="8"/>
  <c r="J303" i="8"/>
  <c r="G303" i="8"/>
  <c r="F303" i="8"/>
  <c r="E303" i="8"/>
  <c r="L302" i="8"/>
  <c r="K302" i="8"/>
  <c r="J302" i="8"/>
  <c r="G302" i="8"/>
  <c r="F302" i="8"/>
  <c r="E302" i="8"/>
  <c r="L301" i="8"/>
  <c r="K301" i="8"/>
  <c r="J301" i="8"/>
  <c r="G301" i="8"/>
  <c r="F301" i="8"/>
  <c r="E301" i="8"/>
  <c r="L300" i="8"/>
  <c r="K300" i="8"/>
  <c r="J300" i="8"/>
  <c r="G300" i="8"/>
  <c r="F300" i="8"/>
  <c r="E300" i="8"/>
  <c r="L299" i="8"/>
  <c r="K299" i="8"/>
  <c r="J299" i="8"/>
  <c r="G299" i="8"/>
  <c r="F299" i="8"/>
  <c r="E299" i="8"/>
  <c r="L298" i="8"/>
  <c r="K298" i="8"/>
  <c r="J298" i="8"/>
  <c r="G298" i="8"/>
  <c r="F298" i="8"/>
  <c r="E298" i="8"/>
  <c r="L297" i="8"/>
  <c r="K297" i="8"/>
  <c r="J297" i="8"/>
  <c r="G297" i="8"/>
  <c r="F297" i="8"/>
  <c r="E297" i="8"/>
  <c r="L296" i="8"/>
  <c r="K296" i="8"/>
  <c r="J296" i="8"/>
  <c r="G296" i="8"/>
  <c r="F296" i="8"/>
  <c r="E296" i="8"/>
  <c r="L295" i="8"/>
  <c r="K295" i="8"/>
  <c r="J295" i="8"/>
  <c r="G295" i="8"/>
  <c r="F295" i="8"/>
  <c r="E295" i="8"/>
  <c r="L294" i="8"/>
  <c r="K294" i="8"/>
  <c r="J294" i="8"/>
  <c r="G294" i="8"/>
  <c r="F294" i="8"/>
  <c r="E294" i="8"/>
  <c r="L293" i="8"/>
  <c r="K293" i="8"/>
  <c r="J293" i="8"/>
  <c r="G293" i="8"/>
  <c r="F293" i="8"/>
  <c r="E293" i="8"/>
  <c r="L292" i="8"/>
  <c r="K292" i="8"/>
  <c r="J292" i="8"/>
  <c r="G292" i="8"/>
  <c r="F292" i="8"/>
  <c r="E292" i="8"/>
  <c r="L291" i="8"/>
  <c r="K291" i="8"/>
  <c r="J291" i="8"/>
  <c r="G291" i="8"/>
  <c r="F291" i="8"/>
  <c r="E291" i="8"/>
  <c r="L290" i="8"/>
  <c r="K290" i="8"/>
  <c r="J290" i="8"/>
  <c r="G290" i="8"/>
  <c r="F290" i="8"/>
  <c r="E290" i="8"/>
  <c r="L289" i="8"/>
  <c r="K289" i="8"/>
  <c r="J289" i="8"/>
  <c r="G289" i="8"/>
  <c r="F289" i="8"/>
  <c r="E289" i="8"/>
  <c r="L288" i="8"/>
  <c r="K288" i="8"/>
  <c r="J288" i="8"/>
  <c r="G288" i="8"/>
  <c r="F288" i="8"/>
  <c r="E288" i="8"/>
  <c r="L287" i="8"/>
  <c r="K287" i="8"/>
  <c r="J287" i="8"/>
  <c r="G287" i="8"/>
  <c r="F287" i="8"/>
  <c r="E287" i="8"/>
  <c r="L286" i="8"/>
  <c r="K286" i="8"/>
  <c r="J286" i="8"/>
  <c r="G286" i="8"/>
  <c r="F286" i="8"/>
  <c r="E286" i="8"/>
  <c r="L285" i="8"/>
  <c r="K285" i="8"/>
  <c r="J285" i="8"/>
  <c r="G285" i="8"/>
  <c r="F285" i="8"/>
  <c r="E285" i="8"/>
  <c r="L284" i="8"/>
  <c r="K284" i="8"/>
  <c r="J284" i="8"/>
  <c r="G284" i="8"/>
  <c r="F284" i="8"/>
  <c r="E284" i="8"/>
  <c r="L283" i="8"/>
  <c r="K283" i="8"/>
  <c r="J283" i="8"/>
  <c r="G283" i="8"/>
  <c r="F283" i="8"/>
  <c r="E283" i="8"/>
  <c r="L282" i="8"/>
  <c r="K282" i="8"/>
  <c r="J282" i="8"/>
  <c r="G282" i="8"/>
  <c r="F282" i="8"/>
  <c r="E282" i="8"/>
  <c r="L281" i="8"/>
  <c r="K281" i="8"/>
  <c r="J281" i="8"/>
  <c r="G281" i="8"/>
  <c r="F281" i="8"/>
  <c r="E281" i="8"/>
  <c r="L280" i="8"/>
  <c r="K280" i="8"/>
  <c r="J280" i="8"/>
  <c r="G280" i="8"/>
  <c r="F280" i="8"/>
  <c r="E280" i="8"/>
  <c r="L279" i="8"/>
  <c r="K279" i="8"/>
  <c r="J279" i="8"/>
  <c r="G279" i="8"/>
  <c r="F279" i="8"/>
  <c r="E279" i="8"/>
  <c r="L278" i="8"/>
  <c r="K278" i="8"/>
  <c r="J278" i="8"/>
  <c r="G278" i="8"/>
  <c r="F278" i="8"/>
  <c r="E278" i="8"/>
  <c r="L277" i="8"/>
  <c r="K277" i="8"/>
  <c r="J277" i="8"/>
  <c r="G277" i="8"/>
  <c r="F277" i="8"/>
  <c r="E277" i="8"/>
  <c r="L276" i="8"/>
  <c r="K276" i="8"/>
  <c r="J276" i="8"/>
  <c r="G276" i="8"/>
  <c r="F276" i="8"/>
  <c r="E276" i="8"/>
  <c r="L275" i="8"/>
  <c r="K275" i="8"/>
  <c r="J275" i="8"/>
  <c r="G275" i="8"/>
  <c r="F275" i="8"/>
  <c r="E275" i="8"/>
  <c r="L274" i="8"/>
  <c r="K274" i="8"/>
  <c r="J274" i="8"/>
  <c r="G274" i="8"/>
  <c r="F274" i="8"/>
  <c r="E274" i="8"/>
  <c r="L273" i="8"/>
  <c r="K273" i="8"/>
  <c r="J273" i="8"/>
  <c r="G273" i="8"/>
  <c r="F273" i="8"/>
  <c r="E273" i="8"/>
  <c r="L272" i="8"/>
  <c r="K272" i="8"/>
  <c r="J272" i="8"/>
  <c r="G272" i="8"/>
  <c r="F272" i="8"/>
  <c r="E272" i="8"/>
  <c r="L271" i="8"/>
  <c r="K271" i="8"/>
  <c r="J271" i="8"/>
  <c r="G271" i="8"/>
  <c r="F271" i="8"/>
  <c r="E271" i="8"/>
  <c r="L270" i="8"/>
  <c r="K270" i="8"/>
  <c r="J270" i="8"/>
  <c r="G270" i="8"/>
  <c r="F270" i="8"/>
  <c r="E270" i="8"/>
  <c r="L269" i="8"/>
  <c r="K269" i="8"/>
  <c r="J269" i="8"/>
  <c r="G269" i="8"/>
  <c r="F269" i="8"/>
  <c r="E269" i="8"/>
  <c r="L268" i="8"/>
  <c r="K268" i="8"/>
  <c r="J268" i="8"/>
  <c r="G268" i="8"/>
  <c r="F268" i="8"/>
  <c r="E268" i="8"/>
  <c r="L267" i="8"/>
  <c r="K267" i="8"/>
  <c r="J267" i="8"/>
  <c r="G267" i="8"/>
  <c r="F267" i="8"/>
  <c r="E267" i="8"/>
  <c r="L266" i="8"/>
  <c r="K266" i="8"/>
  <c r="J266" i="8"/>
  <c r="G266" i="8"/>
  <c r="F266" i="8"/>
  <c r="E266" i="8"/>
  <c r="L265" i="8"/>
  <c r="K265" i="8"/>
  <c r="J265" i="8"/>
  <c r="G265" i="8"/>
  <c r="F265" i="8"/>
  <c r="E265" i="8"/>
  <c r="L264" i="8"/>
  <c r="K264" i="8"/>
  <c r="J264" i="8"/>
  <c r="G264" i="8"/>
  <c r="F264" i="8"/>
  <c r="E264" i="8"/>
  <c r="L263" i="8"/>
  <c r="K263" i="8"/>
  <c r="J263" i="8"/>
  <c r="G263" i="8"/>
  <c r="F263" i="8"/>
  <c r="E263" i="8"/>
  <c r="L262" i="8"/>
  <c r="K262" i="8"/>
  <c r="J262" i="8"/>
  <c r="G262" i="8"/>
  <c r="F262" i="8"/>
  <c r="E262" i="8"/>
  <c r="L261" i="8"/>
  <c r="K261" i="8"/>
  <c r="J261" i="8"/>
  <c r="G261" i="8"/>
  <c r="F261" i="8"/>
  <c r="E261" i="8"/>
  <c r="L260" i="8"/>
  <c r="K260" i="8"/>
  <c r="J260" i="8"/>
  <c r="G260" i="8"/>
  <c r="F260" i="8"/>
  <c r="E260" i="8"/>
  <c r="L259" i="8"/>
  <c r="K259" i="8"/>
  <c r="J259" i="8"/>
  <c r="G259" i="8"/>
  <c r="F259" i="8"/>
  <c r="E259" i="8"/>
  <c r="L258" i="8"/>
  <c r="K258" i="8"/>
  <c r="J258" i="8"/>
  <c r="G258" i="8"/>
  <c r="F258" i="8"/>
  <c r="E258" i="8"/>
  <c r="L257" i="8"/>
  <c r="K257" i="8"/>
  <c r="J257" i="8"/>
  <c r="G257" i="8"/>
  <c r="F257" i="8"/>
  <c r="E257" i="8"/>
  <c r="L256" i="8"/>
  <c r="K256" i="8"/>
  <c r="J256" i="8"/>
  <c r="G256" i="8"/>
  <c r="F256" i="8"/>
  <c r="E256" i="8"/>
  <c r="L255" i="8"/>
  <c r="K255" i="8"/>
  <c r="J255" i="8"/>
  <c r="G255" i="8"/>
  <c r="F255" i="8"/>
  <c r="E255" i="8"/>
  <c r="L254" i="8"/>
  <c r="K254" i="8"/>
  <c r="J254" i="8"/>
  <c r="G254" i="8"/>
  <c r="F254" i="8"/>
  <c r="E254" i="8"/>
  <c r="L253" i="8"/>
  <c r="K253" i="8"/>
  <c r="J253" i="8"/>
  <c r="G253" i="8"/>
  <c r="F253" i="8"/>
  <c r="E253" i="8"/>
  <c r="L252" i="8"/>
  <c r="K252" i="8"/>
  <c r="J252" i="8"/>
  <c r="G252" i="8"/>
  <c r="F252" i="8"/>
  <c r="E252" i="8"/>
  <c r="L251" i="8"/>
  <c r="K251" i="8"/>
  <c r="J251" i="8"/>
  <c r="G251" i="8"/>
  <c r="F251" i="8"/>
  <c r="E251" i="8"/>
  <c r="L250" i="8"/>
  <c r="K250" i="8"/>
  <c r="J250" i="8"/>
  <c r="G250" i="8"/>
  <c r="F250" i="8"/>
  <c r="E250" i="8"/>
  <c r="L249" i="8"/>
  <c r="K249" i="8"/>
  <c r="J249" i="8"/>
  <c r="G249" i="8"/>
  <c r="F249" i="8"/>
  <c r="E249" i="8"/>
  <c r="L248" i="8"/>
  <c r="K248" i="8"/>
  <c r="J248" i="8"/>
  <c r="G248" i="8"/>
  <c r="F248" i="8"/>
  <c r="E248" i="8"/>
  <c r="L247" i="8"/>
  <c r="K247" i="8"/>
  <c r="J247" i="8"/>
  <c r="G247" i="8"/>
  <c r="F247" i="8"/>
  <c r="E247" i="8"/>
  <c r="L246" i="8"/>
  <c r="K246" i="8"/>
  <c r="J246" i="8"/>
  <c r="G246" i="8"/>
  <c r="F246" i="8"/>
  <c r="E246" i="8"/>
  <c r="L245" i="8"/>
  <c r="K245" i="8"/>
  <c r="J245" i="8"/>
  <c r="G245" i="8"/>
  <c r="F245" i="8"/>
  <c r="E245" i="8"/>
  <c r="L244" i="8"/>
  <c r="K244" i="8"/>
  <c r="J244" i="8"/>
  <c r="G244" i="8"/>
  <c r="F244" i="8"/>
  <c r="E244" i="8"/>
  <c r="L243" i="8"/>
  <c r="K243" i="8"/>
  <c r="J243" i="8"/>
  <c r="G243" i="8"/>
  <c r="F243" i="8"/>
  <c r="E243" i="8"/>
  <c r="L242" i="8"/>
  <c r="K242" i="8"/>
  <c r="J242" i="8"/>
  <c r="G242" i="8"/>
  <c r="F242" i="8"/>
  <c r="E242" i="8"/>
  <c r="L241" i="8"/>
  <c r="K241" i="8"/>
  <c r="J241" i="8"/>
  <c r="G241" i="8"/>
  <c r="F241" i="8"/>
  <c r="E241" i="8"/>
  <c r="L240" i="8"/>
  <c r="K240" i="8"/>
  <c r="J240" i="8"/>
  <c r="G240" i="8"/>
  <c r="F240" i="8"/>
  <c r="E240" i="8"/>
  <c r="L239" i="8"/>
  <c r="K239" i="8"/>
  <c r="J239" i="8"/>
  <c r="G239" i="8"/>
  <c r="F239" i="8"/>
  <c r="E239" i="8"/>
  <c r="L238" i="8"/>
  <c r="K238" i="8"/>
  <c r="J238" i="8"/>
  <c r="G238" i="8"/>
  <c r="F238" i="8"/>
  <c r="E238" i="8"/>
  <c r="L237" i="8"/>
  <c r="K237" i="8"/>
  <c r="J237" i="8"/>
  <c r="G237" i="8"/>
  <c r="F237" i="8"/>
  <c r="E237" i="8"/>
  <c r="L236" i="8"/>
  <c r="K236" i="8"/>
  <c r="J236" i="8"/>
  <c r="G236" i="8"/>
  <c r="F236" i="8"/>
  <c r="E236" i="8"/>
  <c r="L235" i="8"/>
  <c r="K235" i="8"/>
  <c r="J235" i="8"/>
  <c r="G235" i="8"/>
  <c r="F235" i="8"/>
  <c r="E235" i="8"/>
  <c r="L234" i="8"/>
  <c r="K234" i="8"/>
  <c r="J234" i="8"/>
  <c r="G234" i="8"/>
  <c r="F234" i="8"/>
  <c r="E234" i="8"/>
  <c r="L233" i="8"/>
  <c r="K233" i="8"/>
  <c r="J233" i="8"/>
  <c r="G233" i="8"/>
  <c r="F233" i="8"/>
  <c r="E233" i="8"/>
  <c r="L232" i="8"/>
  <c r="K232" i="8"/>
  <c r="J232" i="8"/>
  <c r="G232" i="8"/>
  <c r="F232" i="8"/>
  <c r="E232" i="8"/>
  <c r="L231" i="8"/>
  <c r="K231" i="8"/>
  <c r="J231" i="8"/>
  <c r="G231" i="8"/>
  <c r="F231" i="8"/>
  <c r="E231" i="8"/>
  <c r="L230" i="8"/>
  <c r="K230" i="8"/>
  <c r="J230" i="8"/>
  <c r="G230" i="8"/>
  <c r="F230" i="8"/>
  <c r="E230" i="8"/>
  <c r="L229" i="8"/>
  <c r="K229" i="8"/>
  <c r="J229" i="8"/>
  <c r="G229" i="8"/>
  <c r="F229" i="8"/>
  <c r="E229" i="8"/>
  <c r="L228" i="8"/>
  <c r="K228" i="8"/>
  <c r="J228" i="8"/>
  <c r="G228" i="8"/>
  <c r="F228" i="8"/>
  <c r="E228" i="8"/>
  <c r="L227" i="8"/>
  <c r="K227" i="8"/>
  <c r="J227" i="8"/>
  <c r="G227" i="8"/>
  <c r="F227" i="8"/>
  <c r="E227" i="8"/>
  <c r="L226" i="8"/>
  <c r="K226" i="8"/>
  <c r="J226" i="8"/>
  <c r="G226" i="8"/>
  <c r="F226" i="8"/>
  <c r="E226" i="8"/>
  <c r="L225" i="8"/>
  <c r="K225" i="8"/>
  <c r="J225" i="8"/>
  <c r="G225" i="8"/>
  <c r="F225" i="8"/>
  <c r="E225" i="8"/>
  <c r="L224" i="8"/>
  <c r="K224" i="8"/>
  <c r="J224" i="8"/>
  <c r="G224" i="8"/>
  <c r="F224" i="8"/>
  <c r="E224" i="8"/>
  <c r="L223" i="8"/>
  <c r="K223" i="8"/>
  <c r="J223" i="8"/>
  <c r="G223" i="8"/>
  <c r="F223" i="8"/>
  <c r="E223" i="8"/>
  <c r="L222" i="8"/>
  <c r="K222" i="8"/>
  <c r="J222" i="8"/>
  <c r="G222" i="8"/>
  <c r="F222" i="8"/>
  <c r="E222" i="8"/>
  <c r="L221" i="8"/>
  <c r="K221" i="8"/>
  <c r="J221" i="8"/>
  <c r="G221" i="8"/>
  <c r="F221" i="8"/>
  <c r="E221" i="8"/>
  <c r="L220" i="8"/>
  <c r="K220" i="8"/>
  <c r="J220" i="8"/>
  <c r="G220" i="8"/>
  <c r="F220" i="8"/>
  <c r="E220" i="8"/>
  <c r="L219" i="8"/>
  <c r="K219" i="8"/>
  <c r="J219" i="8"/>
  <c r="G219" i="8"/>
  <c r="F219" i="8"/>
  <c r="E219" i="8"/>
  <c r="L218" i="8"/>
  <c r="K218" i="8"/>
  <c r="J218" i="8"/>
  <c r="G218" i="8"/>
  <c r="F218" i="8"/>
  <c r="E218" i="8"/>
  <c r="L217" i="8"/>
  <c r="K217" i="8"/>
  <c r="J217" i="8"/>
  <c r="G217" i="8"/>
  <c r="F217" i="8"/>
  <c r="E217" i="8"/>
  <c r="L216" i="8"/>
  <c r="K216" i="8"/>
  <c r="J216" i="8"/>
  <c r="G216" i="8"/>
  <c r="F216" i="8"/>
  <c r="E216" i="8"/>
  <c r="L215" i="8"/>
  <c r="K215" i="8"/>
  <c r="J215" i="8"/>
  <c r="G215" i="8"/>
  <c r="F215" i="8"/>
  <c r="E215" i="8"/>
  <c r="L214" i="8"/>
  <c r="K214" i="8"/>
  <c r="J214" i="8"/>
  <c r="G214" i="8"/>
  <c r="F214" i="8"/>
  <c r="E214" i="8"/>
  <c r="L213" i="8"/>
  <c r="K213" i="8"/>
  <c r="J213" i="8"/>
  <c r="G213" i="8"/>
  <c r="F213" i="8"/>
  <c r="E213" i="8"/>
  <c r="L212" i="8"/>
  <c r="K212" i="8"/>
  <c r="J212" i="8"/>
  <c r="G212" i="8"/>
  <c r="F212" i="8"/>
  <c r="E212" i="8"/>
  <c r="L211" i="8"/>
  <c r="K211" i="8"/>
  <c r="J211" i="8"/>
  <c r="G211" i="8"/>
  <c r="F211" i="8"/>
  <c r="E211" i="8"/>
  <c r="L210" i="8"/>
  <c r="K210" i="8"/>
  <c r="J210" i="8"/>
  <c r="G210" i="8"/>
  <c r="F210" i="8"/>
  <c r="E210" i="8"/>
  <c r="L209" i="8"/>
  <c r="K209" i="8"/>
  <c r="J209" i="8"/>
  <c r="G209" i="8"/>
  <c r="F209" i="8"/>
  <c r="E209" i="8"/>
  <c r="L208" i="8"/>
  <c r="K208" i="8"/>
  <c r="J208" i="8"/>
  <c r="G208" i="8"/>
  <c r="F208" i="8"/>
  <c r="E208" i="8"/>
  <c r="L207" i="8"/>
  <c r="K207" i="8"/>
  <c r="J207" i="8"/>
  <c r="G207" i="8"/>
  <c r="F207" i="8"/>
  <c r="E207" i="8"/>
  <c r="L206" i="8"/>
  <c r="K206" i="8"/>
  <c r="J206" i="8"/>
  <c r="G206" i="8"/>
  <c r="F206" i="8"/>
  <c r="E206" i="8"/>
  <c r="L205" i="8"/>
  <c r="K205" i="8"/>
  <c r="J205" i="8"/>
  <c r="G205" i="8"/>
  <c r="F205" i="8"/>
  <c r="E205" i="8"/>
  <c r="L204" i="8"/>
  <c r="K204" i="8"/>
  <c r="J204" i="8"/>
  <c r="G204" i="8"/>
  <c r="F204" i="8"/>
  <c r="E204" i="8"/>
  <c r="L203" i="8"/>
  <c r="K203" i="8"/>
  <c r="J203" i="8"/>
  <c r="G203" i="8"/>
  <c r="F203" i="8"/>
  <c r="E203" i="8"/>
  <c r="L202" i="8"/>
  <c r="K202" i="8"/>
  <c r="J202" i="8"/>
  <c r="G202" i="8"/>
  <c r="F202" i="8"/>
  <c r="E202" i="8"/>
  <c r="L201" i="8"/>
  <c r="K201" i="8"/>
  <c r="J201" i="8"/>
  <c r="G201" i="8"/>
  <c r="F201" i="8"/>
  <c r="E201" i="8"/>
  <c r="L200" i="8"/>
  <c r="K200" i="8"/>
  <c r="J200" i="8"/>
  <c r="G200" i="8"/>
  <c r="F200" i="8"/>
  <c r="E200" i="8"/>
  <c r="L199" i="8"/>
  <c r="K199" i="8"/>
  <c r="J199" i="8"/>
  <c r="G199" i="8"/>
  <c r="F199" i="8"/>
  <c r="E199" i="8"/>
  <c r="L198" i="8"/>
  <c r="K198" i="8"/>
  <c r="J198" i="8"/>
  <c r="G198" i="8"/>
  <c r="F198" i="8"/>
  <c r="E198" i="8"/>
  <c r="L197" i="8"/>
  <c r="K197" i="8"/>
  <c r="J197" i="8"/>
  <c r="G197" i="8"/>
  <c r="F197" i="8"/>
  <c r="E197" i="8"/>
  <c r="L196" i="8"/>
  <c r="K196" i="8"/>
  <c r="J196" i="8"/>
  <c r="G196" i="8"/>
  <c r="F196" i="8"/>
  <c r="E196" i="8"/>
  <c r="L195" i="8"/>
  <c r="K195" i="8"/>
  <c r="J195" i="8"/>
  <c r="G195" i="8"/>
  <c r="F195" i="8"/>
  <c r="E195" i="8"/>
  <c r="L194" i="8"/>
  <c r="K194" i="8"/>
  <c r="J194" i="8"/>
  <c r="G194" i="8"/>
  <c r="F194" i="8"/>
  <c r="E194" i="8"/>
  <c r="L193" i="8"/>
  <c r="K193" i="8"/>
  <c r="J193" i="8"/>
  <c r="G193" i="8"/>
  <c r="F193" i="8"/>
  <c r="E193" i="8"/>
  <c r="L192" i="8"/>
  <c r="K192" i="8"/>
  <c r="J192" i="8"/>
  <c r="G192" i="8"/>
  <c r="F192" i="8"/>
  <c r="E192" i="8"/>
  <c r="L191" i="8"/>
  <c r="K191" i="8"/>
  <c r="J191" i="8"/>
  <c r="G191" i="8"/>
  <c r="F191" i="8"/>
  <c r="E191" i="8"/>
  <c r="L190" i="8"/>
  <c r="K190" i="8"/>
  <c r="J190" i="8"/>
  <c r="G190" i="8"/>
  <c r="F190" i="8"/>
  <c r="E190" i="8"/>
  <c r="L189" i="8"/>
  <c r="K189" i="8"/>
  <c r="J189" i="8"/>
  <c r="G189" i="8"/>
  <c r="F189" i="8"/>
  <c r="E189" i="8"/>
  <c r="L188" i="8"/>
  <c r="K188" i="8"/>
  <c r="J188" i="8"/>
  <c r="G188" i="8"/>
  <c r="F188" i="8"/>
  <c r="E188" i="8"/>
  <c r="L187" i="8"/>
  <c r="K187" i="8"/>
  <c r="J187" i="8"/>
  <c r="G187" i="8"/>
  <c r="F187" i="8"/>
  <c r="E187" i="8"/>
  <c r="L186" i="8"/>
  <c r="K186" i="8"/>
  <c r="J186" i="8"/>
  <c r="G186" i="8"/>
  <c r="F186" i="8"/>
  <c r="E186" i="8"/>
  <c r="L185" i="8"/>
  <c r="K185" i="8"/>
  <c r="J185" i="8"/>
  <c r="G185" i="8"/>
  <c r="F185" i="8"/>
  <c r="E185" i="8"/>
  <c r="L184" i="8"/>
  <c r="K184" i="8"/>
  <c r="J184" i="8"/>
  <c r="G184" i="8"/>
  <c r="F184" i="8"/>
  <c r="E184" i="8"/>
  <c r="L183" i="8"/>
  <c r="K183" i="8"/>
  <c r="J183" i="8"/>
  <c r="G183" i="8"/>
  <c r="F183" i="8"/>
  <c r="E183" i="8"/>
  <c r="L182" i="8"/>
  <c r="K182" i="8"/>
  <c r="J182" i="8"/>
  <c r="G182" i="8"/>
  <c r="F182" i="8"/>
  <c r="E182" i="8"/>
  <c r="L181" i="8"/>
  <c r="K181" i="8"/>
  <c r="J181" i="8"/>
  <c r="G181" i="8"/>
  <c r="F181" i="8"/>
  <c r="E181" i="8"/>
  <c r="L180" i="8"/>
  <c r="K180" i="8"/>
  <c r="J180" i="8"/>
  <c r="G180" i="8"/>
  <c r="F180" i="8"/>
  <c r="E180" i="8"/>
  <c r="L179" i="8"/>
  <c r="K179" i="8"/>
  <c r="J179" i="8"/>
  <c r="G179" i="8"/>
  <c r="F179" i="8"/>
  <c r="E179" i="8"/>
  <c r="L178" i="8"/>
  <c r="K178" i="8"/>
  <c r="J178" i="8"/>
  <c r="G178" i="8"/>
  <c r="F178" i="8"/>
  <c r="E178" i="8"/>
  <c r="L177" i="8"/>
  <c r="K177" i="8"/>
  <c r="J177" i="8"/>
  <c r="G177" i="8"/>
  <c r="F177" i="8"/>
  <c r="E177" i="8"/>
  <c r="L176" i="8"/>
  <c r="K176" i="8"/>
  <c r="J176" i="8"/>
  <c r="G176" i="8"/>
  <c r="F176" i="8"/>
  <c r="E176" i="8"/>
  <c r="L175" i="8"/>
  <c r="K175" i="8"/>
  <c r="J175" i="8"/>
  <c r="G175" i="8"/>
  <c r="F175" i="8"/>
  <c r="E175" i="8"/>
  <c r="L174" i="8"/>
  <c r="K174" i="8"/>
  <c r="J174" i="8"/>
  <c r="G174" i="8"/>
  <c r="F174" i="8"/>
  <c r="E174" i="8"/>
  <c r="L173" i="8"/>
  <c r="K173" i="8"/>
  <c r="J173" i="8"/>
  <c r="G173" i="8"/>
  <c r="F173" i="8"/>
  <c r="E173" i="8"/>
  <c r="L172" i="8"/>
  <c r="K172" i="8"/>
  <c r="J172" i="8"/>
  <c r="G172" i="8"/>
  <c r="F172" i="8"/>
  <c r="E172" i="8"/>
  <c r="L171" i="8"/>
  <c r="K171" i="8"/>
  <c r="J171" i="8"/>
  <c r="G171" i="8"/>
  <c r="F171" i="8"/>
  <c r="E171" i="8"/>
  <c r="L170" i="8"/>
  <c r="K170" i="8"/>
  <c r="J170" i="8"/>
  <c r="G170" i="8"/>
  <c r="F170" i="8"/>
  <c r="E170" i="8"/>
  <c r="L169" i="8"/>
  <c r="K169" i="8"/>
  <c r="J169" i="8"/>
  <c r="G169" i="8"/>
  <c r="F169" i="8"/>
  <c r="E169" i="8"/>
  <c r="L168" i="8"/>
  <c r="K168" i="8"/>
  <c r="J168" i="8"/>
  <c r="G168" i="8"/>
  <c r="F168" i="8"/>
  <c r="E168" i="8"/>
  <c r="L167" i="8"/>
  <c r="K167" i="8"/>
  <c r="J167" i="8"/>
  <c r="G167" i="8"/>
  <c r="F167" i="8"/>
  <c r="E167" i="8"/>
  <c r="L166" i="8"/>
  <c r="K166" i="8"/>
  <c r="J166" i="8"/>
  <c r="G166" i="8"/>
  <c r="F166" i="8"/>
  <c r="E166" i="8"/>
  <c r="L165" i="8"/>
  <c r="K165" i="8"/>
  <c r="J165" i="8"/>
  <c r="G165" i="8"/>
  <c r="F165" i="8"/>
  <c r="E165" i="8"/>
  <c r="L164" i="8"/>
  <c r="K164" i="8"/>
  <c r="J164" i="8"/>
  <c r="G164" i="8"/>
  <c r="F164" i="8"/>
  <c r="E164" i="8"/>
  <c r="L163" i="8"/>
  <c r="K163" i="8"/>
  <c r="J163" i="8"/>
  <c r="G163" i="8"/>
  <c r="F163" i="8"/>
  <c r="E163" i="8"/>
  <c r="L162" i="8"/>
  <c r="K162" i="8"/>
  <c r="J162" i="8"/>
  <c r="G162" i="8"/>
  <c r="F162" i="8"/>
  <c r="E162" i="8"/>
  <c r="L161" i="8"/>
  <c r="K161" i="8"/>
  <c r="J161" i="8"/>
  <c r="G161" i="8"/>
  <c r="F161" i="8"/>
  <c r="E161" i="8"/>
  <c r="L160" i="8"/>
  <c r="K160" i="8"/>
  <c r="J160" i="8"/>
  <c r="G160" i="8"/>
  <c r="F160" i="8"/>
  <c r="E160" i="8"/>
  <c r="L159" i="8"/>
  <c r="K159" i="8"/>
  <c r="J159" i="8"/>
  <c r="G159" i="8"/>
  <c r="F159" i="8"/>
  <c r="E159" i="8"/>
  <c r="L158" i="8"/>
  <c r="K158" i="8"/>
  <c r="J158" i="8"/>
  <c r="G158" i="8"/>
  <c r="F158" i="8"/>
  <c r="E158" i="8"/>
  <c r="L157" i="8"/>
  <c r="K157" i="8"/>
  <c r="J157" i="8"/>
  <c r="G157" i="8"/>
  <c r="F157" i="8"/>
  <c r="E157" i="8"/>
  <c r="L156" i="8"/>
  <c r="K156" i="8"/>
  <c r="J156" i="8"/>
  <c r="G156" i="8"/>
  <c r="F156" i="8"/>
  <c r="E156" i="8"/>
  <c r="L155" i="8"/>
  <c r="K155" i="8"/>
  <c r="J155" i="8"/>
  <c r="G155" i="8"/>
  <c r="F155" i="8"/>
  <c r="E155" i="8"/>
  <c r="L154" i="8"/>
  <c r="K154" i="8"/>
  <c r="J154" i="8"/>
  <c r="G154" i="8"/>
  <c r="F154" i="8"/>
  <c r="E154" i="8"/>
  <c r="L153" i="8"/>
  <c r="K153" i="8"/>
  <c r="J153" i="8"/>
  <c r="G153" i="8"/>
  <c r="F153" i="8"/>
  <c r="E153" i="8"/>
  <c r="L152" i="8"/>
  <c r="K152" i="8"/>
  <c r="J152" i="8"/>
  <c r="G152" i="8"/>
  <c r="F152" i="8"/>
  <c r="E152" i="8"/>
  <c r="L151" i="8"/>
  <c r="K151" i="8"/>
  <c r="J151" i="8"/>
  <c r="G151" i="8"/>
  <c r="F151" i="8"/>
  <c r="E151" i="8"/>
  <c r="L150" i="8"/>
  <c r="K150" i="8"/>
  <c r="J150" i="8"/>
  <c r="G150" i="8"/>
  <c r="F150" i="8"/>
  <c r="E150" i="8"/>
  <c r="L149" i="8"/>
  <c r="K149" i="8"/>
  <c r="J149" i="8"/>
  <c r="G149" i="8"/>
  <c r="F149" i="8"/>
  <c r="E149" i="8"/>
  <c r="L148" i="8"/>
  <c r="K148" i="8"/>
  <c r="J148" i="8"/>
  <c r="G148" i="8"/>
  <c r="F148" i="8"/>
  <c r="E148" i="8"/>
  <c r="L147" i="8"/>
  <c r="K147" i="8"/>
  <c r="J147" i="8"/>
  <c r="G147" i="8"/>
  <c r="F147" i="8"/>
  <c r="E147" i="8"/>
  <c r="L146" i="8"/>
  <c r="K146" i="8"/>
  <c r="J146" i="8"/>
  <c r="G146" i="8"/>
  <c r="F146" i="8"/>
  <c r="E146" i="8"/>
  <c r="L145" i="8"/>
  <c r="K145" i="8"/>
  <c r="J145" i="8"/>
  <c r="G145" i="8"/>
  <c r="F145" i="8"/>
  <c r="E145" i="8"/>
  <c r="L144" i="8"/>
  <c r="K144" i="8"/>
  <c r="J144" i="8"/>
  <c r="G144" i="8"/>
  <c r="F144" i="8"/>
  <c r="E144" i="8"/>
  <c r="L143" i="8"/>
  <c r="K143" i="8"/>
  <c r="J143" i="8"/>
  <c r="G143" i="8"/>
  <c r="F143" i="8"/>
  <c r="E143" i="8"/>
  <c r="L142" i="8"/>
  <c r="K142" i="8"/>
  <c r="J142" i="8"/>
  <c r="G142" i="8"/>
  <c r="F142" i="8"/>
  <c r="E142" i="8"/>
  <c r="L141" i="8"/>
  <c r="K141" i="8"/>
  <c r="J141" i="8"/>
  <c r="G141" i="8"/>
  <c r="F141" i="8"/>
  <c r="E141" i="8"/>
  <c r="L140" i="8"/>
  <c r="K140" i="8"/>
  <c r="J140" i="8"/>
  <c r="G140" i="8"/>
  <c r="F140" i="8"/>
  <c r="E140" i="8"/>
  <c r="L139" i="8"/>
  <c r="K139" i="8"/>
  <c r="J139" i="8"/>
  <c r="G139" i="8"/>
  <c r="F139" i="8"/>
  <c r="E139" i="8"/>
  <c r="L138" i="8"/>
  <c r="K138" i="8"/>
  <c r="J138" i="8"/>
  <c r="G138" i="8"/>
  <c r="F138" i="8"/>
  <c r="E138" i="8"/>
  <c r="L137" i="8"/>
  <c r="K137" i="8"/>
  <c r="J137" i="8"/>
  <c r="G137" i="8"/>
  <c r="F137" i="8"/>
  <c r="E137" i="8"/>
  <c r="L136" i="8"/>
  <c r="K136" i="8"/>
  <c r="J136" i="8"/>
  <c r="G136" i="8"/>
  <c r="F136" i="8"/>
  <c r="E136" i="8"/>
  <c r="L135" i="8"/>
  <c r="K135" i="8"/>
  <c r="J135" i="8"/>
  <c r="G135" i="8"/>
  <c r="F135" i="8"/>
  <c r="E135" i="8"/>
  <c r="L134" i="8"/>
  <c r="K134" i="8"/>
  <c r="J134" i="8"/>
  <c r="G134" i="8"/>
  <c r="F134" i="8"/>
  <c r="E134" i="8"/>
  <c r="L133" i="8"/>
  <c r="K133" i="8"/>
  <c r="J133" i="8"/>
  <c r="G133" i="8"/>
  <c r="F133" i="8"/>
  <c r="E133" i="8"/>
  <c r="L132" i="8"/>
  <c r="K132" i="8"/>
  <c r="J132" i="8"/>
  <c r="G132" i="8"/>
  <c r="F132" i="8"/>
  <c r="E132" i="8"/>
  <c r="L131" i="8"/>
  <c r="K131" i="8"/>
  <c r="J131" i="8"/>
  <c r="G131" i="8"/>
  <c r="F131" i="8"/>
  <c r="E131" i="8"/>
  <c r="L130" i="8"/>
  <c r="K130" i="8"/>
  <c r="J130" i="8"/>
  <c r="G130" i="8"/>
  <c r="F130" i="8"/>
  <c r="E130" i="8"/>
  <c r="L129" i="8"/>
  <c r="K129" i="8"/>
  <c r="J129" i="8"/>
  <c r="G129" i="8"/>
  <c r="F129" i="8"/>
  <c r="E129" i="8"/>
  <c r="L128" i="8"/>
  <c r="K128" i="8"/>
  <c r="J128" i="8"/>
  <c r="G128" i="8"/>
  <c r="F128" i="8"/>
  <c r="E128" i="8"/>
  <c r="L127" i="8"/>
  <c r="K127" i="8"/>
  <c r="J127" i="8"/>
  <c r="G127" i="8"/>
  <c r="F127" i="8"/>
  <c r="E127" i="8"/>
  <c r="L126" i="8"/>
  <c r="K126" i="8"/>
  <c r="J126" i="8"/>
  <c r="G126" i="8"/>
  <c r="F126" i="8"/>
  <c r="E126" i="8"/>
  <c r="L125" i="8"/>
  <c r="K125" i="8"/>
  <c r="J125" i="8"/>
  <c r="G125" i="8"/>
  <c r="F125" i="8"/>
  <c r="E125" i="8"/>
  <c r="L124" i="8"/>
  <c r="K124" i="8"/>
  <c r="J124" i="8"/>
  <c r="G124" i="8"/>
  <c r="F124" i="8"/>
  <c r="E124" i="8"/>
  <c r="L123" i="8"/>
  <c r="K123" i="8"/>
  <c r="J123" i="8"/>
  <c r="G123" i="8"/>
  <c r="F123" i="8"/>
  <c r="E123" i="8"/>
  <c r="L122" i="8"/>
  <c r="K122" i="8"/>
  <c r="J122" i="8"/>
  <c r="G122" i="8"/>
  <c r="F122" i="8"/>
  <c r="E122" i="8"/>
  <c r="L121" i="8"/>
  <c r="K121" i="8"/>
  <c r="J121" i="8"/>
  <c r="G121" i="8"/>
  <c r="F121" i="8"/>
  <c r="E121" i="8"/>
  <c r="L120" i="8"/>
  <c r="K120" i="8"/>
  <c r="J120" i="8"/>
  <c r="G120" i="8"/>
  <c r="F120" i="8"/>
  <c r="E120" i="8"/>
  <c r="L119" i="8"/>
  <c r="K119" i="8"/>
  <c r="J119" i="8"/>
  <c r="G119" i="8"/>
  <c r="F119" i="8"/>
  <c r="E119" i="8"/>
  <c r="L118" i="8"/>
  <c r="K118" i="8"/>
  <c r="J118" i="8"/>
  <c r="G118" i="8"/>
  <c r="F118" i="8"/>
  <c r="E118" i="8"/>
  <c r="L117" i="8"/>
  <c r="K117" i="8"/>
  <c r="J117" i="8"/>
  <c r="G117" i="8"/>
  <c r="F117" i="8"/>
  <c r="E117" i="8"/>
  <c r="L116" i="8"/>
  <c r="K116" i="8"/>
  <c r="J116" i="8"/>
  <c r="G116" i="8"/>
  <c r="F116" i="8"/>
  <c r="E116" i="8"/>
  <c r="L115" i="8"/>
  <c r="K115" i="8"/>
  <c r="J115" i="8"/>
  <c r="G115" i="8"/>
  <c r="F115" i="8"/>
  <c r="E115" i="8"/>
  <c r="L114" i="8"/>
  <c r="K114" i="8"/>
  <c r="J114" i="8"/>
  <c r="G114" i="8"/>
  <c r="F114" i="8"/>
  <c r="E114" i="8"/>
  <c r="L113" i="8"/>
  <c r="K113" i="8"/>
  <c r="J113" i="8"/>
  <c r="G113" i="8"/>
  <c r="F113" i="8"/>
  <c r="E113" i="8"/>
  <c r="L112" i="8"/>
  <c r="K112" i="8"/>
  <c r="J112" i="8"/>
  <c r="G112" i="8"/>
  <c r="F112" i="8"/>
  <c r="E112" i="8"/>
  <c r="L111" i="8"/>
  <c r="K111" i="8"/>
  <c r="J111" i="8"/>
  <c r="G111" i="8"/>
  <c r="F111" i="8"/>
  <c r="E111" i="8"/>
  <c r="L110" i="8"/>
  <c r="K110" i="8"/>
  <c r="J110" i="8"/>
  <c r="G110" i="8"/>
  <c r="F110" i="8"/>
  <c r="E110" i="8"/>
  <c r="L109" i="8"/>
  <c r="K109" i="8"/>
  <c r="J109" i="8"/>
  <c r="G109" i="8"/>
  <c r="F109" i="8"/>
  <c r="E109" i="8"/>
  <c r="L108" i="8"/>
  <c r="K108" i="8"/>
  <c r="J108" i="8"/>
  <c r="G108" i="8"/>
  <c r="F108" i="8"/>
  <c r="E108" i="8"/>
  <c r="L107" i="8"/>
  <c r="K107" i="8"/>
  <c r="J107" i="8"/>
  <c r="G107" i="8"/>
  <c r="F107" i="8"/>
  <c r="E107" i="8"/>
  <c r="L106" i="8"/>
  <c r="K106" i="8"/>
  <c r="J106" i="8"/>
  <c r="G106" i="8"/>
  <c r="F106" i="8"/>
  <c r="E106" i="8"/>
  <c r="L105" i="8"/>
  <c r="K105" i="8"/>
  <c r="J105" i="8"/>
  <c r="G105" i="8"/>
  <c r="F105" i="8"/>
  <c r="E105" i="8"/>
  <c r="L104" i="8"/>
  <c r="K104" i="8"/>
  <c r="J104" i="8"/>
  <c r="G104" i="8"/>
  <c r="F104" i="8"/>
  <c r="E104" i="8"/>
  <c r="L103" i="8"/>
  <c r="K103" i="8"/>
  <c r="J103" i="8"/>
  <c r="G103" i="8"/>
  <c r="F103" i="8"/>
  <c r="E103" i="8"/>
  <c r="L102" i="8"/>
  <c r="K102" i="8"/>
  <c r="J102" i="8"/>
  <c r="G102" i="8"/>
  <c r="F102" i="8"/>
  <c r="E102" i="8"/>
  <c r="L101" i="8"/>
  <c r="K101" i="8"/>
  <c r="J101" i="8"/>
  <c r="G101" i="8"/>
  <c r="F101" i="8"/>
  <c r="E101" i="8"/>
  <c r="L100" i="8"/>
  <c r="K100" i="8"/>
  <c r="J100" i="8"/>
  <c r="G100" i="8"/>
  <c r="F100" i="8"/>
  <c r="E100" i="8"/>
  <c r="L99" i="8"/>
  <c r="K99" i="8"/>
  <c r="J99" i="8"/>
  <c r="G99" i="8"/>
  <c r="F99" i="8"/>
  <c r="E99" i="8"/>
  <c r="L98" i="8"/>
  <c r="K98" i="8"/>
  <c r="J98" i="8"/>
  <c r="G98" i="8"/>
  <c r="F98" i="8"/>
  <c r="E98" i="8"/>
  <c r="L97" i="8"/>
  <c r="K97" i="8"/>
  <c r="J97" i="8"/>
  <c r="G97" i="8"/>
  <c r="F97" i="8"/>
  <c r="E97" i="8"/>
  <c r="L96" i="8"/>
  <c r="K96" i="8"/>
  <c r="J96" i="8"/>
  <c r="G96" i="8"/>
  <c r="F96" i="8"/>
  <c r="E96" i="8"/>
  <c r="L95" i="8"/>
  <c r="K95" i="8"/>
  <c r="J95" i="8"/>
  <c r="G95" i="8"/>
  <c r="F95" i="8"/>
  <c r="E95" i="8"/>
  <c r="L94" i="8"/>
  <c r="K94" i="8"/>
  <c r="J94" i="8"/>
  <c r="G94" i="8"/>
  <c r="F94" i="8"/>
  <c r="E94" i="8"/>
  <c r="L93" i="8"/>
  <c r="K93" i="8"/>
  <c r="J93" i="8"/>
  <c r="G93" i="8"/>
  <c r="F93" i="8"/>
  <c r="E93" i="8"/>
  <c r="L92" i="8"/>
  <c r="K92" i="8"/>
  <c r="J92" i="8"/>
  <c r="G92" i="8"/>
  <c r="F92" i="8"/>
  <c r="E92" i="8"/>
  <c r="L91" i="8"/>
  <c r="K91" i="8"/>
  <c r="J91" i="8"/>
  <c r="G91" i="8"/>
  <c r="F91" i="8"/>
  <c r="E91" i="8"/>
  <c r="L90" i="8"/>
  <c r="K90" i="8"/>
  <c r="J90" i="8"/>
  <c r="G90" i="8"/>
  <c r="F90" i="8"/>
  <c r="E90" i="8"/>
  <c r="L89" i="8"/>
  <c r="K89" i="8"/>
  <c r="J89" i="8"/>
  <c r="G89" i="8"/>
  <c r="F89" i="8"/>
  <c r="E89" i="8"/>
  <c r="L88" i="8"/>
  <c r="K88" i="8"/>
  <c r="J88" i="8"/>
  <c r="G88" i="8"/>
  <c r="F88" i="8"/>
  <c r="E88" i="8"/>
  <c r="L87" i="8"/>
  <c r="K87" i="8"/>
  <c r="J87" i="8"/>
  <c r="G87" i="8"/>
  <c r="F87" i="8"/>
  <c r="E87" i="8"/>
  <c r="L86" i="8"/>
  <c r="K86" i="8"/>
  <c r="J86" i="8"/>
  <c r="G86" i="8"/>
  <c r="F86" i="8"/>
  <c r="E86" i="8"/>
  <c r="L85" i="8"/>
  <c r="K85" i="8"/>
  <c r="J85" i="8"/>
  <c r="G85" i="8"/>
  <c r="F85" i="8"/>
  <c r="E85" i="8"/>
  <c r="L84" i="8"/>
  <c r="K84" i="8"/>
  <c r="J84" i="8"/>
  <c r="G84" i="8"/>
  <c r="F84" i="8"/>
  <c r="E84" i="8"/>
  <c r="L83" i="8"/>
  <c r="K83" i="8"/>
  <c r="J83" i="8"/>
  <c r="G83" i="8"/>
  <c r="F83" i="8"/>
  <c r="E83" i="8"/>
  <c r="L82" i="8"/>
  <c r="K82" i="8"/>
  <c r="J82" i="8"/>
  <c r="G82" i="8"/>
  <c r="F82" i="8"/>
  <c r="E82" i="8"/>
  <c r="L81" i="8"/>
  <c r="K81" i="8"/>
  <c r="J81" i="8"/>
  <c r="G81" i="8"/>
  <c r="F81" i="8"/>
  <c r="E81" i="8"/>
  <c r="L80" i="8"/>
  <c r="K80" i="8"/>
  <c r="J80" i="8"/>
  <c r="G80" i="8"/>
  <c r="F80" i="8"/>
  <c r="E80" i="8"/>
  <c r="L79" i="8"/>
  <c r="K79" i="8"/>
  <c r="J79" i="8"/>
  <c r="G79" i="8"/>
  <c r="F79" i="8"/>
  <c r="E79" i="8"/>
  <c r="L78" i="8"/>
  <c r="K78" i="8"/>
  <c r="J78" i="8"/>
  <c r="G78" i="8"/>
  <c r="F78" i="8"/>
  <c r="E78" i="8"/>
  <c r="L77" i="8"/>
  <c r="K77" i="8"/>
  <c r="J77" i="8"/>
  <c r="G77" i="8"/>
  <c r="F77" i="8"/>
  <c r="E77" i="8"/>
  <c r="L76" i="8"/>
  <c r="K76" i="8"/>
  <c r="J76" i="8"/>
  <c r="G76" i="8"/>
  <c r="F76" i="8"/>
  <c r="E76" i="8"/>
  <c r="L75" i="8"/>
  <c r="K75" i="8"/>
  <c r="J75" i="8"/>
  <c r="G75" i="8"/>
  <c r="F75" i="8"/>
  <c r="E75" i="8"/>
  <c r="L74" i="8"/>
  <c r="K74" i="8"/>
  <c r="J74" i="8"/>
  <c r="G74" i="8"/>
  <c r="F74" i="8"/>
  <c r="E74" i="8"/>
  <c r="L73" i="8"/>
  <c r="K73" i="8"/>
  <c r="J73" i="8"/>
  <c r="G73" i="8"/>
  <c r="F73" i="8"/>
  <c r="E73" i="8"/>
  <c r="L72" i="8"/>
  <c r="K72" i="8"/>
  <c r="J72" i="8"/>
  <c r="G72" i="8"/>
  <c r="F72" i="8"/>
  <c r="E72" i="8"/>
  <c r="L71" i="8"/>
  <c r="K71" i="8"/>
  <c r="J71" i="8"/>
  <c r="G71" i="8"/>
  <c r="F71" i="8"/>
  <c r="E71" i="8"/>
  <c r="L70" i="8"/>
  <c r="K70" i="8"/>
  <c r="J70" i="8"/>
  <c r="G70" i="8"/>
  <c r="F70" i="8"/>
  <c r="E70" i="8"/>
  <c r="L69" i="8"/>
  <c r="K69" i="8"/>
  <c r="J69" i="8"/>
  <c r="G69" i="8"/>
  <c r="F69" i="8"/>
  <c r="E69" i="8"/>
  <c r="L68" i="8"/>
  <c r="K68" i="8"/>
  <c r="J68" i="8"/>
  <c r="G68" i="8"/>
  <c r="F68" i="8"/>
  <c r="E68" i="8"/>
  <c r="L67" i="8"/>
  <c r="K67" i="8"/>
  <c r="J67" i="8"/>
  <c r="G67" i="8"/>
  <c r="F67" i="8"/>
  <c r="E67" i="8"/>
  <c r="L66" i="8"/>
  <c r="K66" i="8"/>
  <c r="J66" i="8"/>
  <c r="G66" i="8"/>
  <c r="F66" i="8"/>
  <c r="E66" i="8"/>
  <c r="L65" i="8"/>
  <c r="K65" i="8"/>
  <c r="J65" i="8"/>
  <c r="G65" i="8"/>
  <c r="F65" i="8"/>
  <c r="E65" i="8"/>
  <c r="L64" i="8"/>
  <c r="K64" i="8"/>
  <c r="J64" i="8"/>
  <c r="G64" i="8"/>
  <c r="F64" i="8"/>
  <c r="E64" i="8"/>
  <c r="L63" i="8"/>
  <c r="K63" i="8"/>
  <c r="J63" i="8"/>
  <c r="G63" i="8"/>
  <c r="F63" i="8"/>
  <c r="E63" i="8"/>
  <c r="L62" i="8"/>
  <c r="K62" i="8"/>
  <c r="J62" i="8"/>
  <c r="G62" i="8"/>
  <c r="F62" i="8"/>
  <c r="E62" i="8"/>
  <c r="L61" i="8"/>
  <c r="K61" i="8"/>
  <c r="J61" i="8"/>
  <c r="G61" i="8"/>
  <c r="F61" i="8"/>
  <c r="E61" i="8"/>
  <c r="L60" i="8"/>
  <c r="K60" i="8"/>
  <c r="J60" i="8"/>
  <c r="G60" i="8"/>
  <c r="F60" i="8"/>
  <c r="E60" i="8"/>
  <c r="L59" i="8"/>
  <c r="K59" i="8"/>
  <c r="J59" i="8"/>
  <c r="G59" i="8"/>
  <c r="F59" i="8"/>
  <c r="E59" i="8"/>
  <c r="L58" i="8"/>
  <c r="K58" i="8"/>
  <c r="J58" i="8"/>
  <c r="G58" i="8"/>
  <c r="F58" i="8"/>
  <c r="E58" i="8"/>
  <c r="L57" i="8"/>
  <c r="K57" i="8"/>
  <c r="J57" i="8"/>
  <c r="G57" i="8"/>
  <c r="F57" i="8"/>
  <c r="E57" i="8"/>
  <c r="L56" i="8"/>
  <c r="K56" i="8"/>
  <c r="J56" i="8"/>
  <c r="G56" i="8"/>
  <c r="F56" i="8"/>
  <c r="E56" i="8"/>
  <c r="L55" i="8"/>
  <c r="K55" i="8"/>
  <c r="J55" i="8"/>
  <c r="G55" i="8"/>
  <c r="F55" i="8"/>
  <c r="E55" i="8"/>
  <c r="L54" i="8"/>
  <c r="K54" i="8"/>
  <c r="J54" i="8"/>
  <c r="G54" i="8"/>
  <c r="F54" i="8"/>
  <c r="E54" i="8"/>
  <c r="L53" i="8"/>
  <c r="K53" i="8"/>
  <c r="J53" i="8"/>
  <c r="G53" i="8"/>
  <c r="F53" i="8"/>
  <c r="E53" i="8"/>
  <c r="L52" i="8"/>
  <c r="K52" i="8"/>
  <c r="J52" i="8"/>
  <c r="G52" i="8"/>
  <c r="F52" i="8"/>
  <c r="E52" i="8"/>
  <c r="L51" i="8"/>
  <c r="K51" i="8"/>
  <c r="J51" i="8"/>
  <c r="G51" i="8"/>
  <c r="F51" i="8"/>
  <c r="E51" i="8"/>
  <c r="L50" i="8"/>
  <c r="K50" i="8"/>
  <c r="J50" i="8"/>
  <c r="G50" i="8"/>
  <c r="F50" i="8"/>
  <c r="E50" i="8"/>
  <c r="L49" i="8"/>
  <c r="K49" i="8"/>
  <c r="J49" i="8"/>
  <c r="G49" i="8"/>
  <c r="F49" i="8"/>
  <c r="E49" i="8"/>
  <c r="L48" i="8"/>
  <c r="K48" i="8"/>
  <c r="J48" i="8"/>
  <c r="G48" i="8"/>
  <c r="F48" i="8"/>
  <c r="E48" i="8"/>
  <c r="L47" i="8"/>
  <c r="K47" i="8"/>
  <c r="J47" i="8"/>
  <c r="G47" i="8"/>
  <c r="F47" i="8"/>
  <c r="E47" i="8"/>
  <c r="L46" i="8"/>
  <c r="K46" i="8"/>
  <c r="J46" i="8"/>
  <c r="G46" i="8"/>
  <c r="F46" i="8"/>
  <c r="E46" i="8"/>
  <c r="L45" i="8"/>
  <c r="K45" i="8"/>
  <c r="J45" i="8"/>
  <c r="G45" i="8"/>
  <c r="F45" i="8"/>
  <c r="E45" i="8"/>
  <c r="L44" i="8"/>
  <c r="K44" i="8"/>
  <c r="J44" i="8"/>
  <c r="G44" i="8"/>
  <c r="F44" i="8"/>
  <c r="E44" i="8"/>
  <c r="L43" i="8"/>
  <c r="K43" i="8"/>
  <c r="J43" i="8"/>
  <c r="G43" i="8"/>
  <c r="F43" i="8"/>
  <c r="E43" i="8"/>
  <c r="L42" i="8"/>
  <c r="K42" i="8"/>
  <c r="J42" i="8"/>
  <c r="G42" i="8"/>
  <c r="F42" i="8"/>
  <c r="E42" i="8"/>
  <c r="L41" i="8"/>
  <c r="K41" i="8"/>
  <c r="J41" i="8"/>
  <c r="G41" i="8"/>
  <c r="F41" i="8"/>
  <c r="E41" i="8"/>
  <c r="L40" i="8"/>
  <c r="K40" i="8"/>
  <c r="J40" i="8"/>
  <c r="G40" i="8"/>
  <c r="F40" i="8"/>
  <c r="E40" i="8"/>
  <c r="L39" i="8"/>
  <c r="K39" i="8"/>
  <c r="J39" i="8"/>
  <c r="G39" i="8"/>
  <c r="F39" i="8"/>
  <c r="E39" i="8"/>
  <c r="L38" i="8"/>
  <c r="K38" i="8"/>
  <c r="J38" i="8"/>
  <c r="G38" i="8"/>
  <c r="F38" i="8"/>
  <c r="E38" i="8"/>
  <c r="L37" i="8"/>
  <c r="K37" i="8"/>
  <c r="J37" i="8"/>
  <c r="G37" i="8"/>
  <c r="F37" i="8"/>
  <c r="E37" i="8"/>
  <c r="L36" i="8"/>
  <c r="K36" i="8"/>
  <c r="J36" i="8"/>
  <c r="G36" i="8"/>
  <c r="F36" i="8"/>
  <c r="E36" i="8"/>
  <c r="L35" i="8"/>
  <c r="K35" i="8"/>
  <c r="J35" i="8"/>
  <c r="G35" i="8"/>
  <c r="F35" i="8"/>
  <c r="E35" i="8"/>
  <c r="L34" i="8"/>
  <c r="K34" i="8"/>
  <c r="J34" i="8"/>
  <c r="G34" i="8"/>
  <c r="F34" i="8"/>
  <c r="E34" i="8"/>
  <c r="L33" i="8"/>
  <c r="K33" i="8"/>
  <c r="J33" i="8"/>
  <c r="G33" i="8"/>
  <c r="F33" i="8"/>
  <c r="E33" i="8"/>
  <c r="L32" i="8"/>
  <c r="K32" i="8"/>
  <c r="J32" i="8"/>
  <c r="G32" i="8"/>
  <c r="F32" i="8"/>
  <c r="E32" i="8"/>
  <c r="L31" i="8"/>
  <c r="K31" i="8"/>
  <c r="J31" i="8"/>
  <c r="G31" i="8"/>
  <c r="F31" i="8"/>
  <c r="E31" i="8"/>
  <c r="L30" i="8"/>
  <c r="K30" i="8"/>
  <c r="J30" i="8"/>
  <c r="G30" i="8"/>
  <c r="F30" i="8"/>
  <c r="E30" i="8"/>
  <c r="L29" i="8"/>
  <c r="K29" i="8"/>
  <c r="J29" i="8"/>
  <c r="G29" i="8"/>
  <c r="F29" i="8"/>
  <c r="E29" i="8"/>
  <c r="L28" i="8"/>
  <c r="K28" i="8"/>
  <c r="J28" i="8"/>
  <c r="G28" i="8"/>
  <c r="F28" i="8"/>
  <c r="E28" i="8"/>
  <c r="L27" i="8"/>
  <c r="K27" i="8"/>
  <c r="J27" i="8"/>
  <c r="G27" i="8"/>
  <c r="F27" i="8"/>
  <c r="E27" i="8"/>
  <c r="L26" i="8"/>
  <c r="K26" i="8"/>
  <c r="J26" i="8"/>
  <c r="G26" i="8"/>
  <c r="F26" i="8"/>
  <c r="E26" i="8"/>
  <c r="L25" i="8"/>
  <c r="K25" i="8"/>
  <c r="J25" i="8"/>
  <c r="G25" i="8"/>
  <c r="F25" i="8"/>
  <c r="E25" i="8"/>
  <c r="L24" i="8"/>
  <c r="K24" i="8"/>
  <c r="J24" i="8"/>
  <c r="G24" i="8"/>
  <c r="F24" i="8"/>
  <c r="E24" i="8"/>
  <c r="L23" i="8"/>
  <c r="K23" i="8"/>
  <c r="J23" i="8"/>
  <c r="G23" i="8"/>
  <c r="F23" i="8"/>
  <c r="E23" i="8"/>
  <c r="L22" i="8"/>
  <c r="K22" i="8"/>
  <c r="J22" i="8"/>
  <c r="G22" i="8"/>
  <c r="F22" i="8"/>
  <c r="E22" i="8"/>
  <c r="L21" i="8"/>
  <c r="K21" i="8"/>
  <c r="J21" i="8"/>
  <c r="G21" i="8"/>
  <c r="F21" i="8"/>
  <c r="E21" i="8"/>
  <c r="L20" i="8"/>
  <c r="K20" i="8"/>
  <c r="J20" i="8"/>
  <c r="G20" i="8"/>
  <c r="F20" i="8"/>
  <c r="E20" i="8"/>
  <c r="L19" i="8"/>
  <c r="K19" i="8"/>
  <c r="J19" i="8"/>
  <c r="G19" i="8"/>
  <c r="F19" i="8"/>
  <c r="E19" i="8"/>
  <c r="L18" i="8"/>
  <c r="K18" i="8"/>
  <c r="J18" i="8"/>
  <c r="G18" i="8"/>
  <c r="F18" i="8"/>
  <c r="E18" i="8"/>
  <c r="L17" i="8"/>
  <c r="K17" i="8"/>
  <c r="J17" i="8"/>
  <c r="G17" i="8"/>
  <c r="F17" i="8"/>
  <c r="E17" i="8"/>
  <c r="L16" i="8"/>
  <c r="K16" i="8"/>
  <c r="J16" i="8"/>
  <c r="G16" i="8"/>
  <c r="F16" i="8"/>
  <c r="E16" i="8"/>
  <c r="L15" i="8"/>
  <c r="K15" i="8"/>
  <c r="J15" i="8"/>
  <c r="G15" i="8"/>
  <c r="F15" i="8"/>
  <c r="E15" i="8"/>
  <c r="L14" i="8"/>
  <c r="K14" i="8"/>
  <c r="J14" i="8"/>
  <c r="G14" i="8"/>
  <c r="F14" i="8"/>
  <c r="E14" i="8"/>
  <c r="L13" i="8"/>
  <c r="K13" i="8"/>
  <c r="J13" i="8"/>
  <c r="G13" i="8"/>
  <c r="F13" i="8"/>
  <c r="E13" i="8"/>
  <c r="L12" i="8"/>
  <c r="K12" i="8"/>
  <c r="J12" i="8"/>
  <c r="G12" i="8"/>
  <c r="F12" i="8"/>
  <c r="E12" i="8"/>
  <c r="L11" i="8"/>
  <c r="K11" i="8"/>
  <c r="J11" i="8"/>
  <c r="G11" i="8"/>
  <c r="F11" i="8"/>
  <c r="E11" i="8"/>
  <c r="L10" i="8"/>
  <c r="K10" i="8"/>
  <c r="J10" i="8"/>
  <c r="G10" i="8"/>
  <c r="F10" i="8"/>
  <c r="E10" i="8"/>
  <c r="L9" i="8"/>
  <c r="K9" i="8"/>
  <c r="J9" i="8"/>
  <c r="G9" i="8"/>
  <c r="F9" i="8"/>
  <c r="E9" i="8"/>
  <c r="L8" i="8"/>
  <c r="K8" i="8"/>
  <c r="J8" i="8"/>
  <c r="G8" i="8"/>
  <c r="F8" i="8"/>
  <c r="E8" i="8"/>
  <c r="L7" i="8"/>
  <c r="K7" i="8"/>
  <c r="J7" i="8"/>
  <c r="G7" i="8"/>
  <c r="F7" i="8"/>
  <c r="E7" i="8"/>
  <c r="L6" i="8"/>
  <c r="K6" i="8"/>
  <c r="J6" i="8"/>
  <c r="G6" i="8"/>
  <c r="F6" i="8"/>
  <c r="E6" i="8"/>
  <c r="L5" i="8"/>
  <c r="K5" i="8"/>
  <c r="J5" i="8"/>
  <c r="G5" i="8"/>
  <c r="F5" i="8"/>
  <c r="E5" i="8"/>
  <c r="L4" i="8"/>
  <c r="K4" i="8"/>
  <c r="J4" i="8"/>
  <c r="G4" i="8"/>
  <c r="F4" i="8"/>
  <c r="E4" i="8"/>
  <c r="L3" i="8"/>
  <c r="K3" i="8"/>
  <c r="J3" i="8"/>
  <c r="G3" i="8"/>
  <c r="F3" i="8"/>
  <c r="E3" i="8"/>
  <c r="F18" i="7"/>
  <c r="E18" i="7"/>
  <c r="D18" i="7"/>
  <c r="F17" i="7"/>
  <c r="E17" i="7"/>
  <c r="D17" i="7"/>
  <c r="F16" i="7"/>
  <c r="E16" i="7"/>
  <c r="D16" i="7"/>
  <c r="I15" i="7"/>
  <c r="F15" i="7"/>
  <c r="E15" i="7"/>
  <c r="D15" i="7"/>
  <c r="I14" i="7"/>
  <c r="F14" i="7"/>
  <c r="E14" i="7"/>
  <c r="D14" i="7"/>
  <c r="I13" i="7"/>
  <c r="F13" i="7"/>
  <c r="E13" i="7"/>
  <c r="D13" i="7"/>
  <c r="I12" i="7"/>
  <c r="F12" i="7"/>
  <c r="E12" i="7"/>
  <c r="D12" i="7"/>
  <c r="I11" i="7"/>
  <c r="F11" i="7"/>
  <c r="E11" i="7"/>
  <c r="D11" i="7"/>
  <c r="I10" i="7"/>
  <c r="F10" i="7"/>
  <c r="E10" i="7"/>
  <c r="D10" i="7"/>
  <c r="F9" i="7"/>
  <c r="E9" i="7"/>
  <c r="D9" i="7"/>
  <c r="B6" i="7"/>
  <c r="B5" i="7"/>
  <c r="B4" i="7"/>
  <c r="B3" i="7"/>
  <c r="B2" i="7"/>
  <c r="I388" i="6"/>
  <c r="H388" i="6"/>
  <c r="G388" i="6"/>
  <c r="F388" i="6"/>
  <c r="E388" i="6"/>
  <c r="D388" i="6"/>
  <c r="C388" i="6"/>
  <c r="B388" i="6"/>
  <c r="I387" i="6"/>
  <c r="H387" i="6"/>
  <c r="G387" i="6"/>
  <c r="F387" i="6"/>
  <c r="E387" i="6"/>
  <c r="D387" i="6"/>
  <c r="C387" i="6"/>
  <c r="B387" i="6"/>
  <c r="I386" i="6"/>
  <c r="H386" i="6"/>
  <c r="G386" i="6"/>
  <c r="F386" i="6"/>
  <c r="E386" i="6"/>
  <c r="D386" i="6"/>
  <c r="C386" i="6"/>
  <c r="B386" i="6"/>
  <c r="I385" i="6"/>
  <c r="H385" i="6"/>
  <c r="G385" i="6"/>
  <c r="F385" i="6"/>
  <c r="E385" i="6"/>
  <c r="D385" i="6"/>
  <c r="C385" i="6"/>
  <c r="B385" i="6"/>
  <c r="I384" i="6"/>
  <c r="H384" i="6"/>
  <c r="G384" i="6"/>
  <c r="F384" i="6"/>
  <c r="E384" i="6"/>
  <c r="D384" i="6"/>
  <c r="C384" i="6"/>
  <c r="B384" i="6"/>
  <c r="I383" i="6"/>
  <c r="H383" i="6"/>
  <c r="G383" i="6"/>
  <c r="F383" i="6"/>
  <c r="E383" i="6"/>
  <c r="D383" i="6"/>
  <c r="C383" i="6"/>
  <c r="B383" i="6"/>
  <c r="I382" i="6"/>
  <c r="H382" i="6"/>
  <c r="G382" i="6"/>
  <c r="F382" i="6"/>
  <c r="E382" i="6"/>
  <c r="D382" i="6"/>
  <c r="C382" i="6"/>
  <c r="B382" i="6"/>
  <c r="I381" i="6"/>
  <c r="H381" i="6"/>
  <c r="G381" i="6"/>
  <c r="F381" i="6"/>
  <c r="E381" i="6"/>
  <c r="D381" i="6"/>
  <c r="C381" i="6"/>
  <c r="B381" i="6"/>
  <c r="I380" i="6"/>
  <c r="H380" i="6"/>
  <c r="G380" i="6"/>
  <c r="F380" i="6"/>
  <c r="E380" i="6"/>
  <c r="D380" i="6"/>
  <c r="C380" i="6"/>
  <c r="B380" i="6"/>
  <c r="I379" i="6"/>
  <c r="H379" i="6"/>
  <c r="G379" i="6"/>
  <c r="F379" i="6"/>
  <c r="E379" i="6"/>
  <c r="D379" i="6"/>
  <c r="C379" i="6"/>
  <c r="B379" i="6"/>
  <c r="I378" i="6"/>
  <c r="H378" i="6"/>
  <c r="G378" i="6"/>
  <c r="F378" i="6"/>
  <c r="E378" i="6"/>
  <c r="D378" i="6"/>
  <c r="C378" i="6"/>
  <c r="B378" i="6"/>
  <c r="I377" i="6"/>
  <c r="H377" i="6"/>
  <c r="G377" i="6"/>
  <c r="F377" i="6"/>
  <c r="E377" i="6"/>
  <c r="D377" i="6"/>
  <c r="C377" i="6"/>
  <c r="B377" i="6"/>
  <c r="I376" i="6"/>
  <c r="H376" i="6"/>
  <c r="G376" i="6"/>
  <c r="F376" i="6"/>
  <c r="E376" i="6"/>
  <c r="D376" i="6"/>
  <c r="C376" i="6"/>
  <c r="B376" i="6"/>
  <c r="I375" i="6"/>
  <c r="H375" i="6"/>
  <c r="G375" i="6"/>
  <c r="F375" i="6"/>
  <c r="E375" i="6"/>
  <c r="D375" i="6"/>
  <c r="C375" i="6"/>
  <c r="B375" i="6"/>
  <c r="I374" i="6"/>
  <c r="H374" i="6"/>
  <c r="G374" i="6"/>
  <c r="F374" i="6"/>
  <c r="E374" i="6"/>
  <c r="D374" i="6"/>
  <c r="C374" i="6"/>
  <c r="B374" i="6"/>
  <c r="I373" i="6"/>
  <c r="H373" i="6"/>
  <c r="G373" i="6"/>
  <c r="F373" i="6"/>
  <c r="E373" i="6"/>
  <c r="D373" i="6"/>
  <c r="C373" i="6"/>
  <c r="B373" i="6"/>
  <c r="I372" i="6"/>
  <c r="H372" i="6"/>
  <c r="G372" i="6"/>
  <c r="F372" i="6"/>
  <c r="E372" i="6"/>
  <c r="D372" i="6"/>
  <c r="C372" i="6"/>
  <c r="B372" i="6"/>
  <c r="I371" i="6"/>
  <c r="H371" i="6"/>
  <c r="G371" i="6"/>
  <c r="F371" i="6"/>
  <c r="E371" i="6"/>
  <c r="D371" i="6"/>
  <c r="C371" i="6"/>
  <c r="B371" i="6"/>
  <c r="I370" i="6"/>
  <c r="H370" i="6"/>
  <c r="G370" i="6"/>
  <c r="F370" i="6"/>
  <c r="E370" i="6"/>
  <c r="D370" i="6"/>
  <c r="C370" i="6"/>
  <c r="B370" i="6"/>
  <c r="I369" i="6"/>
  <c r="H369" i="6"/>
  <c r="G369" i="6"/>
  <c r="F369" i="6"/>
  <c r="E369" i="6"/>
  <c r="D369" i="6"/>
  <c r="C369" i="6"/>
  <c r="B369" i="6"/>
  <c r="I368" i="6"/>
  <c r="H368" i="6"/>
  <c r="G368" i="6"/>
  <c r="F368" i="6"/>
  <c r="E368" i="6"/>
  <c r="D368" i="6"/>
  <c r="C368" i="6"/>
  <c r="B368" i="6"/>
  <c r="I367" i="6"/>
  <c r="H367" i="6"/>
  <c r="G367" i="6"/>
  <c r="F367" i="6"/>
  <c r="E367" i="6"/>
  <c r="D367" i="6"/>
  <c r="C367" i="6"/>
  <c r="B367" i="6"/>
  <c r="I366" i="6"/>
  <c r="H366" i="6"/>
  <c r="G366" i="6"/>
  <c r="F366" i="6"/>
  <c r="E366" i="6"/>
  <c r="D366" i="6"/>
  <c r="C366" i="6"/>
  <c r="B366" i="6"/>
  <c r="I365" i="6"/>
  <c r="H365" i="6"/>
  <c r="G365" i="6"/>
  <c r="F365" i="6"/>
  <c r="E365" i="6"/>
  <c r="D365" i="6"/>
  <c r="C365" i="6"/>
  <c r="B365" i="6"/>
  <c r="I364" i="6"/>
  <c r="H364" i="6"/>
  <c r="G364" i="6"/>
  <c r="F364" i="6"/>
  <c r="E364" i="6"/>
  <c r="D364" i="6"/>
  <c r="C364" i="6"/>
  <c r="B364" i="6"/>
  <c r="I363" i="6"/>
  <c r="H363" i="6"/>
  <c r="G363" i="6"/>
  <c r="F363" i="6"/>
  <c r="E363" i="6"/>
  <c r="D363" i="6"/>
  <c r="C363" i="6"/>
  <c r="B363" i="6"/>
  <c r="I362" i="6"/>
  <c r="H362" i="6"/>
  <c r="G362" i="6"/>
  <c r="F362" i="6"/>
  <c r="E362" i="6"/>
  <c r="D362" i="6"/>
  <c r="C362" i="6"/>
  <c r="B362" i="6"/>
  <c r="I361" i="6"/>
  <c r="H361" i="6"/>
  <c r="G361" i="6"/>
  <c r="F361" i="6"/>
  <c r="E361" i="6"/>
  <c r="D361" i="6"/>
  <c r="C361" i="6"/>
  <c r="B361" i="6"/>
  <c r="I360" i="6"/>
  <c r="H360" i="6"/>
  <c r="G360" i="6"/>
  <c r="F360" i="6"/>
  <c r="E360" i="6"/>
  <c r="D360" i="6"/>
  <c r="C360" i="6"/>
  <c r="B360" i="6"/>
  <c r="I359" i="6"/>
  <c r="H359" i="6"/>
  <c r="G359" i="6"/>
  <c r="F359" i="6"/>
  <c r="E359" i="6"/>
  <c r="D359" i="6"/>
  <c r="C359" i="6"/>
  <c r="B359" i="6"/>
  <c r="I358" i="6"/>
  <c r="H358" i="6"/>
  <c r="G358" i="6"/>
  <c r="F358" i="6"/>
  <c r="E358" i="6"/>
  <c r="D358" i="6"/>
  <c r="C358" i="6"/>
  <c r="B358" i="6"/>
  <c r="I357" i="6"/>
  <c r="H357" i="6"/>
  <c r="G357" i="6"/>
  <c r="F357" i="6"/>
  <c r="E357" i="6"/>
  <c r="D357" i="6"/>
  <c r="C357" i="6"/>
  <c r="B357" i="6"/>
  <c r="I356" i="6"/>
  <c r="H356" i="6"/>
  <c r="G356" i="6"/>
  <c r="F356" i="6"/>
  <c r="E356" i="6"/>
  <c r="D356" i="6"/>
  <c r="C356" i="6"/>
  <c r="B356" i="6"/>
  <c r="I355" i="6"/>
  <c r="H355" i="6"/>
  <c r="G355" i="6"/>
  <c r="F355" i="6"/>
  <c r="E355" i="6"/>
  <c r="D355" i="6"/>
  <c r="C355" i="6"/>
  <c r="B355" i="6"/>
  <c r="I354" i="6"/>
  <c r="H354" i="6"/>
  <c r="G354" i="6"/>
  <c r="F354" i="6"/>
  <c r="E354" i="6"/>
  <c r="D354" i="6"/>
  <c r="C354" i="6"/>
  <c r="B354" i="6"/>
  <c r="I353" i="6"/>
  <c r="H353" i="6"/>
  <c r="G353" i="6"/>
  <c r="F353" i="6"/>
  <c r="E353" i="6"/>
  <c r="D353" i="6"/>
  <c r="C353" i="6"/>
  <c r="B353" i="6"/>
  <c r="I352" i="6"/>
  <c r="H352" i="6"/>
  <c r="G352" i="6"/>
  <c r="F352" i="6"/>
  <c r="E352" i="6"/>
  <c r="D352" i="6"/>
  <c r="C352" i="6"/>
  <c r="B352" i="6"/>
  <c r="I351" i="6"/>
  <c r="H351" i="6"/>
  <c r="G351" i="6"/>
  <c r="F351" i="6"/>
  <c r="E351" i="6"/>
  <c r="D351" i="6"/>
  <c r="C351" i="6"/>
  <c r="B351" i="6"/>
  <c r="I350" i="6"/>
  <c r="H350" i="6"/>
  <c r="G350" i="6"/>
  <c r="F350" i="6"/>
  <c r="E350" i="6"/>
  <c r="D350" i="6"/>
  <c r="C350" i="6"/>
  <c r="B350" i="6"/>
  <c r="I349" i="6"/>
  <c r="H349" i="6"/>
  <c r="G349" i="6"/>
  <c r="F349" i="6"/>
  <c r="E349" i="6"/>
  <c r="D349" i="6"/>
  <c r="C349" i="6"/>
  <c r="B349" i="6"/>
  <c r="I348" i="6"/>
  <c r="H348" i="6"/>
  <c r="G348" i="6"/>
  <c r="F348" i="6"/>
  <c r="E348" i="6"/>
  <c r="D348" i="6"/>
  <c r="C348" i="6"/>
  <c r="B348" i="6"/>
  <c r="I347" i="6"/>
  <c r="H347" i="6"/>
  <c r="G347" i="6"/>
  <c r="F347" i="6"/>
  <c r="E347" i="6"/>
  <c r="D347" i="6"/>
  <c r="C347" i="6"/>
  <c r="B347" i="6"/>
  <c r="I346" i="6"/>
  <c r="H346" i="6"/>
  <c r="G346" i="6"/>
  <c r="F346" i="6"/>
  <c r="E346" i="6"/>
  <c r="D346" i="6"/>
  <c r="C346" i="6"/>
  <c r="B346" i="6"/>
  <c r="I345" i="6"/>
  <c r="H345" i="6"/>
  <c r="G345" i="6"/>
  <c r="F345" i="6"/>
  <c r="E345" i="6"/>
  <c r="D345" i="6"/>
  <c r="C345" i="6"/>
  <c r="B345" i="6"/>
  <c r="I344" i="6"/>
  <c r="H344" i="6"/>
  <c r="G344" i="6"/>
  <c r="F344" i="6"/>
  <c r="E344" i="6"/>
  <c r="D344" i="6"/>
  <c r="C344" i="6"/>
  <c r="B344" i="6"/>
  <c r="I343" i="6"/>
  <c r="H343" i="6"/>
  <c r="G343" i="6"/>
  <c r="F343" i="6"/>
  <c r="E343" i="6"/>
  <c r="D343" i="6"/>
  <c r="C343" i="6"/>
  <c r="B343" i="6"/>
  <c r="I342" i="6"/>
  <c r="H342" i="6"/>
  <c r="G342" i="6"/>
  <c r="F342" i="6"/>
  <c r="E342" i="6"/>
  <c r="D342" i="6"/>
  <c r="C342" i="6"/>
  <c r="B342" i="6"/>
  <c r="I341" i="6"/>
  <c r="H341" i="6"/>
  <c r="G341" i="6"/>
  <c r="F341" i="6"/>
  <c r="E341" i="6"/>
  <c r="D341" i="6"/>
  <c r="C341" i="6"/>
  <c r="B341" i="6"/>
  <c r="I340" i="6"/>
  <c r="H340" i="6"/>
  <c r="G340" i="6"/>
  <c r="F340" i="6"/>
  <c r="E340" i="6"/>
  <c r="D340" i="6"/>
  <c r="C340" i="6"/>
  <c r="B340" i="6"/>
  <c r="I339" i="6"/>
  <c r="H339" i="6"/>
  <c r="G339" i="6"/>
  <c r="F339" i="6"/>
  <c r="E339" i="6"/>
  <c r="D339" i="6"/>
  <c r="C339" i="6"/>
  <c r="B339" i="6"/>
  <c r="I338" i="6"/>
  <c r="H338" i="6"/>
  <c r="G338" i="6"/>
  <c r="F338" i="6"/>
  <c r="E338" i="6"/>
  <c r="D338" i="6"/>
  <c r="C338" i="6"/>
  <c r="B338" i="6"/>
  <c r="I337" i="6"/>
  <c r="H337" i="6"/>
  <c r="G337" i="6"/>
  <c r="F337" i="6"/>
  <c r="E337" i="6"/>
  <c r="D337" i="6"/>
  <c r="C337" i="6"/>
  <c r="B337" i="6"/>
  <c r="I336" i="6"/>
  <c r="H336" i="6"/>
  <c r="G336" i="6"/>
  <c r="F336" i="6"/>
  <c r="E336" i="6"/>
  <c r="D336" i="6"/>
  <c r="C336" i="6"/>
  <c r="B336" i="6"/>
  <c r="I335" i="6"/>
  <c r="H335" i="6"/>
  <c r="G335" i="6"/>
  <c r="F335" i="6"/>
  <c r="E335" i="6"/>
  <c r="D335" i="6"/>
  <c r="C335" i="6"/>
  <c r="B335" i="6"/>
  <c r="I334" i="6"/>
  <c r="H334" i="6"/>
  <c r="G334" i="6"/>
  <c r="F334" i="6"/>
  <c r="E334" i="6"/>
  <c r="D334" i="6"/>
  <c r="C334" i="6"/>
  <c r="B334" i="6"/>
  <c r="I333" i="6"/>
  <c r="H333" i="6"/>
  <c r="G333" i="6"/>
  <c r="F333" i="6"/>
  <c r="E333" i="6"/>
  <c r="D333" i="6"/>
  <c r="C333" i="6"/>
  <c r="B333" i="6"/>
  <c r="I332" i="6"/>
  <c r="H332" i="6"/>
  <c r="G332" i="6"/>
  <c r="F332" i="6"/>
  <c r="E332" i="6"/>
  <c r="D332" i="6"/>
  <c r="C332" i="6"/>
  <c r="B332" i="6"/>
  <c r="I331" i="6"/>
  <c r="H331" i="6"/>
  <c r="G331" i="6"/>
  <c r="F331" i="6"/>
  <c r="E331" i="6"/>
  <c r="D331" i="6"/>
  <c r="C331" i="6"/>
  <c r="B331" i="6"/>
  <c r="I330" i="6"/>
  <c r="H330" i="6"/>
  <c r="G330" i="6"/>
  <c r="F330" i="6"/>
  <c r="E330" i="6"/>
  <c r="D330" i="6"/>
  <c r="C330" i="6"/>
  <c r="B330" i="6"/>
  <c r="I329" i="6"/>
  <c r="H329" i="6"/>
  <c r="G329" i="6"/>
  <c r="F329" i="6"/>
  <c r="E329" i="6"/>
  <c r="D329" i="6"/>
  <c r="C329" i="6"/>
  <c r="B329" i="6"/>
  <c r="I328" i="6"/>
  <c r="H328" i="6"/>
  <c r="G328" i="6"/>
  <c r="F328" i="6"/>
  <c r="E328" i="6"/>
  <c r="D328" i="6"/>
  <c r="C328" i="6"/>
  <c r="B328" i="6"/>
  <c r="I327" i="6"/>
  <c r="H327" i="6"/>
  <c r="G327" i="6"/>
  <c r="F327" i="6"/>
  <c r="E327" i="6"/>
  <c r="D327" i="6"/>
  <c r="C327" i="6"/>
  <c r="B327" i="6"/>
  <c r="I326" i="6"/>
  <c r="H326" i="6"/>
  <c r="G326" i="6"/>
  <c r="F326" i="6"/>
  <c r="E326" i="6"/>
  <c r="D326" i="6"/>
  <c r="C326" i="6"/>
  <c r="B326" i="6"/>
  <c r="I325" i="6"/>
  <c r="H325" i="6"/>
  <c r="G325" i="6"/>
  <c r="F325" i="6"/>
  <c r="E325" i="6"/>
  <c r="D325" i="6"/>
  <c r="C325" i="6"/>
  <c r="B325" i="6"/>
  <c r="I324" i="6"/>
  <c r="H324" i="6"/>
  <c r="G324" i="6"/>
  <c r="F324" i="6"/>
  <c r="E324" i="6"/>
  <c r="D324" i="6"/>
  <c r="C324" i="6"/>
  <c r="B324" i="6"/>
  <c r="I323" i="6"/>
  <c r="H323" i="6"/>
  <c r="G323" i="6"/>
  <c r="F323" i="6"/>
  <c r="E323" i="6"/>
  <c r="D323" i="6"/>
  <c r="C323" i="6"/>
  <c r="B323" i="6"/>
  <c r="I322" i="6"/>
  <c r="H322" i="6"/>
  <c r="G322" i="6"/>
  <c r="F322" i="6"/>
  <c r="E322" i="6"/>
  <c r="D322" i="6"/>
  <c r="C322" i="6"/>
  <c r="B322" i="6"/>
  <c r="I321" i="6"/>
  <c r="H321" i="6"/>
  <c r="G321" i="6"/>
  <c r="F321" i="6"/>
  <c r="E321" i="6"/>
  <c r="D321" i="6"/>
  <c r="C321" i="6"/>
  <c r="B321" i="6"/>
  <c r="I320" i="6"/>
  <c r="H320" i="6"/>
  <c r="G320" i="6"/>
  <c r="F320" i="6"/>
  <c r="E320" i="6"/>
  <c r="D320" i="6"/>
  <c r="C320" i="6"/>
  <c r="B320" i="6"/>
  <c r="I319" i="6"/>
  <c r="H319" i="6"/>
  <c r="G319" i="6"/>
  <c r="F319" i="6"/>
  <c r="E319" i="6"/>
  <c r="D319" i="6"/>
  <c r="C319" i="6"/>
  <c r="B319" i="6"/>
  <c r="I318" i="6"/>
  <c r="H318" i="6"/>
  <c r="G318" i="6"/>
  <c r="F318" i="6"/>
  <c r="E318" i="6"/>
  <c r="D318" i="6"/>
  <c r="C318" i="6"/>
  <c r="B318" i="6"/>
  <c r="I317" i="6"/>
  <c r="H317" i="6"/>
  <c r="G317" i="6"/>
  <c r="F317" i="6"/>
  <c r="E317" i="6"/>
  <c r="D317" i="6"/>
  <c r="C317" i="6"/>
  <c r="B317" i="6"/>
  <c r="I316" i="6"/>
  <c r="H316" i="6"/>
  <c r="G316" i="6"/>
  <c r="F316" i="6"/>
  <c r="E316" i="6"/>
  <c r="D316" i="6"/>
  <c r="C316" i="6"/>
  <c r="B316" i="6"/>
  <c r="I315" i="6"/>
  <c r="H315" i="6"/>
  <c r="G315" i="6"/>
  <c r="F315" i="6"/>
  <c r="E315" i="6"/>
  <c r="D315" i="6"/>
  <c r="C315" i="6"/>
  <c r="B315" i="6"/>
  <c r="I314" i="6"/>
  <c r="H314" i="6"/>
  <c r="G314" i="6"/>
  <c r="F314" i="6"/>
  <c r="E314" i="6"/>
  <c r="D314" i="6"/>
  <c r="C314" i="6"/>
  <c r="B314" i="6"/>
  <c r="I313" i="6"/>
  <c r="H313" i="6"/>
  <c r="G313" i="6"/>
  <c r="F313" i="6"/>
  <c r="E313" i="6"/>
  <c r="D313" i="6"/>
  <c r="C313" i="6"/>
  <c r="B313" i="6"/>
  <c r="I312" i="6"/>
  <c r="H312" i="6"/>
  <c r="G312" i="6"/>
  <c r="F312" i="6"/>
  <c r="E312" i="6"/>
  <c r="D312" i="6"/>
  <c r="C312" i="6"/>
  <c r="B312" i="6"/>
  <c r="I311" i="6"/>
  <c r="H311" i="6"/>
  <c r="G311" i="6"/>
  <c r="F311" i="6"/>
  <c r="E311" i="6"/>
  <c r="D311" i="6"/>
  <c r="C311" i="6"/>
  <c r="B311" i="6"/>
  <c r="I310" i="6"/>
  <c r="H310" i="6"/>
  <c r="G310" i="6"/>
  <c r="F310" i="6"/>
  <c r="E310" i="6"/>
  <c r="D310" i="6"/>
  <c r="C310" i="6"/>
  <c r="B310" i="6"/>
  <c r="I309" i="6"/>
  <c r="H309" i="6"/>
  <c r="G309" i="6"/>
  <c r="F309" i="6"/>
  <c r="E309" i="6"/>
  <c r="D309" i="6"/>
  <c r="C309" i="6"/>
  <c r="B309" i="6"/>
  <c r="I308" i="6"/>
  <c r="H308" i="6"/>
  <c r="G308" i="6"/>
  <c r="F308" i="6"/>
  <c r="E308" i="6"/>
  <c r="D308" i="6"/>
  <c r="C308" i="6"/>
  <c r="B308" i="6"/>
  <c r="I307" i="6"/>
  <c r="H307" i="6"/>
  <c r="G307" i="6"/>
  <c r="F307" i="6"/>
  <c r="E307" i="6"/>
  <c r="D307" i="6"/>
  <c r="C307" i="6"/>
  <c r="B307" i="6"/>
  <c r="I306" i="6"/>
  <c r="H306" i="6"/>
  <c r="G306" i="6"/>
  <c r="F306" i="6"/>
  <c r="E306" i="6"/>
  <c r="D306" i="6"/>
  <c r="C306" i="6"/>
  <c r="B306" i="6"/>
  <c r="I305" i="6"/>
  <c r="H305" i="6"/>
  <c r="G305" i="6"/>
  <c r="F305" i="6"/>
  <c r="E305" i="6"/>
  <c r="D305" i="6"/>
  <c r="C305" i="6"/>
  <c r="B305" i="6"/>
  <c r="I304" i="6"/>
  <c r="H304" i="6"/>
  <c r="G304" i="6"/>
  <c r="F304" i="6"/>
  <c r="E304" i="6"/>
  <c r="D304" i="6"/>
  <c r="C304" i="6"/>
  <c r="B304" i="6"/>
  <c r="I303" i="6"/>
  <c r="H303" i="6"/>
  <c r="G303" i="6"/>
  <c r="F303" i="6"/>
  <c r="E303" i="6"/>
  <c r="D303" i="6"/>
  <c r="C303" i="6"/>
  <c r="B303" i="6"/>
  <c r="I302" i="6"/>
  <c r="H302" i="6"/>
  <c r="G302" i="6"/>
  <c r="F302" i="6"/>
  <c r="E302" i="6"/>
  <c r="D302" i="6"/>
  <c r="C302" i="6"/>
  <c r="B302" i="6"/>
  <c r="I301" i="6"/>
  <c r="H301" i="6"/>
  <c r="G301" i="6"/>
  <c r="F301" i="6"/>
  <c r="E301" i="6"/>
  <c r="D301" i="6"/>
  <c r="C301" i="6"/>
  <c r="B301" i="6"/>
  <c r="I300" i="6"/>
  <c r="H300" i="6"/>
  <c r="G300" i="6"/>
  <c r="F300" i="6"/>
  <c r="E300" i="6"/>
  <c r="D300" i="6"/>
  <c r="C300" i="6"/>
  <c r="B300" i="6"/>
  <c r="I299" i="6"/>
  <c r="H299" i="6"/>
  <c r="G299" i="6"/>
  <c r="F299" i="6"/>
  <c r="E299" i="6"/>
  <c r="D299" i="6"/>
  <c r="C299" i="6"/>
  <c r="B299" i="6"/>
  <c r="I298" i="6"/>
  <c r="H298" i="6"/>
  <c r="G298" i="6"/>
  <c r="F298" i="6"/>
  <c r="E298" i="6"/>
  <c r="D298" i="6"/>
  <c r="C298" i="6"/>
  <c r="B298" i="6"/>
  <c r="I297" i="6"/>
  <c r="H297" i="6"/>
  <c r="G297" i="6"/>
  <c r="F297" i="6"/>
  <c r="E297" i="6"/>
  <c r="D297" i="6"/>
  <c r="C297" i="6"/>
  <c r="B297" i="6"/>
  <c r="I296" i="6"/>
  <c r="H296" i="6"/>
  <c r="G296" i="6"/>
  <c r="F296" i="6"/>
  <c r="E296" i="6"/>
  <c r="D296" i="6"/>
  <c r="C296" i="6"/>
  <c r="B296" i="6"/>
  <c r="I295" i="6"/>
  <c r="H295" i="6"/>
  <c r="G295" i="6"/>
  <c r="F295" i="6"/>
  <c r="E295" i="6"/>
  <c r="D295" i="6"/>
  <c r="C295" i="6"/>
  <c r="B295" i="6"/>
  <c r="I294" i="6"/>
  <c r="H294" i="6"/>
  <c r="G294" i="6"/>
  <c r="F294" i="6"/>
  <c r="E294" i="6"/>
  <c r="D294" i="6"/>
  <c r="C294" i="6"/>
  <c r="B294" i="6"/>
  <c r="I293" i="6"/>
  <c r="H293" i="6"/>
  <c r="G293" i="6"/>
  <c r="F293" i="6"/>
  <c r="E293" i="6"/>
  <c r="D293" i="6"/>
  <c r="C293" i="6"/>
  <c r="B293" i="6"/>
  <c r="I292" i="6"/>
  <c r="H292" i="6"/>
  <c r="G292" i="6"/>
  <c r="F292" i="6"/>
  <c r="E292" i="6"/>
  <c r="D292" i="6"/>
  <c r="C292" i="6"/>
  <c r="B292" i="6"/>
  <c r="I291" i="6"/>
  <c r="H291" i="6"/>
  <c r="G291" i="6"/>
  <c r="F291" i="6"/>
  <c r="E291" i="6"/>
  <c r="D291" i="6"/>
  <c r="C291" i="6"/>
  <c r="B291" i="6"/>
  <c r="I290" i="6"/>
  <c r="H290" i="6"/>
  <c r="G290" i="6"/>
  <c r="F290" i="6"/>
  <c r="E290" i="6"/>
  <c r="D290" i="6"/>
  <c r="C290" i="6"/>
  <c r="B290" i="6"/>
  <c r="I289" i="6"/>
  <c r="H289" i="6"/>
  <c r="G289" i="6"/>
  <c r="F289" i="6"/>
  <c r="E289" i="6"/>
  <c r="D289" i="6"/>
  <c r="C289" i="6"/>
  <c r="B289" i="6"/>
  <c r="I288" i="6"/>
  <c r="H288" i="6"/>
  <c r="G288" i="6"/>
  <c r="F288" i="6"/>
  <c r="E288" i="6"/>
  <c r="D288" i="6"/>
  <c r="C288" i="6"/>
  <c r="B288" i="6"/>
  <c r="I287" i="6"/>
  <c r="H287" i="6"/>
  <c r="G287" i="6"/>
  <c r="F287" i="6"/>
  <c r="E287" i="6"/>
  <c r="D287" i="6"/>
  <c r="C287" i="6"/>
  <c r="B287" i="6"/>
  <c r="I286" i="6"/>
  <c r="H286" i="6"/>
  <c r="G286" i="6"/>
  <c r="F286" i="6"/>
  <c r="E286" i="6"/>
  <c r="D286" i="6"/>
  <c r="C286" i="6"/>
  <c r="B286" i="6"/>
  <c r="I285" i="6"/>
  <c r="H285" i="6"/>
  <c r="G285" i="6"/>
  <c r="F285" i="6"/>
  <c r="E285" i="6"/>
  <c r="D285" i="6"/>
  <c r="C285" i="6"/>
  <c r="B285" i="6"/>
  <c r="I284" i="6"/>
  <c r="H284" i="6"/>
  <c r="G284" i="6"/>
  <c r="F284" i="6"/>
  <c r="E284" i="6"/>
  <c r="D284" i="6"/>
  <c r="C284" i="6"/>
  <c r="B284" i="6"/>
  <c r="I283" i="6"/>
  <c r="H283" i="6"/>
  <c r="G283" i="6"/>
  <c r="F283" i="6"/>
  <c r="E283" i="6"/>
  <c r="D283" i="6"/>
  <c r="C283" i="6"/>
  <c r="B283" i="6"/>
  <c r="I282" i="6"/>
  <c r="H282" i="6"/>
  <c r="G282" i="6"/>
  <c r="F282" i="6"/>
  <c r="E282" i="6"/>
  <c r="D282" i="6"/>
  <c r="C282" i="6"/>
  <c r="B282" i="6"/>
  <c r="I281" i="6"/>
  <c r="H281" i="6"/>
  <c r="G281" i="6"/>
  <c r="F281" i="6"/>
  <c r="E281" i="6"/>
  <c r="D281" i="6"/>
  <c r="C281" i="6"/>
  <c r="B281" i="6"/>
  <c r="I280" i="6"/>
  <c r="H280" i="6"/>
  <c r="G280" i="6"/>
  <c r="F280" i="6"/>
  <c r="E280" i="6"/>
  <c r="D280" i="6"/>
  <c r="C280" i="6"/>
  <c r="B280" i="6"/>
  <c r="I279" i="6"/>
  <c r="H279" i="6"/>
  <c r="G279" i="6"/>
  <c r="F279" i="6"/>
  <c r="E279" i="6"/>
  <c r="D279" i="6"/>
  <c r="C279" i="6"/>
  <c r="B279" i="6"/>
  <c r="I278" i="6"/>
  <c r="H278" i="6"/>
  <c r="G278" i="6"/>
  <c r="F278" i="6"/>
  <c r="E278" i="6"/>
  <c r="D278" i="6"/>
  <c r="C278" i="6"/>
  <c r="B278" i="6"/>
  <c r="I277" i="6"/>
  <c r="H277" i="6"/>
  <c r="G277" i="6"/>
  <c r="F277" i="6"/>
  <c r="E277" i="6"/>
  <c r="D277" i="6"/>
  <c r="C277" i="6"/>
  <c r="B277" i="6"/>
  <c r="I276" i="6"/>
  <c r="H276" i="6"/>
  <c r="G276" i="6"/>
  <c r="F276" i="6"/>
  <c r="E276" i="6"/>
  <c r="D276" i="6"/>
  <c r="C276" i="6"/>
  <c r="B276" i="6"/>
  <c r="I275" i="6"/>
  <c r="H275" i="6"/>
  <c r="G275" i="6"/>
  <c r="F275" i="6"/>
  <c r="E275" i="6"/>
  <c r="D275" i="6"/>
  <c r="C275" i="6"/>
  <c r="B275" i="6"/>
  <c r="I274" i="6"/>
  <c r="H274" i="6"/>
  <c r="G274" i="6"/>
  <c r="F274" i="6"/>
  <c r="E274" i="6"/>
  <c r="D274" i="6"/>
  <c r="C274" i="6"/>
  <c r="B274" i="6"/>
  <c r="I273" i="6"/>
  <c r="H273" i="6"/>
  <c r="G273" i="6"/>
  <c r="F273" i="6"/>
  <c r="E273" i="6"/>
  <c r="D273" i="6"/>
  <c r="C273" i="6"/>
  <c r="B273" i="6"/>
  <c r="I272" i="6"/>
  <c r="H272" i="6"/>
  <c r="G272" i="6"/>
  <c r="F272" i="6"/>
  <c r="E272" i="6"/>
  <c r="D272" i="6"/>
  <c r="C272" i="6"/>
  <c r="B272" i="6"/>
  <c r="I271" i="6"/>
  <c r="H271" i="6"/>
  <c r="G271" i="6"/>
  <c r="F271" i="6"/>
  <c r="E271" i="6"/>
  <c r="D271" i="6"/>
  <c r="C271" i="6"/>
  <c r="B271" i="6"/>
  <c r="I270" i="6"/>
  <c r="H270" i="6"/>
  <c r="G270" i="6"/>
  <c r="F270" i="6"/>
  <c r="E270" i="6"/>
  <c r="D270" i="6"/>
  <c r="C270" i="6"/>
  <c r="B270" i="6"/>
  <c r="I269" i="6"/>
  <c r="H269" i="6"/>
  <c r="G269" i="6"/>
  <c r="F269" i="6"/>
  <c r="E269" i="6"/>
  <c r="D269" i="6"/>
  <c r="C269" i="6"/>
  <c r="B269" i="6"/>
  <c r="I268" i="6"/>
  <c r="H268" i="6"/>
  <c r="G268" i="6"/>
  <c r="F268" i="6"/>
  <c r="E268" i="6"/>
  <c r="D268" i="6"/>
  <c r="C268" i="6"/>
  <c r="B268" i="6"/>
  <c r="I267" i="6"/>
  <c r="H267" i="6"/>
  <c r="G267" i="6"/>
  <c r="F267" i="6"/>
  <c r="E267" i="6"/>
  <c r="D267" i="6"/>
  <c r="C267" i="6"/>
  <c r="B267" i="6"/>
  <c r="I266" i="6"/>
  <c r="H266" i="6"/>
  <c r="G266" i="6"/>
  <c r="F266" i="6"/>
  <c r="E266" i="6"/>
  <c r="D266" i="6"/>
  <c r="C266" i="6"/>
  <c r="B266" i="6"/>
  <c r="I265" i="6"/>
  <c r="H265" i="6"/>
  <c r="G265" i="6"/>
  <c r="F265" i="6"/>
  <c r="E265" i="6"/>
  <c r="D265" i="6"/>
  <c r="C265" i="6"/>
  <c r="B265" i="6"/>
  <c r="I264" i="6"/>
  <c r="H264" i="6"/>
  <c r="G264" i="6"/>
  <c r="F264" i="6"/>
  <c r="E264" i="6"/>
  <c r="D264" i="6"/>
  <c r="C264" i="6"/>
  <c r="B264" i="6"/>
  <c r="I263" i="6"/>
  <c r="H263" i="6"/>
  <c r="G263" i="6"/>
  <c r="F263" i="6"/>
  <c r="E263" i="6"/>
  <c r="D263" i="6"/>
  <c r="C263" i="6"/>
  <c r="B263" i="6"/>
  <c r="I262" i="6"/>
  <c r="H262" i="6"/>
  <c r="G262" i="6"/>
  <c r="F262" i="6"/>
  <c r="E262" i="6"/>
  <c r="D262" i="6"/>
  <c r="C262" i="6"/>
  <c r="B262" i="6"/>
  <c r="I261" i="6"/>
  <c r="H261" i="6"/>
  <c r="G261" i="6"/>
  <c r="F261" i="6"/>
  <c r="E261" i="6"/>
  <c r="D261" i="6"/>
  <c r="C261" i="6"/>
  <c r="B261" i="6"/>
  <c r="I260" i="6"/>
  <c r="H260" i="6"/>
  <c r="G260" i="6"/>
  <c r="F260" i="6"/>
  <c r="E260" i="6"/>
  <c r="D260" i="6"/>
  <c r="C260" i="6"/>
  <c r="B260" i="6"/>
  <c r="I259" i="6"/>
  <c r="H259" i="6"/>
  <c r="G259" i="6"/>
  <c r="F259" i="6"/>
  <c r="E259" i="6"/>
  <c r="D259" i="6"/>
  <c r="C259" i="6"/>
  <c r="B259" i="6"/>
  <c r="I258" i="6"/>
  <c r="H258" i="6"/>
  <c r="G258" i="6"/>
  <c r="F258" i="6"/>
  <c r="E258" i="6"/>
  <c r="D258" i="6"/>
  <c r="C258" i="6"/>
  <c r="B258" i="6"/>
  <c r="I257" i="6"/>
  <c r="H257" i="6"/>
  <c r="G257" i="6"/>
  <c r="F257" i="6"/>
  <c r="E257" i="6"/>
  <c r="D257" i="6"/>
  <c r="C257" i="6"/>
  <c r="B257" i="6"/>
  <c r="I256" i="6"/>
  <c r="H256" i="6"/>
  <c r="G256" i="6"/>
  <c r="F256" i="6"/>
  <c r="E256" i="6"/>
  <c r="D256" i="6"/>
  <c r="C256" i="6"/>
  <c r="B256" i="6"/>
  <c r="I255" i="6"/>
  <c r="H255" i="6"/>
  <c r="G255" i="6"/>
  <c r="F255" i="6"/>
  <c r="E255" i="6"/>
  <c r="D255" i="6"/>
  <c r="C255" i="6"/>
  <c r="B255" i="6"/>
  <c r="I254" i="6"/>
  <c r="H254" i="6"/>
  <c r="G254" i="6"/>
  <c r="F254" i="6"/>
  <c r="E254" i="6"/>
  <c r="D254" i="6"/>
  <c r="C254" i="6"/>
  <c r="B254" i="6"/>
  <c r="I253" i="6"/>
  <c r="H253" i="6"/>
  <c r="G253" i="6"/>
  <c r="F253" i="6"/>
  <c r="E253" i="6"/>
  <c r="D253" i="6"/>
  <c r="C253" i="6"/>
  <c r="B253" i="6"/>
  <c r="I252" i="6"/>
  <c r="H252" i="6"/>
  <c r="G252" i="6"/>
  <c r="F252" i="6"/>
  <c r="E252" i="6"/>
  <c r="D252" i="6"/>
  <c r="C252" i="6"/>
  <c r="B252" i="6"/>
  <c r="I251" i="6"/>
  <c r="H251" i="6"/>
  <c r="G251" i="6"/>
  <c r="F251" i="6"/>
  <c r="E251" i="6"/>
  <c r="D251" i="6"/>
  <c r="C251" i="6"/>
  <c r="B251" i="6"/>
  <c r="I250" i="6"/>
  <c r="H250" i="6"/>
  <c r="G250" i="6"/>
  <c r="F250" i="6"/>
  <c r="E250" i="6"/>
  <c r="D250" i="6"/>
  <c r="C250" i="6"/>
  <c r="B250" i="6"/>
  <c r="I249" i="6"/>
  <c r="H249" i="6"/>
  <c r="G249" i="6"/>
  <c r="F249" i="6"/>
  <c r="E249" i="6"/>
  <c r="D249" i="6"/>
  <c r="C249" i="6"/>
  <c r="B249" i="6"/>
  <c r="I248" i="6"/>
  <c r="H248" i="6"/>
  <c r="G248" i="6"/>
  <c r="F248" i="6"/>
  <c r="E248" i="6"/>
  <c r="D248" i="6"/>
  <c r="C248" i="6"/>
  <c r="B248" i="6"/>
  <c r="I247" i="6"/>
  <c r="H247" i="6"/>
  <c r="G247" i="6"/>
  <c r="F247" i="6"/>
  <c r="E247" i="6"/>
  <c r="D247" i="6"/>
  <c r="C247" i="6"/>
  <c r="B247" i="6"/>
  <c r="I246" i="6"/>
  <c r="H246" i="6"/>
  <c r="G246" i="6"/>
  <c r="F246" i="6"/>
  <c r="E246" i="6"/>
  <c r="D246" i="6"/>
  <c r="C246" i="6"/>
  <c r="B246" i="6"/>
  <c r="I245" i="6"/>
  <c r="H245" i="6"/>
  <c r="G245" i="6"/>
  <c r="F245" i="6"/>
  <c r="E245" i="6"/>
  <c r="D245" i="6"/>
  <c r="C245" i="6"/>
  <c r="B245" i="6"/>
  <c r="I244" i="6"/>
  <c r="H244" i="6"/>
  <c r="G244" i="6"/>
  <c r="F244" i="6"/>
  <c r="E244" i="6"/>
  <c r="D244" i="6"/>
  <c r="C244" i="6"/>
  <c r="B244" i="6"/>
  <c r="I243" i="6"/>
  <c r="H243" i="6"/>
  <c r="G243" i="6"/>
  <c r="F243" i="6"/>
  <c r="E243" i="6"/>
  <c r="D243" i="6"/>
  <c r="C243" i="6"/>
  <c r="B243" i="6"/>
  <c r="I242" i="6"/>
  <c r="H242" i="6"/>
  <c r="G242" i="6"/>
  <c r="F242" i="6"/>
  <c r="E242" i="6"/>
  <c r="D242" i="6"/>
  <c r="C242" i="6"/>
  <c r="B242" i="6"/>
  <c r="I241" i="6"/>
  <c r="H241" i="6"/>
  <c r="G241" i="6"/>
  <c r="F241" i="6"/>
  <c r="E241" i="6"/>
  <c r="D241" i="6"/>
  <c r="C241" i="6"/>
  <c r="B241" i="6"/>
  <c r="I240" i="6"/>
  <c r="H240" i="6"/>
  <c r="G240" i="6"/>
  <c r="F240" i="6"/>
  <c r="E240" i="6"/>
  <c r="D240" i="6"/>
  <c r="C240" i="6"/>
  <c r="B240" i="6"/>
  <c r="I239" i="6"/>
  <c r="H239" i="6"/>
  <c r="G239" i="6"/>
  <c r="F239" i="6"/>
  <c r="E239" i="6"/>
  <c r="D239" i="6"/>
  <c r="C239" i="6"/>
  <c r="B239" i="6"/>
  <c r="I238" i="6"/>
  <c r="H238" i="6"/>
  <c r="G238" i="6"/>
  <c r="F238" i="6"/>
  <c r="E238" i="6"/>
  <c r="D238" i="6"/>
  <c r="C238" i="6"/>
  <c r="B238" i="6"/>
  <c r="I237" i="6"/>
  <c r="H237" i="6"/>
  <c r="G237" i="6"/>
  <c r="F237" i="6"/>
  <c r="E237" i="6"/>
  <c r="D237" i="6"/>
  <c r="C237" i="6"/>
  <c r="B237" i="6"/>
  <c r="I236" i="6"/>
  <c r="H236" i="6"/>
  <c r="G236" i="6"/>
  <c r="F236" i="6"/>
  <c r="E236" i="6"/>
  <c r="D236" i="6"/>
  <c r="C236" i="6"/>
  <c r="B236" i="6"/>
  <c r="I235" i="6"/>
  <c r="H235" i="6"/>
  <c r="G235" i="6"/>
  <c r="F235" i="6"/>
  <c r="E235" i="6"/>
  <c r="D235" i="6"/>
  <c r="C235" i="6"/>
  <c r="B235" i="6"/>
  <c r="I234" i="6"/>
  <c r="H234" i="6"/>
  <c r="G234" i="6"/>
  <c r="F234" i="6"/>
  <c r="E234" i="6"/>
  <c r="D234" i="6"/>
  <c r="C234" i="6"/>
  <c r="B234" i="6"/>
  <c r="I233" i="6"/>
  <c r="H233" i="6"/>
  <c r="G233" i="6"/>
  <c r="F233" i="6"/>
  <c r="E233" i="6"/>
  <c r="D233" i="6"/>
  <c r="C233" i="6"/>
  <c r="B233" i="6"/>
  <c r="I232" i="6"/>
  <c r="H232" i="6"/>
  <c r="G232" i="6"/>
  <c r="F232" i="6"/>
  <c r="E232" i="6"/>
  <c r="D232" i="6"/>
  <c r="C232" i="6"/>
  <c r="B232" i="6"/>
  <c r="I231" i="6"/>
  <c r="H231" i="6"/>
  <c r="G231" i="6"/>
  <c r="F231" i="6"/>
  <c r="E231" i="6"/>
  <c r="D231" i="6"/>
  <c r="C231" i="6"/>
  <c r="B231" i="6"/>
  <c r="I230" i="6"/>
  <c r="H230" i="6"/>
  <c r="G230" i="6"/>
  <c r="F230" i="6"/>
  <c r="E230" i="6"/>
  <c r="D230" i="6"/>
  <c r="C230" i="6"/>
  <c r="B230" i="6"/>
  <c r="I229" i="6"/>
  <c r="H229" i="6"/>
  <c r="G229" i="6"/>
  <c r="F229" i="6"/>
  <c r="E229" i="6"/>
  <c r="D229" i="6"/>
  <c r="C229" i="6"/>
  <c r="B229" i="6"/>
  <c r="I228" i="6"/>
  <c r="H228" i="6"/>
  <c r="G228" i="6"/>
  <c r="F228" i="6"/>
  <c r="E228" i="6"/>
  <c r="D228" i="6"/>
  <c r="C228" i="6"/>
  <c r="B228" i="6"/>
  <c r="I227" i="6"/>
  <c r="H227" i="6"/>
  <c r="G227" i="6"/>
  <c r="F227" i="6"/>
  <c r="E227" i="6"/>
  <c r="D227" i="6"/>
  <c r="C227" i="6"/>
  <c r="B227" i="6"/>
  <c r="I226" i="6"/>
  <c r="H226" i="6"/>
  <c r="G226" i="6"/>
  <c r="F226" i="6"/>
  <c r="E226" i="6"/>
  <c r="D226" i="6"/>
  <c r="C226" i="6"/>
  <c r="B226" i="6"/>
  <c r="I225" i="6"/>
  <c r="H225" i="6"/>
  <c r="G225" i="6"/>
  <c r="F225" i="6"/>
  <c r="E225" i="6"/>
  <c r="D225" i="6"/>
  <c r="C225" i="6"/>
  <c r="B225" i="6"/>
  <c r="I224" i="6"/>
  <c r="H224" i="6"/>
  <c r="G224" i="6"/>
  <c r="F224" i="6"/>
  <c r="E224" i="6"/>
  <c r="D224" i="6"/>
  <c r="C224" i="6"/>
  <c r="B224" i="6"/>
  <c r="I223" i="6"/>
  <c r="H223" i="6"/>
  <c r="G223" i="6"/>
  <c r="F223" i="6"/>
  <c r="E223" i="6"/>
  <c r="D223" i="6"/>
  <c r="C223" i="6"/>
  <c r="B223" i="6"/>
  <c r="I222" i="6"/>
  <c r="H222" i="6"/>
  <c r="G222" i="6"/>
  <c r="F222" i="6"/>
  <c r="E222" i="6"/>
  <c r="D222" i="6"/>
  <c r="C222" i="6"/>
  <c r="B222" i="6"/>
  <c r="I221" i="6"/>
  <c r="H221" i="6"/>
  <c r="G221" i="6"/>
  <c r="F221" i="6"/>
  <c r="E221" i="6"/>
  <c r="D221" i="6"/>
  <c r="C221" i="6"/>
  <c r="B221" i="6"/>
  <c r="I220" i="6"/>
  <c r="H220" i="6"/>
  <c r="G220" i="6"/>
  <c r="F220" i="6"/>
  <c r="E220" i="6"/>
  <c r="D220" i="6"/>
  <c r="C220" i="6"/>
  <c r="B220" i="6"/>
  <c r="I219" i="6"/>
  <c r="H219" i="6"/>
  <c r="G219" i="6"/>
  <c r="F219" i="6"/>
  <c r="E219" i="6"/>
  <c r="D219" i="6"/>
  <c r="C219" i="6"/>
  <c r="B219" i="6"/>
  <c r="I218" i="6"/>
  <c r="H218" i="6"/>
  <c r="G218" i="6"/>
  <c r="F218" i="6"/>
  <c r="E218" i="6"/>
  <c r="D218" i="6"/>
  <c r="C218" i="6"/>
  <c r="B218" i="6"/>
  <c r="I217" i="6"/>
  <c r="H217" i="6"/>
  <c r="G217" i="6"/>
  <c r="F217" i="6"/>
  <c r="E217" i="6"/>
  <c r="D217" i="6"/>
  <c r="C217" i="6"/>
  <c r="B217" i="6"/>
  <c r="I216" i="6"/>
  <c r="H216" i="6"/>
  <c r="G216" i="6"/>
  <c r="F216" i="6"/>
  <c r="E216" i="6"/>
  <c r="D216" i="6"/>
  <c r="C216" i="6"/>
  <c r="B216" i="6"/>
  <c r="I215" i="6"/>
  <c r="H215" i="6"/>
  <c r="G215" i="6"/>
  <c r="F215" i="6"/>
  <c r="E215" i="6"/>
  <c r="D215" i="6"/>
  <c r="C215" i="6"/>
  <c r="B215" i="6"/>
  <c r="I214" i="6"/>
  <c r="H214" i="6"/>
  <c r="G214" i="6"/>
  <c r="F214" i="6"/>
  <c r="E214" i="6"/>
  <c r="D214" i="6"/>
  <c r="C214" i="6"/>
  <c r="B214" i="6"/>
  <c r="I213" i="6"/>
  <c r="H213" i="6"/>
  <c r="G213" i="6"/>
  <c r="F213" i="6"/>
  <c r="E213" i="6"/>
  <c r="D213" i="6"/>
  <c r="C213" i="6"/>
  <c r="B213" i="6"/>
  <c r="I212" i="6"/>
  <c r="H212" i="6"/>
  <c r="G212" i="6"/>
  <c r="F212" i="6"/>
  <c r="E212" i="6"/>
  <c r="D212" i="6"/>
  <c r="C212" i="6"/>
  <c r="B212" i="6"/>
  <c r="I211" i="6"/>
  <c r="H211" i="6"/>
  <c r="G211" i="6"/>
  <c r="F211" i="6"/>
  <c r="E211" i="6"/>
  <c r="D211" i="6"/>
  <c r="C211" i="6"/>
  <c r="B211" i="6"/>
  <c r="I210" i="6"/>
  <c r="H210" i="6"/>
  <c r="G210" i="6"/>
  <c r="F210" i="6"/>
  <c r="E210" i="6"/>
  <c r="D210" i="6"/>
  <c r="C210" i="6"/>
  <c r="B210" i="6"/>
  <c r="I209" i="6"/>
  <c r="H209" i="6"/>
  <c r="G209" i="6"/>
  <c r="F209" i="6"/>
  <c r="E209" i="6"/>
  <c r="D209" i="6"/>
  <c r="C209" i="6"/>
  <c r="B209" i="6"/>
  <c r="I208" i="6"/>
  <c r="H208" i="6"/>
  <c r="G208" i="6"/>
  <c r="F208" i="6"/>
  <c r="E208" i="6"/>
  <c r="D208" i="6"/>
  <c r="C208" i="6"/>
  <c r="B208" i="6"/>
  <c r="I207" i="6"/>
  <c r="H207" i="6"/>
  <c r="G207" i="6"/>
  <c r="F207" i="6"/>
  <c r="E207" i="6"/>
  <c r="D207" i="6"/>
  <c r="C207" i="6"/>
  <c r="B207" i="6"/>
  <c r="I206" i="6"/>
  <c r="H206" i="6"/>
  <c r="G206" i="6"/>
  <c r="F206" i="6"/>
  <c r="E206" i="6"/>
  <c r="D206" i="6"/>
  <c r="C206" i="6"/>
  <c r="B206" i="6"/>
  <c r="I205" i="6"/>
  <c r="H205" i="6"/>
  <c r="G205" i="6"/>
  <c r="F205" i="6"/>
  <c r="E205" i="6"/>
  <c r="D205" i="6"/>
  <c r="C205" i="6"/>
  <c r="B205" i="6"/>
  <c r="I204" i="6"/>
  <c r="H204" i="6"/>
  <c r="G204" i="6"/>
  <c r="F204" i="6"/>
  <c r="E204" i="6"/>
  <c r="D204" i="6"/>
  <c r="C204" i="6"/>
  <c r="B204" i="6"/>
  <c r="I203" i="6"/>
  <c r="H203" i="6"/>
  <c r="G203" i="6"/>
  <c r="F203" i="6"/>
  <c r="E203" i="6"/>
  <c r="D203" i="6"/>
  <c r="C203" i="6"/>
  <c r="B203" i="6"/>
  <c r="I202" i="6"/>
  <c r="H202" i="6"/>
  <c r="G202" i="6"/>
  <c r="F202" i="6"/>
  <c r="E202" i="6"/>
  <c r="D202" i="6"/>
  <c r="C202" i="6"/>
  <c r="B202" i="6"/>
  <c r="I201" i="6"/>
  <c r="H201" i="6"/>
  <c r="G201" i="6"/>
  <c r="F201" i="6"/>
  <c r="E201" i="6"/>
  <c r="D201" i="6"/>
  <c r="C201" i="6"/>
  <c r="B201" i="6"/>
  <c r="I200" i="6"/>
  <c r="H200" i="6"/>
  <c r="G200" i="6"/>
  <c r="F200" i="6"/>
  <c r="E200" i="6"/>
  <c r="D200" i="6"/>
  <c r="C200" i="6"/>
  <c r="B200" i="6"/>
  <c r="I199" i="6"/>
  <c r="H199" i="6"/>
  <c r="G199" i="6"/>
  <c r="F199" i="6"/>
  <c r="E199" i="6"/>
  <c r="D199" i="6"/>
  <c r="C199" i="6"/>
  <c r="B199" i="6"/>
  <c r="I198" i="6"/>
  <c r="H198" i="6"/>
  <c r="G198" i="6"/>
  <c r="F198" i="6"/>
  <c r="E198" i="6"/>
  <c r="D198" i="6"/>
  <c r="C198" i="6"/>
  <c r="B198" i="6"/>
  <c r="I197" i="6"/>
  <c r="H197" i="6"/>
  <c r="G197" i="6"/>
  <c r="F197" i="6"/>
  <c r="E197" i="6"/>
  <c r="D197" i="6"/>
  <c r="C197" i="6"/>
  <c r="B197" i="6"/>
  <c r="I196" i="6"/>
  <c r="H196" i="6"/>
  <c r="G196" i="6"/>
  <c r="F196" i="6"/>
  <c r="E196" i="6"/>
  <c r="D196" i="6"/>
  <c r="C196" i="6"/>
  <c r="B196" i="6"/>
  <c r="I195" i="6"/>
  <c r="H195" i="6"/>
  <c r="G195" i="6"/>
  <c r="F195" i="6"/>
  <c r="E195" i="6"/>
  <c r="D195" i="6"/>
  <c r="C195" i="6"/>
  <c r="B195" i="6"/>
  <c r="I194" i="6"/>
  <c r="H194" i="6"/>
  <c r="G194" i="6"/>
  <c r="F194" i="6"/>
  <c r="E194" i="6"/>
  <c r="D194" i="6"/>
  <c r="C194" i="6"/>
  <c r="B194" i="6"/>
  <c r="I193" i="6"/>
  <c r="H193" i="6"/>
  <c r="G193" i="6"/>
  <c r="F193" i="6"/>
  <c r="E193" i="6"/>
  <c r="D193" i="6"/>
  <c r="C193" i="6"/>
  <c r="B193" i="6"/>
  <c r="I192" i="6"/>
  <c r="H192" i="6"/>
  <c r="G192" i="6"/>
  <c r="F192" i="6"/>
  <c r="E192" i="6"/>
  <c r="D192" i="6"/>
  <c r="C192" i="6"/>
  <c r="B192" i="6"/>
  <c r="I191" i="6"/>
  <c r="H191" i="6"/>
  <c r="G191" i="6"/>
  <c r="F191" i="6"/>
  <c r="E191" i="6"/>
  <c r="D191" i="6"/>
  <c r="C191" i="6"/>
  <c r="B191" i="6"/>
  <c r="I190" i="6"/>
  <c r="H190" i="6"/>
  <c r="G190" i="6"/>
  <c r="F190" i="6"/>
  <c r="E190" i="6"/>
  <c r="D190" i="6"/>
  <c r="C190" i="6"/>
  <c r="B190" i="6"/>
  <c r="I189" i="6"/>
  <c r="H189" i="6"/>
  <c r="G189" i="6"/>
  <c r="F189" i="6"/>
  <c r="E189" i="6"/>
  <c r="D189" i="6"/>
  <c r="C189" i="6"/>
  <c r="B189" i="6"/>
  <c r="I188" i="6"/>
  <c r="H188" i="6"/>
  <c r="G188" i="6"/>
  <c r="F188" i="6"/>
  <c r="E188" i="6"/>
  <c r="D188" i="6"/>
  <c r="C188" i="6"/>
  <c r="B188" i="6"/>
  <c r="I187" i="6"/>
  <c r="H187" i="6"/>
  <c r="G187" i="6"/>
  <c r="F187" i="6"/>
  <c r="E187" i="6"/>
  <c r="D187" i="6"/>
  <c r="C187" i="6"/>
  <c r="B187" i="6"/>
  <c r="I186" i="6"/>
  <c r="H186" i="6"/>
  <c r="G186" i="6"/>
  <c r="F186" i="6"/>
  <c r="E186" i="6"/>
  <c r="D186" i="6"/>
  <c r="C186" i="6"/>
  <c r="B186" i="6"/>
  <c r="I185" i="6"/>
  <c r="H185" i="6"/>
  <c r="G185" i="6"/>
  <c r="F185" i="6"/>
  <c r="E185" i="6"/>
  <c r="D185" i="6"/>
  <c r="C185" i="6"/>
  <c r="B185" i="6"/>
  <c r="I184" i="6"/>
  <c r="H184" i="6"/>
  <c r="G184" i="6"/>
  <c r="F184" i="6"/>
  <c r="E184" i="6"/>
  <c r="D184" i="6"/>
  <c r="C184" i="6"/>
  <c r="B184" i="6"/>
  <c r="I183" i="6"/>
  <c r="H183" i="6"/>
  <c r="G183" i="6"/>
  <c r="F183" i="6"/>
  <c r="E183" i="6"/>
  <c r="D183" i="6"/>
  <c r="C183" i="6"/>
  <c r="B183" i="6"/>
  <c r="I182" i="6"/>
  <c r="H182" i="6"/>
  <c r="G182" i="6"/>
  <c r="F182" i="6"/>
  <c r="E182" i="6"/>
  <c r="D182" i="6"/>
  <c r="C182" i="6"/>
  <c r="B182" i="6"/>
  <c r="I181" i="6"/>
  <c r="H181" i="6"/>
  <c r="G181" i="6"/>
  <c r="F181" i="6"/>
  <c r="E181" i="6"/>
  <c r="D181" i="6"/>
  <c r="C181" i="6"/>
  <c r="B181" i="6"/>
  <c r="I180" i="6"/>
  <c r="H180" i="6"/>
  <c r="G180" i="6"/>
  <c r="F180" i="6"/>
  <c r="E180" i="6"/>
  <c r="D180" i="6"/>
  <c r="C180" i="6"/>
  <c r="B180" i="6"/>
  <c r="I179" i="6"/>
  <c r="H179" i="6"/>
  <c r="G179" i="6"/>
  <c r="F179" i="6"/>
  <c r="E179" i="6"/>
  <c r="D179" i="6"/>
  <c r="C179" i="6"/>
  <c r="B179" i="6"/>
  <c r="I178" i="6"/>
  <c r="H178" i="6"/>
  <c r="G178" i="6"/>
  <c r="F178" i="6"/>
  <c r="E178" i="6"/>
  <c r="D178" i="6"/>
  <c r="C178" i="6"/>
  <c r="B178" i="6"/>
  <c r="I177" i="6"/>
  <c r="H177" i="6"/>
  <c r="G177" i="6"/>
  <c r="F177" i="6"/>
  <c r="E177" i="6"/>
  <c r="D177" i="6"/>
  <c r="C177" i="6"/>
  <c r="B177" i="6"/>
  <c r="I176" i="6"/>
  <c r="H176" i="6"/>
  <c r="G176" i="6"/>
  <c r="F176" i="6"/>
  <c r="E176" i="6"/>
  <c r="D176" i="6"/>
  <c r="C176" i="6"/>
  <c r="B176" i="6"/>
  <c r="I175" i="6"/>
  <c r="H175" i="6"/>
  <c r="G175" i="6"/>
  <c r="F175" i="6"/>
  <c r="E175" i="6"/>
  <c r="D175" i="6"/>
  <c r="C175" i="6"/>
  <c r="B175" i="6"/>
  <c r="I174" i="6"/>
  <c r="H174" i="6"/>
  <c r="G174" i="6"/>
  <c r="F174" i="6"/>
  <c r="E174" i="6"/>
  <c r="D174" i="6"/>
  <c r="C174" i="6"/>
  <c r="B174" i="6"/>
  <c r="I173" i="6"/>
  <c r="H173" i="6"/>
  <c r="G173" i="6"/>
  <c r="F173" i="6"/>
  <c r="E173" i="6"/>
  <c r="D173" i="6"/>
  <c r="C173" i="6"/>
  <c r="B173" i="6"/>
  <c r="I172" i="6"/>
  <c r="H172" i="6"/>
  <c r="G172" i="6"/>
  <c r="F172" i="6"/>
  <c r="E172" i="6"/>
  <c r="D172" i="6"/>
  <c r="C172" i="6"/>
  <c r="B172" i="6"/>
  <c r="I171" i="6"/>
  <c r="H171" i="6"/>
  <c r="G171" i="6"/>
  <c r="F171" i="6"/>
  <c r="E171" i="6"/>
  <c r="D171" i="6"/>
  <c r="C171" i="6"/>
  <c r="B171" i="6"/>
  <c r="I170" i="6"/>
  <c r="H170" i="6"/>
  <c r="G170" i="6"/>
  <c r="F170" i="6"/>
  <c r="E170" i="6"/>
  <c r="D170" i="6"/>
  <c r="C170" i="6"/>
  <c r="B170" i="6"/>
  <c r="I169" i="6"/>
  <c r="H169" i="6"/>
  <c r="G169" i="6"/>
  <c r="F169" i="6"/>
  <c r="E169" i="6"/>
  <c r="D169" i="6"/>
  <c r="C169" i="6"/>
  <c r="B169" i="6"/>
  <c r="I168" i="6"/>
  <c r="H168" i="6"/>
  <c r="G168" i="6"/>
  <c r="F168" i="6"/>
  <c r="E168" i="6"/>
  <c r="D168" i="6"/>
  <c r="C168" i="6"/>
  <c r="B168" i="6"/>
  <c r="I167" i="6"/>
  <c r="H167" i="6"/>
  <c r="G167" i="6"/>
  <c r="F167" i="6"/>
  <c r="E167" i="6"/>
  <c r="D167" i="6"/>
  <c r="C167" i="6"/>
  <c r="B167" i="6"/>
  <c r="I166" i="6"/>
  <c r="H166" i="6"/>
  <c r="G166" i="6"/>
  <c r="F166" i="6"/>
  <c r="E166" i="6"/>
  <c r="D166" i="6"/>
  <c r="C166" i="6"/>
  <c r="B166" i="6"/>
  <c r="I165" i="6"/>
  <c r="H165" i="6"/>
  <c r="G165" i="6"/>
  <c r="F165" i="6"/>
  <c r="E165" i="6"/>
  <c r="D165" i="6"/>
  <c r="C165" i="6"/>
  <c r="B165" i="6"/>
  <c r="I164" i="6"/>
  <c r="H164" i="6"/>
  <c r="G164" i="6"/>
  <c r="F164" i="6"/>
  <c r="E164" i="6"/>
  <c r="D164" i="6"/>
  <c r="C164" i="6"/>
  <c r="B164" i="6"/>
  <c r="I163" i="6"/>
  <c r="H163" i="6"/>
  <c r="G163" i="6"/>
  <c r="F163" i="6"/>
  <c r="E163" i="6"/>
  <c r="D163" i="6"/>
  <c r="C163" i="6"/>
  <c r="B163" i="6"/>
  <c r="I162" i="6"/>
  <c r="H162" i="6"/>
  <c r="G162" i="6"/>
  <c r="F162" i="6"/>
  <c r="E162" i="6"/>
  <c r="D162" i="6"/>
  <c r="C162" i="6"/>
  <c r="B162" i="6"/>
  <c r="I161" i="6"/>
  <c r="H161" i="6"/>
  <c r="G161" i="6"/>
  <c r="F161" i="6"/>
  <c r="E161" i="6"/>
  <c r="D161" i="6"/>
  <c r="C161" i="6"/>
  <c r="B161" i="6"/>
  <c r="I160" i="6"/>
  <c r="H160" i="6"/>
  <c r="G160" i="6"/>
  <c r="F160" i="6"/>
  <c r="E160" i="6"/>
  <c r="D160" i="6"/>
  <c r="C160" i="6"/>
  <c r="B160" i="6"/>
  <c r="I159" i="6"/>
  <c r="H159" i="6"/>
  <c r="G159" i="6"/>
  <c r="F159" i="6"/>
  <c r="E159" i="6"/>
  <c r="D159" i="6"/>
  <c r="C159" i="6"/>
  <c r="B159" i="6"/>
  <c r="I158" i="6"/>
  <c r="H158" i="6"/>
  <c r="G158" i="6"/>
  <c r="F158" i="6"/>
  <c r="E158" i="6"/>
  <c r="D158" i="6"/>
  <c r="C158" i="6"/>
  <c r="B158" i="6"/>
  <c r="I157" i="6"/>
  <c r="H157" i="6"/>
  <c r="G157" i="6"/>
  <c r="F157" i="6"/>
  <c r="E157" i="6"/>
  <c r="D157" i="6"/>
  <c r="C157" i="6"/>
  <c r="B157" i="6"/>
  <c r="I156" i="6"/>
  <c r="H156" i="6"/>
  <c r="G156" i="6"/>
  <c r="F156" i="6"/>
  <c r="E156" i="6"/>
  <c r="D156" i="6"/>
  <c r="C156" i="6"/>
  <c r="B156" i="6"/>
  <c r="I155" i="6"/>
  <c r="H155" i="6"/>
  <c r="G155" i="6"/>
  <c r="F155" i="6"/>
  <c r="E155" i="6"/>
  <c r="D155" i="6"/>
  <c r="C155" i="6"/>
  <c r="B155" i="6"/>
  <c r="I154" i="6"/>
  <c r="H154" i="6"/>
  <c r="G154" i="6"/>
  <c r="F154" i="6"/>
  <c r="E154" i="6"/>
  <c r="D154" i="6"/>
  <c r="C154" i="6"/>
  <c r="B154" i="6"/>
  <c r="I153" i="6"/>
  <c r="H153" i="6"/>
  <c r="G153" i="6"/>
  <c r="F153" i="6"/>
  <c r="E153" i="6"/>
  <c r="D153" i="6"/>
  <c r="C153" i="6"/>
  <c r="B153" i="6"/>
  <c r="I152" i="6"/>
  <c r="H152" i="6"/>
  <c r="G152" i="6"/>
  <c r="F152" i="6"/>
  <c r="E152" i="6"/>
  <c r="D152" i="6"/>
  <c r="C152" i="6"/>
  <c r="B152" i="6"/>
  <c r="I151" i="6"/>
  <c r="H151" i="6"/>
  <c r="G151" i="6"/>
  <c r="F151" i="6"/>
  <c r="E151" i="6"/>
  <c r="D151" i="6"/>
  <c r="C151" i="6"/>
  <c r="B151" i="6"/>
  <c r="I150" i="6"/>
  <c r="H150" i="6"/>
  <c r="G150" i="6"/>
  <c r="F150" i="6"/>
  <c r="E150" i="6"/>
  <c r="D150" i="6"/>
  <c r="C150" i="6"/>
  <c r="B150" i="6"/>
  <c r="I149" i="6"/>
  <c r="H149" i="6"/>
  <c r="G149" i="6"/>
  <c r="F149" i="6"/>
  <c r="E149" i="6"/>
  <c r="D149" i="6"/>
  <c r="C149" i="6"/>
  <c r="B149" i="6"/>
  <c r="I148" i="6"/>
  <c r="H148" i="6"/>
  <c r="G148" i="6"/>
  <c r="F148" i="6"/>
  <c r="E148" i="6"/>
  <c r="D148" i="6"/>
  <c r="C148" i="6"/>
  <c r="B148" i="6"/>
  <c r="I147" i="6"/>
  <c r="H147" i="6"/>
  <c r="G147" i="6"/>
  <c r="F147" i="6"/>
  <c r="E147" i="6"/>
  <c r="D147" i="6"/>
  <c r="C147" i="6"/>
  <c r="B147" i="6"/>
  <c r="I146" i="6"/>
  <c r="H146" i="6"/>
  <c r="G146" i="6"/>
  <c r="F146" i="6"/>
  <c r="E146" i="6"/>
  <c r="D146" i="6"/>
  <c r="C146" i="6"/>
  <c r="B146" i="6"/>
  <c r="I145" i="6"/>
  <c r="H145" i="6"/>
  <c r="G145" i="6"/>
  <c r="F145" i="6"/>
  <c r="E145" i="6"/>
  <c r="D145" i="6"/>
  <c r="C145" i="6"/>
  <c r="B145" i="6"/>
  <c r="I144" i="6"/>
  <c r="H144" i="6"/>
  <c r="G144" i="6"/>
  <c r="F144" i="6"/>
  <c r="E144" i="6"/>
  <c r="D144" i="6"/>
  <c r="C144" i="6"/>
  <c r="B144" i="6"/>
  <c r="I143" i="6"/>
  <c r="H143" i="6"/>
  <c r="G143" i="6"/>
  <c r="F143" i="6"/>
  <c r="E143" i="6"/>
  <c r="D143" i="6"/>
  <c r="C143" i="6"/>
  <c r="B143" i="6"/>
  <c r="I142" i="6"/>
  <c r="H142" i="6"/>
  <c r="G142" i="6"/>
  <c r="F142" i="6"/>
  <c r="E142" i="6"/>
  <c r="D142" i="6"/>
  <c r="C142" i="6"/>
  <c r="B142" i="6"/>
  <c r="I141" i="6"/>
  <c r="H141" i="6"/>
  <c r="G141" i="6"/>
  <c r="F141" i="6"/>
  <c r="E141" i="6"/>
  <c r="D141" i="6"/>
  <c r="C141" i="6"/>
  <c r="B141" i="6"/>
  <c r="I140" i="6"/>
  <c r="H140" i="6"/>
  <c r="G140" i="6"/>
  <c r="F140" i="6"/>
  <c r="E140" i="6"/>
  <c r="D140" i="6"/>
  <c r="C140" i="6"/>
  <c r="B140" i="6"/>
  <c r="I139" i="6"/>
  <c r="H139" i="6"/>
  <c r="G139" i="6"/>
  <c r="F139" i="6"/>
  <c r="E139" i="6"/>
  <c r="D139" i="6"/>
  <c r="C139" i="6"/>
  <c r="B139" i="6"/>
  <c r="I138" i="6"/>
  <c r="H138" i="6"/>
  <c r="G138" i="6"/>
  <c r="F138" i="6"/>
  <c r="E138" i="6"/>
  <c r="D138" i="6"/>
  <c r="C138" i="6"/>
  <c r="B138" i="6"/>
  <c r="I137" i="6"/>
  <c r="H137" i="6"/>
  <c r="G137" i="6"/>
  <c r="F137" i="6"/>
  <c r="E137" i="6"/>
  <c r="D137" i="6"/>
  <c r="C137" i="6"/>
  <c r="B137" i="6"/>
  <c r="I136" i="6"/>
  <c r="H136" i="6"/>
  <c r="G136" i="6"/>
  <c r="F136" i="6"/>
  <c r="E136" i="6"/>
  <c r="D136" i="6"/>
  <c r="C136" i="6"/>
  <c r="B136" i="6"/>
  <c r="I135" i="6"/>
  <c r="H135" i="6"/>
  <c r="G135" i="6"/>
  <c r="F135" i="6"/>
  <c r="E135" i="6"/>
  <c r="D135" i="6"/>
  <c r="C135" i="6"/>
  <c r="B135" i="6"/>
  <c r="I134" i="6"/>
  <c r="H134" i="6"/>
  <c r="G134" i="6"/>
  <c r="F134" i="6"/>
  <c r="E134" i="6"/>
  <c r="D134" i="6"/>
  <c r="C134" i="6"/>
  <c r="B134" i="6"/>
  <c r="I133" i="6"/>
  <c r="H133" i="6"/>
  <c r="G133" i="6"/>
  <c r="F133" i="6"/>
  <c r="E133" i="6"/>
  <c r="D133" i="6"/>
  <c r="C133" i="6"/>
  <c r="B133" i="6"/>
  <c r="I132" i="6"/>
  <c r="H132" i="6"/>
  <c r="G132" i="6"/>
  <c r="F132" i="6"/>
  <c r="E132" i="6"/>
  <c r="D132" i="6"/>
  <c r="C132" i="6"/>
  <c r="B132" i="6"/>
  <c r="I131" i="6"/>
  <c r="H131" i="6"/>
  <c r="G131" i="6"/>
  <c r="F131" i="6"/>
  <c r="E131" i="6"/>
  <c r="D131" i="6"/>
  <c r="C131" i="6"/>
  <c r="B131" i="6"/>
  <c r="I130" i="6"/>
  <c r="H130" i="6"/>
  <c r="G130" i="6"/>
  <c r="F130" i="6"/>
  <c r="E130" i="6"/>
  <c r="D130" i="6"/>
  <c r="C130" i="6"/>
  <c r="B130" i="6"/>
  <c r="I129" i="6"/>
  <c r="H129" i="6"/>
  <c r="G129" i="6"/>
  <c r="F129" i="6"/>
  <c r="E129" i="6"/>
  <c r="D129" i="6"/>
  <c r="C129" i="6"/>
  <c r="B129" i="6"/>
  <c r="I128" i="6"/>
  <c r="H128" i="6"/>
  <c r="G128" i="6"/>
  <c r="F128" i="6"/>
  <c r="E128" i="6"/>
  <c r="D128" i="6"/>
  <c r="C128" i="6"/>
  <c r="B128" i="6"/>
  <c r="I127" i="6"/>
  <c r="H127" i="6"/>
  <c r="G127" i="6"/>
  <c r="F127" i="6"/>
  <c r="E127" i="6"/>
  <c r="D127" i="6"/>
  <c r="C127" i="6"/>
  <c r="B127" i="6"/>
  <c r="I126" i="6"/>
  <c r="H126" i="6"/>
  <c r="G126" i="6"/>
  <c r="F126" i="6"/>
  <c r="E126" i="6"/>
  <c r="D126" i="6"/>
  <c r="C126" i="6"/>
  <c r="B126" i="6"/>
  <c r="I125" i="6"/>
  <c r="H125" i="6"/>
  <c r="G125" i="6"/>
  <c r="F125" i="6"/>
  <c r="E125" i="6"/>
  <c r="D125" i="6"/>
  <c r="C125" i="6"/>
  <c r="B125" i="6"/>
  <c r="I124" i="6"/>
  <c r="H124" i="6"/>
  <c r="G124" i="6"/>
  <c r="F124" i="6"/>
  <c r="E124" i="6"/>
  <c r="D124" i="6"/>
  <c r="C124" i="6"/>
  <c r="B124" i="6"/>
  <c r="I123" i="6"/>
  <c r="H123" i="6"/>
  <c r="G123" i="6"/>
  <c r="F123" i="6"/>
  <c r="E123" i="6"/>
  <c r="D123" i="6"/>
  <c r="C123" i="6"/>
  <c r="B123" i="6"/>
  <c r="I122" i="6"/>
  <c r="H122" i="6"/>
  <c r="G122" i="6"/>
  <c r="F122" i="6"/>
  <c r="E122" i="6"/>
  <c r="D122" i="6"/>
  <c r="C122" i="6"/>
  <c r="B122" i="6"/>
  <c r="I121" i="6"/>
  <c r="H121" i="6"/>
  <c r="G121" i="6"/>
  <c r="F121" i="6"/>
  <c r="E121" i="6"/>
  <c r="D121" i="6"/>
  <c r="C121" i="6"/>
  <c r="B121" i="6"/>
  <c r="I120" i="6"/>
  <c r="H120" i="6"/>
  <c r="G120" i="6"/>
  <c r="F120" i="6"/>
  <c r="E120" i="6"/>
  <c r="D120" i="6"/>
  <c r="C120" i="6"/>
  <c r="B120" i="6"/>
  <c r="I119" i="6"/>
  <c r="H119" i="6"/>
  <c r="G119" i="6"/>
  <c r="F119" i="6"/>
  <c r="E119" i="6"/>
  <c r="D119" i="6"/>
  <c r="C119" i="6"/>
  <c r="B119" i="6"/>
  <c r="I118" i="6"/>
  <c r="H118" i="6"/>
  <c r="G118" i="6"/>
  <c r="F118" i="6"/>
  <c r="E118" i="6"/>
  <c r="D118" i="6"/>
  <c r="C118" i="6"/>
  <c r="B118" i="6"/>
  <c r="I117" i="6"/>
  <c r="H117" i="6"/>
  <c r="G117" i="6"/>
  <c r="F117" i="6"/>
  <c r="E117" i="6"/>
  <c r="D117" i="6"/>
  <c r="C117" i="6"/>
  <c r="B117" i="6"/>
  <c r="I116" i="6"/>
  <c r="H116" i="6"/>
  <c r="G116" i="6"/>
  <c r="F116" i="6"/>
  <c r="E116" i="6"/>
  <c r="D116" i="6"/>
  <c r="C116" i="6"/>
  <c r="B116" i="6"/>
  <c r="I115" i="6"/>
  <c r="H115" i="6"/>
  <c r="G115" i="6"/>
  <c r="F115" i="6"/>
  <c r="E115" i="6"/>
  <c r="D115" i="6"/>
  <c r="C115" i="6"/>
  <c r="B115" i="6"/>
  <c r="I114" i="6"/>
  <c r="H114" i="6"/>
  <c r="G114" i="6"/>
  <c r="F114" i="6"/>
  <c r="E114" i="6"/>
  <c r="D114" i="6"/>
  <c r="C114" i="6"/>
  <c r="B114" i="6"/>
  <c r="I113" i="6"/>
  <c r="H113" i="6"/>
  <c r="G113" i="6"/>
  <c r="F113" i="6"/>
  <c r="E113" i="6"/>
  <c r="D113" i="6"/>
  <c r="C113" i="6"/>
  <c r="B113" i="6"/>
  <c r="I112" i="6"/>
  <c r="H112" i="6"/>
  <c r="G112" i="6"/>
  <c r="F112" i="6"/>
  <c r="E112" i="6"/>
  <c r="D112" i="6"/>
  <c r="C112" i="6"/>
  <c r="B112" i="6"/>
  <c r="I111" i="6"/>
  <c r="H111" i="6"/>
  <c r="G111" i="6"/>
  <c r="F111" i="6"/>
  <c r="E111" i="6"/>
  <c r="D111" i="6"/>
  <c r="C111" i="6"/>
  <c r="B111" i="6"/>
  <c r="I110" i="6"/>
  <c r="H110" i="6"/>
  <c r="G110" i="6"/>
  <c r="F110" i="6"/>
  <c r="E110" i="6"/>
  <c r="D110" i="6"/>
  <c r="C110" i="6"/>
  <c r="B110" i="6"/>
  <c r="I109" i="6"/>
  <c r="H109" i="6"/>
  <c r="G109" i="6"/>
  <c r="F109" i="6"/>
  <c r="E109" i="6"/>
  <c r="D109" i="6"/>
  <c r="C109" i="6"/>
  <c r="B109" i="6"/>
  <c r="I108" i="6"/>
  <c r="H108" i="6"/>
  <c r="G108" i="6"/>
  <c r="F108" i="6"/>
  <c r="E108" i="6"/>
  <c r="D108" i="6"/>
  <c r="C108" i="6"/>
  <c r="B108" i="6"/>
  <c r="I107" i="6"/>
  <c r="H107" i="6"/>
  <c r="G107" i="6"/>
  <c r="F107" i="6"/>
  <c r="E107" i="6"/>
  <c r="D107" i="6"/>
  <c r="C107" i="6"/>
  <c r="B107" i="6"/>
  <c r="I106" i="6"/>
  <c r="H106" i="6"/>
  <c r="G106" i="6"/>
  <c r="F106" i="6"/>
  <c r="E106" i="6"/>
  <c r="D106" i="6"/>
  <c r="C106" i="6"/>
  <c r="B106" i="6"/>
  <c r="I105" i="6"/>
  <c r="H105" i="6"/>
  <c r="G105" i="6"/>
  <c r="F105" i="6"/>
  <c r="E105" i="6"/>
  <c r="D105" i="6"/>
  <c r="C105" i="6"/>
  <c r="B105" i="6"/>
  <c r="I104" i="6"/>
  <c r="H104" i="6"/>
  <c r="G104" i="6"/>
  <c r="F104" i="6"/>
  <c r="E104" i="6"/>
  <c r="D104" i="6"/>
  <c r="C104" i="6"/>
  <c r="B104" i="6"/>
  <c r="I103" i="6"/>
  <c r="H103" i="6"/>
  <c r="G103" i="6"/>
  <c r="F103" i="6"/>
  <c r="E103" i="6"/>
  <c r="D103" i="6"/>
  <c r="C103" i="6"/>
  <c r="B103" i="6"/>
  <c r="I102" i="6"/>
  <c r="H102" i="6"/>
  <c r="G102" i="6"/>
  <c r="F102" i="6"/>
  <c r="E102" i="6"/>
  <c r="D102" i="6"/>
  <c r="C102" i="6"/>
  <c r="B102" i="6"/>
  <c r="I101" i="6"/>
  <c r="H101" i="6"/>
  <c r="G101" i="6"/>
  <c r="F101" i="6"/>
  <c r="E101" i="6"/>
  <c r="D101" i="6"/>
  <c r="C101" i="6"/>
  <c r="B101" i="6"/>
  <c r="I100" i="6"/>
  <c r="H100" i="6"/>
  <c r="G100" i="6"/>
  <c r="F100" i="6"/>
  <c r="E100" i="6"/>
  <c r="D100" i="6"/>
  <c r="C100" i="6"/>
  <c r="B100" i="6"/>
  <c r="I99" i="6"/>
  <c r="H99" i="6"/>
  <c r="G99" i="6"/>
  <c r="F99" i="6"/>
  <c r="E99" i="6"/>
  <c r="D99" i="6"/>
  <c r="C99" i="6"/>
  <c r="B99" i="6"/>
  <c r="I98" i="6"/>
  <c r="H98" i="6"/>
  <c r="G98" i="6"/>
  <c r="F98" i="6"/>
  <c r="E98" i="6"/>
  <c r="D98" i="6"/>
  <c r="C98" i="6"/>
  <c r="B98" i="6"/>
  <c r="I97" i="6"/>
  <c r="H97" i="6"/>
  <c r="G97" i="6"/>
  <c r="F97" i="6"/>
  <c r="E97" i="6"/>
  <c r="D97" i="6"/>
  <c r="C97" i="6"/>
  <c r="B97" i="6"/>
  <c r="I96" i="6"/>
  <c r="H96" i="6"/>
  <c r="G96" i="6"/>
  <c r="F96" i="6"/>
  <c r="E96" i="6"/>
  <c r="D96" i="6"/>
  <c r="C96" i="6"/>
  <c r="B96" i="6"/>
  <c r="I95" i="6"/>
  <c r="H95" i="6"/>
  <c r="G95" i="6"/>
  <c r="F95" i="6"/>
  <c r="E95" i="6"/>
  <c r="D95" i="6"/>
  <c r="C95" i="6"/>
  <c r="B95" i="6"/>
  <c r="I94" i="6"/>
  <c r="H94" i="6"/>
  <c r="G94" i="6"/>
  <c r="F94" i="6"/>
  <c r="E94" i="6"/>
  <c r="D94" i="6"/>
  <c r="C94" i="6"/>
  <c r="B94" i="6"/>
  <c r="I93" i="6"/>
  <c r="H93" i="6"/>
  <c r="G93" i="6"/>
  <c r="F93" i="6"/>
  <c r="E93" i="6"/>
  <c r="D93" i="6"/>
  <c r="C93" i="6"/>
  <c r="B93" i="6"/>
  <c r="I92" i="6"/>
  <c r="H92" i="6"/>
  <c r="G92" i="6"/>
  <c r="F92" i="6"/>
  <c r="E92" i="6"/>
  <c r="D92" i="6"/>
  <c r="C92" i="6"/>
  <c r="B92" i="6"/>
  <c r="I91" i="6"/>
  <c r="H91" i="6"/>
  <c r="G91" i="6"/>
  <c r="F91" i="6"/>
  <c r="E91" i="6"/>
  <c r="D91" i="6"/>
  <c r="C91" i="6"/>
  <c r="B91" i="6"/>
  <c r="I90" i="6"/>
  <c r="H90" i="6"/>
  <c r="G90" i="6"/>
  <c r="F90" i="6"/>
  <c r="E90" i="6"/>
  <c r="D90" i="6"/>
  <c r="C90" i="6"/>
  <c r="B90" i="6"/>
  <c r="I89" i="6"/>
  <c r="H89" i="6"/>
  <c r="G89" i="6"/>
  <c r="F89" i="6"/>
  <c r="E89" i="6"/>
  <c r="D89" i="6"/>
  <c r="C89" i="6"/>
  <c r="B89" i="6"/>
  <c r="I88" i="6"/>
  <c r="H88" i="6"/>
  <c r="G88" i="6"/>
  <c r="F88" i="6"/>
  <c r="E88" i="6"/>
  <c r="D88" i="6"/>
  <c r="C88" i="6"/>
  <c r="B88" i="6"/>
  <c r="I87" i="6"/>
  <c r="H87" i="6"/>
  <c r="G87" i="6"/>
  <c r="F87" i="6"/>
  <c r="E87" i="6"/>
  <c r="D87" i="6"/>
  <c r="C87" i="6"/>
  <c r="B87" i="6"/>
  <c r="I86" i="6"/>
  <c r="H86" i="6"/>
  <c r="G86" i="6"/>
  <c r="F86" i="6"/>
  <c r="E86" i="6"/>
  <c r="D86" i="6"/>
  <c r="C86" i="6"/>
  <c r="B86" i="6"/>
  <c r="I85" i="6"/>
  <c r="H85" i="6"/>
  <c r="G85" i="6"/>
  <c r="F85" i="6"/>
  <c r="E85" i="6"/>
  <c r="D85" i="6"/>
  <c r="C85" i="6"/>
  <c r="B85" i="6"/>
  <c r="I84" i="6"/>
  <c r="H84" i="6"/>
  <c r="G84" i="6"/>
  <c r="F84" i="6"/>
  <c r="E84" i="6"/>
  <c r="D84" i="6"/>
  <c r="C84" i="6"/>
  <c r="B84" i="6"/>
  <c r="I83" i="6"/>
  <c r="H83" i="6"/>
  <c r="G83" i="6"/>
  <c r="F83" i="6"/>
  <c r="E83" i="6"/>
  <c r="D83" i="6"/>
  <c r="C83" i="6"/>
  <c r="B83" i="6"/>
  <c r="I82" i="6"/>
  <c r="H82" i="6"/>
  <c r="G82" i="6"/>
  <c r="F82" i="6"/>
  <c r="E82" i="6"/>
  <c r="D82" i="6"/>
  <c r="C82" i="6"/>
  <c r="B82" i="6"/>
  <c r="I81" i="6"/>
  <c r="H81" i="6"/>
  <c r="G81" i="6"/>
  <c r="F81" i="6"/>
  <c r="E81" i="6"/>
  <c r="D81" i="6"/>
  <c r="C81" i="6"/>
  <c r="B81" i="6"/>
  <c r="I80" i="6"/>
  <c r="H80" i="6"/>
  <c r="G80" i="6"/>
  <c r="F80" i="6"/>
  <c r="E80" i="6"/>
  <c r="D80" i="6"/>
  <c r="C80" i="6"/>
  <c r="B80" i="6"/>
  <c r="I79" i="6"/>
  <c r="H79" i="6"/>
  <c r="G79" i="6"/>
  <c r="F79" i="6"/>
  <c r="E79" i="6"/>
  <c r="D79" i="6"/>
  <c r="C79" i="6"/>
  <c r="B79" i="6"/>
  <c r="I78" i="6"/>
  <c r="H78" i="6"/>
  <c r="G78" i="6"/>
  <c r="F78" i="6"/>
  <c r="E78" i="6"/>
  <c r="D78" i="6"/>
  <c r="C78" i="6"/>
  <c r="B78" i="6"/>
  <c r="I77" i="6"/>
  <c r="H77" i="6"/>
  <c r="G77" i="6"/>
  <c r="F77" i="6"/>
  <c r="E77" i="6"/>
  <c r="D77" i="6"/>
  <c r="C77" i="6"/>
  <c r="B77" i="6"/>
  <c r="I76" i="6"/>
  <c r="H76" i="6"/>
  <c r="G76" i="6"/>
  <c r="F76" i="6"/>
  <c r="E76" i="6"/>
  <c r="D76" i="6"/>
  <c r="C76" i="6"/>
  <c r="B76" i="6"/>
  <c r="I75" i="6"/>
  <c r="H75" i="6"/>
  <c r="G75" i="6"/>
  <c r="F75" i="6"/>
  <c r="E75" i="6"/>
  <c r="D75" i="6"/>
  <c r="C75" i="6"/>
  <c r="B75" i="6"/>
  <c r="I74" i="6"/>
  <c r="H74" i="6"/>
  <c r="G74" i="6"/>
  <c r="F74" i="6"/>
  <c r="E74" i="6"/>
  <c r="D74" i="6"/>
  <c r="C74" i="6"/>
  <c r="B74" i="6"/>
  <c r="I73" i="6"/>
  <c r="H73" i="6"/>
  <c r="G73" i="6"/>
  <c r="F73" i="6"/>
  <c r="E73" i="6"/>
  <c r="D73" i="6"/>
  <c r="C73" i="6"/>
  <c r="B73" i="6"/>
  <c r="I72" i="6"/>
  <c r="H72" i="6"/>
  <c r="G72" i="6"/>
  <c r="F72" i="6"/>
  <c r="E72" i="6"/>
  <c r="D72" i="6"/>
  <c r="C72" i="6"/>
  <c r="B72" i="6"/>
  <c r="I71" i="6"/>
  <c r="H71" i="6"/>
  <c r="G71" i="6"/>
  <c r="F71" i="6"/>
  <c r="E71" i="6"/>
  <c r="D71" i="6"/>
  <c r="C71" i="6"/>
  <c r="B71" i="6"/>
  <c r="I70" i="6"/>
  <c r="H70" i="6"/>
  <c r="G70" i="6"/>
  <c r="F70" i="6"/>
  <c r="E70" i="6"/>
  <c r="D70" i="6"/>
  <c r="C70" i="6"/>
  <c r="B70" i="6"/>
  <c r="I69" i="6"/>
  <c r="H69" i="6"/>
  <c r="G69" i="6"/>
  <c r="F69" i="6"/>
  <c r="E69" i="6"/>
  <c r="D69" i="6"/>
  <c r="C69" i="6"/>
  <c r="B69" i="6"/>
  <c r="I68" i="6"/>
  <c r="H68" i="6"/>
  <c r="G68" i="6"/>
  <c r="F68" i="6"/>
  <c r="E68" i="6"/>
  <c r="D68" i="6"/>
  <c r="C68" i="6"/>
  <c r="B68" i="6"/>
  <c r="I67" i="6"/>
  <c r="H67" i="6"/>
  <c r="G67" i="6"/>
  <c r="F67" i="6"/>
  <c r="E67" i="6"/>
  <c r="D67" i="6"/>
  <c r="C67" i="6"/>
  <c r="B67" i="6"/>
  <c r="I66" i="6"/>
  <c r="H66" i="6"/>
  <c r="G66" i="6"/>
  <c r="F66" i="6"/>
  <c r="E66" i="6"/>
  <c r="D66" i="6"/>
  <c r="C66" i="6"/>
  <c r="B66" i="6"/>
  <c r="I65" i="6"/>
  <c r="H65" i="6"/>
  <c r="G65" i="6"/>
  <c r="F65" i="6"/>
  <c r="E65" i="6"/>
  <c r="D65" i="6"/>
  <c r="C65" i="6"/>
  <c r="B65" i="6"/>
  <c r="I64" i="6"/>
  <c r="H64" i="6"/>
  <c r="G64" i="6"/>
  <c r="F64" i="6"/>
  <c r="E64" i="6"/>
  <c r="D64" i="6"/>
  <c r="C64" i="6"/>
  <c r="B64" i="6"/>
  <c r="I63" i="6"/>
  <c r="H63" i="6"/>
  <c r="G63" i="6"/>
  <c r="F63" i="6"/>
  <c r="E63" i="6"/>
  <c r="D63" i="6"/>
  <c r="C63" i="6"/>
  <c r="B63" i="6"/>
  <c r="I62" i="6"/>
  <c r="H62" i="6"/>
  <c r="G62" i="6"/>
  <c r="F62" i="6"/>
  <c r="E62" i="6"/>
  <c r="D62" i="6"/>
  <c r="C62" i="6"/>
  <c r="B62" i="6"/>
  <c r="I61" i="6"/>
  <c r="H61" i="6"/>
  <c r="G61" i="6"/>
  <c r="F61" i="6"/>
  <c r="E61" i="6"/>
  <c r="D61" i="6"/>
  <c r="C61" i="6"/>
  <c r="B61" i="6"/>
  <c r="I60" i="6"/>
  <c r="H60" i="6"/>
  <c r="G60" i="6"/>
  <c r="F60" i="6"/>
  <c r="E60" i="6"/>
  <c r="D60" i="6"/>
  <c r="C60" i="6"/>
  <c r="B60" i="6"/>
  <c r="I59" i="6"/>
  <c r="H59" i="6"/>
  <c r="G59" i="6"/>
  <c r="F59" i="6"/>
  <c r="E59" i="6"/>
  <c r="D59" i="6"/>
  <c r="C59" i="6"/>
  <c r="B59" i="6"/>
  <c r="I58" i="6"/>
  <c r="H58" i="6"/>
  <c r="G58" i="6"/>
  <c r="F58" i="6"/>
  <c r="E58" i="6"/>
  <c r="D58" i="6"/>
  <c r="C58" i="6"/>
  <c r="B58" i="6"/>
  <c r="I57" i="6"/>
  <c r="H57" i="6"/>
  <c r="G57" i="6"/>
  <c r="F57" i="6"/>
  <c r="E57" i="6"/>
  <c r="D57" i="6"/>
  <c r="C57" i="6"/>
  <c r="B57" i="6"/>
  <c r="I56" i="6"/>
  <c r="H56" i="6"/>
  <c r="G56" i="6"/>
  <c r="F56" i="6"/>
  <c r="E56" i="6"/>
  <c r="D56" i="6"/>
  <c r="C56" i="6"/>
  <c r="B56" i="6"/>
  <c r="I55" i="6"/>
  <c r="H55" i="6"/>
  <c r="G55" i="6"/>
  <c r="F55" i="6"/>
  <c r="E55" i="6"/>
  <c r="D55" i="6"/>
  <c r="C55" i="6"/>
  <c r="B55" i="6"/>
  <c r="I54" i="6"/>
  <c r="H54" i="6"/>
  <c r="G54" i="6"/>
  <c r="F54" i="6"/>
  <c r="E54" i="6"/>
  <c r="D54" i="6"/>
  <c r="C54" i="6"/>
  <c r="B54" i="6"/>
  <c r="I53" i="6"/>
  <c r="H53" i="6"/>
  <c r="G53" i="6"/>
  <c r="F53" i="6"/>
  <c r="E53" i="6"/>
  <c r="D53" i="6"/>
  <c r="C53" i="6"/>
  <c r="B53" i="6"/>
  <c r="I52" i="6"/>
  <c r="H52" i="6"/>
  <c r="G52" i="6"/>
  <c r="F52" i="6"/>
  <c r="E52" i="6"/>
  <c r="D52" i="6"/>
  <c r="C52" i="6"/>
  <c r="B52" i="6"/>
  <c r="I51" i="6"/>
  <c r="H51" i="6"/>
  <c r="G51" i="6"/>
  <c r="F51" i="6"/>
  <c r="E51" i="6"/>
  <c r="D51" i="6"/>
  <c r="C51" i="6"/>
  <c r="B51" i="6"/>
  <c r="I50" i="6"/>
  <c r="H50" i="6"/>
  <c r="G50" i="6"/>
  <c r="F50" i="6"/>
  <c r="E50" i="6"/>
  <c r="D50" i="6"/>
  <c r="C50" i="6"/>
  <c r="B50" i="6"/>
  <c r="I49" i="6"/>
  <c r="H49" i="6"/>
  <c r="G49" i="6"/>
  <c r="F49" i="6"/>
  <c r="E49" i="6"/>
  <c r="D49" i="6"/>
  <c r="C49" i="6"/>
  <c r="B49" i="6"/>
  <c r="I48" i="6"/>
  <c r="H48" i="6"/>
  <c r="G48" i="6"/>
  <c r="F48" i="6"/>
  <c r="E48" i="6"/>
  <c r="D48" i="6"/>
  <c r="C48" i="6"/>
  <c r="B48" i="6"/>
  <c r="I47" i="6"/>
  <c r="H47" i="6"/>
  <c r="G47" i="6"/>
  <c r="F47" i="6"/>
  <c r="E47" i="6"/>
  <c r="D47" i="6"/>
  <c r="C47" i="6"/>
  <c r="B47" i="6"/>
  <c r="I46" i="6"/>
  <c r="H46" i="6"/>
  <c r="G46" i="6"/>
  <c r="F46" i="6"/>
  <c r="E46" i="6"/>
  <c r="D46" i="6"/>
  <c r="C46" i="6"/>
  <c r="B46" i="6"/>
  <c r="I45" i="6"/>
  <c r="H45" i="6"/>
  <c r="G45" i="6"/>
  <c r="F45" i="6"/>
  <c r="E45" i="6"/>
  <c r="D45" i="6"/>
  <c r="C45" i="6"/>
  <c r="B45" i="6"/>
  <c r="I44" i="6"/>
  <c r="H44" i="6"/>
  <c r="G44" i="6"/>
  <c r="F44" i="6"/>
  <c r="E44" i="6"/>
  <c r="D44" i="6"/>
  <c r="C44" i="6"/>
  <c r="B44" i="6"/>
  <c r="I43" i="6"/>
  <c r="H43" i="6"/>
  <c r="G43" i="6"/>
  <c r="F43" i="6"/>
  <c r="E43" i="6"/>
  <c r="D43" i="6"/>
  <c r="C43" i="6"/>
  <c r="B43" i="6"/>
  <c r="I42" i="6"/>
  <c r="H42" i="6"/>
  <c r="G42" i="6"/>
  <c r="F42" i="6"/>
  <c r="E42" i="6"/>
  <c r="D42" i="6"/>
  <c r="C42" i="6"/>
  <c r="B42" i="6"/>
  <c r="I41" i="6"/>
  <c r="H41" i="6"/>
  <c r="G41" i="6"/>
  <c r="F41" i="6"/>
  <c r="E41" i="6"/>
  <c r="D41" i="6"/>
  <c r="C41" i="6"/>
  <c r="B41" i="6"/>
  <c r="I40" i="6"/>
  <c r="H40" i="6"/>
  <c r="G40" i="6"/>
  <c r="F40" i="6"/>
  <c r="E40" i="6"/>
  <c r="D40" i="6"/>
  <c r="C40" i="6"/>
  <c r="B40" i="6"/>
  <c r="I39" i="6"/>
  <c r="H39" i="6"/>
  <c r="G39" i="6"/>
  <c r="F39" i="6"/>
  <c r="E39" i="6"/>
  <c r="D39" i="6"/>
  <c r="C39" i="6"/>
  <c r="B39" i="6"/>
  <c r="I38" i="6"/>
  <c r="H38" i="6"/>
  <c r="G38" i="6"/>
  <c r="F38" i="6"/>
  <c r="E38" i="6"/>
  <c r="D38" i="6"/>
  <c r="C38" i="6"/>
  <c r="B38" i="6"/>
  <c r="I37" i="6"/>
  <c r="H37" i="6"/>
  <c r="G37" i="6"/>
  <c r="F37" i="6"/>
  <c r="E37" i="6"/>
  <c r="D37" i="6"/>
  <c r="C37" i="6"/>
  <c r="B37" i="6"/>
  <c r="I36" i="6"/>
  <c r="H36" i="6"/>
  <c r="G36" i="6"/>
  <c r="F36" i="6"/>
  <c r="E36" i="6"/>
  <c r="D36" i="6"/>
  <c r="C36" i="6"/>
  <c r="B36" i="6"/>
  <c r="I35" i="6"/>
  <c r="H35" i="6"/>
  <c r="G35" i="6"/>
  <c r="F35" i="6"/>
  <c r="E35" i="6"/>
  <c r="D35" i="6"/>
  <c r="C35" i="6"/>
  <c r="B35" i="6"/>
  <c r="I34" i="6"/>
  <c r="H34" i="6"/>
  <c r="G34" i="6"/>
  <c r="F34" i="6"/>
  <c r="E34" i="6"/>
  <c r="D34" i="6"/>
  <c r="C34" i="6"/>
  <c r="B34" i="6"/>
  <c r="I33" i="6"/>
  <c r="H33" i="6"/>
  <c r="G33" i="6"/>
  <c r="F33" i="6"/>
  <c r="E33" i="6"/>
  <c r="D33" i="6"/>
  <c r="C33" i="6"/>
  <c r="B33" i="6"/>
  <c r="I32" i="6"/>
  <c r="H32" i="6"/>
  <c r="G32" i="6"/>
  <c r="F32" i="6"/>
  <c r="E32" i="6"/>
  <c r="D32" i="6"/>
  <c r="C32" i="6"/>
  <c r="B32" i="6"/>
  <c r="I31" i="6"/>
  <c r="H31" i="6"/>
  <c r="G31" i="6"/>
  <c r="F31" i="6"/>
  <c r="E31" i="6"/>
  <c r="D31" i="6"/>
  <c r="C31" i="6"/>
  <c r="B31" i="6"/>
  <c r="I30" i="6"/>
  <c r="H30" i="6"/>
  <c r="G30" i="6"/>
  <c r="F30" i="6"/>
  <c r="E30" i="6"/>
  <c r="D30" i="6"/>
  <c r="C30" i="6"/>
  <c r="B30" i="6"/>
  <c r="I29" i="6"/>
  <c r="H29" i="6"/>
  <c r="G29" i="6"/>
  <c r="F29" i="6"/>
  <c r="E29" i="6"/>
  <c r="D29" i="6"/>
  <c r="C29" i="6"/>
  <c r="B29" i="6"/>
  <c r="I28" i="6"/>
  <c r="H28" i="6"/>
  <c r="G28" i="6"/>
  <c r="F28" i="6"/>
  <c r="E28" i="6"/>
  <c r="D28" i="6"/>
  <c r="C28" i="6"/>
  <c r="B28" i="6"/>
  <c r="I27" i="6"/>
  <c r="H27" i="6"/>
  <c r="G27" i="6"/>
  <c r="F27" i="6"/>
  <c r="E27" i="6"/>
  <c r="D27" i="6"/>
  <c r="C27" i="6"/>
  <c r="B27" i="6"/>
  <c r="I26" i="6"/>
  <c r="H26" i="6"/>
  <c r="G26" i="6"/>
  <c r="F26" i="6"/>
  <c r="E26" i="6"/>
  <c r="D26" i="6"/>
  <c r="C26" i="6"/>
  <c r="B26" i="6"/>
  <c r="I25" i="6"/>
  <c r="H25" i="6"/>
  <c r="G25" i="6"/>
  <c r="F25" i="6"/>
  <c r="E25" i="6"/>
  <c r="D25" i="6"/>
  <c r="C25" i="6"/>
  <c r="B25" i="6"/>
  <c r="I24" i="6"/>
  <c r="H24" i="6"/>
  <c r="G24" i="6"/>
  <c r="F24" i="6"/>
  <c r="E24" i="6"/>
  <c r="D24" i="6"/>
  <c r="C24" i="6"/>
  <c r="B24" i="6"/>
  <c r="I23" i="6"/>
  <c r="H23" i="6"/>
  <c r="G23" i="6"/>
  <c r="F23" i="6"/>
  <c r="E23" i="6"/>
  <c r="D23" i="6"/>
  <c r="C23" i="6"/>
  <c r="B23" i="6"/>
  <c r="I22" i="6"/>
  <c r="H22" i="6"/>
  <c r="G22" i="6"/>
  <c r="F22" i="6"/>
  <c r="E22" i="6"/>
  <c r="D22" i="6"/>
  <c r="C22" i="6"/>
  <c r="B22" i="6"/>
  <c r="I21" i="6"/>
  <c r="H21" i="6"/>
  <c r="G21" i="6"/>
  <c r="F21" i="6"/>
  <c r="E21" i="6"/>
  <c r="D21" i="6"/>
  <c r="C21" i="6"/>
  <c r="B21" i="6"/>
  <c r="I20" i="6"/>
  <c r="H20" i="6"/>
  <c r="G20" i="6"/>
  <c r="F20" i="6"/>
  <c r="E20" i="6"/>
  <c r="D20" i="6"/>
  <c r="C20" i="6"/>
  <c r="B20" i="6"/>
  <c r="I19" i="6"/>
  <c r="H19" i="6"/>
  <c r="G19" i="6"/>
  <c r="F19" i="6"/>
  <c r="E19" i="6"/>
  <c r="D19" i="6"/>
  <c r="C19" i="6"/>
  <c r="B19" i="6"/>
  <c r="I18" i="6"/>
  <c r="H18" i="6"/>
  <c r="G18" i="6"/>
  <c r="F18" i="6"/>
  <c r="E18" i="6"/>
  <c r="D18" i="6"/>
  <c r="C18" i="6"/>
  <c r="B18" i="6"/>
  <c r="I17" i="6"/>
  <c r="H17" i="6"/>
  <c r="G17" i="6"/>
  <c r="F17" i="6"/>
  <c r="E17" i="6"/>
  <c r="D17" i="6"/>
  <c r="C17" i="6"/>
  <c r="B17" i="6"/>
  <c r="I16" i="6"/>
  <c r="H16" i="6"/>
  <c r="G16" i="6"/>
  <c r="F16" i="6"/>
  <c r="E16" i="6"/>
  <c r="D16" i="6"/>
  <c r="C16" i="6"/>
  <c r="B16" i="6"/>
  <c r="I15" i="6"/>
  <c r="H15" i="6"/>
  <c r="G15" i="6"/>
  <c r="F15" i="6"/>
  <c r="E15" i="6"/>
  <c r="D15" i="6"/>
  <c r="C15" i="6"/>
  <c r="B15" i="6"/>
  <c r="I14" i="6"/>
  <c r="H14" i="6"/>
  <c r="G14" i="6"/>
  <c r="F14" i="6"/>
  <c r="E14" i="6"/>
  <c r="D14" i="6"/>
  <c r="C14" i="6"/>
  <c r="B14" i="6"/>
  <c r="I13" i="6"/>
  <c r="H13" i="6"/>
  <c r="G13" i="6"/>
  <c r="F13" i="6"/>
  <c r="E13" i="6"/>
  <c r="D13" i="6"/>
  <c r="C13" i="6"/>
  <c r="B13" i="6"/>
  <c r="I12" i="6"/>
  <c r="H12" i="6"/>
  <c r="G12" i="6"/>
  <c r="F12" i="6"/>
  <c r="E12" i="6"/>
  <c r="D12" i="6"/>
  <c r="C12" i="6"/>
  <c r="B12" i="6"/>
  <c r="I11" i="6"/>
  <c r="H11" i="6"/>
  <c r="G11" i="6"/>
  <c r="F11" i="6"/>
  <c r="E11" i="6"/>
  <c r="D11" i="6"/>
  <c r="C11" i="6"/>
  <c r="B11" i="6"/>
  <c r="I10" i="6"/>
  <c r="H10" i="6"/>
  <c r="G10" i="6"/>
  <c r="F10" i="6"/>
  <c r="E10" i="6"/>
  <c r="D10" i="6"/>
  <c r="C10" i="6"/>
  <c r="B10" i="6"/>
  <c r="I9" i="6"/>
  <c r="H9" i="6"/>
  <c r="G9" i="6"/>
  <c r="F9" i="6"/>
  <c r="E9" i="6"/>
  <c r="D9" i="6"/>
  <c r="C9" i="6"/>
  <c r="B9" i="6"/>
  <c r="I8" i="6"/>
  <c r="H8" i="6"/>
  <c r="G8" i="6"/>
  <c r="F8" i="6"/>
  <c r="E8" i="6"/>
  <c r="D8" i="6"/>
  <c r="C8" i="6"/>
  <c r="B8" i="6"/>
  <c r="I7" i="6"/>
  <c r="H7" i="6"/>
  <c r="G7" i="6"/>
  <c r="F7" i="6"/>
  <c r="E7" i="6"/>
  <c r="D7" i="6"/>
  <c r="C7" i="6"/>
  <c r="B7" i="6"/>
  <c r="I6" i="6"/>
  <c r="H6" i="6"/>
  <c r="G6" i="6"/>
  <c r="F6" i="6"/>
  <c r="E6" i="6"/>
  <c r="D6" i="6"/>
  <c r="C6" i="6"/>
  <c r="B6" i="6"/>
  <c r="I5" i="6"/>
  <c r="H5" i="6"/>
  <c r="G5" i="6"/>
  <c r="F5" i="6"/>
  <c r="E5" i="6"/>
  <c r="D5" i="6"/>
  <c r="C5" i="6"/>
  <c r="B5" i="6"/>
  <c r="I4" i="6"/>
  <c r="H4" i="6"/>
  <c r="G4" i="6"/>
  <c r="F4" i="6"/>
  <c r="E4" i="6"/>
  <c r="D4" i="6"/>
  <c r="C4" i="6"/>
  <c r="B4" i="6"/>
  <c r="I3" i="6"/>
  <c r="H3" i="6"/>
  <c r="G3" i="6"/>
  <c r="F3" i="6"/>
  <c r="E3" i="6"/>
  <c r="D3" i="6"/>
  <c r="C3" i="6"/>
  <c r="B3" i="6"/>
  <c r="L1805" i="5"/>
  <c r="K1805" i="5"/>
  <c r="J1805" i="5"/>
  <c r="H1805" i="5"/>
  <c r="G1805" i="5"/>
  <c r="F1805" i="5"/>
  <c r="E1805" i="5"/>
  <c r="D1805" i="5"/>
  <c r="L1804" i="5"/>
  <c r="K1804" i="5"/>
  <c r="J1804" i="5"/>
  <c r="H1804" i="5"/>
  <c r="G1804" i="5"/>
  <c r="F1804" i="5"/>
  <c r="E1804" i="5"/>
  <c r="D1804" i="5"/>
  <c r="L1803" i="5"/>
  <c r="K1803" i="5"/>
  <c r="J1803" i="5"/>
  <c r="H1803" i="5"/>
  <c r="G1803" i="5"/>
  <c r="F1803" i="5"/>
  <c r="E1803" i="5"/>
  <c r="D1803" i="5"/>
  <c r="L1802" i="5"/>
  <c r="K1802" i="5"/>
  <c r="J1802" i="5"/>
  <c r="H1802" i="5"/>
  <c r="G1802" i="5"/>
  <c r="F1802" i="5"/>
  <c r="E1802" i="5"/>
  <c r="D1802" i="5"/>
  <c r="L1801" i="5"/>
  <c r="K1801" i="5"/>
  <c r="J1801" i="5"/>
  <c r="H1801" i="5"/>
  <c r="G1801" i="5"/>
  <c r="F1801" i="5"/>
  <c r="E1801" i="5"/>
  <c r="D1801" i="5"/>
  <c r="L1800" i="5"/>
  <c r="K1800" i="5"/>
  <c r="J1800" i="5"/>
  <c r="H1800" i="5"/>
  <c r="G1800" i="5"/>
  <c r="F1800" i="5"/>
  <c r="E1800" i="5"/>
  <c r="D1800" i="5"/>
  <c r="L1799" i="5"/>
  <c r="K1799" i="5"/>
  <c r="J1799" i="5"/>
  <c r="H1799" i="5"/>
  <c r="G1799" i="5"/>
  <c r="F1799" i="5"/>
  <c r="E1799" i="5"/>
  <c r="D1799" i="5"/>
  <c r="L1798" i="5"/>
  <c r="K1798" i="5"/>
  <c r="J1798" i="5"/>
  <c r="H1798" i="5"/>
  <c r="G1798" i="5"/>
  <c r="F1798" i="5"/>
  <c r="E1798" i="5"/>
  <c r="D1798" i="5"/>
  <c r="L1797" i="5"/>
  <c r="K1797" i="5"/>
  <c r="J1797" i="5"/>
  <c r="H1797" i="5"/>
  <c r="G1797" i="5"/>
  <c r="F1797" i="5"/>
  <c r="E1797" i="5"/>
  <c r="D1797" i="5"/>
  <c r="L1796" i="5"/>
  <c r="K1796" i="5"/>
  <c r="J1796" i="5"/>
  <c r="H1796" i="5"/>
  <c r="G1796" i="5"/>
  <c r="F1796" i="5"/>
  <c r="E1796" i="5"/>
  <c r="D1796" i="5"/>
  <c r="L1795" i="5"/>
  <c r="K1795" i="5"/>
  <c r="J1795" i="5"/>
  <c r="H1795" i="5"/>
  <c r="G1795" i="5"/>
  <c r="F1795" i="5"/>
  <c r="E1795" i="5"/>
  <c r="D1795" i="5"/>
  <c r="L1794" i="5"/>
  <c r="K1794" i="5"/>
  <c r="J1794" i="5"/>
  <c r="H1794" i="5"/>
  <c r="G1794" i="5"/>
  <c r="F1794" i="5"/>
  <c r="E1794" i="5"/>
  <c r="D1794" i="5"/>
  <c r="L1793" i="5"/>
  <c r="K1793" i="5"/>
  <c r="J1793" i="5"/>
  <c r="H1793" i="5"/>
  <c r="G1793" i="5"/>
  <c r="F1793" i="5"/>
  <c r="E1793" i="5"/>
  <c r="D1793" i="5"/>
  <c r="L1792" i="5"/>
  <c r="K1792" i="5"/>
  <c r="J1792" i="5"/>
  <c r="H1792" i="5"/>
  <c r="G1792" i="5"/>
  <c r="F1792" i="5"/>
  <c r="E1792" i="5"/>
  <c r="D1792" i="5"/>
  <c r="L1791" i="5"/>
  <c r="K1791" i="5"/>
  <c r="J1791" i="5"/>
  <c r="H1791" i="5"/>
  <c r="G1791" i="5"/>
  <c r="F1791" i="5"/>
  <c r="E1791" i="5"/>
  <c r="D1791" i="5"/>
  <c r="L1790" i="5"/>
  <c r="K1790" i="5"/>
  <c r="J1790" i="5"/>
  <c r="H1790" i="5"/>
  <c r="G1790" i="5"/>
  <c r="F1790" i="5"/>
  <c r="E1790" i="5"/>
  <c r="D1790" i="5"/>
  <c r="L1789" i="5"/>
  <c r="K1789" i="5"/>
  <c r="J1789" i="5"/>
  <c r="H1789" i="5"/>
  <c r="G1789" i="5"/>
  <c r="F1789" i="5"/>
  <c r="E1789" i="5"/>
  <c r="D1789" i="5"/>
  <c r="L1788" i="5"/>
  <c r="K1788" i="5"/>
  <c r="J1788" i="5"/>
  <c r="H1788" i="5"/>
  <c r="G1788" i="5"/>
  <c r="F1788" i="5"/>
  <c r="E1788" i="5"/>
  <c r="D1788" i="5"/>
  <c r="L1787" i="5"/>
  <c r="K1787" i="5"/>
  <c r="J1787" i="5"/>
  <c r="H1787" i="5"/>
  <c r="G1787" i="5"/>
  <c r="F1787" i="5"/>
  <c r="E1787" i="5"/>
  <c r="D1787" i="5"/>
  <c r="L1786" i="5"/>
  <c r="K1786" i="5"/>
  <c r="J1786" i="5"/>
  <c r="H1786" i="5"/>
  <c r="G1786" i="5"/>
  <c r="F1786" i="5"/>
  <c r="E1786" i="5"/>
  <c r="D1786" i="5"/>
  <c r="L1785" i="5"/>
  <c r="K1785" i="5"/>
  <c r="J1785" i="5"/>
  <c r="H1785" i="5"/>
  <c r="G1785" i="5"/>
  <c r="F1785" i="5"/>
  <c r="E1785" i="5"/>
  <c r="D1785" i="5"/>
  <c r="L1784" i="5"/>
  <c r="K1784" i="5"/>
  <c r="J1784" i="5"/>
  <c r="H1784" i="5"/>
  <c r="G1784" i="5"/>
  <c r="F1784" i="5"/>
  <c r="E1784" i="5"/>
  <c r="D1784" i="5"/>
  <c r="L1783" i="5"/>
  <c r="K1783" i="5"/>
  <c r="J1783" i="5"/>
  <c r="H1783" i="5"/>
  <c r="G1783" i="5"/>
  <c r="F1783" i="5"/>
  <c r="E1783" i="5"/>
  <c r="D1783" i="5"/>
  <c r="L1782" i="5"/>
  <c r="K1782" i="5"/>
  <c r="J1782" i="5"/>
  <c r="H1782" i="5"/>
  <c r="G1782" i="5"/>
  <c r="F1782" i="5"/>
  <c r="E1782" i="5"/>
  <c r="D1782" i="5"/>
  <c r="L1781" i="5"/>
  <c r="K1781" i="5"/>
  <c r="J1781" i="5"/>
  <c r="H1781" i="5"/>
  <c r="G1781" i="5"/>
  <c r="F1781" i="5"/>
  <c r="E1781" i="5"/>
  <c r="D1781" i="5"/>
  <c r="L1780" i="5"/>
  <c r="K1780" i="5"/>
  <c r="J1780" i="5"/>
  <c r="H1780" i="5"/>
  <c r="G1780" i="5"/>
  <c r="F1780" i="5"/>
  <c r="E1780" i="5"/>
  <c r="D1780" i="5"/>
  <c r="L1779" i="5"/>
  <c r="K1779" i="5"/>
  <c r="J1779" i="5"/>
  <c r="H1779" i="5"/>
  <c r="G1779" i="5"/>
  <c r="F1779" i="5"/>
  <c r="E1779" i="5"/>
  <c r="D1779" i="5"/>
  <c r="L1778" i="5"/>
  <c r="K1778" i="5"/>
  <c r="J1778" i="5"/>
  <c r="H1778" i="5"/>
  <c r="G1778" i="5"/>
  <c r="F1778" i="5"/>
  <c r="E1778" i="5"/>
  <c r="D1778" i="5"/>
  <c r="L1777" i="5"/>
  <c r="K1777" i="5"/>
  <c r="J1777" i="5"/>
  <c r="H1777" i="5"/>
  <c r="G1777" i="5"/>
  <c r="F1777" i="5"/>
  <c r="E1777" i="5"/>
  <c r="D1777" i="5"/>
  <c r="L1776" i="5"/>
  <c r="K1776" i="5"/>
  <c r="J1776" i="5"/>
  <c r="H1776" i="5"/>
  <c r="G1776" i="5"/>
  <c r="F1776" i="5"/>
  <c r="E1776" i="5"/>
  <c r="D1776" i="5"/>
  <c r="L1775" i="5"/>
  <c r="K1775" i="5"/>
  <c r="J1775" i="5"/>
  <c r="H1775" i="5"/>
  <c r="G1775" i="5"/>
  <c r="F1775" i="5"/>
  <c r="E1775" i="5"/>
  <c r="D1775" i="5"/>
  <c r="L1774" i="5"/>
  <c r="K1774" i="5"/>
  <c r="J1774" i="5"/>
  <c r="H1774" i="5"/>
  <c r="G1774" i="5"/>
  <c r="F1774" i="5"/>
  <c r="E1774" i="5"/>
  <c r="D1774" i="5"/>
  <c r="L1773" i="5"/>
  <c r="K1773" i="5"/>
  <c r="J1773" i="5"/>
  <c r="H1773" i="5"/>
  <c r="G1773" i="5"/>
  <c r="F1773" i="5"/>
  <c r="E1773" i="5"/>
  <c r="D1773" i="5"/>
  <c r="L1772" i="5"/>
  <c r="K1772" i="5"/>
  <c r="J1772" i="5"/>
  <c r="H1772" i="5"/>
  <c r="G1772" i="5"/>
  <c r="F1772" i="5"/>
  <c r="E1772" i="5"/>
  <c r="D1772" i="5"/>
  <c r="L1771" i="5"/>
  <c r="K1771" i="5"/>
  <c r="J1771" i="5"/>
  <c r="H1771" i="5"/>
  <c r="G1771" i="5"/>
  <c r="F1771" i="5"/>
  <c r="E1771" i="5"/>
  <c r="D1771" i="5"/>
  <c r="L1770" i="5"/>
  <c r="K1770" i="5"/>
  <c r="J1770" i="5"/>
  <c r="H1770" i="5"/>
  <c r="G1770" i="5"/>
  <c r="F1770" i="5"/>
  <c r="E1770" i="5"/>
  <c r="D1770" i="5"/>
  <c r="L1769" i="5"/>
  <c r="K1769" i="5"/>
  <c r="J1769" i="5"/>
  <c r="H1769" i="5"/>
  <c r="G1769" i="5"/>
  <c r="F1769" i="5"/>
  <c r="E1769" i="5"/>
  <c r="D1769" i="5"/>
  <c r="L1768" i="5"/>
  <c r="K1768" i="5"/>
  <c r="J1768" i="5"/>
  <c r="H1768" i="5"/>
  <c r="G1768" i="5"/>
  <c r="F1768" i="5"/>
  <c r="E1768" i="5"/>
  <c r="D1768" i="5"/>
  <c r="L1767" i="5"/>
  <c r="K1767" i="5"/>
  <c r="J1767" i="5"/>
  <c r="H1767" i="5"/>
  <c r="G1767" i="5"/>
  <c r="F1767" i="5"/>
  <c r="E1767" i="5"/>
  <c r="D1767" i="5"/>
  <c r="L1766" i="5"/>
  <c r="K1766" i="5"/>
  <c r="J1766" i="5"/>
  <c r="H1766" i="5"/>
  <c r="G1766" i="5"/>
  <c r="F1766" i="5"/>
  <c r="E1766" i="5"/>
  <c r="D1766" i="5"/>
  <c r="L1765" i="5"/>
  <c r="K1765" i="5"/>
  <c r="J1765" i="5"/>
  <c r="H1765" i="5"/>
  <c r="G1765" i="5"/>
  <c r="F1765" i="5"/>
  <c r="E1765" i="5"/>
  <c r="D1765" i="5"/>
  <c r="L1764" i="5"/>
  <c r="K1764" i="5"/>
  <c r="J1764" i="5"/>
  <c r="H1764" i="5"/>
  <c r="G1764" i="5"/>
  <c r="F1764" i="5"/>
  <c r="E1764" i="5"/>
  <c r="D1764" i="5"/>
  <c r="L1763" i="5"/>
  <c r="K1763" i="5"/>
  <c r="J1763" i="5"/>
  <c r="H1763" i="5"/>
  <c r="G1763" i="5"/>
  <c r="F1763" i="5"/>
  <c r="E1763" i="5"/>
  <c r="D1763" i="5"/>
  <c r="L1762" i="5"/>
  <c r="K1762" i="5"/>
  <c r="J1762" i="5"/>
  <c r="H1762" i="5"/>
  <c r="G1762" i="5"/>
  <c r="F1762" i="5"/>
  <c r="E1762" i="5"/>
  <c r="D1762" i="5"/>
  <c r="L1761" i="5"/>
  <c r="K1761" i="5"/>
  <c r="J1761" i="5"/>
  <c r="H1761" i="5"/>
  <c r="G1761" i="5"/>
  <c r="F1761" i="5"/>
  <c r="E1761" i="5"/>
  <c r="D1761" i="5"/>
  <c r="L1760" i="5"/>
  <c r="K1760" i="5"/>
  <c r="J1760" i="5"/>
  <c r="H1760" i="5"/>
  <c r="G1760" i="5"/>
  <c r="F1760" i="5"/>
  <c r="E1760" i="5"/>
  <c r="D1760" i="5"/>
  <c r="L1759" i="5"/>
  <c r="K1759" i="5"/>
  <c r="J1759" i="5"/>
  <c r="H1759" i="5"/>
  <c r="G1759" i="5"/>
  <c r="F1759" i="5"/>
  <c r="E1759" i="5"/>
  <c r="D1759" i="5"/>
  <c r="L1758" i="5"/>
  <c r="K1758" i="5"/>
  <c r="J1758" i="5"/>
  <c r="H1758" i="5"/>
  <c r="G1758" i="5"/>
  <c r="F1758" i="5"/>
  <c r="E1758" i="5"/>
  <c r="D1758" i="5"/>
  <c r="L1757" i="5"/>
  <c r="K1757" i="5"/>
  <c r="J1757" i="5"/>
  <c r="H1757" i="5"/>
  <c r="G1757" i="5"/>
  <c r="F1757" i="5"/>
  <c r="E1757" i="5"/>
  <c r="D1757" i="5"/>
  <c r="L1756" i="5"/>
  <c r="K1756" i="5"/>
  <c r="J1756" i="5"/>
  <c r="H1756" i="5"/>
  <c r="G1756" i="5"/>
  <c r="F1756" i="5"/>
  <c r="E1756" i="5"/>
  <c r="D1756" i="5"/>
  <c r="L1755" i="5"/>
  <c r="K1755" i="5"/>
  <c r="J1755" i="5"/>
  <c r="H1755" i="5"/>
  <c r="G1755" i="5"/>
  <c r="F1755" i="5"/>
  <c r="E1755" i="5"/>
  <c r="D1755" i="5"/>
  <c r="L1754" i="5"/>
  <c r="K1754" i="5"/>
  <c r="J1754" i="5"/>
  <c r="H1754" i="5"/>
  <c r="G1754" i="5"/>
  <c r="F1754" i="5"/>
  <c r="E1754" i="5"/>
  <c r="D1754" i="5"/>
  <c r="L1753" i="5"/>
  <c r="K1753" i="5"/>
  <c r="J1753" i="5"/>
  <c r="H1753" i="5"/>
  <c r="G1753" i="5"/>
  <c r="F1753" i="5"/>
  <c r="E1753" i="5"/>
  <c r="D1753" i="5"/>
  <c r="L1752" i="5"/>
  <c r="K1752" i="5"/>
  <c r="J1752" i="5"/>
  <c r="H1752" i="5"/>
  <c r="G1752" i="5"/>
  <c r="F1752" i="5"/>
  <c r="E1752" i="5"/>
  <c r="D1752" i="5"/>
  <c r="L1751" i="5"/>
  <c r="K1751" i="5"/>
  <c r="J1751" i="5"/>
  <c r="H1751" i="5"/>
  <c r="G1751" i="5"/>
  <c r="F1751" i="5"/>
  <c r="E1751" i="5"/>
  <c r="D1751" i="5"/>
  <c r="L1750" i="5"/>
  <c r="K1750" i="5"/>
  <c r="J1750" i="5"/>
  <c r="H1750" i="5"/>
  <c r="G1750" i="5"/>
  <c r="F1750" i="5"/>
  <c r="E1750" i="5"/>
  <c r="D1750" i="5"/>
  <c r="L1749" i="5"/>
  <c r="K1749" i="5"/>
  <c r="J1749" i="5"/>
  <c r="H1749" i="5"/>
  <c r="G1749" i="5"/>
  <c r="F1749" i="5"/>
  <c r="E1749" i="5"/>
  <c r="D1749" i="5"/>
  <c r="L1748" i="5"/>
  <c r="K1748" i="5"/>
  <c r="J1748" i="5"/>
  <c r="H1748" i="5"/>
  <c r="G1748" i="5"/>
  <c r="F1748" i="5"/>
  <c r="E1748" i="5"/>
  <c r="D1748" i="5"/>
  <c r="L1747" i="5"/>
  <c r="K1747" i="5"/>
  <c r="J1747" i="5"/>
  <c r="H1747" i="5"/>
  <c r="G1747" i="5"/>
  <c r="F1747" i="5"/>
  <c r="E1747" i="5"/>
  <c r="D1747" i="5"/>
  <c r="L1746" i="5"/>
  <c r="K1746" i="5"/>
  <c r="J1746" i="5"/>
  <c r="H1746" i="5"/>
  <c r="G1746" i="5"/>
  <c r="F1746" i="5"/>
  <c r="E1746" i="5"/>
  <c r="D1746" i="5"/>
  <c r="L1745" i="5"/>
  <c r="K1745" i="5"/>
  <c r="J1745" i="5"/>
  <c r="H1745" i="5"/>
  <c r="G1745" i="5"/>
  <c r="F1745" i="5"/>
  <c r="E1745" i="5"/>
  <c r="D1745" i="5"/>
  <c r="L1744" i="5"/>
  <c r="K1744" i="5"/>
  <c r="J1744" i="5"/>
  <c r="H1744" i="5"/>
  <c r="G1744" i="5"/>
  <c r="F1744" i="5"/>
  <c r="E1744" i="5"/>
  <c r="D1744" i="5"/>
  <c r="L1743" i="5"/>
  <c r="K1743" i="5"/>
  <c r="J1743" i="5"/>
  <c r="H1743" i="5"/>
  <c r="G1743" i="5"/>
  <c r="F1743" i="5"/>
  <c r="E1743" i="5"/>
  <c r="D1743" i="5"/>
  <c r="L1742" i="5"/>
  <c r="K1742" i="5"/>
  <c r="J1742" i="5"/>
  <c r="H1742" i="5"/>
  <c r="G1742" i="5"/>
  <c r="F1742" i="5"/>
  <c r="E1742" i="5"/>
  <c r="D1742" i="5"/>
  <c r="L1741" i="5"/>
  <c r="K1741" i="5"/>
  <c r="J1741" i="5"/>
  <c r="H1741" i="5"/>
  <c r="G1741" i="5"/>
  <c r="F1741" i="5"/>
  <c r="E1741" i="5"/>
  <c r="D1741" i="5"/>
  <c r="L1740" i="5"/>
  <c r="K1740" i="5"/>
  <c r="J1740" i="5"/>
  <c r="H1740" i="5"/>
  <c r="G1740" i="5"/>
  <c r="F1740" i="5"/>
  <c r="E1740" i="5"/>
  <c r="D1740" i="5"/>
  <c r="L1739" i="5"/>
  <c r="K1739" i="5"/>
  <c r="J1739" i="5"/>
  <c r="H1739" i="5"/>
  <c r="G1739" i="5"/>
  <c r="F1739" i="5"/>
  <c r="E1739" i="5"/>
  <c r="D1739" i="5"/>
  <c r="L1738" i="5"/>
  <c r="K1738" i="5"/>
  <c r="J1738" i="5"/>
  <c r="H1738" i="5"/>
  <c r="G1738" i="5"/>
  <c r="F1738" i="5"/>
  <c r="E1738" i="5"/>
  <c r="D1738" i="5"/>
  <c r="L1737" i="5"/>
  <c r="K1737" i="5"/>
  <c r="J1737" i="5"/>
  <c r="H1737" i="5"/>
  <c r="G1737" i="5"/>
  <c r="F1737" i="5"/>
  <c r="E1737" i="5"/>
  <c r="D1737" i="5"/>
  <c r="L1736" i="5"/>
  <c r="K1736" i="5"/>
  <c r="J1736" i="5"/>
  <c r="H1736" i="5"/>
  <c r="G1736" i="5"/>
  <c r="F1736" i="5"/>
  <c r="E1736" i="5"/>
  <c r="D1736" i="5"/>
  <c r="L1735" i="5"/>
  <c r="K1735" i="5"/>
  <c r="J1735" i="5"/>
  <c r="H1735" i="5"/>
  <c r="G1735" i="5"/>
  <c r="F1735" i="5"/>
  <c r="E1735" i="5"/>
  <c r="D1735" i="5"/>
  <c r="L1734" i="5"/>
  <c r="K1734" i="5"/>
  <c r="J1734" i="5"/>
  <c r="H1734" i="5"/>
  <c r="G1734" i="5"/>
  <c r="F1734" i="5"/>
  <c r="E1734" i="5"/>
  <c r="D1734" i="5"/>
  <c r="L1733" i="5"/>
  <c r="K1733" i="5"/>
  <c r="J1733" i="5"/>
  <c r="H1733" i="5"/>
  <c r="G1733" i="5"/>
  <c r="F1733" i="5"/>
  <c r="E1733" i="5"/>
  <c r="D1733" i="5"/>
  <c r="L1732" i="5"/>
  <c r="K1732" i="5"/>
  <c r="J1732" i="5"/>
  <c r="H1732" i="5"/>
  <c r="G1732" i="5"/>
  <c r="F1732" i="5"/>
  <c r="E1732" i="5"/>
  <c r="D1732" i="5"/>
  <c r="L1731" i="5"/>
  <c r="K1731" i="5"/>
  <c r="J1731" i="5"/>
  <c r="H1731" i="5"/>
  <c r="G1731" i="5"/>
  <c r="F1731" i="5"/>
  <c r="E1731" i="5"/>
  <c r="D1731" i="5"/>
  <c r="L1730" i="5"/>
  <c r="K1730" i="5"/>
  <c r="J1730" i="5"/>
  <c r="H1730" i="5"/>
  <c r="G1730" i="5"/>
  <c r="F1730" i="5"/>
  <c r="E1730" i="5"/>
  <c r="D1730" i="5"/>
  <c r="L1729" i="5"/>
  <c r="K1729" i="5"/>
  <c r="J1729" i="5"/>
  <c r="H1729" i="5"/>
  <c r="G1729" i="5"/>
  <c r="F1729" i="5"/>
  <c r="E1729" i="5"/>
  <c r="D1729" i="5"/>
  <c r="L1728" i="5"/>
  <c r="K1728" i="5"/>
  <c r="J1728" i="5"/>
  <c r="H1728" i="5"/>
  <c r="G1728" i="5"/>
  <c r="F1728" i="5"/>
  <c r="E1728" i="5"/>
  <c r="D1728" i="5"/>
  <c r="L1727" i="5"/>
  <c r="K1727" i="5"/>
  <c r="J1727" i="5"/>
  <c r="H1727" i="5"/>
  <c r="G1727" i="5"/>
  <c r="F1727" i="5"/>
  <c r="E1727" i="5"/>
  <c r="D1727" i="5"/>
  <c r="L1726" i="5"/>
  <c r="K1726" i="5"/>
  <c r="J1726" i="5"/>
  <c r="H1726" i="5"/>
  <c r="G1726" i="5"/>
  <c r="F1726" i="5"/>
  <c r="E1726" i="5"/>
  <c r="D1726" i="5"/>
  <c r="L1725" i="5"/>
  <c r="K1725" i="5"/>
  <c r="J1725" i="5"/>
  <c r="H1725" i="5"/>
  <c r="G1725" i="5"/>
  <c r="F1725" i="5"/>
  <c r="E1725" i="5"/>
  <c r="D1725" i="5"/>
  <c r="L1724" i="5"/>
  <c r="K1724" i="5"/>
  <c r="J1724" i="5"/>
  <c r="H1724" i="5"/>
  <c r="G1724" i="5"/>
  <c r="F1724" i="5"/>
  <c r="E1724" i="5"/>
  <c r="D1724" i="5"/>
  <c r="L1723" i="5"/>
  <c r="K1723" i="5"/>
  <c r="J1723" i="5"/>
  <c r="H1723" i="5"/>
  <c r="G1723" i="5"/>
  <c r="F1723" i="5"/>
  <c r="E1723" i="5"/>
  <c r="D1723" i="5"/>
  <c r="L1722" i="5"/>
  <c r="K1722" i="5"/>
  <c r="J1722" i="5"/>
  <c r="H1722" i="5"/>
  <c r="G1722" i="5"/>
  <c r="F1722" i="5"/>
  <c r="E1722" i="5"/>
  <c r="D1722" i="5"/>
  <c r="L1721" i="5"/>
  <c r="K1721" i="5"/>
  <c r="J1721" i="5"/>
  <c r="H1721" i="5"/>
  <c r="G1721" i="5"/>
  <c r="F1721" i="5"/>
  <c r="E1721" i="5"/>
  <c r="D1721" i="5"/>
  <c r="L1720" i="5"/>
  <c r="K1720" i="5"/>
  <c r="J1720" i="5"/>
  <c r="H1720" i="5"/>
  <c r="G1720" i="5"/>
  <c r="F1720" i="5"/>
  <c r="E1720" i="5"/>
  <c r="D1720" i="5"/>
  <c r="L1719" i="5"/>
  <c r="K1719" i="5"/>
  <c r="J1719" i="5"/>
  <c r="H1719" i="5"/>
  <c r="G1719" i="5"/>
  <c r="F1719" i="5"/>
  <c r="E1719" i="5"/>
  <c r="D1719" i="5"/>
  <c r="L1718" i="5"/>
  <c r="K1718" i="5"/>
  <c r="J1718" i="5"/>
  <c r="H1718" i="5"/>
  <c r="G1718" i="5"/>
  <c r="F1718" i="5"/>
  <c r="E1718" i="5"/>
  <c r="D1718" i="5"/>
  <c r="L1717" i="5"/>
  <c r="K1717" i="5"/>
  <c r="J1717" i="5"/>
  <c r="H1717" i="5"/>
  <c r="G1717" i="5"/>
  <c r="F1717" i="5"/>
  <c r="E1717" i="5"/>
  <c r="D1717" i="5"/>
  <c r="L1716" i="5"/>
  <c r="K1716" i="5"/>
  <c r="J1716" i="5"/>
  <c r="H1716" i="5"/>
  <c r="G1716" i="5"/>
  <c r="F1716" i="5"/>
  <c r="E1716" i="5"/>
  <c r="D1716" i="5"/>
  <c r="L1715" i="5"/>
  <c r="K1715" i="5"/>
  <c r="J1715" i="5"/>
  <c r="H1715" i="5"/>
  <c r="G1715" i="5"/>
  <c r="F1715" i="5"/>
  <c r="E1715" i="5"/>
  <c r="D1715" i="5"/>
  <c r="L1714" i="5"/>
  <c r="K1714" i="5"/>
  <c r="J1714" i="5"/>
  <c r="H1714" i="5"/>
  <c r="G1714" i="5"/>
  <c r="F1714" i="5"/>
  <c r="E1714" i="5"/>
  <c r="D1714" i="5"/>
  <c r="L1713" i="5"/>
  <c r="K1713" i="5"/>
  <c r="J1713" i="5"/>
  <c r="H1713" i="5"/>
  <c r="G1713" i="5"/>
  <c r="F1713" i="5"/>
  <c r="E1713" i="5"/>
  <c r="D1713" i="5"/>
  <c r="L1712" i="5"/>
  <c r="K1712" i="5"/>
  <c r="J1712" i="5"/>
  <c r="H1712" i="5"/>
  <c r="G1712" i="5"/>
  <c r="F1712" i="5"/>
  <c r="E1712" i="5"/>
  <c r="D1712" i="5"/>
  <c r="L1711" i="5"/>
  <c r="K1711" i="5"/>
  <c r="J1711" i="5"/>
  <c r="H1711" i="5"/>
  <c r="G1711" i="5"/>
  <c r="F1711" i="5"/>
  <c r="E1711" i="5"/>
  <c r="D1711" i="5"/>
  <c r="L1710" i="5"/>
  <c r="K1710" i="5"/>
  <c r="J1710" i="5"/>
  <c r="H1710" i="5"/>
  <c r="G1710" i="5"/>
  <c r="F1710" i="5"/>
  <c r="E1710" i="5"/>
  <c r="D1710" i="5"/>
  <c r="L1709" i="5"/>
  <c r="K1709" i="5"/>
  <c r="J1709" i="5"/>
  <c r="H1709" i="5"/>
  <c r="G1709" i="5"/>
  <c r="F1709" i="5"/>
  <c r="E1709" i="5"/>
  <c r="D1709" i="5"/>
  <c r="L1708" i="5"/>
  <c r="K1708" i="5"/>
  <c r="J1708" i="5"/>
  <c r="H1708" i="5"/>
  <c r="G1708" i="5"/>
  <c r="F1708" i="5"/>
  <c r="E1708" i="5"/>
  <c r="D1708" i="5"/>
  <c r="L1707" i="5"/>
  <c r="K1707" i="5"/>
  <c r="J1707" i="5"/>
  <c r="H1707" i="5"/>
  <c r="G1707" i="5"/>
  <c r="F1707" i="5"/>
  <c r="E1707" i="5"/>
  <c r="D1707" i="5"/>
  <c r="L1706" i="5"/>
  <c r="K1706" i="5"/>
  <c r="J1706" i="5"/>
  <c r="H1706" i="5"/>
  <c r="G1706" i="5"/>
  <c r="F1706" i="5"/>
  <c r="E1706" i="5"/>
  <c r="D1706" i="5"/>
  <c r="L1705" i="5"/>
  <c r="K1705" i="5"/>
  <c r="J1705" i="5"/>
  <c r="H1705" i="5"/>
  <c r="G1705" i="5"/>
  <c r="F1705" i="5"/>
  <c r="E1705" i="5"/>
  <c r="D1705" i="5"/>
  <c r="L1704" i="5"/>
  <c r="K1704" i="5"/>
  <c r="J1704" i="5"/>
  <c r="H1704" i="5"/>
  <c r="G1704" i="5"/>
  <c r="F1704" i="5"/>
  <c r="E1704" i="5"/>
  <c r="D1704" i="5"/>
  <c r="L1703" i="5"/>
  <c r="K1703" i="5"/>
  <c r="J1703" i="5"/>
  <c r="H1703" i="5"/>
  <c r="G1703" i="5"/>
  <c r="F1703" i="5"/>
  <c r="E1703" i="5"/>
  <c r="D1703" i="5"/>
  <c r="L1702" i="5"/>
  <c r="K1702" i="5"/>
  <c r="J1702" i="5"/>
  <c r="H1702" i="5"/>
  <c r="G1702" i="5"/>
  <c r="F1702" i="5"/>
  <c r="E1702" i="5"/>
  <c r="D1702" i="5"/>
  <c r="L1701" i="5"/>
  <c r="K1701" i="5"/>
  <c r="J1701" i="5"/>
  <c r="H1701" i="5"/>
  <c r="G1701" i="5"/>
  <c r="F1701" i="5"/>
  <c r="E1701" i="5"/>
  <c r="D1701" i="5"/>
  <c r="L1700" i="5"/>
  <c r="K1700" i="5"/>
  <c r="J1700" i="5"/>
  <c r="H1700" i="5"/>
  <c r="G1700" i="5"/>
  <c r="F1700" i="5"/>
  <c r="E1700" i="5"/>
  <c r="D1700" i="5"/>
  <c r="L1699" i="5"/>
  <c r="K1699" i="5"/>
  <c r="J1699" i="5"/>
  <c r="H1699" i="5"/>
  <c r="G1699" i="5"/>
  <c r="F1699" i="5"/>
  <c r="E1699" i="5"/>
  <c r="D1699" i="5"/>
  <c r="L1698" i="5"/>
  <c r="K1698" i="5"/>
  <c r="J1698" i="5"/>
  <c r="H1698" i="5"/>
  <c r="G1698" i="5"/>
  <c r="F1698" i="5"/>
  <c r="E1698" i="5"/>
  <c r="D1698" i="5"/>
  <c r="L1697" i="5"/>
  <c r="K1697" i="5"/>
  <c r="J1697" i="5"/>
  <c r="H1697" i="5"/>
  <c r="G1697" i="5"/>
  <c r="F1697" i="5"/>
  <c r="E1697" i="5"/>
  <c r="D1697" i="5"/>
  <c r="L1696" i="5"/>
  <c r="K1696" i="5"/>
  <c r="J1696" i="5"/>
  <c r="H1696" i="5"/>
  <c r="G1696" i="5"/>
  <c r="F1696" i="5"/>
  <c r="E1696" i="5"/>
  <c r="D1696" i="5"/>
  <c r="L1695" i="5"/>
  <c r="K1695" i="5"/>
  <c r="J1695" i="5"/>
  <c r="H1695" i="5"/>
  <c r="G1695" i="5"/>
  <c r="F1695" i="5"/>
  <c r="E1695" i="5"/>
  <c r="D1695" i="5"/>
  <c r="L1694" i="5"/>
  <c r="K1694" i="5"/>
  <c r="J1694" i="5"/>
  <c r="H1694" i="5"/>
  <c r="G1694" i="5"/>
  <c r="F1694" i="5"/>
  <c r="E1694" i="5"/>
  <c r="D1694" i="5"/>
  <c r="L1693" i="5"/>
  <c r="K1693" i="5"/>
  <c r="J1693" i="5"/>
  <c r="H1693" i="5"/>
  <c r="G1693" i="5"/>
  <c r="F1693" i="5"/>
  <c r="E1693" i="5"/>
  <c r="D1693" i="5"/>
  <c r="L1692" i="5"/>
  <c r="K1692" i="5"/>
  <c r="J1692" i="5"/>
  <c r="H1692" i="5"/>
  <c r="G1692" i="5"/>
  <c r="F1692" i="5"/>
  <c r="E1692" i="5"/>
  <c r="D1692" i="5"/>
  <c r="L1691" i="5"/>
  <c r="K1691" i="5"/>
  <c r="J1691" i="5"/>
  <c r="H1691" i="5"/>
  <c r="G1691" i="5"/>
  <c r="F1691" i="5"/>
  <c r="E1691" i="5"/>
  <c r="D1691" i="5"/>
  <c r="L1690" i="5"/>
  <c r="K1690" i="5"/>
  <c r="J1690" i="5"/>
  <c r="H1690" i="5"/>
  <c r="G1690" i="5"/>
  <c r="F1690" i="5"/>
  <c r="E1690" i="5"/>
  <c r="D1690" i="5"/>
  <c r="L1689" i="5"/>
  <c r="K1689" i="5"/>
  <c r="J1689" i="5"/>
  <c r="H1689" i="5"/>
  <c r="G1689" i="5"/>
  <c r="F1689" i="5"/>
  <c r="E1689" i="5"/>
  <c r="D1689" i="5"/>
  <c r="L1688" i="5"/>
  <c r="K1688" i="5"/>
  <c r="J1688" i="5"/>
  <c r="H1688" i="5"/>
  <c r="G1688" i="5"/>
  <c r="F1688" i="5"/>
  <c r="E1688" i="5"/>
  <c r="D1688" i="5"/>
  <c r="L1687" i="5"/>
  <c r="K1687" i="5"/>
  <c r="J1687" i="5"/>
  <c r="H1687" i="5"/>
  <c r="G1687" i="5"/>
  <c r="F1687" i="5"/>
  <c r="E1687" i="5"/>
  <c r="D1687" i="5"/>
  <c r="L1686" i="5"/>
  <c r="K1686" i="5"/>
  <c r="J1686" i="5"/>
  <c r="H1686" i="5"/>
  <c r="G1686" i="5"/>
  <c r="F1686" i="5"/>
  <c r="E1686" i="5"/>
  <c r="D1686" i="5"/>
  <c r="L1685" i="5"/>
  <c r="K1685" i="5"/>
  <c r="J1685" i="5"/>
  <c r="H1685" i="5"/>
  <c r="G1685" i="5"/>
  <c r="F1685" i="5"/>
  <c r="E1685" i="5"/>
  <c r="D1685" i="5"/>
  <c r="L1684" i="5"/>
  <c r="K1684" i="5"/>
  <c r="J1684" i="5"/>
  <c r="H1684" i="5"/>
  <c r="G1684" i="5"/>
  <c r="F1684" i="5"/>
  <c r="E1684" i="5"/>
  <c r="D1684" i="5"/>
  <c r="L1683" i="5"/>
  <c r="K1683" i="5"/>
  <c r="J1683" i="5"/>
  <c r="H1683" i="5"/>
  <c r="G1683" i="5"/>
  <c r="F1683" i="5"/>
  <c r="E1683" i="5"/>
  <c r="D1683" i="5"/>
  <c r="L1682" i="5"/>
  <c r="K1682" i="5"/>
  <c r="J1682" i="5"/>
  <c r="H1682" i="5"/>
  <c r="G1682" i="5"/>
  <c r="F1682" i="5"/>
  <c r="E1682" i="5"/>
  <c r="D1682" i="5"/>
  <c r="L1681" i="5"/>
  <c r="K1681" i="5"/>
  <c r="J1681" i="5"/>
  <c r="H1681" i="5"/>
  <c r="G1681" i="5"/>
  <c r="F1681" i="5"/>
  <c r="E1681" i="5"/>
  <c r="D1681" i="5"/>
  <c r="L1680" i="5"/>
  <c r="K1680" i="5"/>
  <c r="J1680" i="5"/>
  <c r="H1680" i="5"/>
  <c r="G1680" i="5"/>
  <c r="F1680" i="5"/>
  <c r="E1680" i="5"/>
  <c r="D1680" i="5"/>
  <c r="L1679" i="5"/>
  <c r="K1679" i="5"/>
  <c r="J1679" i="5"/>
  <c r="H1679" i="5"/>
  <c r="G1679" i="5"/>
  <c r="F1679" i="5"/>
  <c r="E1679" i="5"/>
  <c r="D1679" i="5"/>
  <c r="L1678" i="5"/>
  <c r="K1678" i="5"/>
  <c r="J1678" i="5"/>
  <c r="H1678" i="5"/>
  <c r="G1678" i="5"/>
  <c r="F1678" i="5"/>
  <c r="E1678" i="5"/>
  <c r="D1678" i="5"/>
  <c r="L1677" i="5"/>
  <c r="K1677" i="5"/>
  <c r="J1677" i="5"/>
  <c r="H1677" i="5"/>
  <c r="G1677" i="5"/>
  <c r="F1677" i="5"/>
  <c r="E1677" i="5"/>
  <c r="D1677" i="5"/>
  <c r="L1676" i="5"/>
  <c r="K1676" i="5"/>
  <c r="J1676" i="5"/>
  <c r="H1676" i="5"/>
  <c r="G1676" i="5"/>
  <c r="F1676" i="5"/>
  <c r="E1676" i="5"/>
  <c r="D1676" i="5"/>
  <c r="L1675" i="5"/>
  <c r="K1675" i="5"/>
  <c r="J1675" i="5"/>
  <c r="H1675" i="5"/>
  <c r="G1675" i="5"/>
  <c r="F1675" i="5"/>
  <c r="E1675" i="5"/>
  <c r="D1675" i="5"/>
  <c r="L1674" i="5"/>
  <c r="K1674" i="5"/>
  <c r="J1674" i="5"/>
  <c r="H1674" i="5"/>
  <c r="G1674" i="5"/>
  <c r="F1674" i="5"/>
  <c r="E1674" i="5"/>
  <c r="D1674" i="5"/>
  <c r="L1673" i="5"/>
  <c r="K1673" i="5"/>
  <c r="J1673" i="5"/>
  <c r="H1673" i="5"/>
  <c r="G1673" i="5"/>
  <c r="F1673" i="5"/>
  <c r="E1673" i="5"/>
  <c r="D1673" i="5"/>
  <c r="L1672" i="5"/>
  <c r="K1672" i="5"/>
  <c r="J1672" i="5"/>
  <c r="H1672" i="5"/>
  <c r="G1672" i="5"/>
  <c r="F1672" i="5"/>
  <c r="E1672" i="5"/>
  <c r="D1672" i="5"/>
  <c r="L1671" i="5"/>
  <c r="K1671" i="5"/>
  <c r="J1671" i="5"/>
  <c r="H1671" i="5"/>
  <c r="G1671" i="5"/>
  <c r="F1671" i="5"/>
  <c r="E1671" i="5"/>
  <c r="D1671" i="5"/>
  <c r="L1670" i="5"/>
  <c r="K1670" i="5"/>
  <c r="J1670" i="5"/>
  <c r="H1670" i="5"/>
  <c r="G1670" i="5"/>
  <c r="F1670" i="5"/>
  <c r="E1670" i="5"/>
  <c r="D1670" i="5"/>
  <c r="L1669" i="5"/>
  <c r="K1669" i="5"/>
  <c r="J1669" i="5"/>
  <c r="H1669" i="5"/>
  <c r="G1669" i="5"/>
  <c r="F1669" i="5"/>
  <c r="E1669" i="5"/>
  <c r="D1669" i="5"/>
  <c r="L1668" i="5"/>
  <c r="K1668" i="5"/>
  <c r="J1668" i="5"/>
  <c r="H1668" i="5"/>
  <c r="G1668" i="5"/>
  <c r="F1668" i="5"/>
  <c r="E1668" i="5"/>
  <c r="D1668" i="5"/>
  <c r="L1667" i="5"/>
  <c r="K1667" i="5"/>
  <c r="J1667" i="5"/>
  <c r="H1667" i="5"/>
  <c r="G1667" i="5"/>
  <c r="F1667" i="5"/>
  <c r="E1667" i="5"/>
  <c r="D1667" i="5"/>
  <c r="L1666" i="5"/>
  <c r="K1666" i="5"/>
  <c r="J1666" i="5"/>
  <c r="H1666" i="5"/>
  <c r="G1666" i="5"/>
  <c r="F1666" i="5"/>
  <c r="E1666" i="5"/>
  <c r="D1666" i="5"/>
  <c r="L1665" i="5"/>
  <c r="K1665" i="5"/>
  <c r="J1665" i="5"/>
  <c r="H1665" i="5"/>
  <c r="G1665" i="5"/>
  <c r="F1665" i="5"/>
  <c r="E1665" i="5"/>
  <c r="D1665" i="5"/>
  <c r="L1664" i="5"/>
  <c r="K1664" i="5"/>
  <c r="J1664" i="5"/>
  <c r="H1664" i="5"/>
  <c r="G1664" i="5"/>
  <c r="F1664" i="5"/>
  <c r="E1664" i="5"/>
  <c r="D1664" i="5"/>
  <c r="L1663" i="5"/>
  <c r="K1663" i="5"/>
  <c r="J1663" i="5"/>
  <c r="H1663" i="5"/>
  <c r="G1663" i="5"/>
  <c r="F1663" i="5"/>
  <c r="E1663" i="5"/>
  <c r="D1663" i="5"/>
  <c r="L1662" i="5"/>
  <c r="K1662" i="5"/>
  <c r="J1662" i="5"/>
  <c r="H1662" i="5"/>
  <c r="G1662" i="5"/>
  <c r="F1662" i="5"/>
  <c r="E1662" i="5"/>
  <c r="D1662" i="5"/>
  <c r="L1661" i="5"/>
  <c r="K1661" i="5"/>
  <c r="J1661" i="5"/>
  <c r="H1661" i="5"/>
  <c r="G1661" i="5"/>
  <c r="F1661" i="5"/>
  <c r="E1661" i="5"/>
  <c r="D1661" i="5"/>
  <c r="L1660" i="5"/>
  <c r="K1660" i="5"/>
  <c r="J1660" i="5"/>
  <c r="H1660" i="5"/>
  <c r="G1660" i="5"/>
  <c r="F1660" i="5"/>
  <c r="E1660" i="5"/>
  <c r="D1660" i="5"/>
  <c r="L1659" i="5"/>
  <c r="K1659" i="5"/>
  <c r="J1659" i="5"/>
  <c r="H1659" i="5"/>
  <c r="G1659" i="5"/>
  <c r="F1659" i="5"/>
  <c r="E1659" i="5"/>
  <c r="D1659" i="5"/>
  <c r="L1658" i="5"/>
  <c r="K1658" i="5"/>
  <c r="J1658" i="5"/>
  <c r="H1658" i="5"/>
  <c r="G1658" i="5"/>
  <c r="F1658" i="5"/>
  <c r="E1658" i="5"/>
  <c r="D1658" i="5"/>
  <c r="L1657" i="5"/>
  <c r="K1657" i="5"/>
  <c r="J1657" i="5"/>
  <c r="H1657" i="5"/>
  <c r="G1657" i="5"/>
  <c r="F1657" i="5"/>
  <c r="E1657" i="5"/>
  <c r="D1657" i="5"/>
  <c r="L1656" i="5"/>
  <c r="K1656" i="5"/>
  <c r="J1656" i="5"/>
  <c r="H1656" i="5"/>
  <c r="G1656" i="5"/>
  <c r="F1656" i="5"/>
  <c r="E1656" i="5"/>
  <c r="D1656" i="5"/>
  <c r="L1655" i="5"/>
  <c r="K1655" i="5"/>
  <c r="J1655" i="5"/>
  <c r="H1655" i="5"/>
  <c r="G1655" i="5"/>
  <c r="F1655" i="5"/>
  <c r="E1655" i="5"/>
  <c r="D1655" i="5"/>
  <c r="L1654" i="5"/>
  <c r="K1654" i="5"/>
  <c r="J1654" i="5"/>
  <c r="H1654" i="5"/>
  <c r="G1654" i="5"/>
  <c r="F1654" i="5"/>
  <c r="E1654" i="5"/>
  <c r="D1654" i="5"/>
  <c r="L1653" i="5"/>
  <c r="K1653" i="5"/>
  <c r="J1653" i="5"/>
  <c r="H1653" i="5"/>
  <c r="G1653" i="5"/>
  <c r="F1653" i="5"/>
  <c r="E1653" i="5"/>
  <c r="D1653" i="5"/>
  <c r="L1652" i="5"/>
  <c r="K1652" i="5"/>
  <c r="J1652" i="5"/>
  <c r="H1652" i="5"/>
  <c r="G1652" i="5"/>
  <c r="F1652" i="5"/>
  <c r="E1652" i="5"/>
  <c r="D1652" i="5"/>
  <c r="L1651" i="5"/>
  <c r="K1651" i="5"/>
  <c r="J1651" i="5"/>
  <c r="H1651" i="5"/>
  <c r="G1651" i="5"/>
  <c r="F1651" i="5"/>
  <c r="E1651" i="5"/>
  <c r="D1651" i="5"/>
  <c r="L1650" i="5"/>
  <c r="K1650" i="5"/>
  <c r="J1650" i="5"/>
  <c r="H1650" i="5"/>
  <c r="G1650" i="5"/>
  <c r="F1650" i="5"/>
  <c r="E1650" i="5"/>
  <c r="D1650" i="5"/>
  <c r="L1649" i="5"/>
  <c r="K1649" i="5"/>
  <c r="J1649" i="5"/>
  <c r="H1649" i="5"/>
  <c r="G1649" i="5"/>
  <c r="F1649" i="5"/>
  <c r="E1649" i="5"/>
  <c r="D1649" i="5"/>
  <c r="L1648" i="5"/>
  <c r="K1648" i="5"/>
  <c r="J1648" i="5"/>
  <c r="H1648" i="5"/>
  <c r="G1648" i="5"/>
  <c r="F1648" i="5"/>
  <c r="E1648" i="5"/>
  <c r="D1648" i="5"/>
  <c r="L1647" i="5"/>
  <c r="K1647" i="5"/>
  <c r="J1647" i="5"/>
  <c r="H1647" i="5"/>
  <c r="G1647" i="5"/>
  <c r="F1647" i="5"/>
  <c r="E1647" i="5"/>
  <c r="D1647" i="5"/>
  <c r="L1646" i="5"/>
  <c r="K1646" i="5"/>
  <c r="J1646" i="5"/>
  <c r="H1646" i="5"/>
  <c r="G1646" i="5"/>
  <c r="F1646" i="5"/>
  <c r="E1646" i="5"/>
  <c r="D1646" i="5"/>
  <c r="L1645" i="5"/>
  <c r="K1645" i="5"/>
  <c r="J1645" i="5"/>
  <c r="H1645" i="5"/>
  <c r="G1645" i="5"/>
  <c r="F1645" i="5"/>
  <c r="E1645" i="5"/>
  <c r="D1645" i="5"/>
  <c r="L1644" i="5"/>
  <c r="K1644" i="5"/>
  <c r="J1644" i="5"/>
  <c r="H1644" i="5"/>
  <c r="G1644" i="5"/>
  <c r="F1644" i="5"/>
  <c r="E1644" i="5"/>
  <c r="D1644" i="5"/>
  <c r="L1643" i="5"/>
  <c r="K1643" i="5"/>
  <c r="J1643" i="5"/>
  <c r="H1643" i="5"/>
  <c r="G1643" i="5"/>
  <c r="F1643" i="5"/>
  <c r="E1643" i="5"/>
  <c r="D1643" i="5"/>
  <c r="L1642" i="5"/>
  <c r="K1642" i="5"/>
  <c r="J1642" i="5"/>
  <c r="H1642" i="5"/>
  <c r="G1642" i="5"/>
  <c r="F1642" i="5"/>
  <c r="E1642" i="5"/>
  <c r="D1642" i="5"/>
  <c r="L1641" i="5"/>
  <c r="K1641" i="5"/>
  <c r="J1641" i="5"/>
  <c r="H1641" i="5"/>
  <c r="G1641" i="5"/>
  <c r="F1641" i="5"/>
  <c r="E1641" i="5"/>
  <c r="D1641" i="5"/>
  <c r="L1640" i="5"/>
  <c r="K1640" i="5"/>
  <c r="J1640" i="5"/>
  <c r="H1640" i="5"/>
  <c r="G1640" i="5"/>
  <c r="F1640" i="5"/>
  <c r="E1640" i="5"/>
  <c r="D1640" i="5"/>
  <c r="L1639" i="5"/>
  <c r="K1639" i="5"/>
  <c r="J1639" i="5"/>
  <c r="H1639" i="5"/>
  <c r="G1639" i="5"/>
  <c r="F1639" i="5"/>
  <c r="E1639" i="5"/>
  <c r="D1639" i="5"/>
  <c r="L1638" i="5"/>
  <c r="K1638" i="5"/>
  <c r="J1638" i="5"/>
  <c r="H1638" i="5"/>
  <c r="G1638" i="5"/>
  <c r="F1638" i="5"/>
  <c r="E1638" i="5"/>
  <c r="D1638" i="5"/>
  <c r="L1637" i="5"/>
  <c r="K1637" i="5"/>
  <c r="J1637" i="5"/>
  <c r="H1637" i="5"/>
  <c r="G1637" i="5"/>
  <c r="F1637" i="5"/>
  <c r="E1637" i="5"/>
  <c r="D1637" i="5"/>
  <c r="L1636" i="5"/>
  <c r="K1636" i="5"/>
  <c r="J1636" i="5"/>
  <c r="H1636" i="5"/>
  <c r="G1636" i="5"/>
  <c r="F1636" i="5"/>
  <c r="E1636" i="5"/>
  <c r="D1636" i="5"/>
  <c r="L1635" i="5"/>
  <c r="K1635" i="5"/>
  <c r="J1635" i="5"/>
  <c r="H1635" i="5"/>
  <c r="G1635" i="5"/>
  <c r="F1635" i="5"/>
  <c r="E1635" i="5"/>
  <c r="D1635" i="5"/>
  <c r="L1634" i="5"/>
  <c r="K1634" i="5"/>
  <c r="J1634" i="5"/>
  <c r="H1634" i="5"/>
  <c r="G1634" i="5"/>
  <c r="F1634" i="5"/>
  <c r="E1634" i="5"/>
  <c r="D1634" i="5"/>
  <c r="L1633" i="5"/>
  <c r="K1633" i="5"/>
  <c r="J1633" i="5"/>
  <c r="H1633" i="5"/>
  <c r="G1633" i="5"/>
  <c r="F1633" i="5"/>
  <c r="E1633" i="5"/>
  <c r="D1633" i="5"/>
  <c r="L1632" i="5"/>
  <c r="K1632" i="5"/>
  <c r="J1632" i="5"/>
  <c r="H1632" i="5"/>
  <c r="G1632" i="5"/>
  <c r="F1632" i="5"/>
  <c r="E1632" i="5"/>
  <c r="D1632" i="5"/>
  <c r="L1631" i="5"/>
  <c r="K1631" i="5"/>
  <c r="J1631" i="5"/>
  <c r="H1631" i="5"/>
  <c r="G1631" i="5"/>
  <c r="F1631" i="5"/>
  <c r="E1631" i="5"/>
  <c r="D1631" i="5"/>
  <c r="L1630" i="5"/>
  <c r="K1630" i="5"/>
  <c r="J1630" i="5"/>
  <c r="H1630" i="5"/>
  <c r="G1630" i="5"/>
  <c r="F1630" i="5"/>
  <c r="E1630" i="5"/>
  <c r="D1630" i="5"/>
  <c r="L1629" i="5"/>
  <c r="K1629" i="5"/>
  <c r="J1629" i="5"/>
  <c r="H1629" i="5"/>
  <c r="G1629" i="5"/>
  <c r="F1629" i="5"/>
  <c r="E1629" i="5"/>
  <c r="D1629" i="5"/>
  <c r="L1628" i="5"/>
  <c r="K1628" i="5"/>
  <c r="J1628" i="5"/>
  <c r="H1628" i="5"/>
  <c r="G1628" i="5"/>
  <c r="F1628" i="5"/>
  <c r="E1628" i="5"/>
  <c r="D1628" i="5"/>
  <c r="L1627" i="5"/>
  <c r="K1627" i="5"/>
  <c r="J1627" i="5"/>
  <c r="H1627" i="5"/>
  <c r="G1627" i="5"/>
  <c r="F1627" i="5"/>
  <c r="E1627" i="5"/>
  <c r="D1627" i="5"/>
  <c r="L1626" i="5"/>
  <c r="K1626" i="5"/>
  <c r="J1626" i="5"/>
  <c r="H1626" i="5"/>
  <c r="G1626" i="5"/>
  <c r="F1626" i="5"/>
  <c r="E1626" i="5"/>
  <c r="D1626" i="5"/>
  <c r="L1625" i="5"/>
  <c r="K1625" i="5"/>
  <c r="J1625" i="5"/>
  <c r="H1625" i="5"/>
  <c r="G1625" i="5"/>
  <c r="F1625" i="5"/>
  <c r="E1625" i="5"/>
  <c r="D1625" i="5"/>
  <c r="L1624" i="5"/>
  <c r="K1624" i="5"/>
  <c r="J1624" i="5"/>
  <c r="H1624" i="5"/>
  <c r="G1624" i="5"/>
  <c r="F1624" i="5"/>
  <c r="E1624" i="5"/>
  <c r="D1624" i="5"/>
  <c r="L1623" i="5"/>
  <c r="K1623" i="5"/>
  <c r="J1623" i="5"/>
  <c r="H1623" i="5"/>
  <c r="G1623" i="5"/>
  <c r="F1623" i="5"/>
  <c r="E1623" i="5"/>
  <c r="D1623" i="5"/>
  <c r="L1622" i="5"/>
  <c r="K1622" i="5"/>
  <c r="J1622" i="5"/>
  <c r="H1622" i="5"/>
  <c r="G1622" i="5"/>
  <c r="F1622" i="5"/>
  <c r="E1622" i="5"/>
  <c r="D1622" i="5"/>
  <c r="L1621" i="5"/>
  <c r="K1621" i="5"/>
  <c r="J1621" i="5"/>
  <c r="H1621" i="5"/>
  <c r="G1621" i="5"/>
  <c r="F1621" i="5"/>
  <c r="E1621" i="5"/>
  <c r="D1621" i="5"/>
  <c r="L1620" i="5"/>
  <c r="K1620" i="5"/>
  <c r="J1620" i="5"/>
  <c r="H1620" i="5"/>
  <c r="G1620" i="5"/>
  <c r="F1620" i="5"/>
  <c r="E1620" i="5"/>
  <c r="D1620" i="5"/>
  <c r="L1619" i="5"/>
  <c r="K1619" i="5"/>
  <c r="J1619" i="5"/>
  <c r="H1619" i="5"/>
  <c r="G1619" i="5"/>
  <c r="F1619" i="5"/>
  <c r="E1619" i="5"/>
  <c r="D1619" i="5"/>
  <c r="L1618" i="5"/>
  <c r="K1618" i="5"/>
  <c r="J1618" i="5"/>
  <c r="H1618" i="5"/>
  <c r="G1618" i="5"/>
  <c r="F1618" i="5"/>
  <c r="E1618" i="5"/>
  <c r="D1618" i="5"/>
  <c r="L1617" i="5"/>
  <c r="K1617" i="5"/>
  <c r="J1617" i="5"/>
  <c r="H1617" i="5"/>
  <c r="G1617" i="5"/>
  <c r="F1617" i="5"/>
  <c r="E1617" i="5"/>
  <c r="D1617" i="5"/>
  <c r="L1616" i="5"/>
  <c r="K1616" i="5"/>
  <c r="J1616" i="5"/>
  <c r="H1616" i="5"/>
  <c r="G1616" i="5"/>
  <c r="F1616" i="5"/>
  <c r="E1616" i="5"/>
  <c r="D1616" i="5"/>
  <c r="L1615" i="5"/>
  <c r="K1615" i="5"/>
  <c r="J1615" i="5"/>
  <c r="H1615" i="5"/>
  <c r="G1615" i="5"/>
  <c r="F1615" i="5"/>
  <c r="E1615" i="5"/>
  <c r="D1615" i="5"/>
  <c r="L1614" i="5"/>
  <c r="K1614" i="5"/>
  <c r="J1614" i="5"/>
  <c r="H1614" i="5"/>
  <c r="G1614" i="5"/>
  <c r="F1614" i="5"/>
  <c r="E1614" i="5"/>
  <c r="D1614" i="5"/>
  <c r="L1613" i="5"/>
  <c r="K1613" i="5"/>
  <c r="J1613" i="5"/>
  <c r="H1613" i="5"/>
  <c r="G1613" i="5"/>
  <c r="F1613" i="5"/>
  <c r="E1613" i="5"/>
  <c r="D1613" i="5"/>
  <c r="L1612" i="5"/>
  <c r="K1612" i="5"/>
  <c r="J1612" i="5"/>
  <c r="H1612" i="5"/>
  <c r="G1612" i="5"/>
  <c r="F1612" i="5"/>
  <c r="E1612" i="5"/>
  <c r="D1612" i="5"/>
  <c r="L1611" i="5"/>
  <c r="K1611" i="5"/>
  <c r="J1611" i="5"/>
  <c r="H1611" i="5"/>
  <c r="G1611" i="5"/>
  <c r="F1611" i="5"/>
  <c r="E1611" i="5"/>
  <c r="D1611" i="5"/>
  <c r="L1610" i="5"/>
  <c r="K1610" i="5"/>
  <c r="J1610" i="5"/>
  <c r="H1610" i="5"/>
  <c r="G1610" i="5"/>
  <c r="F1610" i="5"/>
  <c r="E1610" i="5"/>
  <c r="D1610" i="5"/>
  <c r="L1609" i="5"/>
  <c r="K1609" i="5"/>
  <c r="J1609" i="5"/>
  <c r="H1609" i="5"/>
  <c r="G1609" i="5"/>
  <c r="F1609" i="5"/>
  <c r="E1609" i="5"/>
  <c r="D1609" i="5"/>
  <c r="L1608" i="5"/>
  <c r="K1608" i="5"/>
  <c r="J1608" i="5"/>
  <c r="H1608" i="5"/>
  <c r="G1608" i="5"/>
  <c r="F1608" i="5"/>
  <c r="E1608" i="5"/>
  <c r="D1608" i="5"/>
  <c r="L1607" i="5"/>
  <c r="K1607" i="5"/>
  <c r="J1607" i="5"/>
  <c r="H1607" i="5"/>
  <c r="G1607" i="5"/>
  <c r="F1607" i="5"/>
  <c r="E1607" i="5"/>
  <c r="D1607" i="5"/>
  <c r="L1606" i="5"/>
  <c r="K1606" i="5"/>
  <c r="J1606" i="5"/>
  <c r="H1606" i="5"/>
  <c r="G1606" i="5"/>
  <c r="F1606" i="5"/>
  <c r="E1606" i="5"/>
  <c r="D1606" i="5"/>
  <c r="L1605" i="5"/>
  <c r="K1605" i="5"/>
  <c r="J1605" i="5"/>
  <c r="H1605" i="5"/>
  <c r="G1605" i="5"/>
  <c r="F1605" i="5"/>
  <c r="E1605" i="5"/>
  <c r="D1605" i="5"/>
  <c r="L1604" i="5"/>
  <c r="K1604" i="5"/>
  <c r="J1604" i="5"/>
  <c r="H1604" i="5"/>
  <c r="G1604" i="5"/>
  <c r="F1604" i="5"/>
  <c r="E1604" i="5"/>
  <c r="D1604" i="5"/>
  <c r="L1603" i="5"/>
  <c r="K1603" i="5"/>
  <c r="J1603" i="5"/>
  <c r="H1603" i="5"/>
  <c r="G1603" i="5"/>
  <c r="F1603" i="5"/>
  <c r="E1603" i="5"/>
  <c r="D1603" i="5"/>
  <c r="L1602" i="5"/>
  <c r="K1602" i="5"/>
  <c r="J1602" i="5"/>
  <c r="H1602" i="5"/>
  <c r="G1602" i="5"/>
  <c r="F1602" i="5"/>
  <c r="E1602" i="5"/>
  <c r="D1602" i="5"/>
  <c r="L1601" i="5"/>
  <c r="K1601" i="5"/>
  <c r="J1601" i="5"/>
  <c r="H1601" i="5"/>
  <c r="G1601" i="5"/>
  <c r="F1601" i="5"/>
  <c r="E1601" i="5"/>
  <c r="D1601" i="5"/>
  <c r="L1600" i="5"/>
  <c r="K1600" i="5"/>
  <c r="J1600" i="5"/>
  <c r="H1600" i="5"/>
  <c r="G1600" i="5"/>
  <c r="F1600" i="5"/>
  <c r="E1600" i="5"/>
  <c r="D1600" i="5"/>
  <c r="L1599" i="5"/>
  <c r="K1599" i="5"/>
  <c r="J1599" i="5"/>
  <c r="H1599" i="5"/>
  <c r="G1599" i="5"/>
  <c r="F1599" i="5"/>
  <c r="E1599" i="5"/>
  <c r="D1599" i="5"/>
  <c r="L1598" i="5"/>
  <c r="K1598" i="5"/>
  <c r="J1598" i="5"/>
  <c r="H1598" i="5"/>
  <c r="G1598" i="5"/>
  <c r="F1598" i="5"/>
  <c r="E1598" i="5"/>
  <c r="D1598" i="5"/>
  <c r="L1597" i="5"/>
  <c r="K1597" i="5"/>
  <c r="J1597" i="5"/>
  <c r="H1597" i="5"/>
  <c r="G1597" i="5"/>
  <c r="F1597" i="5"/>
  <c r="E1597" i="5"/>
  <c r="D1597" i="5"/>
  <c r="L1596" i="5"/>
  <c r="K1596" i="5"/>
  <c r="J1596" i="5"/>
  <c r="H1596" i="5"/>
  <c r="G1596" i="5"/>
  <c r="F1596" i="5"/>
  <c r="E1596" i="5"/>
  <c r="D1596" i="5"/>
  <c r="L1595" i="5"/>
  <c r="K1595" i="5"/>
  <c r="J1595" i="5"/>
  <c r="H1595" i="5"/>
  <c r="G1595" i="5"/>
  <c r="F1595" i="5"/>
  <c r="E1595" i="5"/>
  <c r="D1595" i="5"/>
  <c r="L1594" i="5"/>
  <c r="K1594" i="5"/>
  <c r="J1594" i="5"/>
  <c r="H1594" i="5"/>
  <c r="G1594" i="5"/>
  <c r="F1594" i="5"/>
  <c r="E1594" i="5"/>
  <c r="D1594" i="5"/>
  <c r="L1593" i="5"/>
  <c r="K1593" i="5"/>
  <c r="J1593" i="5"/>
  <c r="H1593" i="5"/>
  <c r="G1593" i="5"/>
  <c r="F1593" i="5"/>
  <c r="E1593" i="5"/>
  <c r="D1593" i="5"/>
  <c r="L1592" i="5"/>
  <c r="K1592" i="5"/>
  <c r="J1592" i="5"/>
  <c r="H1592" i="5"/>
  <c r="G1592" i="5"/>
  <c r="F1592" i="5"/>
  <c r="E1592" i="5"/>
  <c r="D1592" i="5"/>
  <c r="L1591" i="5"/>
  <c r="K1591" i="5"/>
  <c r="J1591" i="5"/>
  <c r="H1591" i="5"/>
  <c r="G1591" i="5"/>
  <c r="F1591" i="5"/>
  <c r="E1591" i="5"/>
  <c r="D1591" i="5"/>
  <c r="L1590" i="5"/>
  <c r="K1590" i="5"/>
  <c r="J1590" i="5"/>
  <c r="H1590" i="5"/>
  <c r="G1590" i="5"/>
  <c r="F1590" i="5"/>
  <c r="E1590" i="5"/>
  <c r="D1590" i="5"/>
  <c r="L1589" i="5"/>
  <c r="K1589" i="5"/>
  <c r="J1589" i="5"/>
  <c r="H1589" i="5"/>
  <c r="G1589" i="5"/>
  <c r="F1589" i="5"/>
  <c r="E1589" i="5"/>
  <c r="D1589" i="5"/>
  <c r="L1588" i="5"/>
  <c r="K1588" i="5"/>
  <c r="J1588" i="5"/>
  <c r="H1588" i="5"/>
  <c r="G1588" i="5"/>
  <c r="F1588" i="5"/>
  <c r="E1588" i="5"/>
  <c r="D1588" i="5"/>
  <c r="L1587" i="5"/>
  <c r="K1587" i="5"/>
  <c r="J1587" i="5"/>
  <c r="H1587" i="5"/>
  <c r="G1587" i="5"/>
  <c r="F1587" i="5"/>
  <c r="E1587" i="5"/>
  <c r="D1587" i="5"/>
  <c r="L1586" i="5"/>
  <c r="K1586" i="5"/>
  <c r="J1586" i="5"/>
  <c r="H1586" i="5"/>
  <c r="G1586" i="5"/>
  <c r="F1586" i="5"/>
  <c r="E1586" i="5"/>
  <c r="D1586" i="5"/>
  <c r="L1585" i="5"/>
  <c r="K1585" i="5"/>
  <c r="J1585" i="5"/>
  <c r="H1585" i="5"/>
  <c r="G1585" i="5"/>
  <c r="F1585" i="5"/>
  <c r="E1585" i="5"/>
  <c r="D1585" i="5"/>
  <c r="L1584" i="5"/>
  <c r="K1584" i="5"/>
  <c r="J1584" i="5"/>
  <c r="H1584" i="5"/>
  <c r="G1584" i="5"/>
  <c r="F1584" i="5"/>
  <c r="E1584" i="5"/>
  <c r="D1584" i="5"/>
  <c r="L1583" i="5"/>
  <c r="K1583" i="5"/>
  <c r="J1583" i="5"/>
  <c r="H1583" i="5"/>
  <c r="G1583" i="5"/>
  <c r="F1583" i="5"/>
  <c r="E1583" i="5"/>
  <c r="D1583" i="5"/>
  <c r="L1582" i="5"/>
  <c r="K1582" i="5"/>
  <c r="J1582" i="5"/>
  <c r="H1582" i="5"/>
  <c r="G1582" i="5"/>
  <c r="F1582" i="5"/>
  <c r="E1582" i="5"/>
  <c r="D1582" i="5"/>
  <c r="L1581" i="5"/>
  <c r="K1581" i="5"/>
  <c r="J1581" i="5"/>
  <c r="H1581" i="5"/>
  <c r="G1581" i="5"/>
  <c r="F1581" i="5"/>
  <c r="E1581" i="5"/>
  <c r="D1581" i="5"/>
  <c r="L1580" i="5"/>
  <c r="K1580" i="5"/>
  <c r="J1580" i="5"/>
  <c r="H1580" i="5"/>
  <c r="G1580" i="5"/>
  <c r="F1580" i="5"/>
  <c r="E1580" i="5"/>
  <c r="D1580" i="5"/>
  <c r="L1579" i="5"/>
  <c r="K1579" i="5"/>
  <c r="J1579" i="5"/>
  <c r="H1579" i="5"/>
  <c r="G1579" i="5"/>
  <c r="F1579" i="5"/>
  <c r="E1579" i="5"/>
  <c r="D1579" i="5"/>
  <c r="L1578" i="5"/>
  <c r="K1578" i="5"/>
  <c r="J1578" i="5"/>
  <c r="H1578" i="5"/>
  <c r="G1578" i="5"/>
  <c r="F1578" i="5"/>
  <c r="E1578" i="5"/>
  <c r="D1578" i="5"/>
  <c r="L1577" i="5"/>
  <c r="K1577" i="5"/>
  <c r="J1577" i="5"/>
  <c r="H1577" i="5"/>
  <c r="G1577" i="5"/>
  <c r="F1577" i="5"/>
  <c r="E1577" i="5"/>
  <c r="D1577" i="5"/>
  <c r="L1576" i="5"/>
  <c r="K1576" i="5"/>
  <c r="J1576" i="5"/>
  <c r="H1576" i="5"/>
  <c r="G1576" i="5"/>
  <c r="F1576" i="5"/>
  <c r="E1576" i="5"/>
  <c r="D1576" i="5"/>
  <c r="L1575" i="5"/>
  <c r="K1575" i="5"/>
  <c r="J1575" i="5"/>
  <c r="H1575" i="5"/>
  <c r="G1575" i="5"/>
  <c r="F1575" i="5"/>
  <c r="E1575" i="5"/>
  <c r="D1575" i="5"/>
  <c r="L1574" i="5"/>
  <c r="K1574" i="5"/>
  <c r="J1574" i="5"/>
  <c r="H1574" i="5"/>
  <c r="G1574" i="5"/>
  <c r="F1574" i="5"/>
  <c r="E1574" i="5"/>
  <c r="D1574" i="5"/>
  <c r="L1573" i="5"/>
  <c r="K1573" i="5"/>
  <c r="J1573" i="5"/>
  <c r="H1573" i="5"/>
  <c r="G1573" i="5"/>
  <c r="F1573" i="5"/>
  <c r="E1573" i="5"/>
  <c r="D1573" i="5"/>
  <c r="L1572" i="5"/>
  <c r="K1572" i="5"/>
  <c r="J1572" i="5"/>
  <c r="H1572" i="5"/>
  <c r="G1572" i="5"/>
  <c r="F1572" i="5"/>
  <c r="E1572" i="5"/>
  <c r="D1572" i="5"/>
  <c r="L1571" i="5"/>
  <c r="K1571" i="5"/>
  <c r="J1571" i="5"/>
  <c r="H1571" i="5"/>
  <c r="G1571" i="5"/>
  <c r="F1571" i="5"/>
  <c r="E1571" i="5"/>
  <c r="D1571" i="5"/>
  <c r="L1570" i="5"/>
  <c r="K1570" i="5"/>
  <c r="J1570" i="5"/>
  <c r="H1570" i="5"/>
  <c r="G1570" i="5"/>
  <c r="F1570" i="5"/>
  <c r="E1570" i="5"/>
  <c r="D1570" i="5"/>
  <c r="L1569" i="5"/>
  <c r="K1569" i="5"/>
  <c r="J1569" i="5"/>
  <c r="H1569" i="5"/>
  <c r="G1569" i="5"/>
  <c r="F1569" i="5"/>
  <c r="E1569" i="5"/>
  <c r="D1569" i="5"/>
  <c r="L1568" i="5"/>
  <c r="K1568" i="5"/>
  <c r="J1568" i="5"/>
  <c r="H1568" i="5"/>
  <c r="G1568" i="5"/>
  <c r="F1568" i="5"/>
  <c r="E1568" i="5"/>
  <c r="D1568" i="5"/>
  <c r="L1567" i="5"/>
  <c r="K1567" i="5"/>
  <c r="J1567" i="5"/>
  <c r="H1567" i="5"/>
  <c r="G1567" i="5"/>
  <c r="F1567" i="5"/>
  <c r="E1567" i="5"/>
  <c r="D1567" i="5"/>
  <c r="L1566" i="5"/>
  <c r="K1566" i="5"/>
  <c r="J1566" i="5"/>
  <c r="H1566" i="5"/>
  <c r="G1566" i="5"/>
  <c r="F1566" i="5"/>
  <c r="E1566" i="5"/>
  <c r="D1566" i="5"/>
  <c r="L1565" i="5"/>
  <c r="K1565" i="5"/>
  <c r="J1565" i="5"/>
  <c r="H1565" i="5"/>
  <c r="G1565" i="5"/>
  <c r="F1565" i="5"/>
  <c r="E1565" i="5"/>
  <c r="D1565" i="5"/>
  <c r="L1564" i="5"/>
  <c r="K1564" i="5"/>
  <c r="J1564" i="5"/>
  <c r="H1564" i="5"/>
  <c r="G1564" i="5"/>
  <c r="F1564" i="5"/>
  <c r="E1564" i="5"/>
  <c r="D1564" i="5"/>
  <c r="L1563" i="5"/>
  <c r="K1563" i="5"/>
  <c r="J1563" i="5"/>
  <c r="H1563" i="5"/>
  <c r="G1563" i="5"/>
  <c r="F1563" i="5"/>
  <c r="E1563" i="5"/>
  <c r="D1563" i="5"/>
  <c r="L1562" i="5"/>
  <c r="K1562" i="5"/>
  <c r="J1562" i="5"/>
  <c r="H1562" i="5"/>
  <c r="G1562" i="5"/>
  <c r="F1562" i="5"/>
  <c r="E1562" i="5"/>
  <c r="D1562" i="5"/>
  <c r="L1561" i="5"/>
  <c r="K1561" i="5"/>
  <c r="J1561" i="5"/>
  <c r="H1561" i="5"/>
  <c r="G1561" i="5"/>
  <c r="F1561" i="5"/>
  <c r="E1561" i="5"/>
  <c r="D1561" i="5"/>
  <c r="L1560" i="5"/>
  <c r="K1560" i="5"/>
  <c r="J1560" i="5"/>
  <c r="H1560" i="5"/>
  <c r="G1560" i="5"/>
  <c r="F1560" i="5"/>
  <c r="E1560" i="5"/>
  <c r="D1560" i="5"/>
  <c r="L1559" i="5"/>
  <c r="K1559" i="5"/>
  <c r="J1559" i="5"/>
  <c r="H1559" i="5"/>
  <c r="G1559" i="5"/>
  <c r="F1559" i="5"/>
  <c r="E1559" i="5"/>
  <c r="D1559" i="5"/>
  <c r="L1558" i="5"/>
  <c r="K1558" i="5"/>
  <c r="J1558" i="5"/>
  <c r="H1558" i="5"/>
  <c r="G1558" i="5"/>
  <c r="F1558" i="5"/>
  <c r="E1558" i="5"/>
  <c r="D1558" i="5"/>
  <c r="L1557" i="5"/>
  <c r="K1557" i="5"/>
  <c r="J1557" i="5"/>
  <c r="H1557" i="5"/>
  <c r="G1557" i="5"/>
  <c r="F1557" i="5"/>
  <c r="E1557" i="5"/>
  <c r="D1557" i="5"/>
  <c r="L1556" i="5"/>
  <c r="K1556" i="5"/>
  <c r="J1556" i="5"/>
  <c r="H1556" i="5"/>
  <c r="G1556" i="5"/>
  <c r="F1556" i="5"/>
  <c r="E1556" i="5"/>
  <c r="D1556" i="5"/>
  <c r="L1555" i="5"/>
  <c r="K1555" i="5"/>
  <c r="J1555" i="5"/>
  <c r="H1555" i="5"/>
  <c r="G1555" i="5"/>
  <c r="F1555" i="5"/>
  <c r="E1555" i="5"/>
  <c r="D1555" i="5"/>
  <c r="L1554" i="5"/>
  <c r="K1554" i="5"/>
  <c r="J1554" i="5"/>
  <c r="H1554" i="5"/>
  <c r="G1554" i="5"/>
  <c r="F1554" i="5"/>
  <c r="E1554" i="5"/>
  <c r="D1554" i="5"/>
  <c r="L1553" i="5"/>
  <c r="K1553" i="5"/>
  <c r="J1553" i="5"/>
  <c r="H1553" i="5"/>
  <c r="G1553" i="5"/>
  <c r="F1553" i="5"/>
  <c r="E1553" i="5"/>
  <c r="D1553" i="5"/>
  <c r="L1552" i="5"/>
  <c r="K1552" i="5"/>
  <c r="J1552" i="5"/>
  <c r="H1552" i="5"/>
  <c r="G1552" i="5"/>
  <c r="F1552" i="5"/>
  <c r="E1552" i="5"/>
  <c r="D1552" i="5"/>
  <c r="L1551" i="5"/>
  <c r="K1551" i="5"/>
  <c r="J1551" i="5"/>
  <c r="H1551" i="5"/>
  <c r="G1551" i="5"/>
  <c r="F1551" i="5"/>
  <c r="E1551" i="5"/>
  <c r="D1551" i="5"/>
  <c r="L1550" i="5"/>
  <c r="K1550" i="5"/>
  <c r="J1550" i="5"/>
  <c r="H1550" i="5"/>
  <c r="G1550" i="5"/>
  <c r="F1550" i="5"/>
  <c r="E1550" i="5"/>
  <c r="D1550" i="5"/>
  <c r="L1549" i="5"/>
  <c r="K1549" i="5"/>
  <c r="J1549" i="5"/>
  <c r="H1549" i="5"/>
  <c r="G1549" i="5"/>
  <c r="F1549" i="5"/>
  <c r="E1549" i="5"/>
  <c r="D1549" i="5"/>
  <c r="L1548" i="5"/>
  <c r="K1548" i="5"/>
  <c r="J1548" i="5"/>
  <c r="H1548" i="5"/>
  <c r="G1548" i="5"/>
  <c r="F1548" i="5"/>
  <c r="E1548" i="5"/>
  <c r="D1548" i="5"/>
  <c r="L1547" i="5"/>
  <c r="K1547" i="5"/>
  <c r="J1547" i="5"/>
  <c r="H1547" i="5"/>
  <c r="G1547" i="5"/>
  <c r="F1547" i="5"/>
  <c r="E1547" i="5"/>
  <c r="D1547" i="5"/>
  <c r="L1546" i="5"/>
  <c r="K1546" i="5"/>
  <c r="J1546" i="5"/>
  <c r="H1546" i="5"/>
  <c r="G1546" i="5"/>
  <c r="F1546" i="5"/>
  <c r="E1546" i="5"/>
  <c r="D1546" i="5"/>
  <c r="L1545" i="5"/>
  <c r="K1545" i="5"/>
  <c r="J1545" i="5"/>
  <c r="H1545" i="5"/>
  <c r="G1545" i="5"/>
  <c r="F1545" i="5"/>
  <c r="E1545" i="5"/>
  <c r="D1545" i="5"/>
  <c r="L1544" i="5"/>
  <c r="K1544" i="5"/>
  <c r="J1544" i="5"/>
  <c r="H1544" i="5"/>
  <c r="G1544" i="5"/>
  <c r="F1544" i="5"/>
  <c r="E1544" i="5"/>
  <c r="D1544" i="5"/>
  <c r="L1543" i="5"/>
  <c r="K1543" i="5"/>
  <c r="J1543" i="5"/>
  <c r="H1543" i="5"/>
  <c r="G1543" i="5"/>
  <c r="F1543" i="5"/>
  <c r="E1543" i="5"/>
  <c r="D1543" i="5"/>
  <c r="L1542" i="5"/>
  <c r="K1542" i="5"/>
  <c r="J1542" i="5"/>
  <c r="H1542" i="5"/>
  <c r="G1542" i="5"/>
  <c r="F1542" i="5"/>
  <c r="E1542" i="5"/>
  <c r="D1542" i="5"/>
  <c r="L1541" i="5"/>
  <c r="K1541" i="5"/>
  <c r="J1541" i="5"/>
  <c r="H1541" i="5"/>
  <c r="G1541" i="5"/>
  <c r="F1541" i="5"/>
  <c r="E1541" i="5"/>
  <c r="D1541" i="5"/>
  <c r="L1540" i="5"/>
  <c r="K1540" i="5"/>
  <c r="J1540" i="5"/>
  <c r="H1540" i="5"/>
  <c r="G1540" i="5"/>
  <c r="F1540" i="5"/>
  <c r="E1540" i="5"/>
  <c r="D1540" i="5"/>
  <c r="L1539" i="5"/>
  <c r="K1539" i="5"/>
  <c r="J1539" i="5"/>
  <c r="H1539" i="5"/>
  <c r="G1539" i="5"/>
  <c r="F1539" i="5"/>
  <c r="E1539" i="5"/>
  <c r="D1539" i="5"/>
  <c r="L1538" i="5"/>
  <c r="K1538" i="5"/>
  <c r="J1538" i="5"/>
  <c r="H1538" i="5"/>
  <c r="G1538" i="5"/>
  <c r="F1538" i="5"/>
  <c r="E1538" i="5"/>
  <c r="D1538" i="5"/>
  <c r="L1537" i="5"/>
  <c r="K1537" i="5"/>
  <c r="J1537" i="5"/>
  <c r="H1537" i="5"/>
  <c r="G1537" i="5"/>
  <c r="F1537" i="5"/>
  <c r="E1537" i="5"/>
  <c r="D1537" i="5"/>
  <c r="L1536" i="5"/>
  <c r="K1536" i="5"/>
  <c r="J1536" i="5"/>
  <c r="H1536" i="5"/>
  <c r="G1536" i="5"/>
  <c r="F1536" i="5"/>
  <c r="E1536" i="5"/>
  <c r="D1536" i="5"/>
  <c r="L1535" i="5"/>
  <c r="K1535" i="5"/>
  <c r="J1535" i="5"/>
  <c r="H1535" i="5"/>
  <c r="G1535" i="5"/>
  <c r="F1535" i="5"/>
  <c r="E1535" i="5"/>
  <c r="D1535" i="5"/>
  <c r="L1534" i="5"/>
  <c r="K1534" i="5"/>
  <c r="J1534" i="5"/>
  <c r="H1534" i="5"/>
  <c r="G1534" i="5"/>
  <c r="F1534" i="5"/>
  <c r="E1534" i="5"/>
  <c r="D1534" i="5"/>
  <c r="L1533" i="5"/>
  <c r="K1533" i="5"/>
  <c r="J1533" i="5"/>
  <c r="H1533" i="5"/>
  <c r="G1533" i="5"/>
  <c r="F1533" i="5"/>
  <c r="E1533" i="5"/>
  <c r="D1533" i="5"/>
  <c r="L1532" i="5"/>
  <c r="K1532" i="5"/>
  <c r="J1532" i="5"/>
  <c r="H1532" i="5"/>
  <c r="G1532" i="5"/>
  <c r="F1532" i="5"/>
  <c r="E1532" i="5"/>
  <c r="D1532" i="5"/>
  <c r="L1531" i="5"/>
  <c r="K1531" i="5"/>
  <c r="J1531" i="5"/>
  <c r="H1531" i="5"/>
  <c r="G1531" i="5"/>
  <c r="F1531" i="5"/>
  <c r="E1531" i="5"/>
  <c r="D1531" i="5"/>
  <c r="L1530" i="5"/>
  <c r="K1530" i="5"/>
  <c r="J1530" i="5"/>
  <c r="H1530" i="5"/>
  <c r="G1530" i="5"/>
  <c r="F1530" i="5"/>
  <c r="E1530" i="5"/>
  <c r="D1530" i="5"/>
  <c r="L1529" i="5"/>
  <c r="K1529" i="5"/>
  <c r="J1529" i="5"/>
  <c r="H1529" i="5"/>
  <c r="G1529" i="5"/>
  <c r="F1529" i="5"/>
  <c r="E1529" i="5"/>
  <c r="D1529" i="5"/>
  <c r="L1528" i="5"/>
  <c r="K1528" i="5"/>
  <c r="J1528" i="5"/>
  <c r="H1528" i="5"/>
  <c r="G1528" i="5"/>
  <c r="F1528" i="5"/>
  <c r="E1528" i="5"/>
  <c r="D1528" i="5"/>
  <c r="L1527" i="5"/>
  <c r="K1527" i="5"/>
  <c r="J1527" i="5"/>
  <c r="H1527" i="5"/>
  <c r="G1527" i="5"/>
  <c r="F1527" i="5"/>
  <c r="E1527" i="5"/>
  <c r="D1527" i="5"/>
  <c r="L1526" i="5"/>
  <c r="K1526" i="5"/>
  <c r="J1526" i="5"/>
  <c r="H1526" i="5"/>
  <c r="G1526" i="5"/>
  <c r="F1526" i="5"/>
  <c r="E1526" i="5"/>
  <c r="D1526" i="5"/>
  <c r="L1525" i="5"/>
  <c r="K1525" i="5"/>
  <c r="J1525" i="5"/>
  <c r="H1525" i="5"/>
  <c r="G1525" i="5"/>
  <c r="F1525" i="5"/>
  <c r="E1525" i="5"/>
  <c r="D1525" i="5"/>
  <c r="L1524" i="5"/>
  <c r="K1524" i="5"/>
  <c r="J1524" i="5"/>
  <c r="H1524" i="5"/>
  <c r="G1524" i="5"/>
  <c r="F1524" i="5"/>
  <c r="E1524" i="5"/>
  <c r="D1524" i="5"/>
  <c r="L1523" i="5"/>
  <c r="K1523" i="5"/>
  <c r="J1523" i="5"/>
  <c r="H1523" i="5"/>
  <c r="G1523" i="5"/>
  <c r="F1523" i="5"/>
  <c r="E1523" i="5"/>
  <c r="D1523" i="5"/>
  <c r="L1522" i="5"/>
  <c r="K1522" i="5"/>
  <c r="J1522" i="5"/>
  <c r="H1522" i="5"/>
  <c r="G1522" i="5"/>
  <c r="F1522" i="5"/>
  <c r="E1522" i="5"/>
  <c r="D1522" i="5"/>
  <c r="L1521" i="5"/>
  <c r="K1521" i="5"/>
  <c r="J1521" i="5"/>
  <c r="H1521" i="5"/>
  <c r="G1521" i="5"/>
  <c r="F1521" i="5"/>
  <c r="E1521" i="5"/>
  <c r="D1521" i="5"/>
  <c r="L1520" i="5"/>
  <c r="K1520" i="5"/>
  <c r="J1520" i="5"/>
  <c r="H1520" i="5"/>
  <c r="G1520" i="5"/>
  <c r="F1520" i="5"/>
  <c r="E1520" i="5"/>
  <c r="D1520" i="5"/>
  <c r="L1519" i="5"/>
  <c r="K1519" i="5"/>
  <c r="J1519" i="5"/>
  <c r="H1519" i="5"/>
  <c r="G1519" i="5"/>
  <c r="F1519" i="5"/>
  <c r="E1519" i="5"/>
  <c r="D1519" i="5"/>
  <c r="L1518" i="5"/>
  <c r="K1518" i="5"/>
  <c r="J1518" i="5"/>
  <c r="H1518" i="5"/>
  <c r="G1518" i="5"/>
  <c r="F1518" i="5"/>
  <c r="E1518" i="5"/>
  <c r="D1518" i="5"/>
  <c r="L1517" i="5"/>
  <c r="K1517" i="5"/>
  <c r="J1517" i="5"/>
  <c r="H1517" i="5"/>
  <c r="G1517" i="5"/>
  <c r="F1517" i="5"/>
  <c r="E1517" i="5"/>
  <c r="D1517" i="5"/>
  <c r="L1516" i="5"/>
  <c r="K1516" i="5"/>
  <c r="J1516" i="5"/>
  <c r="H1516" i="5"/>
  <c r="G1516" i="5"/>
  <c r="F1516" i="5"/>
  <c r="E1516" i="5"/>
  <c r="D1516" i="5"/>
  <c r="L1515" i="5"/>
  <c r="K1515" i="5"/>
  <c r="J1515" i="5"/>
  <c r="H1515" i="5"/>
  <c r="G1515" i="5"/>
  <c r="F1515" i="5"/>
  <c r="E1515" i="5"/>
  <c r="D1515" i="5"/>
  <c r="L1514" i="5"/>
  <c r="K1514" i="5"/>
  <c r="J1514" i="5"/>
  <c r="H1514" i="5"/>
  <c r="G1514" i="5"/>
  <c r="F1514" i="5"/>
  <c r="E1514" i="5"/>
  <c r="D1514" i="5"/>
  <c r="L1513" i="5"/>
  <c r="K1513" i="5"/>
  <c r="J1513" i="5"/>
  <c r="H1513" i="5"/>
  <c r="G1513" i="5"/>
  <c r="F1513" i="5"/>
  <c r="E1513" i="5"/>
  <c r="D1513" i="5"/>
  <c r="L1512" i="5"/>
  <c r="K1512" i="5"/>
  <c r="J1512" i="5"/>
  <c r="H1512" i="5"/>
  <c r="G1512" i="5"/>
  <c r="F1512" i="5"/>
  <c r="E1512" i="5"/>
  <c r="D1512" i="5"/>
  <c r="L1511" i="5"/>
  <c r="K1511" i="5"/>
  <c r="J1511" i="5"/>
  <c r="H1511" i="5"/>
  <c r="G1511" i="5"/>
  <c r="F1511" i="5"/>
  <c r="E1511" i="5"/>
  <c r="D1511" i="5"/>
  <c r="L1510" i="5"/>
  <c r="K1510" i="5"/>
  <c r="J1510" i="5"/>
  <c r="H1510" i="5"/>
  <c r="G1510" i="5"/>
  <c r="F1510" i="5"/>
  <c r="E1510" i="5"/>
  <c r="D1510" i="5"/>
  <c r="L1509" i="5"/>
  <c r="K1509" i="5"/>
  <c r="J1509" i="5"/>
  <c r="H1509" i="5"/>
  <c r="G1509" i="5"/>
  <c r="F1509" i="5"/>
  <c r="E1509" i="5"/>
  <c r="D1509" i="5"/>
  <c r="L1508" i="5"/>
  <c r="K1508" i="5"/>
  <c r="J1508" i="5"/>
  <c r="H1508" i="5"/>
  <c r="G1508" i="5"/>
  <c r="F1508" i="5"/>
  <c r="E1508" i="5"/>
  <c r="D1508" i="5"/>
  <c r="L1507" i="5"/>
  <c r="K1507" i="5"/>
  <c r="J1507" i="5"/>
  <c r="H1507" i="5"/>
  <c r="G1507" i="5"/>
  <c r="F1507" i="5"/>
  <c r="E1507" i="5"/>
  <c r="D1507" i="5"/>
  <c r="L1506" i="5"/>
  <c r="K1506" i="5"/>
  <c r="J1506" i="5"/>
  <c r="H1506" i="5"/>
  <c r="G1506" i="5"/>
  <c r="F1506" i="5"/>
  <c r="E1506" i="5"/>
  <c r="D1506" i="5"/>
  <c r="L1505" i="5"/>
  <c r="K1505" i="5"/>
  <c r="J1505" i="5"/>
  <c r="H1505" i="5"/>
  <c r="G1505" i="5"/>
  <c r="F1505" i="5"/>
  <c r="E1505" i="5"/>
  <c r="D1505" i="5"/>
  <c r="L1504" i="5"/>
  <c r="K1504" i="5"/>
  <c r="J1504" i="5"/>
  <c r="H1504" i="5"/>
  <c r="G1504" i="5"/>
  <c r="F1504" i="5"/>
  <c r="E1504" i="5"/>
  <c r="D1504" i="5"/>
  <c r="L1503" i="5"/>
  <c r="K1503" i="5"/>
  <c r="J1503" i="5"/>
  <c r="H1503" i="5"/>
  <c r="G1503" i="5"/>
  <c r="F1503" i="5"/>
  <c r="E1503" i="5"/>
  <c r="D1503" i="5"/>
  <c r="L1502" i="5"/>
  <c r="K1502" i="5"/>
  <c r="J1502" i="5"/>
  <c r="H1502" i="5"/>
  <c r="G1502" i="5"/>
  <c r="F1502" i="5"/>
  <c r="E1502" i="5"/>
  <c r="D1502" i="5"/>
  <c r="L1501" i="5"/>
  <c r="K1501" i="5"/>
  <c r="J1501" i="5"/>
  <c r="H1501" i="5"/>
  <c r="G1501" i="5"/>
  <c r="F1501" i="5"/>
  <c r="E1501" i="5"/>
  <c r="D1501" i="5"/>
  <c r="L1500" i="5"/>
  <c r="K1500" i="5"/>
  <c r="J1500" i="5"/>
  <c r="H1500" i="5"/>
  <c r="G1500" i="5"/>
  <c r="F1500" i="5"/>
  <c r="E1500" i="5"/>
  <c r="D1500" i="5"/>
  <c r="L1499" i="5"/>
  <c r="K1499" i="5"/>
  <c r="J1499" i="5"/>
  <c r="H1499" i="5"/>
  <c r="G1499" i="5"/>
  <c r="F1499" i="5"/>
  <c r="E1499" i="5"/>
  <c r="D1499" i="5"/>
  <c r="L1498" i="5"/>
  <c r="K1498" i="5"/>
  <c r="J1498" i="5"/>
  <c r="H1498" i="5"/>
  <c r="G1498" i="5"/>
  <c r="F1498" i="5"/>
  <c r="E1498" i="5"/>
  <c r="D1498" i="5"/>
  <c r="L1497" i="5"/>
  <c r="K1497" i="5"/>
  <c r="J1497" i="5"/>
  <c r="H1497" i="5"/>
  <c r="G1497" i="5"/>
  <c r="F1497" i="5"/>
  <c r="E1497" i="5"/>
  <c r="D1497" i="5"/>
  <c r="L1496" i="5"/>
  <c r="K1496" i="5"/>
  <c r="J1496" i="5"/>
  <c r="H1496" i="5"/>
  <c r="G1496" i="5"/>
  <c r="F1496" i="5"/>
  <c r="E1496" i="5"/>
  <c r="D1496" i="5"/>
  <c r="L1495" i="5"/>
  <c r="K1495" i="5"/>
  <c r="J1495" i="5"/>
  <c r="H1495" i="5"/>
  <c r="G1495" i="5"/>
  <c r="F1495" i="5"/>
  <c r="E1495" i="5"/>
  <c r="D1495" i="5"/>
  <c r="L1494" i="5"/>
  <c r="K1494" i="5"/>
  <c r="J1494" i="5"/>
  <c r="H1494" i="5"/>
  <c r="G1494" i="5"/>
  <c r="F1494" i="5"/>
  <c r="E1494" i="5"/>
  <c r="D1494" i="5"/>
  <c r="L1493" i="5"/>
  <c r="K1493" i="5"/>
  <c r="J1493" i="5"/>
  <c r="H1493" i="5"/>
  <c r="G1493" i="5"/>
  <c r="F1493" i="5"/>
  <c r="E1493" i="5"/>
  <c r="D1493" i="5"/>
  <c r="L1492" i="5"/>
  <c r="K1492" i="5"/>
  <c r="J1492" i="5"/>
  <c r="H1492" i="5"/>
  <c r="G1492" i="5"/>
  <c r="F1492" i="5"/>
  <c r="E1492" i="5"/>
  <c r="D1492" i="5"/>
  <c r="L1491" i="5"/>
  <c r="K1491" i="5"/>
  <c r="J1491" i="5"/>
  <c r="H1491" i="5"/>
  <c r="G1491" i="5"/>
  <c r="F1491" i="5"/>
  <c r="E1491" i="5"/>
  <c r="D1491" i="5"/>
  <c r="L1490" i="5"/>
  <c r="K1490" i="5"/>
  <c r="J1490" i="5"/>
  <c r="H1490" i="5"/>
  <c r="G1490" i="5"/>
  <c r="F1490" i="5"/>
  <c r="E1490" i="5"/>
  <c r="D1490" i="5"/>
  <c r="L1489" i="5"/>
  <c r="K1489" i="5"/>
  <c r="J1489" i="5"/>
  <c r="H1489" i="5"/>
  <c r="G1489" i="5"/>
  <c r="F1489" i="5"/>
  <c r="E1489" i="5"/>
  <c r="D1489" i="5"/>
  <c r="L1488" i="5"/>
  <c r="K1488" i="5"/>
  <c r="J1488" i="5"/>
  <c r="H1488" i="5"/>
  <c r="G1488" i="5"/>
  <c r="F1488" i="5"/>
  <c r="E1488" i="5"/>
  <c r="D1488" i="5"/>
  <c r="L1487" i="5"/>
  <c r="K1487" i="5"/>
  <c r="J1487" i="5"/>
  <c r="H1487" i="5"/>
  <c r="G1487" i="5"/>
  <c r="F1487" i="5"/>
  <c r="E1487" i="5"/>
  <c r="D1487" i="5"/>
  <c r="L1486" i="5"/>
  <c r="K1486" i="5"/>
  <c r="J1486" i="5"/>
  <c r="H1486" i="5"/>
  <c r="G1486" i="5"/>
  <c r="F1486" i="5"/>
  <c r="E1486" i="5"/>
  <c r="D1486" i="5"/>
  <c r="L1485" i="5"/>
  <c r="K1485" i="5"/>
  <c r="J1485" i="5"/>
  <c r="H1485" i="5"/>
  <c r="G1485" i="5"/>
  <c r="F1485" i="5"/>
  <c r="E1485" i="5"/>
  <c r="D1485" i="5"/>
  <c r="L1484" i="5"/>
  <c r="K1484" i="5"/>
  <c r="J1484" i="5"/>
  <c r="H1484" i="5"/>
  <c r="G1484" i="5"/>
  <c r="F1484" i="5"/>
  <c r="E1484" i="5"/>
  <c r="D1484" i="5"/>
  <c r="L1483" i="5"/>
  <c r="K1483" i="5"/>
  <c r="J1483" i="5"/>
  <c r="H1483" i="5"/>
  <c r="G1483" i="5"/>
  <c r="F1483" i="5"/>
  <c r="E1483" i="5"/>
  <c r="D1483" i="5"/>
  <c r="L1482" i="5"/>
  <c r="K1482" i="5"/>
  <c r="J1482" i="5"/>
  <c r="H1482" i="5"/>
  <c r="G1482" i="5"/>
  <c r="F1482" i="5"/>
  <c r="E1482" i="5"/>
  <c r="D1482" i="5"/>
  <c r="L1481" i="5"/>
  <c r="K1481" i="5"/>
  <c r="J1481" i="5"/>
  <c r="H1481" i="5"/>
  <c r="G1481" i="5"/>
  <c r="F1481" i="5"/>
  <c r="E1481" i="5"/>
  <c r="D1481" i="5"/>
  <c r="L1480" i="5"/>
  <c r="K1480" i="5"/>
  <c r="J1480" i="5"/>
  <c r="H1480" i="5"/>
  <c r="G1480" i="5"/>
  <c r="F1480" i="5"/>
  <c r="E1480" i="5"/>
  <c r="D1480" i="5"/>
  <c r="L1479" i="5"/>
  <c r="K1479" i="5"/>
  <c r="J1479" i="5"/>
  <c r="H1479" i="5"/>
  <c r="G1479" i="5"/>
  <c r="F1479" i="5"/>
  <c r="E1479" i="5"/>
  <c r="D1479" i="5"/>
  <c r="L1478" i="5"/>
  <c r="K1478" i="5"/>
  <c r="J1478" i="5"/>
  <c r="H1478" i="5"/>
  <c r="G1478" i="5"/>
  <c r="F1478" i="5"/>
  <c r="E1478" i="5"/>
  <c r="D1478" i="5"/>
  <c r="L1477" i="5"/>
  <c r="K1477" i="5"/>
  <c r="J1477" i="5"/>
  <c r="H1477" i="5"/>
  <c r="G1477" i="5"/>
  <c r="F1477" i="5"/>
  <c r="E1477" i="5"/>
  <c r="D1477" i="5"/>
  <c r="L1476" i="5"/>
  <c r="K1476" i="5"/>
  <c r="J1476" i="5"/>
  <c r="H1476" i="5"/>
  <c r="G1476" i="5"/>
  <c r="F1476" i="5"/>
  <c r="E1476" i="5"/>
  <c r="D1476" i="5"/>
  <c r="L1475" i="5"/>
  <c r="K1475" i="5"/>
  <c r="J1475" i="5"/>
  <c r="H1475" i="5"/>
  <c r="G1475" i="5"/>
  <c r="F1475" i="5"/>
  <c r="E1475" i="5"/>
  <c r="D1475" i="5"/>
  <c r="L1474" i="5"/>
  <c r="K1474" i="5"/>
  <c r="J1474" i="5"/>
  <c r="H1474" i="5"/>
  <c r="G1474" i="5"/>
  <c r="F1474" i="5"/>
  <c r="E1474" i="5"/>
  <c r="D1474" i="5"/>
  <c r="L1473" i="5"/>
  <c r="K1473" i="5"/>
  <c r="J1473" i="5"/>
  <c r="H1473" i="5"/>
  <c r="G1473" i="5"/>
  <c r="F1473" i="5"/>
  <c r="E1473" i="5"/>
  <c r="D1473" i="5"/>
  <c r="L1472" i="5"/>
  <c r="K1472" i="5"/>
  <c r="J1472" i="5"/>
  <c r="H1472" i="5"/>
  <c r="G1472" i="5"/>
  <c r="F1472" i="5"/>
  <c r="E1472" i="5"/>
  <c r="D1472" i="5"/>
  <c r="L1471" i="5"/>
  <c r="K1471" i="5"/>
  <c r="J1471" i="5"/>
  <c r="H1471" i="5"/>
  <c r="G1471" i="5"/>
  <c r="F1471" i="5"/>
  <c r="E1471" i="5"/>
  <c r="D1471" i="5"/>
  <c r="L1470" i="5"/>
  <c r="K1470" i="5"/>
  <c r="J1470" i="5"/>
  <c r="H1470" i="5"/>
  <c r="G1470" i="5"/>
  <c r="F1470" i="5"/>
  <c r="E1470" i="5"/>
  <c r="D1470" i="5"/>
  <c r="L1469" i="5"/>
  <c r="K1469" i="5"/>
  <c r="J1469" i="5"/>
  <c r="H1469" i="5"/>
  <c r="G1469" i="5"/>
  <c r="F1469" i="5"/>
  <c r="E1469" i="5"/>
  <c r="D1469" i="5"/>
  <c r="L1468" i="5"/>
  <c r="K1468" i="5"/>
  <c r="J1468" i="5"/>
  <c r="H1468" i="5"/>
  <c r="G1468" i="5"/>
  <c r="F1468" i="5"/>
  <c r="E1468" i="5"/>
  <c r="D1468" i="5"/>
  <c r="L1467" i="5"/>
  <c r="K1467" i="5"/>
  <c r="J1467" i="5"/>
  <c r="H1467" i="5"/>
  <c r="G1467" i="5"/>
  <c r="F1467" i="5"/>
  <c r="E1467" i="5"/>
  <c r="D1467" i="5"/>
  <c r="L1466" i="5"/>
  <c r="K1466" i="5"/>
  <c r="J1466" i="5"/>
  <c r="H1466" i="5"/>
  <c r="G1466" i="5"/>
  <c r="F1466" i="5"/>
  <c r="E1466" i="5"/>
  <c r="D1466" i="5"/>
  <c r="L1465" i="5"/>
  <c r="K1465" i="5"/>
  <c r="J1465" i="5"/>
  <c r="H1465" i="5"/>
  <c r="G1465" i="5"/>
  <c r="F1465" i="5"/>
  <c r="E1465" i="5"/>
  <c r="D1465" i="5"/>
  <c r="L1464" i="5"/>
  <c r="K1464" i="5"/>
  <c r="J1464" i="5"/>
  <c r="H1464" i="5"/>
  <c r="G1464" i="5"/>
  <c r="F1464" i="5"/>
  <c r="E1464" i="5"/>
  <c r="D1464" i="5"/>
  <c r="L1463" i="5"/>
  <c r="K1463" i="5"/>
  <c r="J1463" i="5"/>
  <c r="H1463" i="5"/>
  <c r="G1463" i="5"/>
  <c r="F1463" i="5"/>
  <c r="E1463" i="5"/>
  <c r="D1463" i="5"/>
  <c r="L1462" i="5"/>
  <c r="K1462" i="5"/>
  <c r="J1462" i="5"/>
  <c r="H1462" i="5"/>
  <c r="G1462" i="5"/>
  <c r="F1462" i="5"/>
  <c r="E1462" i="5"/>
  <c r="D1462" i="5"/>
  <c r="L1461" i="5"/>
  <c r="K1461" i="5"/>
  <c r="J1461" i="5"/>
  <c r="H1461" i="5"/>
  <c r="G1461" i="5"/>
  <c r="F1461" i="5"/>
  <c r="E1461" i="5"/>
  <c r="D1461" i="5"/>
  <c r="L1460" i="5"/>
  <c r="K1460" i="5"/>
  <c r="J1460" i="5"/>
  <c r="H1460" i="5"/>
  <c r="G1460" i="5"/>
  <c r="F1460" i="5"/>
  <c r="E1460" i="5"/>
  <c r="D1460" i="5"/>
  <c r="L1459" i="5"/>
  <c r="K1459" i="5"/>
  <c r="J1459" i="5"/>
  <c r="H1459" i="5"/>
  <c r="G1459" i="5"/>
  <c r="F1459" i="5"/>
  <c r="E1459" i="5"/>
  <c r="D1459" i="5"/>
  <c r="L1458" i="5"/>
  <c r="K1458" i="5"/>
  <c r="J1458" i="5"/>
  <c r="H1458" i="5"/>
  <c r="G1458" i="5"/>
  <c r="F1458" i="5"/>
  <c r="E1458" i="5"/>
  <c r="D1458" i="5"/>
  <c r="L1457" i="5"/>
  <c r="K1457" i="5"/>
  <c r="J1457" i="5"/>
  <c r="H1457" i="5"/>
  <c r="G1457" i="5"/>
  <c r="F1457" i="5"/>
  <c r="E1457" i="5"/>
  <c r="D1457" i="5"/>
  <c r="L1456" i="5"/>
  <c r="K1456" i="5"/>
  <c r="J1456" i="5"/>
  <c r="H1456" i="5"/>
  <c r="G1456" i="5"/>
  <c r="F1456" i="5"/>
  <c r="E1456" i="5"/>
  <c r="D1456" i="5"/>
  <c r="L1455" i="5"/>
  <c r="K1455" i="5"/>
  <c r="J1455" i="5"/>
  <c r="H1455" i="5"/>
  <c r="G1455" i="5"/>
  <c r="F1455" i="5"/>
  <c r="E1455" i="5"/>
  <c r="D1455" i="5"/>
  <c r="L1454" i="5"/>
  <c r="K1454" i="5"/>
  <c r="J1454" i="5"/>
  <c r="H1454" i="5"/>
  <c r="G1454" i="5"/>
  <c r="F1454" i="5"/>
  <c r="E1454" i="5"/>
  <c r="D1454" i="5"/>
  <c r="L1453" i="5"/>
  <c r="K1453" i="5"/>
  <c r="J1453" i="5"/>
  <c r="H1453" i="5"/>
  <c r="G1453" i="5"/>
  <c r="F1453" i="5"/>
  <c r="E1453" i="5"/>
  <c r="D1453" i="5"/>
  <c r="L1452" i="5"/>
  <c r="K1452" i="5"/>
  <c r="J1452" i="5"/>
  <c r="H1452" i="5"/>
  <c r="G1452" i="5"/>
  <c r="F1452" i="5"/>
  <c r="E1452" i="5"/>
  <c r="D1452" i="5"/>
  <c r="L1451" i="5"/>
  <c r="K1451" i="5"/>
  <c r="J1451" i="5"/>
  <c r="H1451" i="5"/>
  <c r="G1451" i="5"/>
  <c r="F1451" i="5"/>
  <c r="E1451" i="5"/>
  <c r="D1451" i="5"/>
  <c r="L1450" i="5"/>
  <c r="K1450" i="5"/>
  <c r="J1450" i="5"/>
  <c r="H1450" i="5"/>
  <c r="G1450" i="5"/>
  <c r="F1450" i="5"/>
  <c r="E1450" i="5"/>
  <c r="D1450" i="5"/>
  <c r="L1449" i="5"/>
  <c r="K1449" i="5"/>
  <c r="J1449" i="5"/>
  <c r="H1449" i="5"/>
  <c r="G1449" i="5"/>
  <c r="F1449" i="5"/>
  <c r="E1449" i="5"/>
  <c r="D1449" i="5"/>
  <c r="L1448" i="5"/>
  <c r="K1448" i="5"/>
  <c r="J1448" i="5"/>
  <c r="H1448" i="5"/>
  <c r="G1448" i="5"/>
  <c r="F1448" i="5"/>
  <c r="E1448" i="5"/>
  <c r="D1448" i="5"/>
  <c r="L1447" i="5"/>
  <c r="K1447" i="5"/>
  <c r="J1447" i="5"/>
  <c r="H1447" i="5"/>
  <c r="G1447" i="5"/>
  <c r="F1447" i="5"/>
  <c r="E1447" i="5"/>
  <c r="D1447" i="5"/>
  <c r="L1446" i="5"/>
  <c r="K1446" i="5"/>
  <c r="J1446" i="5"/>
  <c r="H1446" i="5"/>
  <c r="G1446" i="5"/>
  <c r="F1446" i="5"/>
  <c r="E1446" i="5"/>
  <c r="D1446" i="5"/>
  <c r="L1445" i="5"/>
  <c r="K1445" i="5"/>
  <c r="J1445" i="5"/>
  <c r="H1445" i="5"/>
  <c r="G1445" i="5"/>
  <c r="F1445" i="5"/>
  <c r="E1445" i="5"/>
  <c r="D1445" i="5"/>
  <c r="L1444" i="5"/>
  <c r="K1444" i="5"/>
  <c r="J1444" i="5"/>
  <c r="H1444" i="5"/>
  <c r="G1444" i="5"/>
  <c r="F1444" i="5"/>
  <c r="E1444" i="5"/>
  <c r="D1444" i="5"/>
  <c r="L1443" i="5"/>
  <c r="K1443" i="5"/>
  <c r="J1443" i="5"/>
  <c r="H1443" i="5"/>
  <c r="G1443" i="5"/>
  <c r="F1443" i="5"/>
  <c r="E1443" i="5"/>
  <c r="D1443" i="5"/>
  <c r="L1442" i="5"/>
  <c r="K1442" i="5"/>
  <c r="J1442" i="5"/>
  <c r="H1442" i="5"/>
  <c r="G1442" i="5"/>
  <c r="F1442" i="5"/>
  <c r="E1442" i="5"/>
  <c r="D1442" i="5"/>
  <c r="L1441" i="5"/>
  <c r="K1441" i="5"/>
  <c r="J1441" i="5"/>
  <c r="H1441" i="5"/>
  <c r="G1441" i="5"/>
  <c r="F1441" i="5"/>
  <c r="E1441" i="5"/>
  <c r="D1441" i="5"/>
  <c r="L1440" i="5"/>
  <c r="K1440" i="5"/>
  <c r="J1440" i="5"/>
  <c r="H1440" i="5"/>
  <c r="G1440" i="5"/>
  <c r="F1440" i="5"/>
  <c r="E1440" i="5"/>
  <c r="D1440" i="5"/>
  <c r="L1439" i="5"/>
  <c r="K1439" i="5"/>
  <c r="J1439" i="5"/>
  <c r="H1439" i="5"/>
  <c r="G1439" i="5"/>
  <c r="F1439" i="5"/>
  <c r="E1439" i="5"/>
  <c r="D1439" i="5"/>
  <c r="L1438" i="5"/>
  <c r="K1438" i="5"/>
  <c r="J1438" i="5"/>
  <c r="H1438" i="5"/>
  <c r="G1438" i="5"/>
  <c r="F1438" i="5"/>
  <c r="E1438" i="5"/>
  <c r="D1438" i="5"/>
  <c r="L1437" i="5"/>
  <c r="K1437" i="5"/>
  <c r="J1437" i="5"/>
  <c r="H1437" i="5"/>
  <c r="G1437" i="5"/>
  <c r="F1437" i="5"/>
  <c r="E1437" i="5"/>
  <c r="D1437" i="5"/>
  <c r="L1436" i="5"/>
  <c r="K1436" i="5"/>
  <c r="J1436" i="5"/>
  <c r="H1436" i="5"/>
  <c r="G1436" i="5"/>
  <c r="F1436" i="5"/>
  <c r="E1436" i="5"/>
  <c r="D1436" i="5"/>
  <c r="L1435" i="5"/>
  <c r="K1435" i="5"/>
  <c r="J1435" i="5"/>
  <c r="H1435" i="5"/>
  <c r="G1435" i="5"/>
  <c r="F1435" i="5"/>
  <c r="E1435" i="5"/>
  <c r="D1435" i="5"/>
  <c r="L1434" i="5"/>
  <c r="K1434" i="5"/>
  <c r="J1434" i="5"/>
  <c r="H1434" i="5"/>
  <c r="G1434" i="5"/>
  <c r="F1434" i="5"/>
  <c r="E1434" i="5"/>
  <c r="D1434" i="5"/>
  <c r="L1433" i="5"/>
  <c r="K1433" i="5"/>
  <c r="J1433" i="5"/>
  <c r="H1433" i="5"/>
  <c r="G1433" i="5"/>
  <c r="F1433" i="5"/>
  <c r="E1433" i="5"/>
  <c r="D1433" i="5"/>
  <c r="L1432" i="5"/>
  <c r="K1432" i="5"/>
  <c r="J1432" i="5"/>
  <c r="H1432" i="5"/>
  <c r="G1432" i="5"/>
  <c r="F1432" i="5"/>
  <c r="E1432" i="5"/>
  <c r="D1432" i="5"/>
  <c r="L1431" i="5"/>
  <c r="K1431" i="5"/>
  <c r="J1431" i="5"/>
  <c r="H1431" i="5"/>
  <c r="G1431" i="5"/>
  <c r="F1431" i="5"/>
  <c r="E1431" i="5"/>
  <c r="D1431" i="5"/>
  <c r="L1430" i="5"/>
  <c r="K1430" i="5"/>
  <c r="J1430" i="5"/>
  <c r="H1430" i="5"/>
  <c r="G1430" i="5"/>
  <c r="F1430" i="5"/>
  <c r="E1430" i="5"/>
  <c r="D1430" i="5"/>
  <c r="L1429" i="5"/>
  <c r="K1429" i="5"/>
  <c r="J1429" i="5"/>
  <c r="H1429" i="5"/>
  <c r="G1429" i="5"/>
  <c r="F1429" i="5"/>
  <c r="E1429" i="5"/>
  <c r="D1429" i="5"/>
  <c r="L1428" i="5"/>
  <c r="K1428" i="5"/>
  <c r="J1428" i="5"/>
  <c r="H1428" i="5"/>
  <c r="G1428" i="5"/>
  <c r="F1428" i="5"/>
  <c r="E1428" i="5"/>
  <c r="D1428" i="5"/>
  <c r="L1427" i="5"/>
  <c r="K1427" i="5"/>
  <c r="J1427" i="5"/>
  <c r="H1427" i="5"/>
  <c r="G1427" i="5"/>
  <c r="F1427" i="5"/>
  <c r="E1427" i="5"/>
  <c r="D1427" i="5"/>
  <c r="L1426" i="5"/>
  <c r="K1426" i="5"/>
  <c r="J1426" i="5"/>
  <c r="H1426" i="5"/>
  <c r="G1426" i="5"/>
  <c r="F1426" i="5"/>
  <c r="E1426" i="5"/>
  <c r="D1426" i="5"/>
  <c r="L1425" i="5"/>
  <c r="K1425" i="5"/>
  <c r="J1425" i="5"/>
  <c r="H1425" i="5"/>
  <c r="G1425" i="5"/>
  <c r="F1425" i="5"/>
  <c r="E1425" i="5"/>
  <c r="D1425" i="5"/>
  <c r="L1424" i="5"/>
  <c r="K1424" i="5"/>
  <c r="J1424" i="5"/>
  <c r="H1424" i="5"/>
  <c r="G1424" i="5"/>
  <c r="F1424" i="5"/>
  <c r="E1424" i="5"/>
  <c r="D1424" i="5"/>
  <c r="L1423" i="5"/>
  <c r="K1423" i="5"/>
  <c r="J1423" i="5"/>
  <c r="H1423" i="5"/>
  <c r="G1423" i="5"/>
  <c r="F1423" i="5"/>
  <c r="E1423" i="5"/>
  <c r="D1423" i="5"/>
  <c r="L1422" i="5"/>
  <c r="K1422" i="5"/>
  <c r="J1422" i="5"/>
  <c r="H1422" i="5"/>
  <c r="G1422" i="5"/>
  <c r="F1422" i="5"/>
  <c r="E1422" i="5"/>
  <c r="D1422" i="5"/>
  <c r="L1421" i="5"/>
  <c r="K1421" i="5"/>
  <c r="J1421" i="5"/>
  <c r="H1421" i="5"/>
  <c r="G1421" i="5"/>
  <c r="F1421" i="5"/>
  <c r="E1421" i="5"/>
  <c r="D1421" i="5"/>
  <c r="L1420" i="5"/>
  <c r="K1420" i="5"/>
  <c r="J1420" i="5"/>
  <c r="H1420" i="5"/>
  <c r="G1420" i="5"/>
  <c r="F1420" i="5"/>
  <c r="E1420" i="5"/>
  <c r="D1420" i="5"/>
  <c r="L1419" i="5"/>
  <c r="K1419" i="5"/>
  <c r="J1419" i="5"/>
  <c r="H1419" i="5"/>
  <c r="G1419" i="5"/>
  <c r="F1419" i="5"/>
  <c r="E1419" i="5"/>
  <c r="D1419" i="5"/>
  <c r="L1418" i="5"/>
  <c r="K1418" i="5"/>
  <c r="J1418" i="5"/>
  <c r="H1418" i="5"/>
  <c r="G1418" i="5"/>
  <c r="F1418" i="5"/>
  <c r="E1418" i="5"/>
  <c r="D1418" i="5"/>
  <c r="L1417" i="5"/>
  <c r="K1417" i="5"/>
  <c r="J1417" i="5"/>
  <c r="H1417" i="5"/>
  <c r="G1417" i="5"/>
  <c r="F1417" i="5"/>
  <c r="E1417" i="5"/>
  <c r="D1417" i="5"/>
  <c r="L1416" i="5"/>
  <c r="K1416" i="5"/>
  <c r="J1416" i="5"/>
  <c r="H1416" i="5"/>
  <c r="G1416" i="5"/>
  <c r="F1416" i="5"/>
  <c r="E1416" i="5"/>
  <c r="D1416" i="5"/>
  <c r="L1415" i="5"/>
  <c r="K1415" i="5"/>
  <c r="J1415" i="5"/>
  <c r="H1415" i="5"/>
  <c r="G1415" i="5"/>
  <c r="F1415" i="5"/>
  <c r="E1415" i="5"/>
  <c r="D1415" i="5"/>
  <c r="L1414" i="5"/>
  <c r="K1414" i="5"/>
  <c r="J1414" i="5"/>
  <c r="H1414" i="5"/>
  <c r="G1414" i="5"/>
  <c r="F1414" i="5"/>
  <c r="E1414" i="5"/>
  <c r="D1414" i="5"/>
  <c r="L1413" i="5"/>
  <c r="K1413" i="5"/>
  <c r="J1413" i="5"/>
  <c r="H1413" i="5"/>
  <c r="G1413" i="5"/>
  <c r="F1413" i="5"/>
  <c r="E1413" i="5"/>
  <c r="D1413" i="5"/>
  <c r="L1412" i="5"/>
  <c r="K1412" i="5"/>
  <c r="J1412" i="5"/>
  <c r="H1412" i="5"/>
  <c r="G1412" i="5"/>
  <c r="F1412" i="5"/>
  <c r="E1412" i="5"/>
  <c r="D1412" i="5"/>
  <c r="L1411" i="5"/>
  <c r="K1411" i="5"/>
  <c r="J1411" i="5"/>
  <c r="H1411" i="5"/>
  <c r="G1411" i="5"/>
  <c r="F1411" i="5"/>
  <c r="E1411" i="5"/>
  <c r="D1411" i="5"/>
  <c r="L1410" i="5"/>
  <c r="K1410" i="5"/>
  <c r="J1410" i="5"/>
  <c r="H1410" i="5"/>
  <c r="G1410" i="5"/>
  <c r="F1410" i="5"/>
  <c r="E1410" i="5"/>
  <c r="D1410" i="5"/>
  <c r="L1409" i="5"/>
  <c r="K1409" i="5"/>
  <c r="J1409" i="5"/>
  <c r="H1409" i="5"/>
  <c r="G1409" i="5"/>
  <c r="F1409" i="5"/>
  <c r="E1409" i="5"/>
  <c r="D1409" i="5"/>
  <c r="L1408" i="5"/>
  <c r="K1408" i="5"/>
  <c r="J1408" i="5"/>
  <c r="H1408" i="5"/>
  <c r="G1408" i="5"/>
  <c r="F1408" i="5"/>
  <c r="E1408" i="5"/>
  <c r="D1408" i="5"/>
  <c r="L1407" i="5"/>
  <c r="K1407" i="5"/>
  <c r="J1407" i="5"/>
  <c r="H1407" i="5"/>
  <c r="G1407" i="5"/>
  <c r="F1407" i="5"/>
  <c r="E1407" i="5"/>
  <c r="D1407" i="5"/>
  <c r="L1406" i="5"/>
  <c r="K1406" i="5"/>
  <c r="J1406" i="5"/>
  <c r="H1406" i="5"/>
  <c r="G1406" i="5"/>
  <c r="F1406" i="5"/>
  <c r="E1406" i="5"/>
  <c r="D1406" i="5"/>
  <c r="L1405" i="5"/>
  <c r="K1405" i="5"/>
  <c r="J1405" i="5"/>
  <c r="H1405" i="5"/>
  <c r="G1405" i="5"/>
  <c r="F1405" i="5"/>
  <c r="E1405" i="5"/>
  <c r="D1405" i="5"/>
  <c r="L1404" i="5"/>
  <c r="K1404" i="5"/>
  <c r="J1404" i="5"/>
  <c r="H1404" i="5"/>
  <c r="G1404" i="5"/>
  <c r="F1404" i="5"/>
  <c r="E1404" i="5"/>
  <c r="D1404" i="5"/>
  <c r="L1403" i="5"/>
  <c r="K1403" i="5"/>
  <c r="J1403" i="5"/>
  <c r="H1403" i="5"/>
  <c r="G1403" i="5"/>
  <c r="F1403" i="5"/>
  <c r="E1403" i="5"/>
  <c r="D1403" i="5"/>
  <c r="L1402" i="5"/>
  <c r="K1402" i="5"/>
  <c r="J1402" i="5"/>
  <c r="H1402" i="5"/>
  <c r="G1402" i="5"/>
  <c r="F1402" i="5"/>
  <c r="E1402" i="5"/>
  <c r="D1402" i="5"/>
  <c r="L1401" i="5"/>
  <c r="K1401" i="5"/>
  <c r="J1401" i="5"/>
  <c r="H1401" i="5"/>
  <c r="G1401" i="5"/>
  <c r="F1401" i="5"/>
  <c r="E1401" i="5"/>
  <c r="D1401" i="5"/>
  <c r="L1400" i="5"/>
  <c r="K1400" i="5"/>
  <c r="J1400" i="5"/>
  <c r="H1400" i="5"/>
  <c r="G1400" i="5"/>
  <c r="F1400" i="5"/>
  <c r="E1400" i="5"/>
  <c r="D1400" i="5"/>
  <c r="L1399" i="5"/>
  <c r="K1399" i="5"/>
  <c r="J1399" i="5"/>
  <c r="H1399" i="5"/>
  <c r="G1399" i="5"/>
  <c r="F1399" i="5"/>
  <c r="E1399" i="5"/>
  <c r="D1399" i="5"/>
  <c r="L1398" i="5"/>
  <c r="K1398" i="5"/>
  <c r="J1398" i="5"/>
  <c r="H1398" i="5"/>
  <c r="G1398" i="5"/>
  <c r="F1398" i="5"/>
  <c r="E1398" i="5"/>
  <c r="D1398" i="5"/>
  <c r="L1397" i="5"/>
  <c r="K1397" i="5"/>
  <c r="J1397" i="5"/>
  <c r="H1397" i="5"/>
  <c r="G1397" i="5"/>
  <c r="F1397" i="5"/>
  <c r="E1397" i="5"/>
  <c r="D1397" i="5"/>
  <c r="L1396" i="5"/>
  <c r="K1396" i="5"/>
  <c r="J1396" i="5"/>
  <c r="H1396" i="5"/>
  <c r="G1396" i="5"/>
  <c r="F1396" i="5"/>
  <c r="E1396" i="5"/>
  <c r="D1396" i="5"/>
  <c r="L1395" i="5"/>
  <c r="K1395" i="5"/>
  <c r="J1395" i="5"/>
  <c r="H1395" i="5"/>
  <c r="G1395" i="5"/>
  <c r="F1395" i="5"/>
  <c r="E1395" i="5"/>
  <c r="D1395" i="5"/>
  <c r="L1394" i="5"/>
  <c r="K1394" i="5"/>
  <c r="J1394" i="5"/>
  <c r="H1394" i="5"/>
  <c r="G1394" i="5"/>
  <c r="F1394" i="5"/>
  <c r="E1394" i="5"/>
  <c r="D1394" i="5"/>
  <c r="L1393" i="5"/>
  <c r="K1393" i="5"/>
  <c r="J1393" i="5"/>
  <c r="H1393" i="5"/>
  <c r="G1393" i="5"/>
  <c r="F1393" i="5"/>
  <c r="E1393" i="5"/>
  <c r="D1393" i="5"/>
  <c r="L1392" i="5"/>
  <c r="K1392" i="5"/>
  <c r="J1392" i="5"/>
  <c r="H1392" i="5"/>
  <c r="G1392" i="5"/>
  <c r="F1392" i="5"/>
  <c r="E1392" i="5"/>
  <c r="D1392" i="5"/>
  <c r="L1391" i="5"/>
  <c r="K1391" i="5"/>
  <c r="J1391" i="5"/>
  <c r="H1391" i="5"/>
  <c r="G1391" i="5"/>
  <c r="F1391" i="5"/>
  <c r="E1391" i="5"/>
  <c r="D1391" i="5"/>
  <c r="L1390" i="5"/>
  <c r="K1390" i="5"/>
  <c r="J1390" i="5"/>
  <c r="H1390" i="5"/>
  <c r="G1390" i="5"/>
  <c r="F1390" i="5"/>
  <c r="E1390" i="5"/>
  <c r="D1390" i="5"/>
  <c r="L1389" i="5"/>
  <c r="K1389" i="5"/>
  <c r="J1389" i="5"/>
  <c r="H1389" i="5"/>
  <c r="G1389" i="5"/>
  <c r="F1389" i="5"/>
  <c r="E1389" i="5"/>
  <c r="D1389" i="5"/>
  <c r="L1388" i="5"/>
  <c r="K1388" i="5"/>
  <c r="J1388" i="5"/>
  <c r="H1388" i="5"/>
  <c r="G1388" i="5"/>
  <c r="F1388" i="5"/>
  <c r="E1388" i="5"/>
  <c r="D1388" i="5"/>
  <c r="L1387" i="5"/>
  <c r="K1387" i="5"/>
  <c r="J1387" i="5"/>
  <c r="H1387" i="5"/>
  <c r="G1387" i="5"/>
  <c r="F1387" i="5"/>
  <c r="E1387" i="5"/>
  <c r="D1387" i="5"/>
  <c r="L1386" i="5"/>
  <c r="K1386" i="5"/>
  <c r="J1386" i="5"/>
  <c r="H1386" i="5"/>
  <c r="G1386" i="5"/>
  <c r="F1386" i="5"/>
  <c r="E1386" i="5"/>
  <c r="D1386" i="5"/>
  <c r="L1385" i="5"/>
  <c r="K1385" i="5"/>
  <c r="J1385" i="5"/>
  <c r="H1385" i="5"/>
  <c r="G1385" i="5"/>
  <c r="F1385" i="5"/>
  <c r="E1385" i="5"/>
  <c r="D1385" i="5"/>
  <c r="L1384" i="5"/>
  <c r="K1384" i="5"/>
  <c r="J1384" i="5"/>
  <c r="H1384" i="5"/>
  <c r="G1384" i="5"/>
  <c r="F1384" i="5"/>
  <c r="E1384" i="5"/>
  <c r="D1384" i="5"/>
  <c r="L1383" i="5"/>
  <c r="K1383" i="5"/>
  <c r="J1383" i="5"/>
  <c r="H1383" i="5"/>
  <c r="G1383" i="5"/>
  <c r="F1383" i="5"/>
  <c r="E1383" i="5"/>
  <c r="D1383" i="5"/>
  <c r="L1382" i="5"/>
  <c r="K1382" i="5"/>
  <c r="J1382" i="5"/>
  <c r="H1382" i="5"/>
  <c r="G1382" i="5"/>
  <c r="F1382" i="5"/>
  <c r="E1382" i="5"/>
  <c r="D1382" i="5"/>
  <c r="L1381" i="5"/>
  <c r="K1381" i="5"/>
  <c r="J1381" i="5"/>
  <c r="H1381" i="5"/>
  <c r="G1381" i="5"/>
  <c r="F1381" i="5"/>
  <c r="E1381" i="5"/>
  <c r="D1381" i="5"/>
  <c r="L1380" i="5"/>
  <c r="K1380" i="5"/>
  <c r="J1380" i="5"/>
  <c r="H1380" i="5"/>
  <c r="G1380" i="5"/>
  <c r="F1380" i="5"/>
  <c r="E1380" i="5"/>
  <c r="D1380" i="5"/>
  <c r="L1379" i="5"/>
  <c r="K1379" i="5"/>
  <c r="J1379" i="5"/>
  <c r="H1379" i="5"/>
  <c r="G1379" i="5"/>
  <c r="F1379" i="5"/>
  <c r="E1379" i="5"/>
  <c r="D1379" i="5"/>
  <c r="L1378" i="5"/>
  <c r="K1378" i="5"/>
  <c r="J1378" i="5"/>
  <c r="H1378" i="5"/>
  <c r="G1378" i="5"/>
  <c r="F1378" i="5"/>
  <c r="E1378" i="5"/>
  <c r="D1378" i="5"/>
  <c r="L1377" i="5"/>
  <c r="K1377" i="5"/>
  <c r="J1377" i="5"/>
  <c r="H1377" i="5"/>
  <c r="G1377" i="5"/>
  <c r="F1377" i="5"/>
  <c r="E1377" i="5"/>
  <c r="D1377" i="5"/>
  <c r="L1376" i="5"/>
  <c r="K1376" i="5"/>
  <c r="J1376" i="5"/>
  <c r="H1376" i="5"/>
  <c r="G1376" i="5"/>
  <c r="F1376" i="5"/>
  <c r="E1376" i="5"/>
  <c r="D1376" i="5"/>
  <c r="L1375" i="5"/>
  <c r="K1375" i="5"/>
  <c r="J1375" i="5"/>
  <c r="H1375" i="5"/>
  <c r="G1375" i="5"/>
  <c r="F1375" i="5"/>
  <c r="E1375" i="5"/>
  <c r="D1375" i="5"/>
  <c r="L1374" i="5"/>
  <c r="K1374" i="5"/>
  <c r="J1374" i="5"/>
  <c r="H1374" i="5"/>
  <c r="G1374" i="5"/>
  <c r="F1374" i="5"/>
  <c r="E1374" i="5"/>
  <c r="D1374" i="5"/>
  <c r="L1373" i="5"/>
  <c r="K1373" i="5"/>
  <c r="J1373" i="5"/>
  <c r="H1373" i="5"/>
  <c r="G1373" i="5"/>
  <c r="F1373" i="5"/>
  <c r="E1373" i="5"/>
  <c r="D1373" i="5"/>
  <c r="L1372" i="5"/>
  <c r="K1372" i="5"/>
  <c r="J1372" i="5"/>
  <c r="H1372" i="5"/>
  <c r="G1372" i="5"/>
  <c r="F1372" i="5"/>
  <c r="E1372" i="5"/>
  <c r="D1372" i="5"/>
  <c r="L1371" i="5"/>
  <c r="K1371" i="5"/>
  <c r="J1371" i="5"/>
  <c r="H1371" i="5"/>
  <c r="G1371" i="5"/>
  <c r="F1371" i="5"/>
  <c r="E1371" i="5"/>
  <c r="D1371" i="5"/>
  <c r="L1370" i="5"/>
  <c r="K1370" i="5"/>
  <c r="J1370" i="5"/>
  <c r="H1370" i="5"/>
  <c r="G1370" i="5"/>
  <c r="F1370" i="5"/>
  <c r="E1370" i="5"/>
  <c r="D1370" i="5"/>
  <c r="L1369" i="5"/>
  <c r="K1369" i="5"/>
  <c r="J1369" i="5"/>
  <c r="H1369" i="5"/>
  <c r="G1369" i="5"/>
  <c r="F1369" i="5"/>
  <c r="E1369" i="5"/>
  <c r="D1369" i="5"/>
  <c r="L1368" i="5"/>
  <c r="K1368" i="5"/>
  <c r="J1368" i="5"/>
  <c r="H1368" i="5"/>
  <c r="G1368" i="5"/>
  <c r="F1368" i="5"/>
  <c r="E1368" i="5"/>
  <c r="D1368" i="5"/>
  <c r="L1367" i="5"/>
  <c r="K1367" i="5"/>
  <c r="J1367" i="5"/>
  <c r="H1367" i="5"/>
  <c r="G1367" i="5"/>
  <c r="F1367" i="5"/>
  <c r="E1367" i="5"/>
  <c r="D1367" i="5"/>
  <c r="L1366" i="5"/>
  <c r="K1366" i="5"/>
  <c r="J1366" i="5"/>
  <c r="H1366" i="5"/>
  <c r="G1366" i="5"/>
  <c r="F1366" i="5"/>
  <c r="E1366" i="5"/>
  <c r="D1366" i="5"/>
  <c r="L1365" i="5"/>
  <c r="K1365" i="5"/>
  <c r="J1365" i="5"/>
  <c r="H1365" i="5"/>
  <c r="G1365" i="5"/>
  <c r="F1365" i="5"/>
  <c r="E1365" i="5"/>
  <c r="D1365" i="5"/>
  <c r="L1364" i="5"/>
  <c r="K1364" i="5"/>
  <c r="J1364" i="5"/>
  <c r="H1364" i="5"/>
  <c r="G1364" i="5"/>
  <c r="F1364" i="5"/>
  <c r="E1364" i="5"/>
  <c r="D1364" i="5"/>
  <c r="L1363" i="5"/>
  <c r="K1363" i="5"/>
  <c r="J1363" i="5"/>
  <c r="H1363" i="5"/>
  <c r="G1363" i="5"/>
  <c r="F1363" i="5"/>
  <c r="E1363" i="5"/>
  <c r="D1363" i="5"/>
  <c r="L1362" i="5"/>
  <c r="K1362" i="5"/>
  <c r="J1362" i="5"/>
  <c r="H1362" i="5"/>
  <c r="G1362" i="5"/>
  <c r="F1362" i="5"/>
  <c r="E1362" i="5"/>
  <c r="D1362" i="5"/>
  <c r="L1361" i="5"/>
  <c r="K1361" i="5"/>
  <c r="J1361" i="5"/>
  <c r="H1361" i="5"/>
  <c r="G1361" i="5"/>
  <c r="F1361" i="5"/>
  <c r="E1361" i="5"/>
  <c r="D1361" i="5"/>
  <c r="L1360" i="5"/>
  <c r="K1360" i="5"/>
  <c r="J1360" i="5"/>
  <c r="H1360" i="5"/>
  <c r="G1360" i="5"/>
  <c r="F1360" i="5"/>
  <c r="E1360" i="5"/>
  <c r="D1360" i="5"/>
  <c r="L1359" i="5"/>
  <c r="K1359" i="5"/>
  <c r="J1359" i="5"/>
  <c r="H1359" i="5"/>
  <c r="G1359" i="5"/>
  <c r="F1359" i="5"/>
  <c r="E1359" i="5"/>
  <c r="D1359" i="5"/>
  <c r="L1358" i="5"/>
  <c r="K1358" i="5"/>
  <c r="J1358" i="5"/>
  <c r="H1358" i="5"/>
  <c r="G1358" i="5"/>
  <c r="F1358" i="5"/>
  <c r="E1358" i="5"/>
  <c r="D1358" i="5"/>
  <c r="L1357" i="5"/>
  <c r="K1357" i="5"/>
  <c r="J1357" i="5"/>
  <c r="H1357" i="5"/>
  <c r="G1357" i="5"/>
  <c r="F1357" i="5"/>
  <c r="E1357" i="5"/>
  <c r="D1357" i="5"/>
  <c r="L1356" i="5"/>
  <c r="K1356" i="5"/>
  <c r="J1356" i="5"/>
  <c r="H1356" i="5"/>
  <c r="G1356" i="5"/>
  <c r="F1356" i="5"/>
  <c r="E1356" i="5"/>
  <c r="D1356" i="5"/>
  <c r="L1355" i="5"/>
  <c r="K1355" i="5"/>
  <c r="J1355" i="5"/>
  <c r="H1355" i="5"/>
  <c r="G1355" i="5"/>
  <c r="F1355" i="5"/>
  <c r="E1355" i="5"/>
  <c r="D1355" i="5"/>
  <c r="L1354" i="5"/>
  <c r="K1354" i="5"/>
  <c r="J1354" i="5"/>
  <c r="H1354" i="5"/>
  <c r="G1354" i="5"/>
  <c r="F1354" i="5"/>
  <c r="E1354" i="5"/>
  <c r="D1354" i="5"/>
  <c r="L1353" i="5"/>
  <c r="K1353" i="5"/>
  <c r="J1353" i="5"/>
  <c r="H1353" i="5"/>
  <c r="G1353" i="5"/>
  <c r="F1353" i="5"/>
  <c r="E1353" i="5"/>
  <c r="D1353" i="5"/>
  <c r="L1352" i="5"/>
  <c r="K1352" i="5"/>
  <c r="J1352" i="5"/>
  <c r="H1352" i="5"/>
  <c r="G1352" i="5"/>
  <c r="F1352" i="5"/>
  <c r="E1352" i="5"/>
  <c r="D1352" i="5"/>
  <c r="L1351" i="5"/>
  <c r="K1351" i="5"/>
  <c r="J1351" i="5"/>
  <c r="H1351" i="5"/>
  <c r="G1351" i="5"/>
  <c r="F1351" i="5"/>
  <c r="E1351" i="5"/>
  <c r="D1351" i="5"/>
  <c r="L1350" i="5"/>
  <c r="K1350" i="5"/>
  <c r="J1350" i="5"/>
  <c r="H1350" i="5"/>
  <c r="G1350" i="5"/>
  <c r="F1350" i="5"/>
  <c r="E1350" i="5"/>
  <c r="D1350" i="5"/>
  <c r="L1349" i="5"/>
  <c r="K1349" i="5"/>
  <c r="J1349" i="5"/>
  <c r="H1349" i="5"/>
  <c r="G1349" i="5"/>
  <c r="F1349" i="5"/>
  <c r="E1349" i="5"/>
  <c r="D1349" i="5"/>
  <c r="L1348" i="5"/>
  <c r="K1348" i="5"/>
  <c r="J1348" i="5"/>
  <c r="H1348" i="5"/>
  <c r="G1348" i="5"/>
  <c r="F1348" i="5"/>
  <c r="E1348" i="5"/>
  <c r="D1348" i="5"/>
  <c r="L1347" i="5"/>
  <c r="K1347" i="5"/>
  <c r="J1347" i="5"/>
  <c r="H1347" i="5"/>
  <c r="G1347" i="5"/>
  <c r="F1347" i="5"/>
  <c r="E1347" i="5"/>
  <c r="D1347" i="5"/>
  <c r="L1346" i="5"/>
  <c r="K1346" i="5"/>
  <c r="J1346" i="5"/>
  <c r="H1346" i="5"/>
  <c r="G1346" i="5"/>
  <c r="F1346" i="5"/>
  <c r="E1346" i="5"/>
  <c r="D1346" i="5"/>
  <c r="L1345" i="5"/>
  <c r="K1345" i="5"/>
  <c r="J1345" i="5"/>
  <c r="H1345" i="5"/>
  <c r="G1345" i="5"/>
  <c r="F1345" i="5"/>
  <c r="E1345" i="5"/>
  <c r="D1345" i="5"/>
  <c r="L1344" i="5"/>
  <c r="K1344" i="5"/>
  <c r="J1344" i="5"/>
  <c r="H1344" i="5"/>
  <c r="G1344" i="5"/>
  <c r="F1344" i="5"/>
  <c r="E1344" i="5"/>
  <c r="D1344" i="5"/>
  <c r="L1343" i="5"/>
  <c r="K1343" i="5"/>
  <c r="J1343" i="5"/>
  <c r="H1343" i="5"/>
  <c r="G1343" i="5"/>
  <c r="F1343" i="5"/>
  <c r="E1343" i="5"/>
  <c r="D1343" i="5"/>
  <c r="L1342" i="5"/>
  <c r="K1342" i="5"/>
  <c r="J1342" i="5"/>
  <c r="H1342" i="5"/>
  <c r="G1342" i="5"/>
  <c r="F1342" i="5"/>
  <c r="E1342" i="5"/>
  <c r="D1342" i="5"/>
  <c r="L1341" i="5"/>
  <c r="K1341" i="5"/>
  <c r="J1341" i="5"/>
  <c r="H1341" i="5"/>
  <c r="G1341" i="5"/>
  <c r="F1341" i="5"/>
  <c r="E1341" i="5"/>
  <c r="D1341" i="5"/>
  <c r="L1340" i="5"/>
  <c r="K1340" i="5"/>
  <c r="J1340" i="5"/>
  <c r="H1340" i="5"/>
  <c r="G1340" i="5"/>
  <c r="F1340" i="5"/>
  <c r="E1340" i="5"/>
  <c r="D1340" i="5"/>
  <c r="L1339" i="5"/>
  <c r="K1339" i="5"/>
  <c r="J1339" i="5"/>
  <c r="H1339" i="5"/>
  <c r="G1339" i="5"/>
  <c r="F1339" i="5"/>
  <c r="E1339" i="5"/>
  <c r="D1339" i="5"/>
  <c r="L1338" i="5"/>
  <c r="K1338" i="5"/>
  <c r="J1338" i="5"/>
  <c r="H1338" i="5"/>
  <c r="G1338" i="5"/>
  <c r="F1338" i="5"/>
  <c r="E1338" i="5"/>
  <c r="D1338" i="5"/>
  <c r="L1337" i="5"/>
  <c r="K1337" i="5"/>
  <c r="J1337" i="5"/>
  <c r="H1337" i="5"/>
  <c r="G1337" i="5"/>
  <c r="F1337" i="5"/>
  <c r="E1337" i="5"/>
  <c r="D1337" i="5"/>
  <c r="L1336" i="5"/>
  <c r="K1336" i="5"/>
  <c r="J1336" i="5"/>
  <c r="H1336" i="5"/>
  <c r="G1336" i="5"/>
  <c r="F1336" i="5"/>
  <c r="E1336" i="5"/>
  <c r="D1336" i="5"/>
  <c r="L1335" i="5"/>
  <c r="K1335" i="5"/>
  <c r="J1335" i="5"/>
  <c r="H1335" i="5"/>
  <c r="G1335" i="5"/>
  <c r="F1335" i="5"/>
  <c r="E1335" i="5"/>
  <c r="D1335" i="5"/>
  <c r="L1334" i="5"/>
  <c r="K1334" i="5"/>
  <c r="J1334" i="5"/>
  <c r="H1334" i="5"/>
  <c r="G1334" i="5"/>
  <c r="F1334" i="5"/>
  <c r="E1334" i="5"/>
  <c r="D1334" i="5"/>
  <c r="L1333" i="5"/>
  <c r="K1333" i="5"/>
  <c r="J1333" i="5"/>
  <c r="H1333" i="5"/>
  <c r="G1333" i="5"/>
  <c r="F1333" i="5"/>
  <c r="E1333" i="5"/>
  <c r="D1333" i="5"/>
  <c r="L1332" i="5"/>
  <c r="K1332" i="5"/>
  <c r="J1332" i="5"/>
  <c r="H1332" i="5"/>
  <c r="G1332" i="5"/>
  <c r="F1332" i="5"/>
  <c r="E1332" i="5"/>
  <c r="D1332" i="5"/>
  <c r="L1331" i="5"/>
  <c r="K1331" i="5"/>
  <c r="J1331" i="5"/>
  <c r="H1331" i="5"/>
  <c r="G1331" i="5"/>
  <c r="F1331" i="5"/>
  <c r="E1331" i="5"/>
  <c r="D1331" i="5"/>
  <c r="L1330" i="5"/>
  <c r="K1330" i="5"/>
  <c r="J1330" i="5"/>
  <c r="H1330" i="5"/>
  <c r="G1330" i="5"/>
  <c r="F1330" i="5"/>
  <c r="E1330" i="5"/>
  <c r="D1330" i="5"/>
  <c r="L1329" i="5"/>
  <c r="K1329" i="5"/>
  <c r="J1329" i="5"/>
  <c r="H1329" i="5"/>
  <c r="G1329" i="5"/>
  <c r="F1329" i="5"/>
  <c r="E1329" i="5"/>
  <c r="D1329" i="5"/>
  <c r="L1328" i="5"/>
  <c r="K1328" i="5"/>
  <c r="J1328" i="5"/>
  <c r="H1328" i="5"/>
  <c r="G1328" i="5"/>
  <c r="F1328" i="5"/>
  <c r="E1328" i="5"/>
  <c r="D1328" i="5"/>
  <c r="L1327" i="5"/>
  <c r="K1327" i="5"/>
  <c r="J1327" i="5"/>
  <c r="H1327" i="5"/>
  <c r="G1327" i="5"/>
  <c r="F1327" i="5"/>
  <c r="E1327" i="5"/>
  <c r="D1327" i="5"/>
  <c r="L1326" i="5"/>
  <c r="K1326" i="5"/>
  <c r="J1326" i="5"/>
  <c r="H1326" i="5"/>
  <c r="G1326" i="5"/>
  <c r="F1326" i="5"/>
  <c r="E1326" i="5"/>
  <c r="D1326" i="5"/>
  <c r="L1325" i="5"/>
  <c r="K1325" i="5"/>
  <c r="J1325" i="5"/>
  <c r="H1325" i="5"/>
  <c r="G1325" i="5"/>
  <c r="F1325" i="5"/>
  <c r="E1325" i="5"/>
  <c r="D1325" i="5"/>
  <c r="L1324" i="5"/>
  <c r="K1324" i="5"/>
  <c r="J1324" i="5"/>
  <c r="H1324" i="5"/>
  <c r="G1324" i="5"/>
  <c r="F1324" i="5"/>
  <c r="E1324" i="5"/>
  <c r="D1324" i="5"/>
  <c r="L1323" i="5"/>
  <c r="K1323" i="5"/>
  <c r="J1323" i="5"/>
  <c r="H1323" i="5"/>
  <c r="G1323" i="5"/>
  <c r="F1323" i="5"/>
  <c r="E1323" i="5"/>
  <c r="D1323" i="5"/>
  <c r="L1322" i="5"/>
  <c r="K1322" i="5"/>
  <c r="J1322" i="5"/>
  <c r="H1322" i="5"/>
  <c r="G1322" i="5"/>
  <c r="F1322" i="5"/>
  <c r="E1322" i="5"/>
  <c r="D1322" i="5"/>
  <c r="L1321" i="5"/>
  <c r="K1321" i="5"/>
  <c r="J1321" i="5"/>
  <c r="H1321" i="5"/>
  <c r="G1321" i="5"/>
  <c r="F1321" i="5"/>
  <c r="E1321" i="5"/>
  <c r="D1321" i="5"/>
  <c r="L1320" i="5"/>
  <c r="K1320" i="5"/>
  <c r="J1320" i="5"/>
  <c r="H1320" i="5"/>
  <c r="G1320" i="5"/>
  <c r="F1320" i="5"/>
  <c r="E1320" i="5"/>
  <c r="D1320" i="5"/>
  <c r="L1319" i="5"/>
  <c r="K1319" i="5"/>
  <c r="J1319" i="5"/>
  <c r="H1319" i="5"/>
  <c r="G1319" i="5"/>
  <c r="F1319" i="5"/>
  <c r="E1319" i="5"/>
  <c r="D1319" i="5"/>
  <c r="L1318" i="5"/>
  <c r="K1318" i="5"/>
  <c r="J1318" i="5"/>
  <c r="H1318" i="5"/>
  <c r="G1318" i="5"/>
  <c r="F1318" i="5"/>
  <c r="E1318" i="5"/>
  <c r="D1318" i="5"/>
  <c r="L1317" i="5"/>
  <c r="K1317" i="5"/>
  <c r="J1317" i="5"/>
  <c r="H1317" i="5"/>
  <c r="G1317" i="5"/>
  <c r="F1317" i="5"/>
  <c r="E1317" i="5"/>
  <c r="D1317" i="5"/>
  <c r="L1316" i="5"/>
  <c r="K1316" i="5"/>
  <c r="J1316" i="5"/>
  <c r="H1316" i="5"/>
  <c r="G1316" i="5"/>
  <c r="F1316" i="5"/>
  <c r="E1316" i="5"/>
  <c r="D1316" i="5"/>
  <c r="L1315" i="5"/>
  <c r="K1315" i="5"/>
  <c r="J1315" i="5"/>
  <c r="H1315" i="5"/>
  <c r="G1315" i="5"/>
  <c r="F1315" i="5"/>
  <c r="E1315" i="5"/>
  <c r="D1315" i="5"/>
  <c r="L1314" i="5"/>
  <c r="K1314" i="5"/>
  <c r="J1314" i="5"/>
  <c r="H1314" i="5"/>
  <c r="G1314" i="5"/>
  <c r="F1314" i="5"/>
  <c r="E1314" i="5"/>
  <c r="D1314" i="5"/>
  <c r="L1313" i="5"/>
  <c r="K1313" i="5"/>
  <c r="J1313" i="5"/>
  <c r="H1313" i="5"/>
  <c r="G1313" i="5"/>
  <c r="F1313" i="5"/>
  <c r="E1313" i="5"/>
  <c r="D1313" i="5"/>
  <c r="L1312" i="5"/>
  <c r="K1312" i="5"/>
  <c r="J1312" i="5"/>
  <c r="H1312" i="5"/>
  <c r="G1312" i="5"/>
  <c r="F1312" i="5"/>
  <c r="E1312" i="5"/>
  <c r="D1312" i="5"/>
  <c r="L1311" i="5"/>
  <c r="K1311" i="5"/>
  <c r="J1311" i="5"/>
  <c r="H1311" i="5"/>
  <c r="G1311" i="5"/>
  <c r="F1311" i="5"/>
  <c r="E1311" i="5"/>
  <c r="D1311" i="5"/>
  <c r="L1310" i="5"/>
  <c r="K1310" i="5"/>
  <c r="J1310" i="5"/>
  <c r="H1310" i="5"/>
  <c r="G1310" i="5"/>
  <c r="F1310" i="5"/>
  <c r="E1310" i="5"/>
  <c r="D1310" i="5"/>
  <c r="L1309" i="5"/>
  <c r="K1309" i="5"/>
  <c r="J1309" i="5"/>
  <c r="H1309" i="5"/>
  <c r="G1309" i="5"/>
  <c r="F1309" i="5"/>
  <c r="E1309" i="5"/>
  <c r="D1309" i="5"/>
  <c r="L1308" i="5"/>
  <c r="K1308" i="5"/>
  <c r="J1308" i="5"/>
  <c r="H1308" i="5"/>
  <c r="G1308" i="5"/>
  <c r="F1308" i="5"/>
  <c r="E1308" i="5"/>
  <c r="D1308" i="5"/>
  <c r="L1307" i="5"/>
  <c r="K1307" i="5"/>
  <c r="J1307" i="5"/>
  <c r="H1307" i="5"/>
  <c r="G1307" i="5"/>
  <c r="F1307" i="5"/>
  <c r="E1307" i="5"/>
  <c r="D1307" i="5"/>
  <c r="L1306" i="5"/>
  <c r="K1306" i="5"/>
  <c r="J1306" i="5"/>
  <c r="H1306" i="5"/>
  <c r="G1306" i="5"/>
  <c r="F1306" i="5"/>
  <c r="E1306" i="5"/>
  <c r="D1306" i="5"/>
  <c r="L1305" i="5"/>
  <c r="K1305" i="5"/>
  <c r="J1305" i="5"/>
  <c r="H1305" i="5"/>
  <c r="G1305" i="5"/>
  <c r="F1305" i="5"/>
  <c r="E1305" i="5"/>
  <c r="D1305" i="5"/>
  <c r="L1304" i="5"/>
  <c r="K1304" i="5"/>
  <c r="J1304" i="5"/>
  <c r="H1304" i="5"/>
  <c r="G1304" i="5"/>
  <c r="F1304" i="5"/>
  <c r="E1304" i="5"/>
  <c r="D1304" i="5"/>
  <c r="L1303" i="5"/>
  <c r="K1303" i="5"/>
  <c r="J1303" i="5"/>
  <c r="H1303" i="5"/>
  <c r="G1303" i="5"/>
  <c r="F1303" i="5"/>
  <c r="E1303" i="5"/>
  <c r="D1303" i="5"/>
  <c r="L1302" i="5"/>
  <c r="K1302" i="5"/>
  <c r="J1302" i="5"/>
  <c r="H1302" i="5"/>
  <c r="G1302" i="5"/>
  <c r="F1302" i="5"/>
  <c r="E1302" i="5"/>
  <c r="D1302" i="5"/>
  <c r="L1301" i="5"/>
  <c r="K1301" i="5"/>
  <c r="J1301" i="5"/>
  <c r="H1301" i="5"/>
  <c r="G1301" i="5"/>
  <c r="F1301" i="5"/>
  <c r="E1301" i="5"/>
  <c r="D1301" i="5"/>
  <c r="L1300" i="5"/>
  <c r="K1300" i="5"/>
  <c r="J1300" i="5"/>
  <c r="H1300" i="5"/>
  <c r="G1300" i="5"/>
  <c r="F1300" i="5"/>
  <c r="E1300" i="5"/>
  <c r="D1300" i="5"/>
  <c r="L1299" i="5"/>
  <c r="K1299" i="5"/>
  <c r="J1299" i="5"/>
  <c r="H1299" i="5"/>
  <c r="G1299" i="5"/>
  <c r="F1299" i="5"/>
  <c r="E1299" i="5"/>
  <c r="D1299" i="5"/>
  <c r="L1298" i="5"/>
  <c r="K1298" i="5"/>
  <c r="J1298" i="5"/>
  <c r="H1298" i="5"/>
  <c r="G1298" i="5"/>
  <c r="F1298" i="5"/>
  <c r="E1298" i="5"/>
  <c r="D1298" i="5"/>
  <c r="L1297" i="5"/>
  <c r="K1297" i="5"/>
  <c r="J1297" i="5"/>
  <c r="H1297" i="5"/>
  <c r="G1297" i="5"/>
  <c r="F1297" i="5"/>
  <c r="E1297" i="5"/>
  <c r="D1297" i="5"/>
  <c r="L1296" i="5"/>
  <c r="K1296" i="5"/>
  <c r="J1296" i="5"/>
  <c r="H1296" i="5"/>
  <c r="G1296" i="5"/>
  <c r="F1296" i="5"/>
  <c r="E1296" i="5"/>
  <c r="D1296" i="5"/>
  <c r="L1295" i="5"/>
  <c r="K1295" i="5"/>
  <c r="J1295" i="5"/>
  <c r="H1295" i="5"/>
  <c r="G1295" i="5"/>
  <c r="F1295" i="5"/>
  <c r="E1295" i="5"/>
  <c r="D1295" i="5"/>
  <c r="L1294" i="5"/>
  <c r="K1294" i="5"/>
  <c r="J1294" i="5"/>
  <c r="H1294" i="5"/>
  <c r="G1294" i="5"/>
  <c r="F1294" i="5"/>
  <c r="E1294" i="5"/>
  <c r="D1294" i="5"/>
  <c r="L1293" i="5"/>
  <c r="K1293" i="5"/>
  <c r="J1293" i="5"/>
  <c r="H1293" i="5"/>
  <c r="G1293" i="5"/>
  <c r="F1293" i="5"/>
  <c r="E1293" i="5"/>
  <c r="D1293" i="5"/>
  <c r="L1292" i="5"/>
  <c r="K1292" i="5"/>
  <c r="J1292" i="5"/>
  <c r="H1292" i="5"/>
  <c r="G1292" i="5"/>
  <c r="F1292" i="5"/>
  <c r="E1292" i="5"/>
  <c r="D1292" i="5"/>
  <c r="L1291" i="5"/>
  <c r="K1291" i="5"/>
  <c r="J1291" i="5"/>
  <c r="H1291" i="5"/>
  <c r="G1291" i="5"/>
  <c r="F1291" i="5"/>
  <c r="E1291" i="5"/>
  <c r="D1291" i="5"/>
  <c r="L1290" i="5"/>
  <c r="K1290" i="5"/>
  <c r="J1290" i="5"/>
  <c r="H1290" i="5"/>
  <c r="G1290" i="5"/>
  <c r="F1290" i="5"/>
  <c r="E1290" i="5"/>
  <c r="D1290" i="5"/>
  <c r="L1289" i="5"/>
  <c r="K1289" i="5"/>
  <c r="J1289" i="5"/>
  <c r="H1289" i="5"/>
  <c r="G1289" i="5"/>
  <c r="F1289" i="5"/>
  <c r="E1289" i="5"/>
  <c r="D1289" i="5"/>
  <c r="L1288" i="5"/>
  <c r="K1288" i="5"/>
  <c r="J1288" i="5"/>
  <c r="H1288" i="5"/>
  <c r="G1288" i="5"/>
  <c r="F1288" i="5"/>
  <c r="E1288" i="5"/>
  <c r="D1288" i="5"/>
  <c r="L1287" i="5"/>
  <c r="K1287" i="5"/>
  <c r="J1287" i="5"/>
  <c r="H1287" i="5"/>
  <c r="G1287" i="5"/>
  <c r="F1287" i="5"/>
  <c r="E1287" i="5"/>
  <c r="D1287" i="5"/>
  <c r="L1286" i="5"/>
  <c r="K1286" i="5"/>
  <c r="J1286" i="5"/>
  <c r="H1286" i="5"/>
  <c r="G1286" i="5"/>
  <c r="F1286" i="5"/>
  <c r="E1286" i="5"/>
  <c r="D1286" i="5"/>
  <c r="L1285" i="5"/>
  <c r="K1285" i="5"/>
  <c r="J1285" i="5"/>
  <c r="H1285" i="5"/>
  <c r="G1285" i="5"/>
  <c r="F1285" i="5"/>
  <c r="E1285" i="5"/>
  <c r="D1285" i="5"/>
  <c r="L1284" i="5"/>
  <c r="K1284" i="5"/>
  <c r="J1284" i="5"/>
  <c r="H1284" i="5"/>
  <c r="G1284" i="5"/>
  <c r="F1284" i="5"/>
  <c r="E1284" i="5"/>
  <c r="D1284" i="5"/>
  <c r="L1283" i="5"/>
  <c r="K1283" i="5"/>
  <c r="J1283" i="5"/>
  <c r="H1283" i="5"/>
  <c r="G1283" i="5"/>
  <c r="F1283" i="5"/>
  <c r="E1283" i="5"/>
  <c r="D1283" i="5"/>
  <c r="L1282" i="5"/>
  <c r="K1282" i="5"/>
  <c r="J1282" i="5"/>
  <c r="H1282" i="5"/>
  <c r="G1282" i="5"/>
  <c r="F1282" i="5"/>
  <c r="E1282" i="5"/>
  <c r="D1282" i="5"/>
  <c r="L1281" i="5"/>
  <c r="K1281" i="5"/>
  <c r="J1281" i="5"/>
  <c r="H1281" i="5"/>
  <c r="G1281" i="5"/>
  <c r="F1281" i="5"/>
  <c r="E1281" i="5"/>
  <c r="D1281" i="5"/>
  <c r="L1280" i="5"/>
  <c r="K1280" i="5"/>
  <c r="J1280" i="5"/>
  <c r="H1280" i="5"/>
  <c r="G1280" i="5"/>
  <c r="F1280" i="5"/>
  <c r="E1280" i="5"/>
  <c r="D1280" i="5"/>
  <c r="L1279" i="5"/>
  <c r="K1279" i="5"/>
  <c r="J1279" i="5"/>
  <c r="H1279" i="5"/>
  <c r="G1279" i="5"/>
  <c r="F1279" i="5"/>
  <c r="E1279" i="5"/>
  <c r="D1279" i="5"/>
  <c r="L1278" i="5"/>
  <c r="K1278" i="5"/>
  <c r="J1278" i="5"/>
  <c r="H1278" i="5"/>
  <c r="G1278" i="5"/>
  <c r="F1278" i="5"/>
  <c r="E1278" i="5"/>
  <c r="D1278" i="5"/>
  <c r="L1277" i="5"/>
  <c r="K1277" i="5"/>
  <c r="J1277" i="5"/>
  <c r="H1277" i="5"/>
  <c r="G1277" i="5"/>
  <c r="F1277" i="5"/>
  <c r="E1277" i="5"/>
  <c r="D1277" i="5"/>
  <c r="L1276" i="5"/>
  <c r="K1276" i="5"/>
  <c r="J1276" i="5"/>
  <c r="H1276" i="5"/>
  <c r="G1276" i="5"/>
  <c r="F1276" i="5"/>
  <c r="E1276" i="5"/>
  <c r="D1276" i="5"/>
  <c r="L1275" i="5"/>
  <c r="K1275" i="5"/>
  <c r="J1275" i="5"/>
  <c r="H1275" i="5"/>
  <c r="G1275" i="5"/>
  <c r="F1275" i="5"/>
  <c r="E1275" i="5"/>
  <c r="D1275" i="5"/>
  <c r="L1274" i="5"/>
  <c r="K1274" i="5"/>
  <c r="J1274" i="5"/>
  <c r="H1274" i="5"/>
  <c r="G1274" i="5"/>
  <c r="F1274" i="5"/>
  <c r="E1274" i="5"/>
  <c r="D1274" i="5"/>
  <c r="L1273" i="5"/>
  <c r="K1273" i="5"/>
  <c r="J1273" i="5"/>
  <c r="H1273" i="5"/>
  <c r="G1273" i="5"/>
  <c r="F1273" i="5"/>
  <c r="E1273" i="5"/>
  <c r="D1273" i="5"/>
  <c r="L1272" i="5"/>
  <c r="K1272" i="5"/>
  <c r="J1272" i="5"/>
  <c r="H1272" i="5"/>
  <c r="G1272" i="5"/>
  <c r="F1272" i="5"/>
  <c r="E1272" i="5"/>
  <c r="D1272" i="5"/>
  <c r="L1271" i="5"/>
  <c r="K1271" i="5"/>
  <c r="J1271" i="5"/>
  <c r="H1271" i="5"/>
  <c r="G1271" i="5"/>
  <c r="F1271" i="5"/>
  <c r="E1271" i="5"/>
  <c r="D1271" i="5"/>
  <c r="L1270" i="5"/>
  <c r="K1270" i="5"/>
  <c r="J1270" i="5"/>
  <c r="H1270" i="5"/>
  <c r="G1270" i="5"/>
  <c r="F1270" i="5"/>
  <c r="E1270" i="5"/>
  <c r="D1270" i="5"/>
  <c r="L1269" i="5"/>
  <c r="K1269" i="5"/>
  <c r="J1269" i="5"/>
  <c r="H1269" i="5"/>
  <c r="G1269" i="5"/>
  <c r="F1269" i="5"/>
  <c r="E1269" i="5"/>
  <c r="D1269" i="5"/>
  <c r="L1268" i="5"/>
  <c r="K1268" i="5"/>
  <c r="J1268" i="5"/>
  <c r="H1268" i="5"/>
  <c r="G1268" i="5"/>
  <c r="F1268" i="5"/>
  <c r="E1268" i="5"/>
  <c r="D1268" i="5"/>
  <c r="L1267" i="5"/>
  <c r="K1267" i="5"/>
  <c r="J1267" i="5"/>
  <c r="H1267" i="5"/>
  <c r="G1267" i="5"/>
  <c r="F1267" i="5"/>
  <c r="E1267" i="5"/>
  <c r="D1267" i="5"/>
  <c r="L1266" i="5"/>
  <c r="K1266" i="5"/>
  <c r="J1266" i="5"/>
  <c r="H1266" i="5"/>
  <c r="G1266" i="5"/>
  <c r="F1266" i="5"/>
  <c r="E1266" i="5"/>
  <c r="D1266" i="5"/>
  <c r="L1265" i="5"/>
  <c r="K1265" i="5"/>
  <c r="J1265" i="5"/>
  <c r="H1265" i="5"/>
  <c r="G1265" i="5"/>
  <c r="F1265" i="5"/>
  <c r="E1265" i="5"/>
  <c r="D1265" i="5"/>
  <c r="L1264" i="5"/>
  <c r="K1264" i="5"/>
  <c r="J1264" i="5"/>
  <c r="H1264" i="5"/>
  <c r="G1264" i="5"/>
  <c r="F1264" i="5"/>
  <c r="E1264" i="5"/>
  <c r="D1264" i="5"/>
  <c r="L1263" i="5"/>
  <c r="K1263" i="5"/>
  <c r="J1263" i="5"/>
  <c r="H1263" i="5"/>
  <c r="G1263" i="5"/>
  <c r="F1263" i="5"/>
  <c r="E1263" i="5"/>
  <c r="D1263" i="5"/>
  <c r="L1262" i="5"/>
  <c r="K1262" i="5"/>
  <c r="J1262" i="5"/>
  <c r="H1262" i="5"/>
  <c r="G1262" i="5"/>
  <c r="F1262" i="5"/>
  <c r="E1262" i="5"/>
  <c r="D1262" i="5"/>
  <c r="L1261" i="5"/>
  <c r="K1261" i="5"/>
  <c r="J1261" i="5"/>
  <c r="H1261" i="5"/>
  <c r="G1261" i="5"/>
  <c r="F1261" i="5"/>
  <c r="E1261" i="5"/>
  <c r="D1261" i="5"/>
  <c r="L1260" i="5"/>
  <c r="K1260" i="5"/>
  <c r="J1260" i="5"/>
  <c r="H1260" i="5"/>
  <c r="G1260" i="5"/>
  <c r="F1260" i="5"/>
  <c r="E1260" i="5"/>
  <c r="D1260" i="5"/>
  <c r="L1259" i="5"/>
  <c r="K1259" i="5"/>
  <c r="J1259" i="5"/>
  <c r="H1259" i="5"/>
  <c r="G1259" i="5"/>
  <c r="F1259" i="5"/>
  <c r="E1259" i="5"/>
  <c r="D1259" i="5"/>
  <c r="L1258" i="5"/>
  <c r="K1258" i="5"/>
  <c r="J1258" i="5"/>
  <c r="H1258" i="5"/>
  <c r="G1258" i="5"/>
  <c r="F1258" i="5"/>
  <c r="E1258" i="5"/>
  <c r="D1258" i="5"/>
  <c r="L1257" i="5"/>
  <c r="K1257" i="5"/>
  <c r="J1257" i="5"/>
  <c r="H1257" i="5"/>
  <c r="G1257" i="5"/>
  <c r="F1257" i="5"/>
  <c r="E1257" i="5"/>
  <c r="D1257" i="5"/>
  <c r="L1256" i="5"/>
  <c r="K1256" i="5"/>
  <c r="J1256" i="5"/>
  <c r="H1256" i="5"/>
  <c r="G1256" i="5"/>
  <c r="F1256" i="5"/>
  <c r="E1256" i="5"/>
  <c r="D1256" i="5"/>
  <c r="L1255" i="5"/>
  <c r="K1255" i="5"/>
  <c r="J1255" i="5"/>
  <c r="H1255" i="5"/>
  <c r="G1255" i="5"/>
  <c r="F1255" i="5"/>
  <c r="E1255" i="5"/>
  <c r="D1255" i="5"/>
  <c r="L1254" i="5"/>
  <c r="K1254" i="5"/>
  <c r="J1254" i="5"/>
  <c r="H1254" i="5"/>
  <c r="G1254" i="5"/>
  <c r="F1254" i="5"/>
  <c r="E1254" i="5"/>
  <c r="D1254" i="5"/>
  <c r="L1253" i="5"/>
  <c r="K1253" i="5"/>
  <c r="J1253" i="5"/>
  <c r="H1253" i="5"/>
  <c r="G1253" i="5"/>
  <c r="F1253" i="5"/>
  <c r="E1253" i="5"/>
  <c r="D1253" i="5"/>
  <c r="L1252" i="5"/>
  <c r="K1252" i="5"/>
  <c r="J1252" i="5"/>
  <c r="H1252" i="5"/>
  <c r="G1252" i="5"/>
  <c r="F1252" i="5"/>
  <c r="E1252" i="5"/>
  <c r="D1252" i="5"/>
  <c r="L1251" i="5"/>
  <c r="K1251" i="5"/>
  <c r="J1251" i="5"/>
  <c r="H1251" i="5"/>
  <c r="G1251" i="5"/>
  <c r="F1251" i="5"/>
  <c r="E1251" i="5"/>
  <c r="D1251" i="5"/>
  <c r="L1250" i="5"/>
  <c r="K1250" i="5"/>
  <c r="J1250" i="5"/>
  <c r="H1250" i="5"/>
  <c r="G1250" i="5"/>
  <c r="F1250" i="5"/>
  <c r="E1250" i="5"/>
  <c r="D1250" i="5"/>
  <c r="L1249" i="5"/>
  <c r="K1249" i="5"/>
  <c r="J1249" i="5"/>
  <c r="H1249" i="5"/>
  <c r="G1249" i="5"/>
  <c r="F1249" i="5"/>
  <c r="E1249" i="5"/>
  <c r="D1249" i="5"/>
  <c r="L1248" i="5"/>
  <c r="K1248" i="5"/>
  <c r="J1248" i="5"/>
  <c r="H1248" i="5"/>
  <c r="G1248" i="5"/>
  <c r="F1248" i="5"/>
  <c r="E1248" i="5"/>
  <c r="D1248" i="5"/>
  <c r="L1247" i="5"/>
  <c r="K1247" i="5"/>
  <c r="J1247" i="5"/>
  <c r="H1247" i="5"/>
  <c r="G1247" i="5"/>
  <c r="F1247" i="5"/>
  <c r="E1247" i="5"/>
  <c r="D1247" i="5"/>
  <c r="L1246" i="5"/>
  <c r="K1246" i="5"/>
  <c r="J1246" i="5"/>
  <c r="H1246" i="5"/>
  <c r="G1246" i="5"/>
  <c r="F1246" i="5"/>
  <c r="E1246" i="5"/>
  <c r="D1246" i="5"/>
  <c r="L1245" i="5"/>
  <c r="K1245" i="5"/>
  <c r="J1245" i="5"/>
  <c r="H1245" i="5"/>
  <c r="G1245" i="5"/>
  <c r="F1245" i="5"/>
  <c r="E1245" i="5"/>
  <c r="D1245" i="5"/>
  <c r="L1244" i="5"/>
  <c r="K1244" i="5"/>
  <c r="J1244" i="5"/>
  <c r="H1244" i="5"/>
  <c r="G1244" i="5"/>
  <c r="F1244" i="5"/>
  <c r="E1244" i="5"/>
  <c r="D1244" i="5"/>
  <c r="L1243" i="5"/>
  <c r="K1243" i="5"/>
  <c r="J1243" i="5"/>
  <c r="H1243" i="5"/>
  <c r="G1243" i="5"/>
  <c r="F1243" i="5"/>
  <c r="E1243" i="5"/>
  <c r="D1243" i="5"/>
  <c r="L1242" i="5"/>
  <c r="K1242" i="5"/>
  <c r="J1242" i="5"/>
  <c r="H1242" i="5"/>
  <c r="G1242" i="5"/>
  <c r="F1242" i="5"/>
  <c r="E1242" i="5"/>
  <c r="D1242" i="5"/>
  <c r="L1241" i="5"/>
  <c r="K1241" i="5"/>
  <c r="J1241" i="5"/>
  <c r="H1241" i="5"/>
  <c r="G1241" i="5"/>
  <c r="F1241" i="5"/>
  <c r="E1241" i="5"/>
  <c r="D1241" i="5"/>
  <c r="L1240" i="5"/>
  <c r="K1240" i="5"/>
  <c r="J1240" i="5"/>
  <c r="H1240" i="5"/>
  <c r="G1240" i="5"/>
  <c r="F1240" i="5"/>
  <c r="E1240" i="5"/>
  <c r="D1240" i="5"/>
  <c r="L1239" i="5"/>
  <c r="K1239" i="5"/>
  <c r="J1239" i="5"/>
  <c r="H1239" i="5"/>
  <c r="G1239" i="5"/>
  <c r="F1239" i="5"/>
  <c r="E1239" i="5"/>
  <c r="D1239" i="5"/>
  <c r="L1238" i="5"/>
  <c r="K1238" i="5"/>
  <c r="J1238" i="5"/>
  <c r="H1238" i="5"/>
  <c r="G1238" i="5"/>
  <c r="F1238" i="5"/>
  <c r="E1238" i="5"/>
  <c r="D1238" i="5"/>
  <c r="L1237" i="5"/>
  <c r="K1237" i="5"/>
  <c r="J1237" i="5"/>
  <c r="H1237" i="5"/>
  <c r="G1237" i="5"/>
  <c r="F1237" i="5"/>
  <c r="E1237" i="5"/>
  <c r="D1237" i="5"/>
  <c r="L1236" i="5"/>
  <c r="K1236" i="5"/>
  <c r="J1236" i="5"/>
  <c r="H1236" i="5"/>
  <c r="G1236" i="5"/>
  <c r="F1236" i="5"/>
  <c r="E1236" i="5"/>
  <c r="D1236" i="5"/>
  <c r="L1235" i="5"/>
  <c r="K1235" i="5"/>
  <c r="J1235" i="5"/>
  <c r="H1235" i="5"/>
  <c r="G1235" i="5"/>
  <c r="F1235" i="5"/>
  <c r="E1235" i="5"/>
  <c r="D1235" i="5"/>
  <c r="L1234" i="5"/>
  <c r="K1234" i="5"/>
  <c r="J1234" i="5"/>
  <c r="H1234" i="5"/>
  <c r="G1234" i="5"/>
  <c r="F1234" i="5"/>
  <c r="E1234" i="5"/>
  <c r="D1234" i="5"/>
  <c r="L1233" i="5"/>
  <c r="K1233" i="5"/>
  <c r="J1233" i="5"/>
  <c r="H1233" i="5"/>
  <c r="G1233" i="5"/>
  <c r="F1233" i="5"/>
  <c r="E1233" i="5"/>
  <c r="D1233" i="5"/>
  <c r="L1232" i="5"/>
  <c r="K1232" i="5"/>
  <c r="J1232" i="5"/>
  <c r="H1232" i="5"/>
  <c r="G1232" i="5"/>
  <c r="F1232" i="5"/>
  <c r="E1232" i="5"/>
  <c r="D1232" i="5"/>
  <c r="L1231" i="5"/>
  <c r="K1231" i="5"/>
  <c r="J1231" i="5"/>
  <c r="H1231" i="5"/>
  <c r="G1231" i="5"/>
  <c r="F1231" i="5"/>
  <c r="E1231" i="5"/>
  <c r="D1231" i="5"/>
  <c r="L1230" i="5"/>
  <c r="K1230" i="5"/>
  <c r="J1230" i="5"/>
  <c r="H1230" i="5"/>
  <c r="G1230" i="5"/>
  <c r="F1230" i="5"/>
  <c r="E1230" i="5"/>
  <c r="D1230" i="5"/>
  <c r="L1229" i="5"/>
  <c r="K1229" i="5"/>
  <c r="J1229" i="5"/>
  <c r="H1229" i="5"/>
  <c r="G1229" i="5"/>
  <c r="F1229" i="5"/>
  <c r="E1229" i="5"/>
  <c r="D1229" i="5"/>
  <c r="L1228" i="5"/>
  <c r="K1228" i="5"/>
  <c r="J1228" i="5"/>
  <c r="H1228" i="5"/>
  <c r="G1228" i="5"/>
  <c r="F1228" i="5"/>
  <c r="E1228" i="5"/>
  <c r="D1228" i="5"/>
  <c r="L1227" i="5"/>
  <c r="K1227" i="5"/>
  <c r="J1227" i="5"/>
  <c r="H1227" i="5"/>
  <c r="G1227" i="5"/>
  <c r="F1227" i="5"/>
  <c r="E1227" i="5"/>
  <c r="D1227" i="5"/>
  <c r="L1226" i="5"/>
  <c r="K1226" i="5"/>
  <c r="J1226" i="5"/>
  <c r="H1226" i="5"/>
  <c r="G1226" i="5"/>
  <c r="F1226" i="5"/>
  <c r="E1226" i="5"/>
  <c r="D1226" i="5"/>
  <c r="L1225" i="5"/>
  <c r="K1225" i="5"/>
  <c r="J1225" i="5"/>
  <c r="H1225" i="5"/>
  <c r="G1225" i="5"/>
  <c r="F1225" i="5"/>
  <c r="E1225" i="5"/>
  <c r="D1225" i="5"/>
  <c r="L1224" i="5"/>
  <c r="K1224" i="5"/>
  <c r="J1224" i="5"/>
  <c r="H1224" i="5"/>
  <c r="G1224" i="5"/>
  <c r="F1224" i="5"/>
  <c r="E1224" i="5"/>
  <c r="D1224" i="5"/>
  <c r="L1223" i="5"/>
  <c r="K1223" i="5"/>
  <c r="J1223" i="5"/>
  <c r="H1223" i="5"/>
  <c r="G1223" i="5"/>
  <c r="F1223" i="5"/>
  <c r="E1223" i="5"/>
  <c r="D1223" i="5"/>
  <c r="L1222" i="5"/>
  <c r="K1222" i="5"/>
  <c r="J1222" i="5"/>
  <c r="H1222" i="5"/>
  <c r="G1222" i="5"/>
  <c r="F1222" i="5"/>
  <c r="E1222" i="5"/>
  <c r="D1222" i="5"/>
  <c r="L1221" i="5"/>
  <c r="K1221" i="5"/>
  <c r="J1221" i="5"/>
  <c r="H1221" i="5"/>
  <c r="G1221" i="5"/>
  <c r="F1221" i="5"/>
  <c r="E1221" i="5"/>
  <c r="D1221" i="5"/>
  <c r="L1220" i="5"/>
  <c r="K1220" i="5"/>
  <c r="J1220" i="5"/>
  <c r="H1220" i="5"/>
  <c r="G1220" i="5"/>
  <c r="F1220" i="5"/>
  <c r="E1220" i="5"/>
  <c r="D1220" i="5"/>
  <c r="L1219" i="5"/>
  <c r="K1219" i="5"/>
  <c r="J1219" i="5"/>
  <c r="H1219" i="5"/>
  <c r="G1219" i="5"/>
  <c r="F1219" i="5"/>
  <c r="E1219" i="5"/>
  <c r="D1219" i="5"/>
  <c r="L1218" i="5"/>
  <c r="K1218" i="5"/>
  <c r="J1218" i="5"/>
  <c r="H1218" i="5"/>
  <c r="G1218" i="5"/>
  <c r="F1218" i="5"/>
  <c r="E1218" i="5"/>
  <c r="D1218" i="5"/>
  <c r="L1217" i="5"/>
  <c r="K1217" i="5"/>
  <c r="J1217" i="5"/>
  <c r="H1217" i="5"/>
  <c r="G1217" i="5"/>
  <c r="F1217" i="5"/>
  <c r="E1217" i="5"/>
  <c r="D1217" i="5"/>
  <c r="L1216" i="5"/>
  <c r="K1216" i="5"/>
  <c r="J1216" i="5"/>
  <c r="H1216" i="5"/>
  <c r="G1216" i="5"/>
  <c r="F1216" i="5"/>
  <c r="E1216" i="5"/>
  <c r="D1216" i="5"/>
  <c r="L1215" i="5"/>
  <c r="K1215" i="5"/>
  <c r="J1215" i="5"/>
  <c r="H1215" i="5"/>
  <c r="G1215" i="5"/>
  <c r="F1215" i="5"/>
  <c r="E1215" i="5"/>
  <c r="D1215" i="5"/>
  <c r="L1214" i="5"/>
  <c r="K1214" i="5"/>
  <c r="J1214" i="5"/>
  <c r="H1214" i="5"/>
  <c r="G1214" i="5"/>
  <c r="F1214" i="5"/>
  <c r="E1214" i="5"/>
  <c r="D1214" i="5"/>
  <c r="L1213" i="5"/>
  <c r="K1213" i="5"/>
  <c r="J1213" i="5"/>
  <c r="H1213" i="5"/>
  <c r="G1213" i="5"/>
  <c r="F1213" i="5"/>
  <c r="E1213" i="5"/>
  <c r="D1213" i="5"/>
  <c r="L1212" i="5"/>
  <c r="K1212" i="5"/>
  <c r="J1212" i="5"/>
  <c r="H1212" i="5"/>
  <c r="G1212" i="5"/>
  <c r="F1212" i="5"/>
  <c r="E1212" i="5"/>
  <c r="D1212" i="5"/>
  <c r="L1211" i="5"/>
  <c r="K1211" i="5"/>
  <c r="J1211" i="5"/>
  <c r="H1211" i="5"/>
  <c r="G1211" i="5"/>
  <c r="F1211" i="5"/>
  <c r="E1211" i="5"/>
  <c r="D1211" i="5"/>
  <c r="L1210" i="5"/>
  <c r="K1210" i="5"/>
  <c r="J1210" i="5"/>
  <c r="H1210" i="5"/>
  <c r="G1210" i="5"/>
  <c r="F1210" i="5"/>
  <c r="E1210" i="5"/>
  <c r="D1210" i="5"/>
  <c r="L1209" i="5"/>
  <c r="K1209" i="5"/>
  <c r="J1209" i="5"/>
  <c r="H1209" i="5"/>
  <c r="G1209" i="5"/>
  <c r="F1209" i="5"/>
  <c r="E1209" i="5"/>
  <c r="D1209" i="5"/>
  <c r="L1208" i="5"/>
  <c r="K1208" i="5"/>
  <c r="J1208" i="5"/>
  <c r="H1208" i="5"/>
  <c r="G1208" i="5"/>
  <c r="F1208" i="5"/>
  <c r="E1208" i="5"/>
  <c r="D1208" i="5"/>
  <c r="L1207" i="5"/>
  <c r="K1207" i="5"/>
  <c r="J1207" i="5"/>
  <c r="H1207" i="5"/>
  <c r="G1207" i="5"/>
  <c r="F1207" i="5"/>
  <c r="E1207" i="5"/>
  <c r="D1207" i="5"/>
  <c r="L1206" i="5"/>
  <c r="K1206" i="5"/>
  <c r="J1206" i="5"/>
  <c r="H1206" i="5"/>
  <c r="G1206" i="5"/>
  <c r="F1206" i="5"/>
  <c r="E1206" i="5"/>
  <c r="D1206" i="5"/>
  <c r="L1205" i="5"/>
  <c r="K1205" i="5"/>
  <c r="J1205" i="5"/>
  <c r="H1205" i="5"/>
  <c r="G1205" i="5"/>
  <c r="F1205" i="5"/>
  <c r="E1205" i="5"/>
  <c r="D1205" i="5"/>
  <c r="L1204" i="5"/>
  <c r="K1204" i="5"/>
  <c r="J1204" i="5"/>
  <c r="H1204" i="5"/>
  <c r="G1204" i="5"/>
  <c r="F1204" i="5"/>
  <c r="E1204" i="5"/>
  <c r="D1204" i="5"/>
  <c r="L1203" i="5"/>
  <c r="K1203" i="5"/>
  <c r="J1203" i="5"/>
  <c r="H1203" i="5"/>
  <c r="G1203" i="5"/>
  <c r="F1203" i="5"/>
  <c r="E1203" i="5"/>
  <c r="D1203" i="5"/>
  <c r="L1202" i="5"/>
  <c r="K1202" i="5"/>
  <c r="J1202" i="5"/>
  <c r="H1202" i="5"/>
  <c r="G1202" i="5"/>
  <c r="F1202" i="5"/>
  <c r="E1202" i="5"/>
  <c r="D1202" i="5"/>
  <c r="L1201" i="5"/>
  <c r="K1201" i="5"/>
  <c r="J1201" i="5"/>
  <c r="H1201" i="5"/>
  <c r="G1201" i="5"/>
  <c r="F1201" i="5"/>
  <c r="E1201" i="5"/>
  <c r="D1201" i="5"/>
  <c r="L1200" i="5"/>
  <c r="K1200" i="5"/>
  <c r="J1200" i="5"/>
  <c r="H1200" i="5"/>
  <c r="G1200" i="5"/>
  <c r="F1200" i="5"/>
  <c r="E1200" i="5"/>
  <c r="D1200" i="5"/>
  <c r="L1199" i="5"/>
  <c r="K1199" i="5"/>
  <c r="J1199" i="5"/>
  <c r="H1199" i="5"/>
  <c r="G1199" i="5"/>
  <c r="F1199" i="5"/>
  <c r="E1199" i="5"/>
  <c r="D1199" i="5"/>
  <c r="L1198" i="5"/>
  <c r="K1198" i="5"/>
  <c r="J1198" i="5"/>
  <c r="H1198" i="5"/>
  <c r="G1198" i="5"/>
  <c r="F1198" i="5"/>
  <c r="E1198" i="5"/>
  <c r="D1198" i="5"/>
  <c r="L1197" i="5"/>
  <c r="K1197" i="5"/>
  <c r="J1197" i="5"/>
  <c r="H1197" i="5"/>
  <c r="G1197" i="5"/>
  <c r="F1197" i="5"/>
  <c r="E1197" i="5"/>
  <c r="D1197" i="5"/>
  <c r="L1196" i="5"/>
  <c r="K1196" i="5"/>
  <c r="J1196" i="5"/>
  <c r="H1196" i="5"/>
  <c r="G1196" i="5"/>
  <c r="F1196" i="5"/>
  <c r="E1196" i="5"/>
  <c r="D1196" i="5"/>
  <c r="L1195" i="5"/>
  <c r="K1195" i="5"/>
  <c r="J1195" i="5"/>
  <c r="H1195" i="5"/>
  <c r="G1195" i="5"/>
  <c r="F1195" i="5"/>
  <c r="E1195" i="5"/>
  <c r="D1195" i="5"/>
  <c r="L1194" i="5"/>
  <c r="K1194" i="5"/>
  <c r="J1194" i="5"/>
  <c r="H1194" i="5"/>
  <c r="G1194" i="5"/>
  <c r="F1194" i="5"/>
  <c r="E1194" i="5"/>
  <c r="D1194" i="5"/>
  <c r="L1193" i="5"/>
  <c r="K1193" i="5"/>
  <c r="J1193" i="5"/>
  <c r="H1193" i="5"/>
  <c r="G1193" i="5"/>
  <c r="F1193" i="5"/>
  <c r="E1193" i="5"/>
  <c r="D1193" i="5"/>
  <c r="L1192" i="5"/>
  <c r="K1192" i="5"/>
  <c r="J1192" i="5"/>
  <c r="H1192" i="5"/>
  <c r="G1192" i="5"/>
  <c r="F1192" i="5"/>
  <c r="E1192" i="5"/>
  <c r="D1192" i="5"/>
  <c r="L1191" i="5"/>
  <c r="K1191" i="5"/>
  <c r="J1191" i="5"/>
  <c r="H1191" i="5"/>
  <c r="G1191" i="5"/>
  <c r="F1191" i="5"/>
  <c r="E1191" i="5"/>
  <c r="D1191" i="5"/>
  <c r="L1190" i="5"/>
  <c r="K1190" i="5"/>
  <c r="J1190" i="5"/>
  <c r="H1190" i="5"/>
  <c r="G1190" i="5"/>
  <c r="F1190" i="5"/>
  <c r="E1190" i="5"/>
  <c r="D1190" i="5"/>
  <c r="L1189" i="5"/>
  <c r="K1189" i="5"/>
  <c r="J1189" i="5"/>
  <c r="H1189" i="5"/>
  <c r="G1189" i="5"/>
  <c r="F1189" i="5"/>
  <c r="E1189" i="5"/>
  <c r="D1189" i="5"/>
  <c r="L1188" i="5"/>
  <c r="K1188" i="5"/>
  <c r="J1188" i="5"/>
  <c r="H1188" i="5"/>
  <c r="G1188" i="5"/>
  <c r="F1188" i="5"/>
  <c r="E1188" i="5"/>
  <c r="D1188" i="5"/>
  <c r="L1187" i="5"/>
  <c r="K1187" i="5"/>
  <c r="J1187" i="5"/>
  <c r="H1187" i="5"/>
  <c r="G1187" i="5"/>
  <c r="F1187" i="5"/>
  <c r="E1187" i="5"/>
  <c r="D1187" i="5"/>
  <c r="L1186" i="5"/>
  <c r="K1186" i="5"/>
  <c r="J1186" i="5"/>
  <c r="H1186" i="5"/>
  <c r="G1186" i="5"/>
  <c r="F1186" i="5"/>
  <c r="E1186" i="5"/>
  <c r="D1186" i="5"/>
  <c r="L1185" i="5"/>
  <c r="K1185" i="5"/>
  <c r="J1185" i="5"/>
  <c r="H1185" i="5"/>
  <c r="G1185" i="5"/>
  <c r="F1185" i="5"/>
  <c r="E1185" i="5"/>
  <c r="D1185" i="5"/>
  <c r="L1184" i="5"/>
  <c r="K1184" i="5"/>
  <c r="J1184" i="5"/>
  <c r="H1184" i="5"/>
  <c r="G1184" i="5"/>
  <c r="F1184" i="5"/>
  <c r="E1184" i="5"/>
  <c r="D1184" i="5"/>
  <c r="L1183" i="5"/>
  <c r="K1183" i="5"/>
  <c r="J1183" i="5"/>
  <c r="H1183" i="5"/>
  <c r="G1183" i="5"/>
  <c r="F1183" i="5"/>
  <c r="E1183" i="5"/>
  <c r="D1183" i="5"/>
  <c r="L1182" i="5"/>
  <c r="K1182" i="5"/>
  <c r="J1182" i="5"/>
  <c r="H1182" i="5"/>
  <c r="G1182" i="5"/>
  <c r="F1182" i="5"/>
  <c r="E1182" i="5"/>
  <c r="D1182" i="5"/>
  <c r="L1181" i="5"/>
  <c r="K1181" i="5"/>
  <c r="J1181" i="5"/>
  <c r="H1181" i="5"/>
  <c r="G1181" i="5"/>
  <c r="F1181" i="5"/>
  <c r="E1181" i="5"/>
  <c r="D1181" i="5"/>
  <c r="L1180" i="5"/>
  <c r="K1180" i="5"/>
  <c r="J1180" i="5"/>
  <c r="H1180" i="5"/>
  <c r="G1180" i="5"/>
  <c r="F1180" i="5"/>
  <c r="E1180" i="5"/>
  <c r="D1180" i="5"/>
  <c r="L1179" i="5"/>
  <c r="K1179" i="5"/>
  <c r="J1179" i="5"/>
  <c r="H1179" i="5"/>
  <c r="G1179" i="5"/>
  <c r="F1179" i="5"/>
  <c r="E1179" i="5"/>
  <c r="D1179" i="5"/>
  <c r="L1178" i="5"/>
  <c r="K1178" i="5"/>
  <c r="J1178" i="5"/>
  <c r="H1178" i="5"/>
  <c r="G1178" i="5"/>
  <c r="F1178" i="5"/>
  <c r="E1178" i="5"/>
  <c r="D1178" i="5"/>
  <c r="L1177" i="5"/>
  <c r="K1177" i="5"/>
  <c r="J1177" i="5"/>
  <c r="H1177" i="5"/>
  <c r="G1177" i="5"/>
  <c r="F1177" i="5"/>
  <c r="E1177" i="5"/>
  <c r="D1177" i="5"/>
  <c r="L1176" i="5"/>
  <c r="K1176" i="5"/>
  <c r="J1176" i="5"/>
  <c r="H1176" i="5"/>
  <c r="G1176" i="5"/>
  <c r="F1176" i="5"/>
  <c r="E1176" i="5"/>
  <c r="D1176" i="5"/>
  <c r="L1175" i="5"/>
  <c r="K1175" i="5"/>
  <c r="J1175" i="5"/>
  <c r="H1175" i="5"/>
  <c r="G1175" i="5"/>
  <c r="F1175" i="5"/>
  <c r="E1175" i="5"/>
  <c r="D1175" i="5"/>
  <c r="L1174" i="5"/>
  <c r="K1174" i="5"/>
  <c r="J1174" i="5"/>
  <c r="H1174" i="5"/>
  <c r="G1174" i="5"/>
  <c r="F1174" i="5"/>
  <c r="E1174" i="5"/>
  <c r="D1174" i="5"/>
  <c r="L1173" i="5"/>
  <c r="K1173" i="5"/>
  <c r="J1173" i="5"/>
  <c r="H1173" i="5"/>
  <c r="G1173" i="5"/>
  <c r="F1173" i="5"/>
  <c r="E1173" i="5"/>
  <c r="D1173" i="5"/>
  <c r="L1172" i="5"/>
  <c r="K1172" i="5"/>
  <c r="J1172" i="5"/>
  <c r="H1172" i="5"/>
  <c r="G1172" i="5"/>
  <c r="F1172" i="5"/>
  <c r="E1172" i="5"/>
  <c r="D1172" i="5"/>
  <c r="L1171" i="5"/>
  <c r="K1171" i="5"/>
  <c r="J1171" i="5"/>
  <c r="H1171" i="5"/>
  <c r="G1171" i="5"/>
  <c r="F1171" i="5"/>
  <c r="E1171" i="5"/>
  <c r="D1171" i="5"/>
  <c r="L1170" i="5"/>
  <c r="K1170" i="5"/>
  <c r="J1170" i="5"/>
  <c r="H1170" i="5"/>
  <c r="G1170" i="5"/>
  <c r="F1170" i="5"/>
  <c r="E1170" i="5"/>
  <c r="D1170" i="5"/>
  <c r="L1169" i="5"/>
  <c r="K1169" i="5"/>
  <c r="J1169" i="5"/>
  <c r="H1169" i="5"/>
  <c r="G1169" i="5"/>
  <c r="F1169" i="5"/>
  <c r="E1169" i="5"/>
  <c r="D1169" i="5"/>
  <c r="L1168" i="5"/>
  <c r="K1168" i="5"/>
  <c r="J1168" i="5"/>
  <c r="H1168" i="5"/>
  <c r="G1168" i="5"/>
  <c r="F1168" i="5"/>
  <c r="E1168" i="5"/>
  <c r="D1168" i="5"/>
  <c r="L1167" i="5"/>
  <c r="K1167" i="5"/>
  <c r="J1167" i="5"/>
  <c r="H1167" i="5"/>
  <c r="G1167" i="5"/>
  <c r="F1167" i="5"/>
  <c r="E1167" i="5"/>
  <c r="D1167" i="5"/>
  <c r="L1166" i="5"/>
  <c r="K1166" i="5"/>
  <c r="J1166" i="5"/>
  <c r="H1166" i="5"/>
  <c r="G1166" i="5"/>
  <c r="F1166" i="5"/>
  <c r="E1166" i="5"/>
  <c r="D1166" i="5"/>
  <c r="L1165" i="5"/>
  <c r="K1165" i="5"/>
  <c r="J1165" i="5"/>
  <c r="H1165" i="5"/>
  <c r="G1165" i="5"/>
  <c r="F1165" i="5"/>
  <c r="E1165" i="5"/>
  <c r="D1165" i="5"/>
  <c r="L1164" i="5"/>
  <c r="K1164" i="5"/>
  <c r="J1164" i="5"/>
  <c r="H1164" i="5"/>
  <c r="G1164" i="5"/>
  <c r="F1164" i="5"/>
  <c r="E1164" i="5"/>
  <c r="D1164" i="5"/>
  <c r="L1163" i="5"/>
  <c r="K1163" i="5"/>
  <c r="J1163" i="5"/>
  <c r="H1163" i="5"/>
  <c r="G1163" i="5"/>
  <c r="F1163" i="5"/>
  <c r="E1163" i="5"/>
  <c r="D1163" i="5"/>
  <c r="L1162" i="5"/>
  <c r="K1162" i="5"/>
  <c r="J1162" i="5"/>
  <c r="H1162" i="5"/>
  <c r="G1162" i="5"/>
  <c r="F1162" i="5"/>
  <c r="E1162" i="5"/>
  <c r="D1162" i="5"/>
  <c r="L1161" i="5"/>
  <c r="K1161" i="5"/>
  <c r="J1161" i="5"/>
  <c r="H1161" i="5"/>
  <c r="G1161" i="5"/>
  <c r="F1161" i="5"/>
  <c r="E1161" i="5"/>
  <c r="D1161" i="5"/>
  <c r="L1160" i="5"/>
  <c r="K1160" i="5"/>
  <c r="J1160" i="5"/>
  <c r="H1160" i="5"/>
  <c r="G1160" i="5"/>
  <c r="F1160" i="5"/>
  <c r="E1160" i="5"/>
  <c r="D1160" i="5"/>
  <c r="L1159" i="5"/>
  <c r="K1159" i="5"/>
  <c r="J1159" i="5"/>
  <c r="H1159" i="5"/>
  <c r="G1159" i="5"/>
  <c r="F1159" i="5"/>
  <c r="E1159" i="5"/>
  <c r="D1159" i="5"/>
  <c r="L1158" i="5"/>
  <c r="K1158" i="5"/>
  <c r="J1158" i="5"/>
  <c r="H1158" i="5"/>
  <c r="G1158" i="5"/>
  <c r="F1158" i="5"/>
  <c r="E1158" i="5"/>
  <c r="D1158" i="5"/>
  <c r="L1157" i="5"/>
  <c r="K1157" i="5"/>
  <c r="J1157" i="5"/>
  <c r="H1157" i="5"/>
  <c r="G1157" i="5"/>
  <c r="F1157" i="5"/>
  <c r="E1157" i="5"/>
  <c r="D1157" i="5"/>
  <c r="L1156" i="5"/>
  <c r="K1156" i="5"/>
  <c r="J1156" i="5"/>
  <c r="H1156" i="5"/>
  <c r="G1156" i="5"/>
  <c r="F1156" i="5"/>
  <c r="E1156" i="5"/>
  <c r="D1156" i="5"/>
  <c r="L1155" i="5"/>
  <c r="K1155" i="5"/>
  <c r="J1155" i="5"/>
  <c r="H1155" i="5"/>
  <c r="G1155" i="5"/>
  <c r="F1155" i="5"/>
  <c r="E1155" i="5"/>
  <c r="D1155" i="5"/>
  <c r="L1154" i="5"/>
  <c r="K1154" i="5"/>
  <c r="J1154" i="5"/>
  <c r="H1154" i="5"/>
  <c r="G1154" i="5"/>
  <c r="F1154" i="5"/>
  <c r="E1154" i="5"/>
  <c r="D1154" i="5"/>
  <c r="L1153" i="5"/>
  <c r="K1153" i="5"/>
  <c r="J1153" i="5"/>
  <c r="H1153" i="5"/>
  <c r="G1153" i="5"/>
  <c r="F1153" i="5"/>
  <c r="E1153" i="5"/>
  <c r="D1153" i="5"/>
  <c r="L1152" i="5"/>
  <c r="K1152" i="5"/>
  <c r="J1152" i="5"/>
  <c r="H1152" i="5"/>
  <c r="G1152" i="5"/>
  <c r="F1152" i="5"/>
  <c r="E1152" i="5"/>
  <c r="D1152" i="5"/>
  <c r="L1151" i="5"/>
  <c r="K1151" i="5"/>
  <c r="J1151" i="5"/>
  <c r="H1151" i="5"/>
  <c r="G1151" i="5"/>
  <c r="F1151" i="5"/>
  <c r="E1151" i="5"/>
  <c r="D1151" i="5"/>
  <c r="L1150" i="5"/>
  <c r="K1150" i="5"/>
  <c r="J1150" i="5"/>
  <c r="H1150" i="5"/>
  <c r="G1150" i="5"/>
  <c r="F1150" i="5"/>
  <c r="E1150" i="5"/>
  <c r="D1150" i="5"/>
  <c r="L1149" i="5"/>
  <c r="K1149" i="5"/>
  <c r="J1149" i="5"/>
  <c r="H1149" i="5"/>
  <c r="G1149" i="5"/>
  <c r="F1149" i="5"/>
  <c r="E1149" i="5"/>
  <c r="D1149" i="5"/>
  <c r="L1148" i="5"/>
  <c r="K1148" i="5"/>
  <c r="J1148" i="5"/>
  <c r="H1148" i="5"/>
  <c r="G1148" i="5"/>
  <c r="F1148" i="5"/>
  <c r="E1148" i="5"/>
  <c r="D1148" i="5"/>
  <c r="L1147" i="5"/>
  <c r="K1147" i="5"/>
  <c r="J1147" i="5"/>
  <c r="H1147" i="5"/>
  <c r="G1147" i="5"/>
  <c r="F1147" i="5"/>
  <c r="E1147" i="5"/>
  <c r="D1147" i="5"/>
  <c r="L1146" i="5"/>
  <c r="K1146" i="5"/>
  <c r="J1146" i="5"/>
  <c r="H1146" i="5"/>
  <c r="G1146" i="5"/>
  <c r="F1146" i="5"/>
  <c r="E1146" i="5"/>
  <c r="D1146" i="5"/>
  <c r="L1145" i="5"/>
  <c r="K1145" i="5"/>
  <c r="J1145" i="5"/>
  <c r="H1145" i="5"/>
  <c r="G1145" i="5"/>
  <c r="F1145" i="5"/>
  <c r="E1145" i="5"/>
  <c r="D1145" i="5"/>
  <c r="L1144" i="5"/>
  <c r="K1144" i="5"/>
  <c r="J1144" i="5"/>
  <c r="H1144" i="5"/>
  <c r="G1144" i="5"/>
  <c r="F1144" i="5"/>
  <c r="E1144" i="5"/>
  <c r="D1144" i="5"/>
  <c r="L1143" i="5"/>
  <c r="K1143" i="5"/>
  <c r="J1143" i="5"/>
  <c r="H1143" i="5"/>
  <c r="G1143" i="5"/>
  <c r="F1143" i="5"/>
  <c r="E1143" i="5"/>
  <c r="D1143" i="5"/>
  <c r="L1142" i="5"/>
  <c r="K1142" i="5"/>
  <c r="J1142" i="5"/>
  <c r="H1142" i="5"/>
  <c r="G1142" i="5"/>
  <c r="F1142" i="5"/>
  <c r="E1142" i="5"/>
  <c r="D1142" i="5"/>
  <c r="L1141" i="5"/>
  <c r="K1141" i="5"/>
  <c r="J1141" i="5"/>
  <c r="H1141" i="5"/>
  <c r="G1141" i="5"/>
  <c r="F1141" i="5"/>
  <c r="E1141" i="5"/>
  <c r="D1141" i="5"/>
  <c r="L1140" i="5"/>
  <c r="K1140" i="5"/>
  <c r="J1140" i="5"/>
  <c r="H1140" i="5"/>
  <c r="G1140" i="5"/>
  <c r="F1140" i="5"/>
  <c r="E1140" i="5"/>
  <c r="D1140" i="5"/>
  <c r="L1139" i="5"/>
  <c r="K1139" i="5"/>
  <c r="J1139" i="5"/>
  <c r="H1139" i="5"/>
  <c r="G1139" i="5"/>
  <c r="F1139" i="5"/>
  <c r="E1139" i="5"/>
  <c r="D1139" i="5"/>
  <c r="L1138" i="5"/>
  <c r="K1138" i="5"/>
  <c r="J1138" i="5"/>
  <c r="H1138" i="5"/>
  <c r="G1138" i="5"/>
  <c r="F1138" i="5"/>
  <c r="E1138" i="5"/>
  <c r="D1138" i="5"/>
  <c r="L1137" i="5"/>
  <c r="K1137" i="5"/>
  <c r="J1137" i="5"/>
  <c r="H1137" i="5"/>
  <c r="G1137" i="5"/>
  <c r="F1137" i="5"/>
  <c r="E1137" i="5"/>
  <c r="D1137" i="5"/>
  <c r="L1136" i="5"/>
  <c r="K1136" i="5"/>
  <c r="J1136" i="5"/>
  <c r="H1136" i="5"/>
  <c r="G1136" i="5"/>
  <c r="F1136" i="5"/>
  <c r="E1136" i="5"/>
  <c r="D1136" i="5"/>
  <c r="L1135" i="5"/>
  <c r="K1135" i="5"/>
  <c r="J1135" i="5"/>
  <c r="H1135" i="5"/>
  <c r="G1135" i="5"/>
  <c r="F1135" i="5"/>
  <c r="E1135" i="5"/>
  <c r="D1135" i="5"/>
  <c r="L1134" i="5"/>
  <c r="K1134" i="5"/>
  <c r="J1134" i="5"/>
  <c r="H1134" i="5"/>
  <c r="G1134" i="5"/>
  <c r="F1134" i="5"/>
  <c r="E1134" i="5"/>
  <c r="D1134" i="5"/>
  <c r="L1133" i="5"/>
  <c r="K1133" i="5"/>
  <c r="J1133" i="5"/>
  <c r="H1133" i="5"/>
  <c r="G1133" i="5"/>
  <c r="F1133" i="5"/>
  <c r="E1133" i="5"/>
  <c r="D1133" i="5"/>
  <c r="L1132" i="5"/>
  <c r="K1132" i="5"/>
  <c r="J1132" i="5"/>
  <c r="H1132" i="5"/>
  <c r="G1132" i="5"/>
  <c r="F1132" i="5"/>
  <c r="E1132" i="5"/>
  <c r="D1132" i="5"/>
  <c r="L1131" i="5"/>
  <c r="K1131" i="5"/>
  <c r="J1131" i="5"/>
  <c r="H1131" i="5"/>
  <c r="G1131" i="5"/>
  <c r="F1131" i="5"/>
  <c r="E1131" i="5"/>
  <c r="D1131" i="5"/>
  <c r="L1130" i="5"/>
  <c r="K1130" i="5"/>
  <c r="J1130" i="5"/>
  <c r="H1130" i="5"/>
  <c r="G1130" i="5"/>
  <c r="F1130" i="5"/>
  <c r="E1130" i="5"/>
  <c r="D1130" i="5"/>
  <c r="L1129" i="5"/>
  <c r="K1129" i="5"/>
  <c r="J1129" i="5"/>
  <c r="H1129" i="5"/>
  <c r="G1129" i="5"/>
  <c r="F1129" i="5"/>
  <c r="E1129" i="5"/>
  <c r="D1129" i="5"/>
  <c r="L1128" i="5"/>
  <c r="K1128" i="5"/>
  <c r="J1128" i="5"/>
  <c r="H1128" i="5"/>
  <c r="G1128" i="5"/>
  <c r="F1128" i="5"/>
  <c r="E1128" i="5"/>
  <c r="D1128" i="5"/>
  <c r="L1127" i="5"/>
  <c r="K1127" i="5"/>
  <c r="J1127" i="5"/>
  <c r="H1127" i="5"/>
  <c r="G1127" i="5"/>
  <c r="F1127" i="5"/>
  <c r="E1127" i="5"/>
  <c r="D1127" i="5"/>
  <c r="L1126" i="5"/>
  <c r="K1126" i="5"/>
  <c r="J1126" i="5"/>
  <c r="H1126" i="5"/>
  <c r="G1126" i="5"/>
  <c r="F1126" i="5"/>
  <c r="E1126" i="5"/>
  <c r="D1126" i="5"/>
  <c r="L1125" i="5"/>
  <c r="K1125" i="5"/>
  <c r="J1125" i="5"/>
  <c r="H1125" i="5"/>
  <c r="G1125" i="5"/>
  <c r="F1125" i="5"/>
  <c r="E1125" i="5"/>
  <c r="D1125" i="5"/>
  <c r="L1124" i="5"/>
  <c r="K1124" i="5"/>
  <c r="J1124" i="5"/>
  <c r="H1124" i="5"/>
  <c r="G1124" i="5"/>
  <c r="F1124" i="5"/>
  <c r="E1124" i="5"/>
  <c r="D1124" i="5"/>
  <c r="L1123" i="5"/>
  <c r="K1123" i="5"/>
  <c r="J1123" i="5"/>
  <c r="H1123" i="5"/>
  <c r="G1123" i="5"/>
  <c r="F1123" i="5"/>
  <c r="E1123" i="5"/>
  <c r="D1123" i="5"/>
  <c r="L1122" i="5"/>
  <c r="K1122" i="5"/>
  <c r="J1122" i="5"/>
  <c r="H1122" i="5"/>
  <c r="G1122" i="5"/>
  <c r="F1122" i="5"/>
  <c r="E1122" i="5"/>
  <c r="D1122" i="5"/>
  <c r="L1121" i="5"/>
  <c r="K1121" i="5"/>
  <c r="J1121" i="5"/>
  <c r="H1121" i="5"/>
  <c r="G1121" i="5"/>
  <c r="F1121" i="5"/>
  <c r="E1121" i="5"/>
  <c r="D1121" i="5"/>
  <c r="L1120" i="5"/>
  <c r="K1120" i="5"/>
  <c r="J1120" i="5"/>
  <c r="H1120" i="5"/>
  <c r="G1120" i="5"/>
  <c r="F1120" i="5"/>
  <c r="E1120" i="5"/>
  <c r="D1120" i="5"/>
  <c r="L1119" i="5"/>
  <c r="K1119" i="5"/>
  <c r="J1119" i="5"/>
  <c r="H1119" i="5"/>
  <c r="G1119" i="5"/>
  <c r="F1119" i="5"/>
  <c r="E1119" i="5"/>
  <c r="D1119" i="5"/>
  <c r="L1118" i="5"/>
  <c r="K1118" i="5"/>
  <c r="J1118" i="5"/>
  <c r="H1118" i="5"/>
  <c r="G1118" i="5"/>
  <c r="F1118" i="5"/>
  <c r="E1118" i="5"/>
  <c r="D1118" i="5"/>
  <c r="L1117" i="5"/>
  <c r="K1117" i="5"/>
  <c r="J1117" i="5"/>
  <c r="H1117" i="5"/>
  <c r="G1117" i="5"/>
  <c r="F1117" i="5"/>
  <c r="E1117" i="5"/>
  <c r="D1117" i="5"/>
  <c r="L1116" i="5"/>
  <c r="K1116" i="5"/>
  <c r="J1116" i="5"/>
  <c r="H1116" i="5"/>
  <c r="G1116" i="5"/>
  <c r="F1116" i="5"/>
  <c r="E1116" i="5"/>
  <c r="D1116" i="5"/>
  <c r="L1115" i="5"/>
  <c r="K1115" i="5"/>
  <c r="J1115" i="5"/>
  <c r="H1115" i="5"/>
  <c r="G1115" i="5"/>
  <c r="F1115" i="5"/>
  <c r="E1115" i="5"/>
  <c r="D1115" i="5"/>
  <c r="L1114" i="5"/>
  <c r="K1114" i="5"/>
  <c r="J1114" i="5"/>
  <c r="H1114" i="5"/>
  <c r="G1114" i="5"/>
  <c r="F1114" i="5"/>
  <c r="E1114" i="5"/>
  <c r="D1114" i="5"/>
  <c r="L1113" i="5"/>
  <c r="K1113" i="5"/>
  <c r="J1113" i="5"/>
  <c r="H1113" i="5"/>
  <c r="G1113" i="5"/>
  <c r="F1113" i="5"/>
  <c r="E1113" i="5"/>
  <c r="D1113" i="5"/>
  <c r="L1112" i="5"/>
  <c r="K1112" i="5"/>
  <c r="J1112" i="5"/>
  <c r="H1112" i="5"/>
  <c r="G1112" i="5"/>
  <c r="F1112" i="5"/>
  <c r="E1112" i="5"/>
  <c r="D1112" i="5"/>
  <c r="L1111" i="5"/>
  <c r="K1111" i="5"/>
  <c r="J1111" i="5"/>
  <c r="H1111" i="5"/>
  <c r="G1111" i="5"/>
  <c r="F1111" i="5"/>
  <c r="E1111" i="5"/>
  <c r="D1111" i="5"/>
  <c r="L1110" i="5"/>
  <c r="K1110" i="5"/>
  <c r="J1110" i="5"/>
  <c r="H1110" i="5"/>
  <c r="G1110" i="5"/>
  <c r="F1110" i="5"/>
  <c r="E1110" i="5"/>
  <c r="D1110" i="5"/>
  <c r="L1109" i="5"/>
  <c r="K1109" i="5"/>
  <c r="J1109" i="5"/>
  <c r="H1109" i="5"/>
  <c r="G1109" i="5"/>
  <c r="F1109" i="5"/>
  <c r="E1109" i="5"/>
  <c r="D1109" i="5"/>
  <c r="L1108" i="5"/>
  <c r="K1108" i="5"/>
  <c r="J1108" i="5"/>
  <c r="H1108" i="5"/>
  <c r="G1108" i="5"/>
  <c r="F1108" i="5"/>
  <c r="E1108" i="5"/>
  <c r="D1108" i="5"/>
  <c r="L1107" i="5"/>
  <c r="K1107" i="5"/>
  <c r="J1107" i="5"/>
  <c r="H1107" i="5"/>
  <c r="G1107" i="5"/>
  <c r="F1107" i="5"/>
  <c r="E1107" i="5"/>
  <c r="D1107" i="5"/>
  <c r="L1106" i="5"/>
  <c r="K1106" i="5"/>
  <c r="J1106" i="5"/>
  <c r="H1106" i="5"/>
  <c r="G1106" i="5"/>
  <c r="F1106" i="5"/>
  <c r="E1106" i="5"/>
  <c r="D1106" i="5"/>
  <c r="L1105" i="5"/>
  <c r="K1105" i="5"/>
  <c r="J1105" i="5"/>
  <c r="H1105" i="5"/>
  <c r="G1105" i="5"/>
  <c r="F1105" i="5"/>
  <c r="E1105" i="5"/>
  <c r="D1105" i="5"/>
  <c r="L1104" i="5"/>
  <c r="K1104" i="5"/>
  <c r="J1104" i="5"/>
  <c r="H1104" i="5"/>
  <c r="G1104" i="5"/>
  <c r="F1104" i="5"/>
  <c r="E1104" i="5"/>
  <c r="D1104" i="5"/>
  <c r="L1103" i="5"/>
  <c r="K1103" i="5"/>
  <c r="J1103" i="5"/>
  <c r="H1103" i="5"/>
  <c r="G1103" i="5"/>
  <c r="F1103" i="5"/>
  <c r="E1103" i="5"/>
  <c r="D1103" i="5"/>
  <c r="L1102" i="5"/>
  <c r="K1102" i="5"/>
  <c r="J1102" i="5"/>
  <c r="H1102" i="5"/>
  <c r="G1102" i="5"/>
  <c r="F1102" i="5"/>
  <c r="E1102" i="5"/>
  <c r="D1102" i="5"/>
  <c r="L1101" i="5"/>
  <c r="K1101" i="5"/>
  <c r="J1101" i="5"/>
  <c r="H1101" i="5"/>
  <c r="G1101" i="5"/>
  <c r="F1101" i="5"/>
  <c r="E1101" i="5"/>
  <c r="D1101" i="5"/>
  <c r="L1100" i="5"/>
  <c r="K1100" i="5"/>
  <c r="J1100" i="5"/>
  <c r="H1100" i="5"/>
  <c r="G1100" i="5"/>
  <c r="F1100" i="5"/>
  <c r="E1100" i="5"/>
  <c r="D1100" i="5"/>
  <c r="L1099" i="5"/>
  <c r="K1099" i="5"/>
  <c r="J1099" i="5"/>
  <c r="H1099" i="5"/>
  <c r="G1099" i="5"/>
  <c r="F1099" i="5"/>
  <c r="E1099" i="5"/>
  <c r="D1099" i="5"/>
  <c r="L1098" i="5"/>
  <c r="K1098" i="5"/>
  <c r="J1098" i="5"/>
  <c r="H1098" i="5"/>
  <c r="G1098" i="5"/>
  <c r="F1098" i="5"/>
  <c r="E1098" i="5"/>
  <c r="D1098" i="5"/>
  <c r="L1097" i="5"/>
  <c r="K1097" i="5"/>
  <c r="J1097" i="5"/>
  <c r="H1097" i="5"/>
  <c r="G1097" i="5"/>
  <c r="F1097" i="5"/>
  <c r="E1097" i="5"/>
  <c r="D1097" i="5"/>
  <c r="L1096" i="5"/>
  <c r="K1096" i="5"/>
  <c r="J1096" i="5"/>
  <c r="H1096" i="5"/>
  <c r="G1096" i="5"/>
  <c r="F1096" i="5"/>
  <c r="E1096" i="5"/>
  <c r="D1096" i="5"/>
  <c r="L1095" i="5"/>
  <c r="K1095" i="5"/>
  <c r="J1095" i="5"/>
  <c r="H1095" i="5"/>
  <c r="G1095" i="5"/>
  <c r="F1095" i="5"/>
  <c r="E1095" i="5"/>
  <c r="D1095" i="5"/>
  <c r="L1094" i="5"/>
  <c r="K1094" i="5"/>
  <c r="J1094" i="5"/>
  <c r="H1094" i="5"/>
  <c r="G1094" i="5"/>
  <c r="F1094" i="5"/>
  <c r="E1094" i="5"/>
  <c r="D1094" i="5"/>
  <c r="L1093" i="5"/>
  <c r="K1093" i="5"/>
  <c r="J1093" i="5"/>
  <c r="H1093" i="5"/>
  <c r="G1093" i="5"/>
  <c r="F1093" i="5"/>
  <c r="E1093" i="5"/>
  <c r="D1093" i="5"/>
  <c r="L1092" i="5"/>
  <c r="K1092" i="5"/>
  <c r="J1092" i="5"/>
  <c r="H1092" i="5"/>
  <c r="G1092" i="5"/>
  <c r="F1092" i="5"/>
  <c r="E1092" i="5"/>
  <c r="D1092" i="5"/>
  <c r="L1091" i="5"/>
  <c r="K1091" i="5"/>
  <c r="J1091" i="5"/>
  <c r="H1091" i="5"/>
  <c r="G1091" i="5"/>
  <c r="F1091" i="5"/>
  <c r="E1091" i="5"/>
  <c r="D1091" i="5"/>
  <c r="L1090" i="5"/>
  <c r="K1090" i="5"/>
  <c r="J1090" i="5"/>
  <c r="H1090" i="5"/>
  <c r="G1090" i="5"/>
  <c r="F1090" i="5"/>
  <c r="E1090" i="5"/>
  <c r="D1090" i="5"/>
  <c r="L1089" i="5"/>
  <c r="K1089" i="5"/>
  <c r="J1089" i="5"/>
  <c r="H1089" i="5"/>
  <c r="G1089" i="5"/>
  <c r="F1089" i="5"/>
  <c r="E1089" i="5"/>
  <c r="D1089" i="5"/>
  <c r="L1088" i="5"/>
  <c r="K1088" i="5"/>
  <c r="J1088" i="5"/>
  <c r="H1088" i="5"/>
  <c r="G1088" i="5"/>
  <c r="F1088" i="5"/>
  <c r="E1088" i="5"/>
  <c r="D1088" i="5"/>
  <c r="L1087" i="5"/>
  <c r="K1087" i="5"/>
  <c r="J1087" i="5"/>
  <c r="H1087" i="5"/>
  <c r="G1087" i="5"/>
  <c r="F1087" i="5"/>
  <c r="E1087" i="5"/>
  <c r="D1087" i="5"/>
  <c r="L1086" i="5"/>
  <c r="K1086" i="5"/>
  <c r="J1086" i="5"/>
  <c r="H1086" i="5"/>
  <c r="G1086" i="5"/>
  <c r="F1086" i="5"/>
  <c r="E1086" i="5"/>
  <c r="D1086" i="5"/>
  <c r="L1085" i="5"/>
  <c r="K1085" i="5"/>
  <c r="J1085" i="5"/>
  <c r="H1085" i="5"/>
  <c r="G1085" i="5"/>
  <c r="F1085" i="5"/>
  <c r="E1085" i="5"/>
  <c r="D1085" i="5"/>
  <c r="L1084" i="5"/>
  <c r="K1084" i="5"/>
  <c r="J1084" i="5"/>
  <c r="H1084" i="5"/>
  <c r="G1084" i="5"/>
  <c r="F1084" i="5"/>
  <c r="E1084" i="5"/>
  <c r="D1084" i="5"/>
  <c r="L1083" i="5"/>
  <c r="K1083" i="5"/>
  <c r="J1083" i="5"/>
  <c r="H1083" i="5"/>
  <c r="G1083" i="5"/>
  <c r="F1083" i="5"/>
  <c r="E1083" i="5"/>
  <c r="D1083" i="5"/>
  <c r="L1082" i="5"/>
  <c r="K1082" i="5"/>
  <c r="J1082" i="5"/>
  <c r="H1082" i="5"/>
  <c r="G1082" i="5"/>
  <c r="F1082" i="5"/>
  <c r="E1082" i="5"/>
  <c r="D1082" i="5"/>
  <c r="L1081" i="5"/>
  <c r="K1081" i="5"/>
  <c r="J1081" i="5"/>
  <c r="H1081" i="5"/>
  <c r="G1081" i="5"/>
  <c r="F1081" i="5"/>
  <c r="E1081" i="5"/>
  <c r="D1081" i="5"/>
  <c r="L1080" i="5"/>
  <c r="K1080" i="5"/>
  <c r="J1080" i="5"/>
  <c r="H1080" i="5"/>
  <c r="G1080" i="5"/>
  <c r="F1080" i="5"/>
  <c r="E1080" i="5"/>
  <c r="D1080" i="5"/>
  <c r="L1079" i="5"/>
  <c r="K1079" i="5"/>
  <c r="J1079" i="5"/>
  <c r="H1079" i="5"/>
  <c r="G1079" i="5"/>
  <c r="F1079" i="5"/>
  <c r="E1079" i="5"/>
  <c r="D1079" i="5"/>
  <c r="L1078" i="5"/>
  <c r="K1078" i="5"/>
  <c r="J1078" i="5"/>
  <c r="H1078" i="5"/>
  <c r="G1078" i="5"/>
  <c r="F1078" i="5"/>
  <c r="E1078" i="5"/>
  <c r="D1078" i="5"/>
  <c r="L1077" i="5"/>
  <c r="K1077" i="5"/>
  <c r="J1077" i="5"/>
  <c r="H1077" i="5"/>
  <c r="G1077" i="5"/>
  <c r="F1077" i="5"/>
  <c r="E1077" i="5"/>
  <c r="D1077" i="5"/>
  <c r="L1076" i="5"/>
  <c r="K1076" i="5"/>
  <c r="J1076" i="5"/>
  <c r="H1076" i="5"/>
  <c r="G1076" i="5"/>
  <c r="F1076" i="5"/>
  <c r="E1076" i="5"/>
  <c r="D1076" i="5"/>
  <c r="L1075" i="5"/>
  <c r="K1075" i="5"/>
  <c r="J1075" i="5"/>
  <c r="H1075" i="5"/>
  <c r="G1075" i="5"/>
  <c r="F1075" i="5"/>
  <c r="E1075" i="5"/>
  <c r="D1075" i="5"/>
  <c r="L1074" i="5"/>
  <c r="K1074" i="5"/>
  <c r="J1074" i="5"/>
  <c r="H1074" i="5"/>
  <c r="G1074" i="5"/>
  <c r="F1074" i="5"/>
  <c r="E1074" i="5"/>
  <c r="D1074" i="5"/>
  <c r="L1073" i="5"/>
  <c r="K1073" i="5"/>
  <c r="J1073" i="5"/>
  <c r="H1073" i="5"/>
  <c r="G1073" i="5"/>
  <c r="F1073" i="5"/>
  <c r="E1073" i="5"/>
  <c r="D1073" i="5"/>
  <c r="L1072" i="5"/>
  <c r="K1072" i="5"/>
  <c r="J1072" i="5"/>
  <c r="H1072" i="5"/>
  <c r="G1072" i="5"/>
  <c r="F1072" i="5"/>
  <c r="E1072" i="5"/>
  <c r="D1072" i="5"/>
  <c r="L1071" i="5"/>
  <c r="K1071" i="5"/>
  <c r="J1071" i="5"/>
  <c r="H1071" i="5"/>
  <c r="G1071" i="5"/>
  <c r="F1071" i="5"/>
  <c r="E1071" i="5"/>
  <c r="D1071" i="5"/>
  <c r="L1070" i="5"/>
  <c r="K1070" i="5"/>
  <c r="J1070" i="5"/>
  <c r="H1070" i="5"/>
  <c r="G1070" i="5"/>
  <c r="F1070" i="5"/>
  <c r="E1070" i="5"/>
  <c r="D1070" i="5"/>
  <c r="L1069" i="5"/>
  <c r="K1069" i="5"/>
  <c r="J1069" i="5"/>
  <c r="H1069" i="5"/>
  <c r="G1069" i="5"/>
  <c r="F1069" i="5"/>
  <c r="E1069" i="5"/>
  <c r="D1069" i="5"/>
  <c r="L1068" i="5"/>
  <c r="K1068" i="5"/>
  <c r="J1068" i="5"/>
  <c r="H1068" i="5"/>
  <c r="G1068" i="5"/>
  <c r="F1068" i="5"/>
  <c r="E1068" i="5"/>
  <c r="D1068" i="5"/>
  <c r="L1067" i="5"/>
  <c r="K1067" i="5"/>
  <c r="J1067" i="5"/>
  <c r="H1067" i="5"/>
  <c r="G1067" i="5"/>
  <c r="F1067" i="5"/>
  <c r="E1067" i="5"/>
  <c r="D1067" i="5"/>
  <c r="L1066" i="5"/>
  <c r="K1066" i="5"/>
  <c r="J1066" i="5"/>
  <c r="H1066" i="5"/>
  <c r="G1066" i="5"/>
  <c r="F1066" i="5"/>
  <c r="E1066" i="5"/>
  <c r="D1066" i="5"/>
  <c r="L1065" i="5"/>
  <c r="K1065" i="5"/>
  <c r="J1065" i="5"/>
  <c r="H1065" i="5"/>
  <c r="G1065" i="5"/>
  <c r="F1065" i="5"/>
  <c r="E1065" i="5"/>
  <c r="D1065" i="5"/>
  <c r="L1064" i="5"/>
  <c r="K1064" i="5"/>
  <c r="J1064" i="5"/>
  <c r="H1064" i="5"/>
  <c r="G1064" i="5"/>
  <c r="F1064" i="5"/>
  <c r="E1064" i="5"/>
  <c r="D1064" i="5"/>
  <c r="L1063" i="5"/>
  <c r="K1063" i="5"/>
  <c r="J1063" i="5"/>
  <c r="H1063" i="5"/>
  <c r="G1063" i="5"/>
  <c r="F1063" i="5"/>
  <c r="E1063" i="5"/>
  <c r="D1063" i="5"/>
  <c r="L1062" i="5"/>
  <c r="K1062" i="5"/>
  <c r="J1062" i="5"/>
  <c r="H1062" i="5"/>
  <c r="G1062" i="5"/>
  <c r="F1062" i="5"/>
  <c r="E1062" i="5"/>
  <c r="D1062" i="5"/>
  <c r="L1061" i="5"/>
  <c r="K1061" i="5"/>
  <c r="J1061" i="5"/>
  <c r="H1061" i="5"/>
  <c r="G1061" i="5"/>
  <c r="F1061" i="5"/>
  <c r="E1061" i="5"/>
  <c r="D1061" i="5"/>
  <c r="L1060" i="5"/>
  <c r="K1060" i="5"/>
  <c r="J1060" i="5"/>
  <c r="H1060" i="5"/>
  <c r="G1060" i="5"/>
  <c r="F1060" i="5"/>
  <c r="E1060" i="5"/>
  <c r="D1060" i="5"/>
  <c r="L1059" i="5"/>
  <c r="K1059" i="5"/>
  <c r="J1059" i="5"/>
  <c r="H1059" i="5"/>
  <c r="G1059" i="5"/>
  <c r="F1059" i="5"/>
  <c r="E1059" i="5"/>
  <c r="D1059" i="5"/>
  <c r="L1058" i="5"/>
  <c r="K1058" i="5"/>
  <c r="J1058" i="5"/>
  <c r="H1058" i="5"/>
  <c r="G1058" i="5"/>
  <c r="F1058" i="5"/>
  <c r="E1058" i="5"/>
  <c r="D1058" i="5"/>
  <c r="L1057" i="5"/>
  <c r="K1057" i="5"/>
  <c r="J1057" i="5"/>
  <c r="H1057" i="5"/>
  <c r="G1057" i="5"/>
  <c r="F1057" i="5"/>
  <c r="E1057" i="5"/>
  <c r="D1057" i="5"/>
  <c r="L1056" i="5"/>
  <c r="K1056" i="5"/>
  <c r="J1056" i="5"/>
  <c r="H1056" i="5"/>
  <c r="G1056" i="5"/>
  <c r="F1056" i="5"/>
  <c r="E1056" i="5"/>
  <c r="D1056" i="5"/>
  <c r="L1055" i="5"/>
  <c r="K1055" i="5"/>
  <c r="J1055" i="5"/>
  <c r="H1055" i="5"/>
  <c r="G1055" i="5"/>
  <c r="F1055" i="5"/>
  <c r="E1055" i="5"/>
  <c r="D1055" i="5"/>
  <c r="L1054" i="5"/>
  <c r="K1054" i="5"/>
  <c r="J1054" i="5"/>
  <c r="H1054" i="5"/>
  <c r="G1054" i="5"/>
  <c r="F1054" i="5"/>
  <c r="E1054" i="5"/>
  <c r="D1054" i="5"/>
  <c r="L1053" i="5"/>
  <c r="K1053" i="5"/>
  <c r="J1053" i="5"/>
  <c r="H1053" i="5"/>
  <c r="G1053" i="5"/>
  <c r="F1053" i="5"/>
  <c r="E1053" i="5"/>
  <c r="D1053" i="5"/>
  <c r="L1052" i="5"/>
  <c r="K1052" i="5"/>
  <c r="J1052" i="5"/>
  <c r="H1052" i="5"/>
  <c r="G1052" i="5"/>
  <c r="F1052" i="5"/>
  <c r="E1052" i="5"/>
  <c r="D1052" i="5"/>
  <c r="L1051" i="5"/>
  <c r="K1051" i="5"/>
  <c r="J1051" i="5"/>
  <c r="H1051" i="5"/>
  <c r="G1051" i="5"/>
  <c r="F1051" i="5"/>
  <c r="E1051" i="5"/>
  <c r="D1051" i="5"/>
  <c r="L1050" i="5"/>
  <c r="K1050" i="5"/>
  <c r="J1050" i="5"/>
  <c r="H1050" i="5"/>
  <c r="G1050" i="5"/>
  <c r="F1050" i="5"/>
  <c r="E1050" i="5"/>
  <c r="D1050" i="5"/>
  <c r="L1049" i="5"/>
  <c r="K1049" i="5"/>
  <c r="J1049" i="5"/>
  <c r="H1049" i="5"/>
  <c r="G1049" i="5"/>
  <c r="F1049" i="5"/>
  <c r="E1049" i="5"/>
  <c r="D1049" i="5"/>
  <c r="L1048" i="5"/>
  <c r="K1048" i="5"/>
  <c r="J1048" i="5"/>
  <c r="H1048" i="5"/>
  <c r="G1048" i="5"/>
  <c r="F1048" i="5"/>
  <c r="E1048" i="5"/>
  <c r="D1048" i="5"/>
  <c r="L1047" i="5"/>
  <c r="K1047" i="5"/>
  <c r="J1047" i="5"/>
  <c r="H1047" i="5"/>
  <c r="G1047" i="5"/>
  <c r="F1047" i="5"/>
  <c r="E1047" i="5"/>
  <c r="D1047" i="5"/>
  <c r="L1046" i="5"/>
  <c r="K1046" i="5"/>
  <c r="J1046" i="5"/>
  <c r="H1046" i="5"/>
  <c r="G1046" i="5"/>
  <c r="F1046" i="5"/>
  <c r="E1046" i="5"/>
  <c r="D1046" i="5"/>
  <c r="L1045" i="5"/>
  <c r="K1045" i="5"/>
  <c r="J1045" i="5"/>
  <c r="H1045" i="5"/>
  <c r="G1045" i="5"/>
  <c r="F1045" i="5"/>
  <c r="E1045" i="5"/>
  <c r="D1045" i="5"/>
  <c r="L1044" i="5"/>
  <c r="K1044" i="5"/>
  <c r="J1044" i="5"/>
  <c r="H1044" i="5"/>
  <c r="G1044" i="5"/>
  <c r="F1044" i="5"/>
  <c r="E1044" i="5"/>
  <c r="D1044" i="5"/>
  <c r="L1043" i="5"/>
  <c r="K1043" i="5"/>
  <c r="J1043" i="5"/>
  <c r="H1043" i="5"/>
  <c r="G1043" i="5"/>
  <c r="F1043" i="5"/>
  <c r="E1043" i="5"/>
  <c r="D1043" i="5"/>
  <c r="L1042" i="5"/>
  <c r="K1042" i="5"/>
  <c r="J1042" i="5"/>
  <c r="H1042" i="5"/>
  <c r="G1042" i="5"/>
  <c r="F1042" i="5"/>
  <c r="E1042" i="5"/>
  <c r="D1042" i="5"/>
  <c r="L1041" i="5"/>
  <c r="K1041" i="5"/>
  <c r="J1041" i="5"/>
  <c r="H1041" i="5"/>
  <c r="G1041" i="5"/>
  <c r="F1041" i="5"/>
  <c r="E1041" i="5"/>
  <c r="D1041" i="5"/>
  <c r="L1040" i="5"/>
  <c r="K1040" i="5"/>
  <c r="J1040" i="5"/>
  <c r="H1040" i="5"/>
  <c r="G1040" i="5"/>
  <c r="F1040" i="5"/>
  <c r="E1040" i="5"/>
  <c r="D1040" i="5"/>
  <c r="L1039" i="5"/>
  <c r="K1039" i="5"/>
  <c r="J1039" i="5"/>
  <c r="H1039" i="5"/>
  <c r="G1039" i="5"/>
  <c r="F1039" i="5"/>
  <c r="E1039" i="5"/>
  <c r="D1039" i="5"/>
  <c r="L1038" i="5"/>
  <c r="K1038" i="5"/>
  <c r="J1038" i="5"/>
  <c r="H1038" i="5"/>
  <c r="G1038" i="5"/>
  <c r="F1038" i="5"/>
  <c r="E1038" i="5"/>
  <c r="D1038" i="5"/>
  <c r="L1037" i="5"/>
  <c r="K1037" i="5"/>
  <c r="J1037" i="5"/>
  <c r="H1037" i="5"/>
  <c r="G1037" i="5"/>
  <c r="F1037" i="5"/>
  <c r="E1037" i="5"/>
  <c r="D1037" i="5"/>
  <c r="L1036" i="5"/>
  <c r="K1036" i="5"/>
  <c r="J1036" i="5"/>
  <c r="H1036" i="5"/>
  <c r="G1036" i="5"/>
  <c r="F1036" i="5"/>
  <c r="E1036" i="5"/>
  <c r="D1036" i="5"/>
  <c r="L1035" i="5"/>
  <c r="K1035" i="5"/>
  <c r="J1035" i="5"/>
  <c r="H1035" i="5"/>
  <c r="G1035" i="5"/>
  <c r="F1035" i="5"/>
  <c r="E1035" i="5"/>
  <c r="D1035" i="5"/>
  <c r="L1034" i="5"/>
  <c r="K1034" i="5"/>
  <c r="J1034" i="5"/>
  <c r="H1034" i="5"/>
  <c r="G1034" i="5"/>
  <c r="F1034" i="5"/>
  <c r="E1034" i="5"/>
  <c r="D1034" i="5"/>
  <c r="L1033" i="5"/>
  <c r="K1033" i="5"/>
  <c r="J1033" i="5"/>
  <c r="H1033" i="5"/>
  <c r="G1033" i="5"/>
  <c r="F1033" i="5"/>
  <c r="E1033" i="5"/>
  <c r="D1033" i="5"/>
  <c r="L1032" i="5"/>
  <c r="K1032" i="5"/>
  <c r="J1032" i="5"/>
  <c r="H1032" i="5"/>
  <c r="G1032" i="5"/>
  <c r="F1032" i="5"/>
  <c r="E1032" i="5"/>
  <c r="D1032" i="5"/>
  <c r="L1031" i="5"/>
  <c r="K1031" i="5"/>
  <c r="J1031" i="5"/>
  <c r="H1031" i="5"/>
  <c r="G1031" i="5"/>
  <c r="F1031" i="5"/>
  <c r="E1031" i="5"/>
  <c r="D1031" i="5"/>
  <c r="L1030" i="5"/>
  <c r="K1030" i="5"/>
  <c r="J1030" i="5"/>
  <c r="H1030" i="5"/>
  <c r="G1030" i="5"/>
  <c r="F1030" i="5"/>
  <c r="E1030" i="5"/>
  <c r="D1030" i="5"/>
  <c r="L1029" i="5"/>
  <c r="K1029" i="5"/>
  <c r="J1029" i="5"/>
  <c r="H1029" i="5"/>
  <c r="G1029" i="5"/>
  <c r="F1029" i="5"/>
  <c r="E1029" i="5"/>
  <c r="D1029" i="5"/>
  <c r="L1028" i="5"/>
  <c r="K1028" i="5"/>
  <c r="J1028" i="5"/>
  <c r="H1028" i="5"/>
  <c r="G1028" i="5"/>
  <c r="F1028" i="5"/>
  <c r="E1028" i="5"/>
  <c r="D1028" i="5"/>
  <c r="L1027" i="5"/>
  <c r="K1027" i="5"/>
  <c r="J1027" i="5"/>
  <c r="H1027" i="5"/>
  <c r="G1027" i="5"/>
  <c r="F1027" i="5"/>
  <c r="E1027" i="5"/>
  <c r="D1027" i="5"/>
  <c r="L1026" i="5"/>
  <c r="K1026" i="5"/>
  <c r="J1026" i="5"/>
  <c r="H1026" i="5"/>
  <c r="G1026" i="5"/>
  <c r="F1026" i="5"/>
  <c r="E1026" i="5"/>
  <c r="D1026" i="5"/>
  <c r="L1025" i="5"/>
  <c r="K1025" i="5"/>
  <c r="J1025" i="5"/>
  <c r="H1025" i="5"/>
  <c r="G1025" i="5"/>
  <c r="F1025" i="5"/>
  <c r="E1025" i="5"/>
  <c r="D1025" i="5"/>
  <c r="L1024" i="5"/>
  <c r="K1024" i="5"/>
  <c r="J1024" i="5"/>
  <c r="H1024" i="5"/>
  <c r="G1024" i="5"/>
  <c r="F1024" i="5"/>
  <c r="E1024" i="5"/>
  <c r="D1024" i="5"/>
  <c r="L1023" i="5"/>
  <c r="K1023" i="5"/>
  <c r="J1023" i="5"/>
  <c r="H1023" i="5"/>
  <c r="G1023" i="5"/>
  <c r="F1023" i="5"/>
  <c r="E1023" i="5"/>
  <c r="D1023" i="5"/>
  <c r="L1022" i="5"/>
  <c r="K1022" i="5"/>
  <c r="J1022" i="5"/>
  <c r="H1022" i="5"/>
  <c r="G1022" i="5"/>
  <c r="F1022" i="5"/>
  <c r="E1022" i="5"/>
  <c r="D1022" i="5"/>
  <c r="L1021" i="5"/>
  <c r="K1021" i="5"/>
  <c r="J1021" i="5"/>
  <c r="H1021" i="5"/>
  <c r="G1021" i="5"/>
  <c r="F1021" i="5"/>
  <c r="E1021" i="5"/>
  <c r="D1021" i="5"/>
  <c r="L1020" i="5"/>
  <c r="K1020" i="5"/>
  <c r="J1020" i="5"/>
  <c r="H1020" i="5"/>
  <c r="G1020" i="5"/>
  <c r="F1020" i="5"/>
  <c r="E1020" i="5"/>
  <c r="D1020" i="5"/>
  <c r="L1019" i="5"/>
  <c r="K1019" i="5"/>
  <c r="J1019" i="5"/>
  <c r="H1019" i="5"/>
  <c r="G1019" i="5"/>
  <c r="F1019" i="5"/>
  <c r="E1019" i="5"/>
  <c r="D1019" i="5"/>
  <c r="L1018" i="5"/>
  <c r="K1018" i="5"/>
  <c r="J1018" i="5"/>
  <c r="H1018" i="5"/>
  <c r="G1018" i="5"/>
  <c r="F1018" i="5"/>
  <c r="E1018" i="5"/>
  <c r="D1018" i="5"/>
  <c r="L1017" i="5"/>
  <c r="K1017" i="5"/>
  <c r="J1017" i="5"/>
  <c r="H1017" i="5"/>
  <c r="G1017" i="5"/>
  <c r="F1017" i="5"/>
  <c r="E1017" i="5"/>
  <c r="D1017" i="5"/>
  <c r="L1016" i="5"/>
  <c r="K1016" i="5"/>
  <c r="J1016" i="5"/>
  <c r="H1016" i="5"/>
  <c r="G1016" i="5"/>
  <c r="F1016" i="5"/>
  <c r="E1016" i="5"/>
  <c r="D1016" i="5"/>
  <c r="L1015" i="5"/>
  <c r="K1015" i="5"/>
  <c r="J1015" i="5"/>
  <c r="H1015" i="5"/>
  <c r="G1015" i="5"/>
  <c r="F1015" i="5"/>
  <c r="E1015" i="5"/>
  <c r="D1015" i="5"/>
  <c r="L1014" i="5"/>
  <c r="K1014" i="5"/>
  <c r="J1014" i="5"/>
  <c r="H1014" i="5"/>
  <c r="G1014" i="5"/>
  <c r="F1014" i="5"/>
  <c r="E1014" i="5"/>
  <c r="D1014" i="5"/>
  <c r="L1013" i="5"/>
  <c r="K1013" i="5"/>
  <c r="J1013" i="5"/>
  <c r="H1013" i="5"/>
  <c r="G1013" i="5"/>
  <c r="F1013" i="5"/>
  <c r="E1013" i="5"/>
  <c r="D1013" i="5"/>
  <c r="L1012" i="5"/>
  <c r="K1012" i="5"/>
  <c r="J1012" i="5"/>
  <c r="H1012" i="5"/>
  <c r="G1012" i="5"/>
  <c r="F1012" i="5"/>
  <c r="E1012" i="5"/>
  <c r="D1012" i="5"/>
  <c r="L1011" i="5"/>
  <c r="K1011" i="5"/>
  <c r="J1011" i="5"/>
  <c r="H1011" i="5"/>
  <c r="G1011" i="5"/>
  <c r="F1011" i="5"/>
  <c r="E1011" i="5"/>
  <c r="D1011" i="5"/>
  <c r="L1010" i="5"/>
  <c r="K1010" i="5"/>
  <c r="J1010" i="5"/>
  <c r="H1010" i="5"/>
  <c r="G1010" i="5"/>
  <c r="F1010" i="5"/>
  <c r="E1010" i="5"/>
  <c r="D1010" i="5"/>
  <c r="L1009" i="5"/>
  <c r="K1009" i="5"/>
  <c r="J1009" i="5"/>
  <c r="H1009" i="5"/>
  <c r="G1009" i="5"/>
  <c r="F1009" i="5"/>
  <c r="E1009" i="5"/>
  <c r="D1009" i="5"/>
  <c r="L1008" i="5"/>
  <c r="K1008" i="5"/>
  <c r="J1008" i="5"/>
  <c r="H1008" i="5"/>
  <c r="G1008" i="5"/>
  <c r="F1008" i="5"/>
  <c r="E1008" i="5"/>
  <c r="D1008" i="5"/>
  <c r="L1007" i="5"/>
  <c r="K1007" i="5"/>
  <c r="J1007" i="5"/>
  <c r="H1007" i="5"/>
  <c r="G1007" i="5"/>
  <c r="F1007" i="5"/>
  <c r="E1007" i="5"/>
  <c r="D1007" i="5"/>
  <c r="L1006" i="5"/>
  <c r="K1006" i="5"/>
  <c r="J1006" i="5"/>
  <c r="H1006" i="5"/>
  <c r="G1006" i="5"/>
  <c r="F1006" i="5"/>
  <c r="E1006" i="5"/>
  <c r="D1006" i="5"/>
  <c r="L1005" i="5"/>
  <c r="K1005" i="5"/>
  <c r="J1005" i="5"/>
  <c r="H1005" i="5"/>
  <c r="G1005" i="5"/>
  <c r="F1005" i="5"/>
  <c r="E1005" i="5"/>
  <c r="D1005" i="5"/>
  <c r="L1004" i="5"/>
  <c r="K1004" i="5"/>
  <c r="J1004" i="5"/>
  <c r="H1004" i="5"/>
  <c r="G1004" i="5"/>
  <c r="F1004" i="5"/>
  <c r="E1004" i="5"/>
  <c r="D1004" i="5"/>
  <c r="L1003" i="5"/>
  <c r="K1003" i="5"/>
  <c r="J1003" i="5"/>
  <c r="H1003" i="5"/>
  <c r="G1003" i="5"/>
  <c r="F1003" i="5"/>
  <c r="E1003" i="5"/>
  <c r="D1003" i="5"/>
  <c r="L1002" i="5"/>
  <c r="K1002" i="5"/>
  <c r="J1002" i="5"/>
  <c r="H1002" i="5"/>
  <c r="G1002" i="5"/>
  <c r="F1002" i="5"/>
  <c r="E1002" i="5"/>
  <c r="D1002" i="5"/>
  <c r="L1001" i="5"/>
  <c r="K1001" i="5"/>
  <c r="J1001" i="5"/>
  <c r="H1001" i="5"/>
  <c r="G1001" i="5"/>
  <c r="F1001" i="5"/>
  <c r="E1001" i="5"/>
  <c r="D1001" i="5"/>
  <c r="L1000" i="5"/>
  <c r="K1000" i="5"/>
  <c r="J1000" i="5"/>
  <c r="H1000" i="5"/>
  <c r="G1000" i="5"/>
  <c r="F1000" i="5"/>
  <c r="E1000" i="5"/>
  <c r="D1000" i="5"/>
  <c r="L999" i="5"/>
  <c r="K999" i="5"/>
  <c r="J999" i="5"/>
  <c r="H999" i="5"/>
  <c r="G999" i="5"/>
  <c r="F999" i="5"/>
  <c r="E999" i="5"/>
  <c r="D999" i="5"/>
  <c r="L998" i="5"/>
  <c r="K998" i="5"/>
  <c r="J998" i="5"/>
  <c r="H998" i="5"/>
  <c r="G998" i="5"/>
  <c r="F998" i="5"/>
  <c r="E998" i="5"/>
  <c r="D998" i="5"/>
  <c r="L997" i="5"/>
  <c r="K997" i="5"/>
  <c r="J997" i="5"/>
  <c r="H997" i="5"/>
  <c r="G997" i="5"/>
  <c r="F997" i="5"/>
  <c r="E997" i="5"/>
  <c r="D997" i="5"/>
  <c r="L996" i="5"/>
  <c r="K996" i="5"/>
  <c r="J996" i="5"/>
  <c r="H996" i="5"/>
  <c r="G996" i="5"/>
  <c r="F996" i="5"/>
  <c r="E996" i="5"/>
  <c r="D996" i="5"/>
  <c r="L995" i="5"/>
  <c r="K995" i="5"/>
  <c r="J995" i="5"/>
  <c r="H995" i="5"/>
  <c r="G995" i="5"/>
  <c r="F995" i="5"/>
  <c r="E995" i="5"/>
  <c r="D995" i="5"/>
  <c r="L994" i="5"/>
  <c r="K994" i="5"/>
  <c r="J994" i="5"/>
  <c r="H994" i="5"/>
  <c r="G994" i="5"/>
  <c r="F994" i="5"/>
  <c r="E994" i="5"/>
  <c r="D994" i="5"/>
  <c r="L993" i="5"/>
  <c r="K993" i="5"/>
  <c r="J993" i="5"/>
  <c r="H993" i="5"/>
  <c r="G993" i="5"/>
  <c r="F993" i="5"/>
  <c r="E993" i="5"/>
  <c r="D993" i="5"/>
  <c r="L992" i="5"/>
  <c r="K992" i="5"/>
  <c r="J992" i="5"/>
  <c r="H992" i="5"/>
  <c r="G992" i="5"/>
  <c r="F992" i="5"/>
  <c r="E992" i="5"/>
  <c r="D992" i="5"/>
  <c r="L991" i="5"/>
  <c r="K991" i="5"/>
  <c r="J991" i="5"/>
  <c r="H991" i="5"/>
  <c r="G991" i="5"/>
  <c r="F991" i="5"/>
  <c r="E991" i="5"/>
  <c r="D991" i="5"/>
  <c r="L990" i="5"/>
  <c r="K990" i="5"/>
  <c r="J990" i="5"/>
  <c r="H990" i="5"/>
  <c r="G990" i="5"/>
  <c r="F990" i="5"/>
  <c r="E990" i="5"/>
  <c r="D990" i="5"/>
  <c r="L989" i="5"/>
  <c r="K989" i="5"/>
  <c r="J989" i="5"/>
  <c r="H989" i="5"/>
  <c r="G989" i="5"/>
  <c r="F989" i="5"/>
  <c r="E989" i="5"/>
  <c r="D989" i="5"/>
  <c r="L988" i="5"/>
  <c r="K988" i="5"/>
  <c r="J988" i="5"/>
  <c r="H988" i="5"/>
  <c r="G988" i="5"/>
  <c r="F988" i="5"/>
  <c r="E988" i="5"/>
  <c r="D988" i="5"/>
  <c r="L987" i="5"/>
  <c r="K987" i="5"/>
  <c r="J987" i="5"/>
  <c r="H987" i="5"/>
  <c r="G987" i="5"/>
  <c r="F987" i="5"/>
  <c r="E987" i="5"/>
  <c r="D987" i="5"/>
  <c r="L986" i="5"/>
  <c r="K986" i="5"/>
  <c r="J986" i="5"/>
  <c r="H986" i="5"/>
  <c r="G986" i="5"/>
  <c r="F986" i="5"/>
  <c r="E986" i="5"/>
  <c r="D986" i="5"/>
  <c r="L985" i="5"/>
  <c r="K985" i="5"/>
  <c r="J985" i="5"/>
  <c r="H985" i="5"/>
  <c r="G985" i="5"/>
  <c r="F985" i="5"/>
  <c r="E985" i="5"/>
  <c r="D985" i="5"/>
  <c r="L984" i="5"/>
  <c r="K984" i="5"/>
  <c r="J984" i="5"/>
  <c r="H984" i="5"/>
  <c r="G984" i="5"/>
  <c r="F984" i="5"/>
  <c r="E984" i="5"/>
  <c r="D984" i="5"/>
  <c r="L983" i="5"/>
  <c r="K983" i="5"/>
  <c r="J983" i="5"/>
  <c r="H983" i="5"/>
  <c r="G983" i="5"/>
  <c r="F983" i="5"/>
  <c r="E983" i="5"/>
  <c r="D983" i="5"/>
  <c r="L982" i="5"/>
  <c r="K982" i="5"/>
  <c r="J982" i="5"/>
  <c r="H982" i="5"/>
  <c r="G982" i="5"/>
  <c r="F982" i="5"/>
  <c r="E982" i="5"/>
  <c r="D982" i="5"/>
  <c r="L981" i="5"/>
  <c r="K981" i="5"/>
  <c r="J981" i="5"/>
  <c r="H981" i="5"/>
  <c r="G981" i="5"/>
  <c r="F981" i="5"/>
  <c r="E981" i="5"/>
  <c r="D981" i="5"/>
  <c r="L980" i="5"/>
  <c r="K980" i="5"/>
  <c r="J980" i="5"/>
  <c r="H980" i="5"/>
  <c r="G980" i="5"/>
  <c r="F980" i="5"/>
  <c r="E980" i="5"/>
  <c r="D980" i="5"/>
  <c r="L979" i="5"/>
  <c r="K979" i="5"/>
  <c r="J979" i="5"/>
  <c r="H979" i="5"/>
  <c r="G979" i="5"/>
  <c r="F979" i="5"/>
  <c r="E979" i="5"/>
  <c r="D979" i="5"/>
  <c r="L978" i="5"/>
  <c r="K978" i="5"/>
  <c r="J978" i="5"/>
  <c r="H978" i="5"/>
  <c r="G978" i="5"/>
  <c r="F978" i="5"/>
  <c r="E978" i="5"/>
  <c r="D978" i="5"/>
  <c r="L977" i="5"/>
  <c r="K977" i="5"/>
  <c r="J977" i="5"/>
  <c r="H977" i="5"/>
  <c r="G977" i="5"/>
  <c r="F977" i="5"/>
  <c r="E977" i="5"/>
  <c r="D977" i="5"/>
  <c r="L976" i="5"/>
  <c r="K976" i="5"/>
  <c r="J976" i="5"/>
  <c r="H976" i="5"/>
  <c r="G976" i="5"/>
  <c r="F976" i="5"/>
  <c r="E976" i="5"/>
  <c r="D976" i="5"/>
  <c r="L975" i="5"/>
  <c r="K975" i="5"/>
  <c r="J975" i="5"/>
  <c r="H975" i="5"/>
  <c r="G975" i="5"/>
  <c r="F975" i="5"/>
  <c r="E975" i="5"/>
  <c r="D975" i="5"/>
  <c r="L974" i="5"/>
  <c r="K974" i="5"/>
  <c r="J974" i="5"/>
  <c r="H974" i="5"/>
  <c r="G974" i="5"/>
  <c r="F974" i="5"/>
  <c r="E974" i="5"/>
  <c r="D974" i="5"/>
  <c r="L973" i="5"/>
  <c r="K973" i="5"/>
  <c r="J973" i="5"/>
  <c r="H973" i="5"/>
  <c r="G973" i="5"/>
  <c r="F973" i="5"/>
  <c r="E973" i="5"/>
  <c r="D973" i="5"/>
  <c r="L972" i="5"/>
  <c r="K972" i="5"/>
  <c r="J972" i="5"/>
  <c r="H972" i="5"/>
  <c r="G972" i="5"/>
  <c r="F972" i="5"/>
  <c r="E972" i="5"/>
  <c r="D972" i="5"/>
  <c r="L971" i="5"/>
  <c r="K971" i="5"/>
  <c r="J971" i="5"/>
  <c r="H971" i="5"/>
  <c r="G971" i="5"/>
  <c r="F971" i="5"/>
  <c r="E971" i="5"/>
  <c r="D971" i="5"/>
  <c r="L970" i="5"/>
  <c r="K970" i="5"/>
  <c r="J970" i="5"/>
  <c r="H970" i="5"/>
  <c r="G970" i="5"/>
  <c r="F970" i="5"/>
  <c r="E970" i="5"/>
  <c r="D970" i="5"/>
  <c r="L969" i="5"/>
  <c r="K969" i="5"/>
  <c r="J969" i="5"/>
  <c r="H969" i="5"/>
  <c r="G969" i="5"/>
  <c r="F969" i="5"/>
  <c r="E969" i="5"/>
  <c r="D969" i="5"/>
  <c r="L968" i="5"/>
  <c r="K968" i="5"/>
  <c r="J968" i="5"/>
  <c r="H968" i="5"/>
  <c r="G968" i="5"/>
  <c r="F968" i="5"/>
  <c r="E968" i="5"/>
  <c r="D968" i="5"/>
  <c r="L967" i="5"/>
  <c r="K967" i="5"/>
  <c r="J967" i="5"/>
  <c r="H967" i="5"/>
  <c r="G967" i="5"/>
  <c r="F967" i="5"/>
  <c r="E967" i="5"/>
  <c r="D967" i="5"/>
  <c r="L966" i="5"/>
  <c r="K966" i="5"/>
  <c r="J966" i="5"/>
  <c r="H966" i="5"/>
  <c r="G966" i="5"/>
  <c r="F966" i="5"/>
  <c r="E966" i="5"/>
  <c r="D966" i="5"/>
  <c r="L965" i="5"/>
  <c r="K965" i="5"/>
  <c r="J965" i="5"/>
  <c r="H965" i="5"/>
  <c r="G965" i="5"/>
  <c r="F965" i="5"/>
  <c r="E965" i="5"/>
  <c r="D965" i="5"/>
  <c r="L964" i="5"/>
  <c r="K964" i="5"/>
  <c r="J964" i="5"/>
  <c r="H964" i="5"/>
  <c r="G964" i="5"/>
  <c r="F964" i="5"/>
  <c r="E964" i="5"/>
  <c r="D964" i="5"/>
  <c r="L963" i="5"/>
  <c r="K963" i="5"/>
  <c r="J963" i="5"/>
  <c r="H963" i="5"/>
  <c r="G963" i="5"/>
  <c r="F963" i="5"/>
  <c r="E963" i="5"/>
  <c r="D963" i="5"/>
  <c r="L962" i="5"/>
  <c r="K962" i="5"/>
  <c r="J962" i="5"/>
  <c r="H962" i="5"/>
  <c r="G962" i="5"/>
  <c r="F962" i="5"/>
  <c r="E962" i="5"/>
  <c r="D962" i="5"/>
  <c r="L961" i="5"/>
  <c r="K961" i="5"/>
  <c r="J961" i="5"/>
  <c r="H961" i="5"/>
  <c r="G961" i="5"/>
  <c r="F961" i="5"/>
  <c r="E961" i="5"/>
  <c r="D961" i="5"/>
  <c r="L960" i="5"/>
  <c r="K960" i="5"/>
  <c r="J960" i="5"/>
  <c r="H960" i="5"/>
  <c r="G960" i="5"/>
  <c r="F960" i="5"/>
  <c r="E960" i="5"/>
  <c r="D960" i="5"/>
  <c r="L959" i="5"/>
  <c r="K959" i="5"/>
  <c r="J959" i="5"/>
  <c r="H959" i="5"/>
  <c r="G959" i="5"/>
  <c r="F959" i="5"/>
  <c r="E959" i="5"/>
  <c r="D959" i="5"/>
  <c r="L958" i="5"/>
  <c r="K958" i="5"/>
  <c r="J958" i="5"/>
  <c r="H958" i="5"/>
  <c r="G958" i="5"/>
  <c r="F958" i="5"/>
  <c r="E958" i="5"/>
  <c r="D958" i="5"/>
  <c r="L957" i="5"/>
  <c r="K957" i="5"/>
  <c r="J957" i="5"/>
  <c r="H957" i="5"/>
  <c r="G957" i="5"/>
  <c r="F957" i="5"/>
  <c r="E957" i="5"/>
  <c r="D957" i="5"/>
  <c r="L956" i="5"/>
  <c r="K956" i="5"/>
  <c r="J956" i="5"/>
  <c r="H956" i="5"/>
  <c r="G956" i="5"/>
  <c r="F956" i="5"/>
  <c r="E956" i="5"/>
  <c r="D956" i="5"/>
  <c r="L955" i="5"/>
  <c r="K955" i="5"/>
  <c r="J955" i="5"/>
  <c r="H955" i="5"/>
  <c r="G955" i="5"/>
  <c r="F955" i="5"/>
  <c r="E955" i="5"/>
  <c r="D955" i="5"/>
  <c r="L954" i="5"/>
  <c r="K954" i="5"/>
  <c r="J954" i="5"/>
  <c r="H954" i="5"/>
  <c r="G954" i="5"/>
  <c r="F954" i="5"/>
  <c r="E954" i="5"/>
  <c r="D954" i="5"/>
  <c r="L953" i="5"/>
  <c r="K953" i="5"/>
  <c r="J953" i="5"/>
  <c r="H953" i="5"/>
  <c r="G953" i="5"/>
  <c r="F953" i="5"/>
  <c r="E953" i="5"/>
  <c r="D953" i="5"/>
  <c r="L952" i="5"/>
  <c r="K952" i="5"/>
  <c r="J952" i="5"/>
  <c r="H952" i="5"/>
  <c r="G952" i="5"/>
  <c r="F952" i="5"/>
  <c r="E952" i="5"/>
  <c r="D952" i="5"/>
  <c r="L951" i="5"/>
  <c r="K951" i="5"/>
  <c r="J951" i="5"/>
  <c r="H951" i="5"/>
  <c r="G951" i="5"/>
  <c r="F951" i="5"/>
  <c r="E951" i="5"/>
  <c r="D951" i="5"/>
  <c r="L950" i="5"/>
  <c r="K950" i="5"/>
  <c r="J950" i="5"/>
  <c r="H950" i="5"/>
  <c r="G950" i="5"/>
  <c r="F950" i="5"/>
  <c r="E950" i="5"/>
  <c r="D950" i="5"/>
  <c r="L949" i="5"/>
  <c r="K949" i="5"/>
  <c r="J949" i="5"/>
  <c r="H949" i="5"/>
  <c r="G949" i="5"/>
  <c r="F949" i="5"/>
  <c r="E949" i="5"/>
  <c r="D949" i="5"/>
  <c r="L948" i="5"/>
  <c r="K948" i="5"/>
  <c r="J948" i="5"/>
  <c r="H948" i="5"/>
  <c r="G948" i="5"/>
  <c r="F948" i="5"/>
  <c r="E948" i="5"/>
  <c r="D948" i="5"/>
  <c r="L947" i="5"/>
  <c r="K947" i="5"/>
  <c r="J947" i="5"/>
  <c r="H947" i="5"/>
  <c r="G947" i="5"/>
  <c r="F947" i="5"/>
  <c r="E947" i="5"/>
  <c r="D947" i="5"/>
  <c r="L946" i="5"/>
  <c r="K946" i="5"/>
  <c r="J946" i="5"/>
  <c r="H946" i="5"/>
  <c r="G946" i="5"/>
  <c r="F946" i="5"/>
  <c r="E946" i="5"/>
  <c r="D946" i="5"/>
  <c r="L945" i="5"/>
  <c r="K945" i="5"/>
  <c r="J945" i="5"/>
  <c r="H945" i="5"/>
  <c r="G945" i="5"/>
  <c r="F945" i="5"/>
  <c r="E945" i="5"/>
  <c r="D945" i="5"/>
  <c r="L944" i="5"/>
  <c r="K944" i="5"/>
  <c r="J944" i="5"/>
  <c r="H944" i="5"/>
  <c r="G944" i="5"/>
  <c r="F944" i="5"/>
  <c r="E944" i="5"/>
  <c r="D944" i="5"/>
  <c r="L943" i="5"/>
  <c r="K943" i="5"/>
  <c r="J943" i="5"/>
  <c r="H943" i="5"/>
  <c r="G943" i="5"/>
  <c r="F943" i="5"/>
  <c r="E943" i="5"/>
  <c r="D943" i="5"/>
  <c r="L942" i="5"/>
  <c r="K942" i="5"/>
  <c r="J942" i="5"/>
  <c r="H942" i="5"/>
  <c r="G942" i="5"/>
  <c r="F942" i="5"/>
  <c r="E942" i="5"/>
  <c r="D942" i="5"/>
  <c r="L941" i="5"/>
  <c r="K941" i="5"/>
  <c r="J941" i="5"/>
  <c r="H941" i="5"/>
  <c r="G941" i="5"/>
  <c r="F941" i="5"/>
  <c r="E941" i="5"/>
  <c r="D941" i="5"/>
  <c r="L940" i="5"/>
  <c r="K940" i="5"/>
  <c r="J940" i="5"/>
  <c r="H940" i="5"/>
  <c r="G940" i="5"/>
  <c r="F940" i="5"/>
  <c r="E940" i="5"/>
  <c r="D940" i="5"/>
  <c r="L939" i="5"/>
  <c r="K939" i="5"/>
  <c r="J939" i="5"/>
  <c r="H939" i="5"/>
  <c r="G939" i="5"/>
  <c r="F939" i="5"/>
  <c r="E939" i="5"/>
  <c r="D939" i="5"/>
  <c r="L938" i="5"/>
  <c r="K938" i="5"/>
  <c r="J938" i="5"/>
  <c r="H938" i="5"/>
  <c r="G938" i="5"/>
  <c r="F938" i="5"/>
  <c r="E938" i="5"/>
  <c r="D938" i="5"/>
  <c r="L937" i="5"/>
  <c r="K937" i="5"/>
  <c r="J937" i="5"/>
  <c r="H937" i="5"/>
  <c r="G937" i="5"/>
  <c r="F937" i="5"/>
  <c r="E937" i="5"/>
  <c r="D937" i="5"/>
  <c r="L936" i="5"/>
  <c r="K936" i="5"/>
  <c r="J936" i="5"/>
  <c r="H936" i="5"/>
  <c r="G936" i="5"/>
  <c r="F936" i="5"/>
  <c r="E936" i="5"/>
  <c r="D936" i="5"/>
  <c r="L935" i="5"/>
  <c r="K935" i="5"/>
  <c r="J935" i="5"/>
  <c r="H935" i="5"/>
  <c r="G935" i="5"/>
  <c r="F935" i="5"/>
  <c r="E935" i="5"/>
  <c r="D935" i="5"/>
  <c r="L934" i="5"/>
  <c r="K934" i="5"/>
  <c r="J934" i="5"/>
  <c r="H934" i="5"/>
  <c r="G934" i="5"/>
  <c r="F934" i="5"/>
  <c r="E934" i="5"/>
  <c r="D934" i="5"/>
  <c r="L933" i="5"/>
  <c r="K933" i="5"/>
  <c r="J933" i="5"/>
  <c r="H933" i="5"/>
  <c r="G933" i="5"/>
  <c r="F933" i="5"/>
  <c r="E933" i="5"/>
  <c r="D933" i="5"/>
  <c r="L932" i="5"/>
  <c r="K932" i="5"/>
  <c r="J932" i="5"/>
  <c r="H932" i="5"/>
  <c r="G932" i="5"/>
  <c r="F932" i="5"/>
  <c r="E932" i="5"/>
  <c r="D932" i="5"/>
  <c r="L931" i="5"/>
  <c r="K931" i="5"/>
  <c r="J931" i="5"/>
  <c r="H931" i="5"/>
  <c r="G931" i="5"/>
  <c r="F931" i="5"/>
  <c r="E931" i="5"/>
  <c r="D931" i="5"/>
  <c r="L930" i="5"/>
  <c r="K930" i="5"/>
  <c r="J930" i="5"/>
  <c r="H930" i="5"/>
  <c r="G930" i="5"/>
  <c r="F930" i="5"/>
  <c r="E930" i="5"/>
  <c r="D930" i="5"/>
  <c r="L929" i="5"/>
  <c r="K929" i="5"/>
  <c r="J929" i="5"/>
  <c r="H929" i="5"/>
  <c r="G929" i="5"/>
  <c r="F929" i="5"/>
  <c r="E929" i="5"/>
  <c r="D929" i="5"/>
  <c r="L928" i="5"/>
  <c r="K928" i="5"/>
  <c r="J928" i="5"/>
  <c r="H928" i="5"/>
  <c r="G928" i="5"/>
  <c r="F928" i="5"/>
  <c r="E928" i="5"/>
  <c r="D928" i="5"/>
  <c r="L927" i="5"/>
  <c r="K927" i="5"/>
  <c r="J927" i="5"/>
  <c r="H927" i="5"/>
  <c r="G927" i="5"/>
  <c r="F927" i="5"/>
  <c r="E927" i="5"/>
  <c r="D927" i="5"/>
  <c r="L926" i="5"/>
  <c r="K926" i="5"/>
  <c r="J926" i="5"/>
  <c r="H926" i="5"/>
  <c r="G926" i="5"/>
  <c r="F926" i="5"/>
  <c r="E926" i="5"/>
  <c r="D926" i="5"/>
  <c r="L925" i="5"/>
  <c r="K925" i="5"/>
  <c r="J925" i="5"/>
  <c r="H925" i="5"/>
  <c r="G925" i="5"/>
  <c r="F925" i="5"/>
  <c r="E925" i="5"/>
  <c r="D925" i="5"/>
  <c r="L924" i="5"/>
  <c r="K924" i="5"/>
  <c r="J924" i="5"/>
  <c r="H924" i="5"/>
  <c r="G924" i="5"/>
  <c r="F924" i="5"/>
  <c r="E924" i="5"/>
  <c r="D924" i="5"/>
  <c r="L923" i="5"/>
  <c r="K923" i="5"/>
  <c r="J923" i="5"/>
  <c r="H923" i="5"/>
  <c r="G923" i="5"/>
  <c r="F923" i="5"/>
  <c r="E923" i="5"/>
  <c r="D923" i="5"/>
  <c r="L922" i="5"/>
  <c r="K922" i="5"/>
  <c r="J922" i="5"/>
  <c r="H922" i="5"/>
  <c r="G922" i="5"/>
  <c r="F922" i="5"/>
  <c r="E922" i="5"/>
  <c r="D922" i="5"/>
  <c r="L921" i="5"/>
  <c r="K921" i="5"/>
  <c r="J921" i="5"/>
  <c r="H921" i="5"/>
  <c r="G921" i="5"/>
  <c r="F921" i="5"/>
  <c r="E921" i="5"/>
  <c r="D921" i="5"/>
  <c r="L920" i="5"/>
  <c r="K920" i="5"/>
  <c r="J920" i="5"/>
  <c r="H920" i="5"/>
  <c r="G920" i="5"/>
  <c r="F920" i="5"/>
  <c r="E920" i="5"/>
  <c r="D920" i="5"/>
  <c r="L919" i="5"/>
  <c r="K919" i="5"/>
  <c r="J919" i="5"/>
  <c r="H919" i="5"/>
  <c r="G919" i="5"/>
  <c r="F919" i="5"/>
  <c r="E919" i="5"/>
  <c r="D919" i="5"/>
  <c r="L918" i="5"/>
  <c r="K918" i="5"/>
  <c r="J918" i="5"/>
  <c r="H918" i="5"/>
  <c r="G918" i="5"/>
  <c r="F918" i="5"/>
  <c r="E918" i="5"/>
  <c r="D918" i="5"/>
  <c r="L917" i="5"/>
  <c r="K917" i="5"/>
  <c r="J917" i="5"/>
  <c r="H917" i="5"/>
  <c r="G917" i="5"/>
  <c r="F917" i="5"/>
  <c r="E917" i="5"/>
  <c r="D917" i="5"/>
  <c r="L916" i="5"/>
  <c r="K916" i="5"/>
  <c r="J916" i="5"/>
  <c r="H916" i="5"/>
  <c r="G916" i="5"/>
  <c r="F916" i="5"/>
  <c r="E916" i="5"/>
  <c r="D916" i="5"/>
  <c r="L915" i="5"/>
  <c r="K915" i="5"/>
  <c r="J915" i="5"/>
  <c r="H915" i="5"/>
  <c r="G915" i="5"/>
  <c r="F915" i="5"/>
  <c r="E915" i="5"/>
  <c r="D915" i="5"/>
  <c r="L914" i="5"/>
  <c r="K914" i="5"/>
  <c r="J914" i="5"/>
  <c r="H914" i="5"/>
  <c r="G914" i="5"/>
  <c r="F914" i="5"/>
  <c r="E914" i="5"/>
  <c r="D914" i="5"/>
  <c r="L913" i="5"/>
  <c r="K913" i="5"/>
  <c r="J913" i="5"/>
  <c r="H913" i="5"/>
  <c r="G913" i="5"/>
  <c r="F913" i="5"/>
  <c r="E913" i="5"/>
  <c r="D913" i="5"/>
  <c r="L912" i="5"/>
  <c r="K912" i="5"/>
  <c r="J912" i="5"/>
  <c r="H912" i="5"/>
  <c r="G912" i="5"/>
  <c r="F912" i="5"/>
  <c r="E912" i="5"/>
  <c r="D912" i="5"/>
  <c r="L911" i="5"/>
  <c r="K911" i="5"/>
  <c r="J911" i="5"/>
  <c r="H911" i="5"/>
  <c r="G911" i="5"/>
  <c r="F911" i="5"/>
  <c r="E911" i="5"/>
  <c r="D911" i="5"/>
  <c r="L910" i="5"/>
  <c r="K910" i="5"/>
  <c r="J910" i="5"/>
  <c r="H910" i="5"/>
  <c r="G910" i="5"/>
  <c r="F910" i="5"/>
  <c r="E910" i="5"/>
  <c r="D910" i="5"/>
  <c r="L909" i="5"/>
  <c r="K909" i="5"/>
  <c r="J909" i="5"/>
  <c r="H909" i="5"/>
  <c r="G909" i="5"/>
  <c r="F909" i="5"/>
  <c r="E909" i="5"/>
  <c r="D909" i="5"/>
  <c r="L908" i="5"/>
  <c r="K908" i="5"/>
  <c r="J908" i="5"/>
  <c r="H908" i="5"/>
  <c r="G908" i="5"/>
  <c r="F908" i="5"/>
  <c r="E908" i="5"/>
  <c r="D908" i="5"/>
  <c r="L907" i="5"/>
  <c r="K907" i="5"/>
  <c r="J907" i="5"/>
  <c r="H907" i="5"/>
  <c r="G907" i="5"/>
  <c r="F907" i="5"/>
  <c r="E907" i="5"/>
  <c r="D907" i="5"/>
  <c r="L906" i="5"/>
  <c r="K906" i="5"/>
  <c r="J906" i="5"/>
  <c r="H906" i="5"/>
  <c r="G906" i="5"/>
  <c r="F906" i="5"/>
  <c r="E906" i="5"/>
  <c r="D906" i="5"/>
  <c r="L905" i="5"/>
  <c r="K905" i="5"/>
  <c r="J905" i="5"/>
  <c r="H905" i="5"/>
  <c r="G905" i="5"/>
  <c r="F905" i="5"/>
  <c r="E905" i="5"/>
  <c r="D905" i="5"/>
  <c r="L904" i="5"/>
  <c r="K904" i="5"/>
  <c r="J904" i="5"/>
  <c r="H904" i="5"/>
  <c r="G904" i="5"/>
  <c r="F904" i="5"/>
  <c r="E904" i="5"/>
  <c r="D904" i="5"/>
  <c r="L903" i="5"/>
  <c r="K903" i="5"/>
  <c r="J903" i="5"/>
  <c r="H903" i="5"/>
  <c r="G903" i="5"/>
  <c r="F903" i="5"/>
  <c r="E903" i="5"/>
  <c r="D903" i="5"/>
  <c r="L902" i="5"/>
  <c r="K902" i="5"/>
  <c r="J902" i="5"/>
  <c r="H902" i="5"/>
  <c r="G902" i="5"/>
  <c r="F902" i="5"/>
  <c r="E902" i="5"/>
  <c r="D902" i="5"/>
  <c r="L901" i="5"/>
  <c r="K901" i="5"/>
  <c r="J901" i="5"/>
  <c r="H901" i="5"/>
  <c r="G901" i="5"/>
  <c r="F901" i="5"/>
  <c r="E901" i="5"/>
  <c r="D901" i="5"/>
  <c r="L900" i="5"/>
  <c r="K900" i="5"/>
  <c r="J900" i="5"/>
  <c r="H900" i="5"/>
  <c r="G900" i="5"/>
  <c r="F900" i="5"/>
  <c r="E900" i="5"/>
  <c r="D900" i="5"/>
  <c r="L899" i="5"/>
  <c r="K899" i="5"/>
  <c r="J899" i="5"/>
  <c r="H899" i="5"/>
  <c r="G899" i="5"/>
  <c r="F899" i="5"/>
  <c r="E899" i="5"/>
  <c r="D899" i="5"/>
  <c r="L898" i="5"/>
  <c r="K898" i="5"/>
  <c r="J898" i="5"/>
  <c r="H898" i="5"/>
  <c r="G898" i="5"/>
  <c r="F898" i="5"/>
  <c r="E898" i="5"/>
  <c r="D898" i="5"/>
  <c r="L897" i="5"/>
  <c r="K897" i="5"/>
  <c r="J897" i="5"/>
  <c r="H897" i="5"/>
  <c r="G897" i="5"/>
  <c r="F897" i="5"/>
  <c r="E897" i="5"/>
  <c r="D897" i="5"/>
  <c r="L896" i="5"/>
  <c r="K896" i="5"/>
  <c r="J896" i="5"/>
  <c r="H896" i="5"/>
  <c r="G896" i="5"/>
  <c r="F896" i="5"/>
  <c r="E896" i="5"/>
  <c r="D896" i="5"/>
  <c r="L895" i="5"/>
  <c r="K895" i="5"/>
  <c r="J895" i="5"/>
  <c r="H895" i="5"/>
  <c r="G895" i="5"/>
  <c r="F895" i="5"/>
  <c r="E895" i="5"/>
  <c r="D895" i="5"/>
  <c r="L894" i="5"/>
  <c r="K894" i="5"/>
  <c r="J894" i="5"/>
  <c r="H894" i="5"/>
  <c r="G894" i="5"/>
  <c r="F894" i="5"/>
  <c r="E894" i="5"/>
  <c r="D894" i="5"/>
  <c r="L893" i="5"/>
  <c r="K893" i="5"/>
  <c r="J893" i="5"/>
  <c r="H893" i="5"/>
  <c r="G893" i="5"/>
  <c r="F893" i="5"/>
  <c r="E893" i="5"/>
  <c r="D893" i="5"/>
  <c r="L892" i="5"/>
  <c r="K892" i="5"/>
  <c r="J892" i="5"/>
  <c r="H892" i="5"/>
  <c r="G892" i="5"/>
  <c r="F892" i="5"/>
  <c r="E892" i="5"/>
  <c r="D892" i="5"/>
  <c r="L891" i="5"/>
  <c r="K891" i="5"/>
  <c r="J891" i="5"/>
  <c r="H891" i="5"/>
  <c r="G891" i="5"/>
  <c r="F891" i="5"/>
  <c r="E891" i="5"/>
  <c r="D891" i="5"/>
  <c r="L890" i="5"/>
  <c r="K890" i="5"/>
  <c r="J890" i="5"/>
  <c r="H890" i="5"/>
  <c r="G890" i="5"/>
  <c r="F890" i="5"/>
  <c r="E890" i="5"/>
  <c r="D890" i="5"/>
  <c r="L889" i="5"/>
  <c r="K889" i="5"/>
  <c r="J889" i="5"/>
  <c r="H889" i="5"/>
  <c r="G889" i="5"/>
  <c r="F889" i="5"/>
  <c r="E889" i="5"/>
  <c r="D889" i="5"/>
  <c r="L888" i="5"/>
  <c r="K888" i="5"/>
  <c r="J888" i="5"/>
  <c r="H888" i="5"/>
  <c r="G888" i="5"/>
  <c r="F888" i="5"/>
  <c r="E888" i="5"/>
  <c r="D888" i="5"/>
  <c r="L887" i="5"/>
  <c r="K887" i="5"/>
  <c r="J887" i="5"/>
  <c r="H887" i="5"/>
  <c r="G887" i="5"/>
  <c r="F887" i="5"/>
  <c r="E887" i="5"/>
  <c r="D887" i="5"/>
  <c r="L886" i="5"/>
  <c r="K886" i="5"/>
  <c r="J886" i="5"/>
  <c r="H886" i="5"/>
  <c r="G886" i="5"/>
  <c r="F886" i="5"/>
  <c r="E886" i="5"/>
  <c r="D886" i="5"/>
  <c r="L885" i="5"/>
  <c r="K885" i="5"/>
  <c r="J885" i="5"/>
  <c r="H885" i="5"/>
  <c r="G885" i="5"/>
  <c r="F885" i="5"/>
  <c r="E885" i="5"/>
  <c r="D885" i="5"/>
  <c r="L884" i="5"/>
  <c r="K884" i="5"/>
  <c r="J884" i="5"/>
  <c r="H884" i="5"/>
  <c r="G884" i="5"/>
  <c r="F884" i="5"/>
  <c r="E884" i="5"/>
  <c r="D884" i="5"/>
  <c r="L883" i="5"/>
  <c r="K883" i="5"/>
  <c r="J883" i="5"/>
  <c r="H883" i="5"/>
  <c r="G883" i="5"/>
  <c r="F883" i="5"/>
  <c r="E883" i="5"/>
  <c r="D883" i="5"/>
  <c r="L882" i="5"/>
  <c r="K882" i="5"/>
  <c r="J882" i="5"/>
  <c r="H882" i="5"/>
  <c r="G882" i="5"/>
  <c r="F882" i="5"/>
  <c r="E882" i="5"/>
  <c r="D882" i="5"/>
  <c r="L881" i="5"/>
  <c r="K881" i="5"/>
  <c r="J881" i="5"/>
  <c r="H881" i="5"/>
  <c r="G881" i="5"/>
  <c r="F881" i="5"/>
  <c r="E881" i="5"/>
  <c r="D881" i="5"/>
  <c r="L880" i="5"/>
  <c r="K880" i="5"/>
  <c r="J880" i="5"/>
  <c r="H880" i="5"/>
  <c r="G880" i="5"/>
  <c r="F880" i="5"/>
  <c r="E880" i="5"/>
  <c r="D880" i="5"/>
  <c r="L879" i="5"/>
  <c r="K879" i="5"/>
  <c r="J879" i="5"/>
  <c r="H879" i="5"/>
  <c r="G879" i="5"/>
  <c r="F879" i="5"/>
  <c r="E879" i="5"/>
  <c r="D879" i="5"/>
  <c r="L878" i="5"/>
  <c r="K878" i="5"/>
  <c r="J878" i="5"/>
  <c r="H878" i="5"/>
  <c r="G878" i="5"/>
  <c r="F878" i="5"/>
  <c r="E878" i="5"/>
  <c r="D878" i="5"/>
  <c r="L877" i="5"/>
  <c r="K877" i="5"/>
  <c r="J877" i="5"/>
  <c r="H877" i="5"/>
  <c r="G877" i="5"/>
  <c r="F877" i="5"/>
  <c r="E877" i="5"/>
  <c r="D877" i="5"/>
  <c r="L876" i="5"/>
  <c r="K876" i="5"/>
  <c r="J876" i="5"/>
  <c r="H876" i="5"/>
  <c r="G876" i="5"/>
  <c r="F876" i="5"/>
  <c r="E876" i="5"/>
  <c r="D876" i="5"/>
  <c r="L875" i="5"/>
  <c r="K875" i="5"/>
  <c r="J875" i="5"/>
  <c r="H875" i="5"/>
  <c r="G875" i="5"/>
  <c r="F875" i="5"/>
  <c r="E875" i="5"/>
  <c r="D875" i="5"/>
  <c r="L874" i="5"/>
  <c r="K874" i="5"/>
  <c r="J874" i="5"/>
  <c r="H874" i="5"/>
  <c r="G874" i="5"/>
  <c r="F874" i="5"/>
  <c r="E874" i="5"/>
  <c r="D874" i="5"/>
  <c r="L873" i="5"/>
  <c r="K873" i="5"/>
  <c r="J873" i="5"/>
  <c r="H873" i="5"/>
  <c r="G873" i="5"/>
  <c r="F873" i="5"/>
  <c r="E873" i="5"/>
  <c r="D873" i="5"/>
  <c r="L872" i="5"/>
  <c r="K872" i="5"/>
  <c r="J872" i="5"/>
  <c r="H872" i="5"/>
  <c r="G872" i="5"/>
  <c r="F872" i="5"/>
  <c r="E872" i="5"/>
  <c r="D872" i="5"/>
  <c r="L871" i="5"/>
  <c r="K871" i="5"/>
  <c r="J871" i="5"/>
  <c r="H871" i="5"/>
  <c r="G871" i="5"/>
  <c r="F871" i="5"/>
  <c r="E871" i="5"/>
  <c r="D871" i="5"/>
  <c r="L870" i="5"/>
  <c r="K870" i="5"/>
  <c r="J870" i="5"/>
  <c r="H870" i="5"/>
  <c r="G870" i="5"/>
  <c r="F870" i="5"/>
  <c r="E870" i="5"/>
  <c r="D870" i="5"/>
  <c r="L869" i="5"/>
  <c r="K869" i="5"/>
  <c r="J869" i="5"/>
  <c r="H869" i="5"/>
  <c r="G869" i="5"/>
  <c r="F869" i="5"/>
  <c r="E869" i="5"/>
  <c r="D869" i="5"/>
  <c r="L868" i="5"/>
  <c r="K868" i="5"/>
  <c r="J868" i="5"/>
  <c r="H868" i="5"/>
  <c r="G868" i="5"/>
  <c r="F868" i="5"/>
  <c r="E868" i="5"/>
  <c r="D868" i="5"/>
  <c r="L867" i="5"/>
  <c r="K867" i="5"/>
  <c r="J867" i="5"/>
  <c r="H867" i="5"/>
  <c r="G867" i="5"/>
  <c r="F867" i="5"/>
  <c r="E867" i="5"/>
  <c r="D867" i="5"/>
  <c r="L866" i="5"/>
  <c r="K866" i="5"/>
  <c r="J866" i="5"/>
  <c r="H866" i="5"/>
  <c r="G866" i="5"/>
  <c r="F866" i="5"/>
  <c r="E866" i="5"/>
  <c r="D866" i="5"/>
  <c r="L865" i="5"/>
  <c r="K865" i="5"/>
  <c r="J865" i="5"/>
  <c r="H865" i="5"/>
  <c r="G865" i="5"/>
  <c r="F865" i="5"/>
  <c r="E865" i="5"/>
  <c r="D865" i="5"/>
  <c r="L864" i="5"/>
  <c r="K864" i="5"/>
  <c r="J864" i="5"/>
  <c r="H864" i="5"/>
  <c r="G864" i="5"/>
  <c r="F864" i="5"/>
  <c r="E864" i="5"/>
  <c r="D864" i="5"/>
  <c r="L863" i="5"/>
  <c r="K863" i="5"/>
  <c r="J863" i="5"/>
  <c r="H863" i="5"/>
  <c r="G863" i="5"/>
  <c r="F863" i="5"/>
  <c r="E863" i="5"/>
  <c r="D863" i="5"/>
  <c r="L862" i="5"/>
  <c r="K862" i="5"/>
  <c r="J862" i="5"/>
  <c r="H862" i="5"/>
  <c r="G862" i="5"/>
  <c r="F862" i="5"/>
  <c r="E862" i="5"/>
  <c r="D862" i="5"/>
  <c r="L861" i="5"/>
  <c r="K861" i="5"/>
  <c r="J861" i="5"/>
  <c r="H861" i="5"/>
  <c r="G861" i="5"/>
  <c r="F861" i="5"/>
  <c r="E861" i="5"/>
  <c r="D861" i="5"/>
  <c r="L860" i="5"/>
  <c r="K860" i="5"/>
  <c r="J860" i="5"/>
  <c r="H860" i="5"/>
  <c r="G860" i="5"/>
  <c r="F860" i="5"/>
  <c r="E860" i="5"/>
  <c r="D860" i="5"/>
  <c r="L859" i="5"/>
  <c r="K859" i="5"/>
  <c r="J859" i="5"/>
  <c r="H859" i="5"/>
  <c r="G859" i="5"/>
  <c r="F859" i="5"/>
  <c r="E859" i="5"/>
  <c r="D859" i="5"/>
  <c r="L858" i="5"/>
  <c r="K858" i="5"/>
  <c r="J858" i="5"/>
  <c r="H858" i="5"/>
  <c r="G858" i="5"/>
  <c r="F858" i="5"/>
  <c r="E858" i="5"/>
  <c r="D858" i="5"/>
  <c r="L857" i="5"/>
  <c r="K857" i="5"/>
  <c r="J857" i="5"/>
  <c r="H857" i="5"/>
  <c r="G857" i="5"/>
  <c r="F857" i="5"/>
  <c r="E857" i="5"/>
  <c r="D857" i="5"/>
  <c r="L856" i="5"/>
  <c r="K856" i="5"/>
  <c r="J856" i="5"/>
  <c r="H856" i="5"/>
  <c r="G856" i="5"/>
  <c r="F856" i="5"/>
  <c r="E856" i="5"/>
  <c r="D856" i="5"/>
  <c r="L855" i="5"/>
  <c r="K855" i="5"/>
  <c r="J855" i="5"/>
  <c r="H855" i="5"/>
  <c r="G855" i="5"/>
  <c r="F855" i="5"/>
  <c r="E855" i="5"/>
  <c r="D855" i="5"/>
  <c r="L854" i="5"/>
  <c r="K854" i="5"/>
  <c r="J854" i="5"/>
  <c r="H854" i="5"/>
  <c r="G854" i="5"/>
  <c r="F854" i="5"/>
  <c r="E854" i="5"/>
  <c r="D854" i="5"/>
  <c r="L853" i="5"/>
  <c r="K853" i="5"/>
  <c r="J853" i="5"/>
  <c r="H853" i="5"/>
  <c r="G853" i="5"/>
  <c r="F853" i="5"/>
  <c r="E853" i="5"/>
  <c r="D853" i="5"/>
  <c r="L852" i="5"/>
  <c r="K852" i="5"/>
  <c r="J852" i="5"/>
  <c r="H852" i="5"/>
  <c r="G852" i="5"/>
  <c r="F852" i="5"/>
  <c r="E852" i="5"/>
  <c r="D852" i="5"/>
  <c r="L851" i="5"/>
  <c r="K851" i="5"/>
  <c r="J851" i="5"/>
  <c r="H851" i="5"/>
  <c r="G851" i="5"/>
  <c r="F851" i="5"/>
  <c r="E851" i="5"/>
  <c r="D851" i="5"/>
  <c r="L850" i="5"/>
  <c r="K850" i="5"/>
  <c r="J850" i="5"/>
  <c r="H850" i="5"/>
  <c r="G850" i="5"/>
  <c r="F850" i="5"/>
  <c r="E850" i="5"/>
  <c r="D850" i="5"/>
  <c r="L849" i="5"/>
  <c r="K849" i="5"/>
  <c r="J849" i="5"/>
  <c r="H849" i="5"/>
  <c r="G849" i="5"/>
  <c r="F849" i="5"/>
  <c r="E849" i="5"/>
  <c r="D849" i="5"/>
  <c r="L848" i="5"/>
  <c r="K848" i="5"/>
  <c r="J848" i="5"/>
  <c r="H848" i="5"/>
  <c r="G848" i="5"/>
  <c r="F848" i="5"/>
  <c r="E848" i="5"/>
  <c r="D848" i="5"/>
  <c r="L847" i="5"/>
  <c r="K847" i="5"/>
  <c r="J847" i="5"/>
  <c r="H847" i="5"/>
  <c r="G847" i="5"/>
  <c r="F847" i="5"/>
  <c r="E847" i="5"/>
  <c r="D847" i="5"/>
  <c r="L846" i="5"/>
  <c r="K846" i="5"/>
  <c r="J846" i="5"/>
  <c r="H846" i="5"/>
  <c r="G846" i="5"/>
  <c r="F846" i="5"/>
  <c r="E846" i="5"/>
  <c r="D846" i="5"/>
  <c r="L845" i="5"/>
  <c r="K845" i="5"/>
  <c r="J845" i="5"/>
  <c r="H845" i="5"/>
  <c r="G845" i="5"/>
  <c r="F845" i="5"/>
  <c r="E845" i="5"/>
  <c r="D845" i="5"/>
  <c r="L844" i="5"/>
  <c r="K844" i="5"/>
  <c r="J844" i="5"/>
  <c r="H844" i="5"/>
  <c r="G844" i="5"/>
  <c r="F844" i="5"/>
  <c r="E844" i="5"/>
  <c r="D844" i="5"/>
  <c r="L843" i="5"/>
  <c r="K843" i="5"/>
  <c r="J843" i="5"/>
  <c r="H843" i="5"/>
  <c r="G843" i="5"/>
  <c r="F843" i="5"/>
  <c r="E843" i="5"/>
  <c r="D843" i="5"/>
  <c r="L842" i="5"/>
  <c r="K842" i="5"/>
  <c r="J842" i="5"/>
  <c r="H842" i="5"/>
  <c r="G842" i="5"/>
  <c r="F842" i="5"/>
  <c r="E842" i="5"/>
  <c r="D842" i="5"/>
  <c r="L841" i="5"/>
  <c r="K841" i="5"/>
  <c r="J841" i="5"/>
  <c r="H841" i="5"/>
  <c r="G841" i="5"/>
  <c r="F841" i="5"/>
  <c r="E841" i="5"/>
  <c r="D841" i="5"/>
  <c r="L840" i="5"/>
  <c r="K840" i="5"/>
  <c r="J840" i="5"/>
  <c r="H840" i="5"/>
  <c r="G840" i="5"/>
  <c r="F840" i="5"/>
  <c r="E840" i="5"/>
  <c r="D840" i="5"/>
  <c r="L839" i="5"/>
  <c r="K839" i="5"/>
  <c r="J839" i="5"/>
  <c r="H839" i="5"/>
  <c r="G839" i="5"/>
  <c r="F839" i="5"/>
  <c r="E839" i="5"/>
  <c r="D839" i="5"/>
  <c r="L838" i="5"/>
  <c r="K838" i="5"/>
  <c r="J838" i="5"/>
  <c r="H838" i="5"/>
  <c r="G838" i="5"/>
  <c r="F838" i="5"/>
  <c r="E838" i="5"/>
  <c r="D838" i="5"/>
  <c r="L837" i="5"/>
  <c r="K837" i="5"/>
  <c r="J837" i="5"/>
  <c r="H837" i="5"/>
  <c r="G837" i="5"/>
  <c r="F837" i="5"/>
  <c r="E837" i="5"/>
  <c r="D837" i="5"/>
  <c r="L836" i="5"/>
  <c r="K836" i="5"/>
  <c r="J836" i="5"/>
  <c r="H836" i="5"/>
  <c r="G836" i="5"/>
  <c r="F836" i="5"/>
  <c r="E836" i="5"/>
  <c r="D836" i="5"/>
  <c r="L835" i="5"/>
  <c r="K835" i="5"/>
  <c r="J835" i="5"/>
  <c r="H835" i="5"/>
  <c r="G835" i="5"/>
  <c r="F835" i="5"/>
  <c r="E835" i="5"/>
  <c r="D835" i="5"/>
  <c r="L834" i="5"/>
  <c r="K834" i="5"/>
  <c r="J834" i="5"/>
  <c r="H834" i="5"/>
  <c r="G834" i="5"/>
  <c r="F834" i="5"/>
  <c r="E834" i="5"/>
  <c r="D834" i="5"/>
  <c r="L833" i="5"/>
  <c r="K833" i="5"/>
  <c r="J833" i="5"/>
  <c r="H833" i="5"/>
  <c r="G833" i="5"/>
  <c r="F833" i="5"/>
  <c r="E833" i="5"/>
  <c r="D833" i="5"/>
  <c r="L832" i="5"/>
  <c r="K832" i="5"/>
  <c r="J832" i="5"/>
  <c r="H832" i="5"/>
  <c r="G832" i="5"/>
  <c r="F832" i="5"/>
  <c r="E832" i="5"/>
  <c r="D832" i="5"/>
  <c r="L831" i="5"/>
  <c r="K831" i="5"/>
  <c r="J831" i="5"/>
  <c r="H831" i="5"/>
  <c r="G831" i="5"/>
  <c r="F831" i="5"/>
  <c r="E831" i="5"/>
  <c r="D831" i="5"/>
  <c r="L830" i="5"/>
  <c r="K830" i="5"/>
  <c r="J830" i="5"/>
  <c r="H830" i="5"/>
  <c r="G830" i="5"/>
  <c r="F830" i="5"/>
  <c r="E830" i="5"/>
  <c r="D830" i="5"/>
  <c r="L829" i="5"/>
  <c r="K829" i="5"/>
  <c r="J829" i="5"/>
  <c r="H829" i="5"/>
  <c r="G829" i="5"/>
  <c r="F829" i="5"/>
  <c r="E829" i="5"/>
  <c r="D829" i="5"/>
  <c r="L828" i="5"/>
  <c r="K828" i="5"/>
  <c r="J828" i="5"/>
  <c r="H828" i="5"/>
  <c r="G828" i="5"/>
  <c r="F828" i="5"/>
  <c r="E828" i="5"/>
  <c r="D828" i="5"/>
  <c r="L827" i="5"/>
  <c r="K827" i="5"/>
  <c r="J827" i="5"/>
  <c r="H827" i="5"/>
  <c r="G827" i="5"/>
  <c r="F827" i="5"/>
  <c r="E827" i="5"/>
  <c r="D827" i="5"/>
  <c r="L826" i="5"/>
  <c r="K826" i="5"/>
  <c r="J826" i="5"/>
  <c r="H826" i="5"/>
  <c r="G826" i="5"/>
  <c r="F826" i="5"/>
  <c r="E826" i="5"/>
  <c r="D826" i="5"/>
  <c r="L825" i="5"/>
  <c r="K825" i="5"/>
  <c r="J825" i="5"/>
  <c r="H825" i="5"/>
  <c r="G825" i="5"/>
  <c r="F825" i="5"/>
  <c r="E825" i="5"/>
  <c r="D825" i="5"/>
  <c r="L824" i="5"/>
  <c r="K824" i="5"/>
  <c r="J824" i="5"/>
  <c r="H824" i="5"/>
  <c r="G824" i="5"/>
  <c r="F824" i="5"/>
  <c r="E824" i="5"/>
  <c r="D824" i="5"/>
  <c r="L823" i="5"/>
  <c r="K823" i="5"/>
  <c r="J823" i="5"/>
  <c r="H823" i="5"/>
  <c r="G823" i="5"/>
  <c r="F823" i="5"/>
  <c r="E823" i="5"/>
  <c r="D823" i="5"/>
  <c r="L822" i="5"/>
  <c r="K822" i="5"/>
  <c r="J822" i="5"/>
  <c r="H822" i="5"/>
  <c r="G822" i="5"/>
  <c r="F822" i="5"/>
  <c r="E822" i="5"/>
  <c r="D822" i="5"/>
  <c r="L821" i="5"/>
  <c r="K821" i="5"/>
  <c r="J821" i="5"/>
  <c r="H821" i="5"/>
  <c r="G821" i="5"/>
  <c r="F821" i="5"/>
  <c r="E821" i="5"/>
  <c r="D821" i="5"/>
  <c r="L820" i="5"/>
  <c r="K820" i="5"/>
  <c r="J820" i="5"/>
  <c r="H820" i="5"/>
  <c r="G820" i="5"/>
  <c r="F820" i="5"/>
  <c r="E820" i="5"/>
  <c r="D820" i="5"/>
  <c r="L819" i="5"/>
  <c r="K819" i="5"/>
  <c r="J819" i="5"/>
  <c r="H819" i="5"/>
  <c r="G819" i="5"/>
  <c r="F819" i="5"/>
  <c r="E819" i="5"/>
  <c r="D819" i="5"/>
  <c r="L818" i="5"/>
  <c r="K818" i="5"/>
  <c r="J818" i="5"/>
  <c r="H818" i="5"/>
  <c r="G818" i="5"/>
  <c r="F818" i="5"/>
  <c r="E818" i="5"/>
  <c r="D818" i="5"/>
  <c r="L817" i="5"/>
  <c r="K817" i="5"/>
  <c r="J817" i="5"/>
  <c r="H817" i="5"/>
  <c r="G817" i="5"/>
  <c r="F817" i="5"/>
  <c r="E817" i="5"/>
  <c r="D817" i="5"/>
  <c r="L816" i="5"/>
  <c r="K816" i="5"/>
  <c r="J816" i="5"/>
  <c r="H816" i="5"/>
  <c r="G816" i="5"/>
  <c r="F816" i="5"/>
  <c r="E816" i="5"/>
  <c r="D816" i="5"/>
  <c r="L815" i="5"/>
  <c r="K815" i="5"/>
  <c r="J815" i="5"/>
  <c r="H815" i="5"/>
  <c r="G815" i="5"/>
  <c r="F815" i="5"/>
  <c r="E815" i="5"/>
  <c r="D815" i="5"/>
  <c r="L814" i="5"/>
  <c r="K814" i="5"/>
  <c r="J814" i="5"/>
  <c r="H814" i="5"/>
  <c r="G814" i="5"/>
  <c r="F814" i="5"/>
  <c r="E814" i="5"/>
  <c r="D814" i="5"/>
  <c r="L813" i="5"/>
  <c r="K813" i="5"/>
  <c r="J813" i="5"/>
  <c r="H813" i="5"/>
  <c r="G813" i="5"/>
  <c r="F813" i="5"/>
  <c r="E813" i="5"/>
  <c r="D813" i="5"/>
  <c r="L812" i="5"/>
  <c r="K812" i="5"/>
  <c r="J812" i="5"/>
  <c r="H812" i="5"/>
  <c r="G812" i="5"/>
  <c r="F812" i="5"/>
  <c r="E812" i="5"/>
  <c r="D812" i="5"/>
  <c r="L811" i="5"/>
  <c r="K811" i="5"/>
  <c r="J811" i="5"/>
  <c r="H811" i="5"/>
  <c r="G811" i="5"/>
  <c r="F811" i="5"/>
  <c r="E811" i="5"/>
  <c r="D811" i="5"/>
  <c r="L810" i="5"/>
  <c r="K810" i="5"/>
  <c r="J810" i="5"/>
  <c r="H810" i="5"/>
  <c r="G810" i="5"/>
  <c r="F810" i="5"/>
  <c r="E810" i="5"/>
  <c r="D810" i="5"/>
  <c r="L809" i="5"/>
  <c r="K809" i="5"/>
  <c r="J809" i="5"/>
  <c r="H809" i="5"/>
  <c r="G809" i="5"/>
  <c r="F809" i="5"/>
  <c r="E809" i="5"/>
  <c r="D809" i="5"/>
  <c r="L808" i="5"/>
  <c r="K808" i="5"/>
  <c r="J808" i="5"/>
  <c r="H808" i="5"/>
  <c r="G808" i="5"/>
  <c r="F808" i="5"/>
  <c r="E808" i="5"/>
  <c r="D808" i="5"/>
  <c r="L807" i="5"/>
  <c r="K807" i="5"/>
  <c r="J807" i="5"/>
  <c r="H807" i="5"/>
  <c r="G807" i="5"/>
  <c r="F807" i="5"/>
  <c r="E807" i="5"/>
  <c r="D807" i="5"/>
  <c r="L806" i="5"/>
  <c r="K806" i="5"/>
  <c r="J806" i="5"/>
  <c r="H806" i="5"/>
  <c r="G806" i="5"/>
  <c r="F806" i="5"/>
  <c r="E806" i="5"/>
  <c r="D806" i="5"/>
  <c r="L805" i="5"/>
  <c r="K805" i="5"/>
  <c r="J805" i="5"/>
  <c r="H805" i="5"/>
  <c r="G805" i="5"/>
  <c r="F805" i="5"/>
  <c r="E805" i="5"/>
  <c r="D805" i="5"/>
  <c r="L804" i="5"/>
  <c r="K804" i="5"/>
  <c r="J804" i="5"/>
  <c r="H804" i="5"/>
  <c r="G804" i="5"/>
  <c r="F804" i="5"/>
  <c r="E804" i="5"/>
  <c r="D804" i="5"/>
  <c r="L803" i="5"/>
  <c r="K803" i="5"/>
  <c r="J803" i="5"/>
  <c r="H803" i="5"/>
  <c r="G803" i="5"/>
  <c r="F803" i="5"/>
  <c r="E803" i="5"/>
  <c r="D803" i="5"/>
  <c r="L802" i="5"/>
  <c r="K802" i="5"/>
  <c r="J802" i="5"/>
  <c r="H802" i="5"/>
  <c r="G802" i="5"/>
  <c r="F802" i="5"/>
  <c r="E802" i="5"/>
  <c r="D802" i="5"/>
  <c r="L801" i="5"/>
  <c r="K801" i="5"/>
  <c r="J801" i="5"/>
  <c r="H801" i="5"/>
  <c r="G801" i="5"/>
  <c r="F801" i="5"/>
  <c r="E801" i="5"/>
  <c r="D801" i="5"/>
  <c r="L800" i="5"/>
  <c r="K800" i="5"/>
  <c r="J800" i="5"/>
  <c r="H800" i="5"/>
  <c r="G800" i="5"/>
  <c r="F800" i="5"/>
  <c r="E800" i="5"/>
  <c r="D800" i="5"/>
  <c r="L799" i="5"/>
  <c r="K799" i="5"/>
  <c r="J799" i="5"/>
  <c r="H799" i="5"/>
  <c r="G799" i="5"/>
  <c r="F799" i="5"/>
  <c r="E799" i="5"/>
  <c r="D799" i="5"/>
  <c r="L798" i="5"/>
  <c r="K798" i="5"/>
  <c r="J798" i="5"/>
  <c r="H798" i="5"/>
  <c r="G798" i="5"/>
  <c r="F798" i="5"/>
  <c r="E798" i="5"/>
  <c r="D798" i="5"/>
  <c r="L797" i="5"/>
  <c r="K797" i="5"/>
  <c r="J797" i="5"/>
  <c r="H797" i="5"/>
  <c r="G797" i="5"/>
  <c r="F797" i="5"/>
  <c r="E797" i="5"/>
  <c r="D797" i="5"/>
  <c r="L796" i="5"/>
  <c r="K796" i="5"/>
  <c r="J796" i="5"/>
  <c r="H796" i="5"/>
  <c r="G796" i="5"/>
  <c r="F796" i="5"/>
  <c r="E796" i="5"/>
  <c r="D796" i="5"/>
  <c r="L795" i="5"/>
  <c r="K795" i="5"/>
  <c r="J795" i="5"/>
  <c r="H795" i="5"/>
  <c r="G795" i="5"/>
  <c r="F795" i="5"/>
  <c r="E795" i="5"/>
  <c r="D795" i="5"/>
  <c r="L794" i="5"/>
  <c r="K794" i="5"/>
  <c r="J794" i="5"/>
  <c r="H794" i="5"/>
  <c r="G794" i="5"/>
  <c r="F794" i="5"/>
  <c r="E794" i="5"/>
  <c r="D794" i="5"/>
  <c r="L793" i="5"/>
  <c r="K793" i="5"/>
  <c r="J793" i="5"/>
  <c r="H793" i="5"/>
  <c r="G793" i="5"/>
  <c r="F793" i="5"/>
  <c r="E793" i="5"/>
  <c r="D793" i="5"/>
  <c r="L792" i="5"/>
  <c r="K792" i="5"/>
  <c r="J792" i="5"/>
  <c r="H792" i="5"/>
  <c r="G792" i="5"/>
  <c r="F792" i="5"/>
  <c r="E792" i="5"/>
  <c r="D792" i="5"/>
  <c r="L791" i="5"/>
  <c r="K791" i="5"/>
  <c r="J791" i="5"/>
  <c r="H791" i="5"/>
  <c r="G791" i="5"/>
  <c r="F791" i="5"/>
  <c r="E791" i="5"/>
  <c r="D791" i="5"/>
  <c r="L790" i="5"/>
  <c r="K790" i="5"/>
  <c r="J790" i="5"/>
  <c r="H790" i="5"/>
  <c r="G790" i="5"/>
  <c r="F790" i="5"/>
  <c r="E790" i="5"/>
  <c r="D790" i="5"/>
  <c r="L789" i="5"/>
  <c r="K789" i="5"/>
  <c r="J789" i="5"/>
  <c r="H789" i="5"/>
  <c r="G789" i="5"/>
  <c r="F789" i="5"/>
  <c r="E789" i="5"/>
  <c r="D789" i="5"/>
  <c r="L788" i="5"/>
  <c r="K788" i="5"/>
  <c r="J788" i="5"/>
  <c r="H788" i="5"/>
  <c r="G788" i="5"/>
  <c r="F788" i="5"/>
  <c r="E788" i="5"/>
  <c r="D788" i="5"/>
  <c r="L787" i="5"/>
  <c r="K787" i="5"/>
  <c r="J787" i="5"/>
  <c r="H787" i="5"/>
  <c r="G787" i="5"/>
  <c r="F787" i="5"/>
  <c r="E787" i="5"/>
  <c r="D787" i="5"/>
  <c r="L786" i="5"/>
  <c r="K786" i="5"/>
  <c r="J786" i="5"/>
  <c r="H786" i="5"/>
  <c r="G786" i="5"/>
  <c r="F786" i="5"/>
  <c r="E786" i="5"/>
  <c r="D786" i="5"/>
  <c r="L785" i="5"/>
  <c r="K785" i="5"/>
  <c r="J785" i="5"/>
  <c r="H785" i="5"/>
  <c r="G785" i="5"/>
  <c r="F785" i="5"/>
  <c r="E785" i="5"/>
  <c r="D785" i="5"/>
  <c r="L784" i="5"/>
  <c r="K784" i="5"/>
  <c r="J784" i="5"/>
  <c r="H784" i="5"/>
  <c r="G784" i="5"/>
  <c r="F784" i="5"/>
  <c r="E784" i="5"/>
  <c r="D784" i="5"/>
  <c r="L783" i="5"/>
  <c r="K783" i="5"/>
  <c r="J783" i="5"/>
  <c r="H783" i="5"/>
  <c r="G783" i="5"/>
  <c r="F783" i="5"/>
  <c r="E783" i="5"/>
  <c r="D783" i="5"/>
  <c r="L782" i="5"/>
  <c r="K782" i="5"/>
  <c r="J782" i="5"/>
  <c r="H782" i="5"/>
  <c r="G782" i="5"/>
  <c r="F782" i="5"/>
  <c r="E782" i="5"/>
  <c r="D782" i="5"/>
  <c r="L781" i="5"/>
  <c r="K781" i="5"/>
  <c r="J781" i="5"/>
  <c r="H781" i="5"/>
  <c r="G781" i="5"/>
  <c r="F781" i="5"/>
  <c r="E781" i="5"/>
  <c r="D781" i="5"/>
  <c r="L780" i="5"/>
  <c r="K780" i="5"/>
  <c r="J780" i="5"/>
  <c r="H780" i="5"/>
  <c r="G780" i="5"/>
  <c r="F780" i="5"/>
  <c r="E780" i="5"/>
  <c r="D780" i="5"/>
  <c r="L779" i="5"/>
  <c r="K779" i="5"/>
  <c r="J779" i="5"/>
  <c r="H779" i="5"/>
  <c r="G779" i="5"/>
  <c r="F779" i="5"/>
  <c r="E779" i="5"/>
  <c r="D779" i="5"/>
  <c r="L778" i="5"/>
  <c r="K778" i="5"/>
  <c r="J778" i="5"/>
  <c r="H778" i="5"/>
  <c r="G778" i="5"/>
  <c r="F778" i="5"/>
  <c r="E778" i="5"/>
  <c r="D778" i="5"/>
  <c r="L777" i="5"/>
  <c r="K777" i="5"/>
  <c r="J777" i="5"/>
  <c r="H777" i="5"/>
  <c r="G777" i="5"/>
  <c r="F777" i="5"/>
  <c r="E777" i="5"/>
  <c r="D777" i="5"/>
  <c r="L776" i="5"/>
  <c r="K776" i="5"/>
  <c r="J776" i="5"/>
  <c r="H776" i="5"/>
  <c r="G776" i="5"/>
  <c r="F776" i="5"/>
  <c r="E776" i="5"/>
  <c r="D776" i="5"/>
  <c r="L775" i="5"/>
  <c r="K775" i="5"/>
  <c r="J775" i="5"/>
  <c r="H775" i="5"/>
  <c r="G775" i="5"/>
  <c r="F775" i="5"/>
  <c r="E775" i="5"/>
  <c r="D775" i="5"/>
  <c r="L774" i="5"/>
  <c r="K774" i="5"/>
  <c r="J774" i="5"/>
  <c r="H774" i="5"/>
  <c r="G774" i="5"/>
  <c r="F774" i="5"/>
  <c r="E774" i="5"/>
  <c r="D774" i="5"/>
  <c r="L773" i="5"/>
  <c r="K773" i="5"/>
  <c r="J773" i="5"/>
  <c r="H773" i="5"/>
  <c r="G773" i="5"/>
  <c r="F773" i="5"/>
  <c r="E773" i="5"/>
  <c r="D773" i="5"/>
  <c r="L772" i="5"/>
  <c r="K772" i="5"/>
  <c r="J772" i="5"/>
  <c r="H772" i="5"/>
  <c r="G772" i="5"/>
  <c r="F772" i="5"/>
  <c r="E772" i="5"/>
  <c r="D772" i="5"/>
  <c r="L771" i="5"/>
  <c r="K771" i="5"/>
  <c r="J771" i="5"/>
  <c r="H771" i="5"/>
  <c r="G771" i="5"/>
  <c r="F771" i="5"/>
  <c r="E771" i="5"/>
  <c r="D771" i="5"/>
  <c r="L770" i="5"/>
  <c r="K770" i="5"/>
  <c r="J770" i="5"/>
  <c r="H770" i="5"/>
  <c r="G770" i="5"/>
  <c r="F770" i="5"/>
  <c r="E770" i="5"/>
  <c r="D770" i="5"/>
  <c r="L769" i="5"/>
  <c r="K769" i="5"/>
  <c r="J769" i="5"/>
  <c r="H769" i="5"/>
  <c r="G769" i="5"/>
  <c r="F769" i="5"/>
  <c r="E769" i="5"/>
  <c r="D769" i="5"/>
  <c r="L768" i="5"/>
  <c r="K768" i="5"/>
  <c r="J768" i="5"/>
  <c r="H768" i="5"/>
  <c r="G768" i="5"/>
  <c r="F768" i="5"/>
  <c r="E768" i="5"/>
  <c r="D768" i="5"/>
  <c r="L767" i="5"/>
  <c r="K767" i="5"/>
  <c r="J767" i="5"/>
  <c r="H767" i="5"/>
  <c r="G767" i="5"/>
  <c r="F767" i="5"/>
  <c r="E767" i="5"/>
  <c r="D767" i="5"/>
  <c r="L766" i="5"/>
  <c r="K766" i="5"/>
  <c r="J766" i="5"/>
  <c r="H766" i="5"/>
  <c r="G766" i="5"/>
  <c r="F766" i="5"/>
  <c r="E766" i="5"/>
  <c r="D766" i="5"/>
  <c r="L765" i="5"/>
  <c r="K765" i="5"/>
  <c r="J765" i="5"/>
  <c r="H765" i="5"/>
  <c r="G765" i="5"/>
  <c r="F765" i="5"/>
  <c r="E765" i="5"/>
  <c r="D765" i="5"/>
  <c r="L764" i="5"/>
  <c r="K764" i="5"/>
  <c r="J764" i="5"/>
  <c r="H764" i="5"/>
  <c r="G764" i="5"/>
  <c r="F764" i="5"/>
  <c r="E764" i="5"/>
  <c r="D764" i="5"/>
  <c r="L763" i="5"/>
  <c r="K763" i="5"/>
  <c r="J763" i="5"/>
  <c r="H763" i="5"/>
  <c r="G763" i="5"/>
  <c r="F763" i="5"/>
  <c r="E763" i="5"/>
  <c r="D763" i="5"/>
  <c r="L762" i="5"/>
  <c r="K762" i="5"/>
  <c r="J762" i="5"/>
  <c r="H762" i="5"/>
  <c r="G762" i="5"/>
  <c r="F762" i="5"/>
  <c r="E762" i="5"/>
  <c r="D762" i="5"/>
  <c r="L761" i="5"/>
  <c r="K761" i="5"/>
  <c r="J761" i="5"/>
  <c r="H761" i="5"/>
  <c r="G761" i="5"/>
  <c r="F761" i="5"/>
  <c r="E761" i="5"/>
  <c r="D761" i="5"/>
  <c r="L760" i="5"/>
  <c r="K760" i="5"/>
  <c r="J760" i="5"/>
  <c r="H760" i="5"/>
  <c r="G760" i="5"/>
  <c r="F760" i="5"/>
  <c r="E760" i="5"/>
  <c r="D760" i="5"/>
  <c r="L759" i="5"/>
  <c r="K759" i="5"/>
  <c r="J759" i="5"/>
  <c r="H759" i="5"/>
  <c r="G759" i="5"/>
  <c r="F759" i="5"/>
  <c r="E759" i="5"/>
  <c r="D759" i="5"/>
  <c r="L758" i="5"/>
  <c r="K758" i="5"/>
  <c r="J758" i="5"/>
  <c r="H758" i="5"/>
  <c r="G758" i="5"/>
  <c r="F758" i="5"/>
  <c r="E758" i="5"/>
  <c r="D758" i="5"/>
  <c r="L757" i="5"/>
  <c r="K757" i="5"/>
  <c r="J757" i="5"/>
  <c r="H757" i="5"/>
  <c r="G757" i="5"/>
  <c r="F757" i="5"/>
  <c r="E757" i="5"/>
  <c r="D757" i="5"/>
  <c r="L756" i="5"/>
  <c r="K756" i="5"/>
  <c r="J756" i="5"/>
  <c r="H756" i="5"/>
  <c r="G756" i="5"/>
  <c r="F756" i="5"/>
  <c r="E756" i="5"/>
  <c r="D756" i="5"/>
  <c r="L755" i="5"/>
  <c r="K755" i="5"/>
  <c r="J755" i="5"/>
  <c r="H755" i="5"/>
  <c r="G755" i="5"/>
  <c r="F755" i="5"/>
  <c r="E755" i="5"/>
  <c r="D755" i="5"/>
  <c r="L754" i="5"/>
  <c r="K754" i="5"/>
  <c r="J754" i="5"/>
  <c r="H754" i="5"/>
  <c r="G754" i="5"/>
  <c r="F754" i="5"/>
  <c r="E754" i="5"/>
  <c r="D754" i="5"/>
  <c r="L753" i="5"/>
  <c r="K753" i="5"/>
  <c r="J753" i="5"/>
  <c r="H753" i="5"/>
  <c r="G753" i="5"/>
  <c r="F753" i="5"/>
  <c r="E753" i="5"/>
  <c r="D753" i="5"/>
  <c r="L752" i="5"/>
  <c r="K752" i="5"/>
  <c r="J752" i="5"/>
  <c r="H752" i="5"/>
  <c r="G752" i="5"/>
  <c r="F752" i="5"/>
  <c r="E752" i="5"/>
  <c r="D752" i="5"/>
  <c r="L751" i="5"/>
  <c r="K751" i="5"/>
  <c r="J751" i="5"/>
  <c r="H751" i="5"/>
  <c r="G751" i="5"/>
  <c r="F751" i="5"/>
  <c r="E751" i="5"/>
  <c r="D751" i="5"/>
  <c r="L750" i="5"/>
  <c r="K750" i="5"/>
  <c r="J750" i="5"/>
  <c r="H750" i="5"/>
  <c r="G750" i="5"/>
  <c r="F750" i="5"/>
  <c r="E750" i="5"/>
  <c r="D750" i="5"/>
  <c r="L749" i="5"/>
  <c r="K749" i="5"/>
  <c r="J749" i="5"/>
  <c r="H749" i="5"/>
  <c r="G749" i="5"/>
  <c r="F749" i="5"/>
  <c r="E749" i="5"/>
  <c r="D749" i="5"/>
  <c r="L748" i="5"/>
  <c r="K748" i="5"/>
  <c r="J748" i="5"/>
  <c r="H748" i="5"/>
  <c r="G748" i="5"/>
  <c r="F748" i="5"/>
  <c r="E748" i="5"/>
  <c r="D748" i="5"/>
  <c r="L747" i="5"/>
  <c r="K747" i="5"/>
  <c r="J747" i="5"/>
  <c r="H747" i="5"/>
  <c r="G747" i="5"/>
  <c r="F747" i="5"/>
  <c r="E747" i="5"/>
  <c r="D747" i="5"/>
  <c r="L746" i="5"/>
  <c r="K746" i="5"/>
  <c r="J746" i="5"/>
  <c r="H746" i="5"/>
  <c r="G746" i="5"/>
  <c r="F746" i="5"/>
  <c r="E746" i="5"/>
  <c r="D746" i="5"/>
  <c r="L745" i="5"/>
  <c r="K745" i="5"/>
  <c r="J745" i="5"/>
  <c r="H745" i="5"/>
  <c r="G745" i="5"/>
  <c r="F745" i="5"/>
  <c r="E745" i="5"/>
  <c r="D745" i="5"/>
  <c r="L744" i="5"/>
  <c r="K744" i="5"/>
  <c r="J744" i="5"/>
  <c r="H744" i="5"/>
  <c r="G744" i="5"/>
  <c r="F744" i="5"/>
  <c r="E744" i="5"/>
  <c r="D744" i="5"/>
  <c r="L743" i="5"/>
  <c r="K743" i="5"/>
  <c r="J743" i="5"/>
  <c r="H743" i="5"/>
  <c r="G743" i="5"/>
  <c r="F743" i="5"/>
  <c r="E743" i="5"/>
  <c r="D743" i="5"/>
  <c r="L742" i="5"/>
  <c r="K742" i="5"/>
  <c r="J742" i="5"/>
  <c r="H742" i="5"/>
  <c r="G742" i="5"/>
  <c r="F742" i="5"/>
  <c r="E742" i="5"/>
  <c r="D742" i="5"/>
  <c r="L741" i="5"/>
  <c r="K741" i="5"/>
  <c r="J741" i="5"/>
  <c r="H741" i="5"/>
  <c r="G741" i="5"/>
  <c r="F741" i="5"/>
  <c r="E741" i="5"/>
  <c r="D741" i="5"/>
  <c r="L740" i="5"/>
  <c r="K740" i="5"/>
  <c r="J740" i="5"/>
  <c r="H740" i="5"/>
  <c r="G740" i="5"/>
  <c r="F740" i="5"/>
  <c r="E740" i="5"/>
  <c r="D740" i="5"/>
  <c r="L739" i="5"/>
  <c r="K739" i="5"/>
  <c r="J739" i="5"/>
  <c r="H739" i="5"/>
  <c r="G739" i="5"/>
  <c r="F739" i="5"/>
  <c r="E739" i="5"/>
  <c r="D739" i="5"/>
  <c r="L738" i="5"/>
  <c r="K738" i="5"/>
  <c r="J738" i="5"/>
  <c r="H738" i="5"/>
  <c r="G738" i="5"/>
  <c r="F738" i="5"/>
  <c r="E738" i="5"/>
  <c r="D738" i="5"/>
  <c r="L737" i="5"/>
  <c r="K737" i="5"/>
  <c r="J737" i="5"/>
  <c r="H737" i="5"/>
  <c r="G737" i="5"/>
  <c r="F737" i="5"/>
  <c r="E737" i="5"/>
  <c r="D737" i="5"/>
  <c r="L736" i="5"/>
  <c r="K736" i="5"/>
  <c r="J736" i="5"/>
  <c r="H736" i="5"/>
  <c r="G736" i="5"/>
  <c r="F736" i="5"/>
  <c r="E736" i="5"/>
  <c r="D736" i="5"/>
  <c r="L735" i="5"/>
  <c r="K735" i="5"/>
  <c r="J735" i="5"/>
  <c r="H735" i="5"/>
  <c r="G735" i="5"/>
  <c r="F735" i="5"/>
  <c r="E735" i="5"/>
  <c r="D735" i="5"/>
  <c r="L734" i="5"/>
  <c r="K734" i="5"/>
  <c r="J734" i="5"/>
  <c r="H734" i="5"/>
  <c r="G734" i="5"/>
  <c r="F734" i="5"/>
  <c r="E734" i="5"/>
  <c r="D734" i="5"/>
  <c r="L733" i="5"/>
  <c r="K733" i="5"/>
  <c r="J733" i="5"/>
  <c r="H733" i="5"/>
  <c r="G733" i="5"/>
  <c r="F733" i="5"/>
  <c r="E733" i="5"/>
  <c r="D733" i="5"/>
  <c r="L732" i="5"/>
  <c r="K732" i="5"/>
  <c r="J732" i="5"/>
  <c r="H732" i="5"/>
  <c r="G732" i="5"/>
  <c r="F732" i="5"/>
  <c r="E732" i="5"/>
  <c r="D732" i="5"/>
  <c r="L731" i="5"/>
  <c r="K731" i="5"/>
  <c r="J731" i="5"/>
  <c r="H731" i="5"/>
  <c r="G731" i="5"/>
  <c r="F731" i="5"/>
  <c r="E731" i="5"/>
  <c r="D731" i="5"/>
  <c r="L730" i="5"/>
  <c r="K730" i="5"/>
  <c r="J730" i="5"/>
  <c r="H730" i="5"/>
  <c r="G730" i="5"/>
  <c r="F730" i="5"/>
  <c r="E730" i="5"/>
  <c r="D730" i="5"/>
  <c r="L729" i="5"/>
  <c r="K729" i="5"/>
  <c r="J729" i="5"/>
  <c r="H729" i="5"/>
  <c r="G729" i="5"/>
  <c r="F729" i="5"/>
  <c r="E729" i="5"/>
  <c r="D729" i="5"/>
  <c r="L728" i="5"/>
  <c r="K728" i="5"/>
  <c r="J728" i="5"/>
  <c r="H728" i="5"/>
  <c r="G728" i="5"/>
  <c r="F728" i="5"/>
  <c r="E728" i="5"/>
  <c r="D728" i="5"/>
  <c r="L727" i="5"/>
  <c r="K727" i="5"/>
  <c r="J727" i="5"/>
  <c r="H727" i="5"/>
  <c r="G727" i="5"/>
  <c r="F727" i="5"/>
  <c r="E727" i="5"/>
  <c r="D727" i="5"/>
  <c r="L726" i="5"/>
  <c r="K726" i="5"/>
  <c r="J726" i="5"/>
  <c r="H726" i="5"/>
  <c r="G726" i="5"/>
  <c r="F726" i="5"/>
  <c r="E726" i="5"/>
  <c r="D726" i="5"/>
  <c r="L725" i="5"/>
  <c r="K725" i="5"/>
  <c r="J725" i="5"/>
  <c r="H725" i="5"/>
  <c r="G725" i="5"/>
  <c r="F725" i="5"/>
  <c r="E725" i="5"/>
  <c r="D725" i="5"/>
  <c r="L724" i="5"/>
  <c r="K724" i="5"/>
  <c r="J724" i="5"/>
  <c r="H724" i="5"/>
  <c r="G724" i="5"/>
  <c r="F724" i="5"/>
  <c r="E724" i="5"/>
  <c r="D724" i="5"/>
  <c r="L723" i="5"/>
  <c r="K723" i="5"/>
  <c r="J723" i="5"/>
  <c r="H723" i="5"/>
  <c r="G723" i="5"/>
  <c r="F723" i="5"/>
  <c r="E723" i="5"/>
  <c r="D723" i="5"/>
  <c r="L722" i="5"/>
  <c r="K722" i="5"/>
  <c r="J722" i="5"/>
  <c r="H722" i="5"/>
  <c r="G722" i="5"/>
  <c r="F722" i="5"/>
  <c r="E722" i="5"/>
  <c r="D722" i="5"/>
  <c r="L721" i="5"/>
  <c r="K721" i="5"/>
  <c r="J721" i="5"/>
  <c r="H721" i="5"/>
  <c r="G721" i="5"/>
  <c r="F721" i="5"/>
  <c r="E721" i="5"/>
  <c r="D721" i="5"/>
  <c r="L720" i="5"/>
  <c r="K720" i="5"/>
  <c r="J720" i="5"/>
  <c r="H720" i="5"/>
  <c r="G720" i="5"/>
  <c r="F720" i="5"/>
  <c r="E720" i="5"/>
  <c r="D720" i="5"/>
  <c r="L719" i="5"/>
  <c r="K719" i="5"/>
  <c r="J719" i="5"/>
  <c r="H719" i="5"/>
  <c r="G719" i="5"/>
  <c r="F719" i="5"/>
  <c r="E719" i="5"/>
  <c r="D719" i="5"/>
  <c r="L718" i="5"/>
  <c r="K718" i="5"/>
  <c r="J718" i="5"/>
  <c r="H718" i="5"/>
  <c r="G718" i="5"/>
  <c r="F718" i="5"/>
  <c r="E718" i="5"/>
  <c r="D718" i="5"/>
  <c r="L717" i="5"/>
  <c r="K717" i="5"/>
  <c r="J717" i="5"/>
  <c r="H717" i="5"/>
  <c r="G717" i="5"/>
  <c r="F717" i="5"/>
  <c r="E717" i="5"/>
  <c r="D717" i="5"/>
  <c r="L716" i="5"/>
  <c r="K716" i="5"/>
  <c r="J716" i="5"/>
  <c r="H716" i="5"/>
  <c r="G716" i="5"/>
  <c r="F716" i="5"/>
  <c r="E716" i="5"/>
  <c r="D716" i="5"/>
  <c r="L715" i="5"/>
  <c r="K715" i="5"/>
  <c r="J715" i="5"/>
  <c r="H715" i="5"/>
  <c r="G715" i="5"/>
  <c r="F715" i="5"/>
  <c r="E715" i="5"/>
  <c r="D715" i="5"/>
  <c r="L714" i="5"/>
  <c r="K714" i="5"/>
  <c r="J714" i="5"/>
  <c r="H714" i="5"/>
  <c r="G714" i="5"/>
  <c r="F714" i="5"/>
  <c r="E714" i="5"/>
  <c r="D714" i="5"/>
  <c r="L713" i="5"/>
  <c r="K713" i="5"/>
  <c r="J713" i="5"/>
  <c r="H713" i="5"/>
  <c r="G713" i="5"/>
  <c r="F713" i="5"/>
  <c r="E713" i="5"/>
  <c r="D713" i="5"/>
  <c r="L712" i="5"/>
  <c r="K712" i="5"/>
  <c r="J712" i="5"/>
  <c r="H712" i="5"/>
  <c r="G712" i="5"/>
  <c r="F712" i="5"/>
  <c r="E712" i="5"/>
  <c r="D712" i="5"/>
  <c r="L711" i="5"/>
  <c r="K711" i="5"/>
  <c r="J711" i="5"/>
  <c r="H711" i="5"/>
  <c r="G711" i="5"/>
  <c r="F711" i="5"/>
  <c r="E711" i="5"/>
  <c r="D711" i="5"/>
  <c r="L710" i="5"/>
  <c r="K710" i="5"/>
  <c r="J710" i="5"/>
  <c r="H710" i="5"/>
  <c r="G710" i="5"/>
  <c r="F710" i="5"/>
  <c r="E710" i="5"/>
  <c r="D710" i="5"/>
  <c r="L709" i="5"/>
  <c r="K709" i="5"/>
  <c r="J709" i="5"/>
  <c r="H709" i="5"/>
  <c r="G709" i="5"/>
  <c r="F709" i="5"/>
  <c r="E709" i="5"/>
  <c r="D709" i="5"/>
  <c r="L708" i="5"/>
  <c r="K708" i="5"/>
  <c r="J708" i="5"/>
  <c r="H708" i="5"/>
  <c r="G708" i="5"/>
  <c r="F708" i="5"/>
  <c r="E708" i="5"/>
  <c r="D708" i="5"/>
  <c r="L707" i="5"/>
  <c r="K707" i="5"/>
  <c r="J707" i="5"/>
  <c r="H707" i="5"/>
  <c r="G707" i="5"/>
  <c r="F707" i="5"/>
  <c r="E707" i="5"/>
  <c r="D707" i="5"/>
  <c r="L706" i="5"/>
  <c r="K706" i="5"/>
  <c r="J706" i="5"/>
  <c r="H706" i="5"/>
  <c r="G706" i="5"/>
  <c r="F706" i="5"/>
  <c r="E706" i="5"/>
  <c r="D706" i="5"/>
  <c r="L705" i="5"/>
  <c r="K705" i="5"/>
  <c r="J705" i="5"/>
  <c r="H705" i="5"/>
  <c r="G705" i="5"/>
  <c r="F705" i="5"/>
  <c r="E705" i="5"/>
  <c r="D705" i="5"/>
  <c r="L704" i="5"/>
  <c r="K704" i="5"/>
  <c r="J704" i="5"/>
  <c r="H704" i="5"/>
  <c r="G704" i="5"/>
  <c r="F704" i="5"/>
  <c r="E704" i="5"/>
  <c r="D704" i="5"/>
  <c r="L703" i="5"/>
  <c r="K703" i="5"/>
  <c r="J703" i="5"/>
  <c r="H703" i="5"/>
  <c r="G703" i="5"/>
  <c r="F703" i="5"/>
  <c r="E703" i="5"/>
  <c r="D703" i="5"/>
  <c r="L702" i="5"/>
  <c r="K702" i="5"/>
  <c r="J702" i="5"/>
  <c r="H702" i="5"/>
  <c r="G702" i="5"/>
  <c r="F702" i="5"/>
  <c r="E702" i="5"/>
  <c r="D702" i="5"/>
  <c r="L701" i="5"/>
  <c r="K701" i="5"/>
  <c r="J701" i="5"/>
  <c r="H701" i="5"/>
  <c r="G701" i="5"/>
  <c r="F701" i="5"/>
  <c r="E701" i="5"/>
  <c r="D701" i="5"/>
  <c r="L700" i="5"/>
  <c r="K700" i="5"/>
  <c r="J700" i="5"/>
  <c r="H700" i="5"/>
  <c r="G700" i="5"/>
  <c r="F700" i="5"/>
  <c r="E700" i="5"/>
  <c r="D700" i="5"/>
  <c r="L699" i="5"/>
  <c r="K699" i="5"/>
  <c r="J699" i="5"/>
  <c r="H699" i="5"/>
  <c r="G699" i="5"/>
  <c r="F699" i="5"/>
  <c r="E699" i="5"/>
  <c r="D699" i="5"/>
  <c r="L698" i="5"/>
  <c r="K698" i="5"/>
  <c r="J698" i="5"/>
  <c r="H698" i="5"/>
  <c r="G698" i="5"/>
  <c r="F698" i="5"/>
  <c r="E698" i="5"/>
  <c r="D698" i="5"/>
  <c r="L697" i="5"/>
  <c r="K697" i="5"/>
  <c r="J697" i="5"/>
  <c r="H697" i="5"/>
  <c r="G697" i="5"/>
  <c r="F697" i="5"/>
  <c r="E697" i="5"/>
  <c r="D697" i="5"/>
  <c r="L696" i="5"/>
  <c r="K696" i="5"/>
  <c r="J696" i="5"/>
  <c r="H696" i="5"/>
  <c r="G696" i="5"/>
  <c r="F696" i="5"/>
  <c r="E696" i="5"/>
  <c r="D696" i="5"/>
  <c r="L695" i="5"/>
  <c r="K695" i="5"/>
  <c r="J695" i="5"/>
  <c r="H695" i="5"/>
  <c r="G695" i="5"/>
  <c r="F695" i="5"/>
  <c r="E695" i="5"/>
  <c r="D695" i="5"/>
  <c r="L694" i="5"/>
  <c r="K694" i="5"/>
  <c r="J694" i="5"/>
  <c r="H694" i="5"/>
  <c r="G694" i="5"/>
  <c r="F694" i="5"/>
  <c r="E694" i="5"/>
  <c r="D694" i="5"/>
  <c r="L693" i="5"/>
  <c r="K693" i="5"/>
  <c r="J693" i="5"/>
  <c r="H693" i="5"/>
  <c r="G693" i="5"/>
  <c r="F693" i="5"/>
  <c r="E693" i="5"/>
  <c r="D693" i="5"/>
  <c r="L692" i="5"/>
  <c r="K692" i="5"/>
  <c r="J692" i="5"/>
  <c r="H692" i="5"/>
  <c r="G692" i="5"/>
  <c r="F692" i="5"/>
  <c r="E692" i="5"/>
  <c r="D692" i="5"/>
  <c r="L691" i="5"/>
  <c r="K691" i="5"/>
  <c r="J691" i="5"/>
  <c r="H691" i="5"/>
  <c r="G691" i="5"/>
  <c r="F691" i="5"/>
  <c r="E691" i="5"/>
  <c r="D691" i="5"/>
  <c r="L690" i="5"/>
  <c r="K690" i="5"/>
  <c r="J690" i="5"/>
  <c r="H690" i="5"/>
  <c r="G690" i="5"/>
  <c r="F690" i="5"/>
  <c r="E690" i="5"/>
  <c r="D690" i="5"/>
  <c r="L689" i="5"/>
  <c r="K689" i="5"/>
  <c r="J689" i="5"/>
  <c r="H689" i="5"/>
  <c r="G689" i="5"/>
  <c r="F689" i="5"/>
  <c r="E689" i="5"/>
  <c r="D689" i="5"/>
  <c r="L688" i="5"/>
  <c r="K688" i="5"/>
  <c r="J688" i="5"/>
  <c r="H688" i="5"/>
  <c r="G688" i="5"/>
  <c r="F688" i="5"/>
  <c r="E688" i="5"/>
  <c r="D688" i="5"/>
  <c r="L687" i="5"/>
  <c r="K687" i="5"/>
  <c r="J687" i="5"/>
  <c r="H687" i="5"/>
  <c r="G687" i="5"/>
  <c r="F687" i="5"/>
  <c r="E687" i="5"/>
  <c r="D687" i="5"/>
  <c r="L686" i="5"/>
  <c r="K686" i="5"/>
  <c r="J686" i="5"/>
  <c r="H686" i="5"/>
  <c r="G686" i="5"/>
  <c r="F686" i="5"/>
  <c r="E686" i="5"/>
  <c r="D686" i="5"/>
  <c r="L685" i="5"/>
  <c r="K685" i="5"/>
  <c r="J685" i="5"/>
  <c r="H685" i="5"/>
  <c r="G685" i="5"/>
  <c r="F685" i="5"/>
  <c r="E685" i="5"/>
  <c r="D685" i="5"/>
  <c r="L684" i="5"/>
  <c r="K684" i="5"/>
  <c r="J684" i="5"/>
  <c r="H684" i="5"/>
  <c r="G684" i="5"/>
  <c r="F684" i="5"/>
  <c r="E684" i="5"/>
  <c r="D684" i="5"/>
  <c r="L683" i="5"/>
  <c r="K683" i="5"/>
  <c r="J683" i="5"/>
  <c r="H683" i="5"/>
  <c r="G683" i="5"/>
  <c r="F683" i="5"/>
  <c r="E683" i="5"/>
  <c r="D683" i="5"/>
  <c r="L682" i="5"/>
  <c r="K682" i="5"/>
  <c r="J682" i="5"/>
  <c r="H682" i="5"/>
  <c r="G682" i="5"/>
  <c r="F682" i="5"/>
  <c r="E682" i="5"/>
  <c r="D682" i="5"/>
  <c r="L681" i="5"/>
  <c r="K681" i="5"/>
  <c r="J681" i="5"/>
  <c r="H681" i="5"/>
  <c r="G681" i="5"/>
  <c r="F681" i="5"/>
  <c r="E681" i="5"/>
  <c r="D681" i="5"/>
  <c r="L680" i="5"/>
  <c r="K680" i="5"/>
  <c r="J680" i="5"/>
  <c r="H680" i="5"/>
  <c r="G680" i="5"/>
  <c r="F680" i="5"/>
  <c r="E680" i="5"/>
  <c r="D680" i="5"/>
  <c r="L679" i="5"/>
  <c r="K679" i="5"/>
  <c r="J679" i="5"/>
  <c r="H679" i="5"/>
  <c r="G679" i="5"/>
  <c r="F679" i="5"/>
  <c r="E679" i="5"/>
  <c r="D679" i="5"/>
  <c r="L678" i="5"/>
  <c r="K678" i="5"/>
  <c r="J678" i="5"/>
  <c r="H678" i="5"/>
  <c r="G678" i="5"/>
  <c r="F678" i="5"/>
  <c r="E678" i="5"/>
  <c r="D678" i="5"/>
  <c r="L677" i="5"/>
  <c r="K677" i="5"/>
  <c r="J677" i="5"/>
  <c r="H677" i="5"/>
  <c r="G677" i="5"/>
  <c r="F677" i="5"/>
  <c r="E677" i="5"/>
  <c r="D677" i="5"/>
  <c r="L676" i="5"/>
  <c r="K676" i="5"/>
  <c r="J676" i="5"/>
  <c r="H676" i="5"/>
  <c r="G676" i="5"/>
  <c r="F676" i="5"/>
  <c r="E676" i="5"/>
  <c r="D676" i="5"/>
  <c r="L675" i="5"/>
  <c r="K675" i="5"/>
  <c r="J675" i="5"/>
  <c r="H675" i="5"/>
  <c r="G675" i="5"/>
  <c r="F675" i="5"/>
  <c r="E675" i="5"/>
  <c r="D675" i="5"/>
  <c r="L674" i="5"/>
  <c r="K674" i="5"/>
  <c r="J674" i="5"/>
  <c r="H674" i="5"/>
  <c r="G674" i="5"/>
  <c r="F674" i="5"/>
  <c r="E674" i="5"/>
  <c r="D674" i="5"/>
  <c r="L673" i="5"/>
  <c r="K673" i="5"/>
  <c r="J673" i="5"/>
  <c r="H673" i="5"/>
  <c r="G673" i="5"/>
  <c r="F673" i="5"/>
  <c r="E673" i="5"/>
  <c r="D673" i="5"/>
  <c r="L672" i="5"/>
  <c r="K672" i="5"/>
  <c r="J672" i="5"/>
  <c r="H672" i="5"/>
  <c r="G672" i="5"/>
  <c r="F672" i="5"/>
  <c r="E672" i="5"/>
  <c r="D672" i="5"/>
  <c r="L671" i="5"/>
  <c r="K671" i="5"/>
  <c r="J671" i="5"/>
  <c r="H671" i="5"/>
  <c r="G671" i="5"/>
  <c r="F671" i="5"/>
  <c r="E671" i="5"/>
  <c r="D671" i="5"/>
  <c r="L670" i="5"/>
  <c r="K670" i="5"/>
  <c r="J670" i="5"/>
  <c r="H670" i="5"/>
  <c r="G670" i="5"/>
  <c r="F670" i="5"/>
  <c r="E670" i="5"/>
  <c r="D670" i="5"/>
  <c r="L669" i="5"/>
  <c r="K669" i="5"/>
  <c r="J669" i="5"/>
  <c r="H669" i="5"/>
  <c r="G669" i="5"/>
  <c r="F669" i="5"/>
  <c r="E669" i="5"/>
  <c r="D669" i="5"/>
  <c r="L668" i="5"/>
  <c r="K668" i="5"/>
  <c r="J668" i="5"/>
  <c r="H668" i="5"/>
  <c r="G668" i="5"/>
  <c r="F668" i="5"/>
  <c r="E668" i="5"/>
  <c r="D668" i="5"/>
  <c r="L667" i="5"/>
  <c r="K667" i="5"/>
  <c r="J667" i="5"/>
  <c r="H667" i="5"/>
  <c r="G667" i="5"/>
  <c r="F667" i="5"/>
  <c r="E667" i="5"/>
  <c r="D667" i="5"/>
  <c r="L666" i="5"/>
  <c r="K666" i="5"/>
  <c r="J666" i="5"/>
  <c r="H666" i="5"/>
  <c r="G666" i="5"/>
  <c r="F666" i="5"/>
  <c r="E666" i="5"/>
  <c r="D666" i="5"/>
  <c r="L665" i="5"/>
  <c r="K665" i="5"/>
  <c r="J665" i="5"/>
  <c r="H665" i="5"/>
  <c r="G665" i="5"/>
  <c r="F665" i="5"/>
  <c r="E665" i="5"/>
  <c r="D665" i="5"/>
  <c r="L664" i="5"/>
  <c r="K664" i="5"/>
  <c r="J664" i="5"/>
  <c r="H664" i="5"/>
  <c r="G664" i="5"/>
  <c r="F664" i="5"/>
  <c r="E664" i="5"/>
  <c r="D664" i="5"/>
  <c r="L663" i="5"/>
  <c r="K663" i="5"/>
  <c r="J663" i="5"/>
  <c r="H663" i="5"/>
  <c r="G663" i="5"/>
  <c r="F663" i="5"/>
  <c r="E663" i="5"/>
  <c r="D663" i="5"/>
  <c r="L662" i="5"/>
  <c r="K662" i="5"/>
  <c r="J662" i="5"/>
  <c r="H662" i="5"/>
  <c r="G662" i="5"/>
  <c r="F662" i="5"/>
  <c r="E662" i="5"/>
  <c r="D662" i="5"/>
  <c r="L661" i="5"/>
  <c r="K661" i="5"/>
  <c r="J661" i="5"/>
  <c r="H661" i="5"/>
  <c r="G661" i="5"/>
  <c r="F661" i="5"/>
  <c r="E661" i="5"/>
  <c r="D661" i="5"/>
  <c r="L660" i="5"/>
  <c r="K660" i="5"/>
  <c r="J660" i="5"/>
  <c r="H660" i="5"/>
  <c r="G660" i="5"/>
  <c r="F660" i="5"/>
  <c r="E660" i="5"/>
  <c r="D660" i="5"/>
  <c r="L659" i="5"/>
  <c r="K659" i="5"/>
  <c r="J659" i="5"/>
  <c r="H659" i="5"/>
  <c r="G659" i="5"/>
  <c r="F659" i="5"/>
  <c r="E659" i="5"/>
  <c r="D659" i="5"/>
  <c r="L658" i="5"/>
  <c r="K658" i="5"/>
  <c r="J658" i="5"/>
  <c r="H658" i="5"/>
  <c r="G658" i="5"/>
  <c r="F658" i="5"/>
  <c r="E658" i="5"/>
  <c r="D658" i="5"/>
  <c r="L657" i="5"/>
  <c r="K657" i="5"/>
  <c r="J657" i="5"/>
  <c r="H657" i="5"/>
  <c r="G657" i="5"/>
  <c r="F657" i="5"/>
  <c r="E657" i="5"/>
  <c r="D657" i="5"/>
  <c r="L656" i="5"/>
  <c r="K656" i="5"/>
  <c r="J656" i="5"/>
  <c r="H656" i="5"/>
  <c r="G656" i="5"/>
  <c r="F656" i="5"/>
  <c r="E656" i="5"/>
  <c r="D656" i="5"/>
  <c r="L655" i="5"/>
  <c r="K655" i="5"/>
  <c r="J655" i="5"/>
  <c r="H655" i="5"/>
  <c r="G655" i="5"/>
  <c r="F655" i="5"/>
  <c r="E655" i="5"/>
  <c r="D655" i="5"/>
  <c r="L654" i="5"/>
  <c r="K654" i="5"/>
  <c r="J654" i="5"/>
  <c r="H654" i="5"/>
  <c r="G654" i="5"/>
  <c r="F654" i="5"/>
  <c r="E654" i="5"/>
  <c r="D654" i="5"/>
  <c r="L653" i="5"/>
  <c r="K653" i="5"/>
  <c r="J653" i="5"/>
  <c r="H653" i="5"/>
  <c r="G653" i="5"/>
  <c r="F653" i="5"/>
  <c r="E653" i="5"/>
  <c r="D653" i="5"/>
  <c r="L652" i="5"/>
  <c r="K652" i="5"/>
  <c r="J652" i="5"/>
  <c r="H652" i="5"/>
  <c r="G652" i="5"/>
  <c r="F652" i="5"/>
  <c r="E652" i="5"/>
  <c r="D652" i="5"/>
  <c r="L651" i="5"/>
  <c r="K651" i="5"/>
  <c r="J651" i="5"/>
  <c r="H651" i="5"/>
  <c r="G651" i="5"/>
  <c r="F651" i="5"/>
  <c r="E651" i="5"/>
  <c r="D651" i="5"/>
  <c r="L650" i="5"/>
  <c r="K650" i="5"/>
  <c r="J650" i="5"/>
  <c r="H650" i="5"/>
  <c r="G650" i="5"/>
  <c r="F650" i="5"/>
  <c r="E650" i="5"/>
  <c r="D650" i="5"/>
  <c r="L649" i="5"/>
  <c r="K649" i="5"/>
  <c r="J649" i="5"/>
  <c r="H649" i="5"/>
  <c r="G649" i="5"/>
  <c r="F649" i="5"/>
  <c r="E649" i="5"/>
  <c r="D649" i="5"/>
  <c r="L648" i="5"/>
  <c r="K648" i="5"/>
  <c r="J648" i="5"/>
  <c r="H648" i="5"/>
  <c r="G648" i="5"/>
  <c r="F648" i="5"/>
  <c r="E648" i="5"/>
  <c r="D648" i="5"/>
  <c r="L647" i="5"/>
  <c r="K647" i="5"/>
  <c r="J647" i="5"/>
  <c r="H647" i="5"/>
  <c r="G647" i="5"/>
  <c r="F647" i="5"/>
  <c r="E647" i="5"/>
  <c r="D647" i="5"/>
  <c r="L646" i="5"/>
  <c r="K646" i="5"/>
  <c r="J646" i="5"/>
  <c r="H646" i="5"/>
  <c r="G646" i="5"/>
  <c r="F646" i="5"/>
  <c r="E646" i="5"/>
  <c r="D646" i="5"/>
  <c r="L645" i="5"/>
  <c r="K645" i="5"/>
  <c r="J645" i="5"/>
  <c r="H645" i="5"/>
  <c r="G645" i="5"/>
  <c r="F645" i="5"/>
  <c r="E645" i="5"/>
  <c r="D645" i="5"/>
  <c r="L644" i="5"/>
  <c r="K644" i="5"/>
  <c r="J644" i="5"/>
  <c r="H644" i="5"/>
  <c r="G644" i="5"/>
  <c r="F644" i="5"/>
  <c r="E644" i="5"/>
  <c r="D644" i="5"/>
  <c r="L643" i="5"/>
  <c r="K643" i="5"/>
  <c r="J643" i="5"/>
  <c r="H643" i="5"/>
  <c r="G643" i="5"/>
  <c r="F643" i="5"/>
  <c r="E643" i="5"/>
  <c r="D643" i="5"/>
  <c r="L642" i="5"/>
  <c r="K642" i="5"/>
  <c r="J642" i="5"/>
  <c r="H642" i="5"/>
  <c r="G642" i="5"/>
  <c r="F642" i="5"/>
  <c r="E642" i="5"/>
  <c r="D642" i="5"/>
  <c r="L641" i="5"/>
  <c r="K641" i="5"/>
  <c r="J641" i="5"/>
  <c r="H641" i="5"/>
  <c r="G641" i="5"/>
  <c r="F641" i="5"/>
  <c r="E641" i="5"/>
  <c r="D641" i="5"/>
  <c r="L640" i="5"/>
  <c r="K640" i="5"/>
  <c r="J640" i="5"/>
  <c r="H640" i="5"/>
  <c r="G640" i="5"/>
  <c r="F640" i="5"/>
  <c r="E640" i="5"/>
  <c r="D640" i="5"/>
  <c r="L639" i="5"/>
  <c r="K639" i="5"/>
  <c r="J639" i="5"/>
  <c r="H639" i="5"/>
  <c r="G639" i="5"/>
  <c r="F639" i="5"/>
  <c r="E639" i="5"/>
  <c r="D639" i="5"/>
  <c r="L638" i="5"/>
  <c r="K638" i="5"/>
  <c r="J638" i="5"/>
  <c r="H638" i="5"/>
  <c r="G638" i="5"/>
  <c r="F638" i="5"/>
  <c r="E638" i="5"/>
  <c r="D638" i="5"/>
  <c r="L637" i="5"/>
  <c r="K637" i="5"/>
  <c r="J637" i="5"/>
  <c r="H637" i="5"/>
  <c r="G637" i="5"/>
  <c r="F637" i="5"/>
  <c r="E637" i="5"/>
  <c r="D637" i="5"/>
  <c r="L636" i="5"/>
  <c r="K636" i="5"/>
  <c r="J636" i="5"/>
  <c r="H636" i="5"/>
  <c r="G636" i="5"/>
  <c r="F636" i="5"/>
  <c r="E636" i="5"/>
  <c r="D636" i="5"/>
  <c r="L635" i="5"/>
  <c r="K635" i="5"/>
  <c r="J635" i="5"/>
  <c r="H635" i="5"/>
  <c r="G635" i="5"/>
  <c r="F635" i="5"/>
  <c r="E635" i="5"/>
  <c r="D635" i="5"/>
  <c r="L634" i="5"/>
  <c r="K634" i="5"/>
  <c r="J634" i="5"/>
  <c r="H634" i="5"/>
  <c r="G634" i="5"/>
  <c r="F634" i="5"/>
  <c r="E634" i="5"/>
  <c r="D634" i="5"/>
  <c r="L633" i="5"/>
  <c r="K633" i="5"/>
  <c r="J633" i="5"/>
  <c r="H633" i="5"/>
  <c r="G633" i="5"/>
  <c r="F633" i="5"/>
  <c r="E633" i="5"/>
  <c r="D633" i="5"/>
  <c r="L632" i="5"/>
  <c r="K632" i="5"/>
  <c r="J632" i="5"/>
  <c r="H632" i="5"/>
  <c r="G632" i="5"/>
  <c r="F632" i="5"/>
  <c r="E632" i="5"/>
  <c r="D632" i="5"/>
  <c r="L631" i="5"/>
  <c r="K631" i="5"/>
  <c r="J631" i="5"/>
  <c r="H631" i="5"/>
  <c r="G631" i="5"/>
  <c r="F631" i="5"/>
  <c r="E631" i="5"/>
  <c r="D631" i="5"/>
  <c r="L630" i="5"/>
  <c r="K630" i="5"/>
  <c r="J630" i="5"/>
  <c r="H630" i="5"/>
  <c r="G630" i="5"/>
  <c r="F630" i="5"/>
  <c r="E630" i="5"/>
  <c r="D630" i="5"/>
  <c r="L629" i="5"/>
  <c r="K629" i="5"/>
  <c r="J629" i="5"/>
  <c r="H629" i="5"/>
  <c r="G629" i="5"/>
  <c r="F629" i="5"/>
  <c r="E629" i="5"/>
  <c r="D629" i="5"/>
  <c r="L628" i="5"/>
  <c r="K628" i="5"/>
  <c r="J628" i="5"/>
  <c r="H628" i="5"/>
  <c r="G628" i="5"/>
  <c r="F628" i="5"/>
  <c r="E628" i="5"/>
  <c r="D628" i="5"/>
  <c r="L627" i="5"/>
  <c r="K627" i="5"/>
  <c r="J627" i="5"/>
  <c r="H627" i="5"/>
  <c r="G627" i="5"/>
  <c r="F627" i="5"/>
  <c r="E627" i="5"/>
  <c r="D627" i="5"/>
  <c r="L626" i="5"/>
  <c r="K626" i="5"/>
  <c r="J626" i="5"/>
  <c r="H626" i="5"/>
  <c r="G626" i="5"/>
  <c r="F626" i="5"/>
  <c r="E626" i="5"/>
  <c r="D626" i="5"/>
  <c r="L625" i="5"/>
  <c r="K625" i="5"/>
  <c r="J625" i="5"/>
  <c r="H625" i="5"/>
  <c r="G625" i="5"/>
  <c r="F625" i="5"/>
  <c r="E625" i="5"/>
  <c r="D625" i="5"/>
  <c r="L624" i="5"/>
  <c r="K624" i="5"/>
  <c r="J624" i="5"/>
  <c r="H624" i="5"/>
  <c r="G624" i="5"/>
  <c r="F624" i="5"/>
  <c r="E624" i="5"/>
  <c r="D624" i="5"/>
  <c r="L623" i="5"/>
  <c r="K623" i="5"/>
  <c r="J623" i="5"/>
  <c r="H623" i="5"/>
  <c r="G623" i="5"/>
  <c r="F623" i="5"/>
  <c r="E623" i="5"/>
  <c r="D623" i="5"/>
  <c r="L622" i="5"/>
  <c r="K622" i="5"/>
  <c r="J622" i="5"/>
  <c r="H622" i="5"/>
  <c r="G622" i="5"/>
  <c r="F622" i="5"/>
  <c r="E622" i="5"/>
  <c r="D622" i="5"/>
  <c r="L621" i="5"/>
  <c r="K621" i="5"/>
  <c r="J621" i="5"/>
  <c r="H621" i="5"/>
  <c r="G621" i="5"/>
  <c r="F621" i="5"/>
  <c r="E621" i="5"/>
  <c r="D621" i="5"/>
  <c r="L620" i="5"/>
  <c r="K620" i="5"/>
  <c r="J620" i="5"/>
  <c r="H620" i="5"/>
  <c r="G620" i="5"/>
  <c r="F620" i="5"/>
  <c r="E620" i="5"/>
  <c r="D620" i="5"/>
  <c r="L619" i="5"/>
  <c r="K619" i="5"/>
  <c r="J619" i="5"/>
  <c r="H619" i="5"/>
  <c r="G619" i="5"/>
  <c r="F619" i="5"/>
  <c r="E619" i="5"/>
  <c r="D619" i="5"/>
  <c r="L618" i="5"/>
  <c r="K618" i="5"/>
  <c r="J618" i="5"/>
  <c r="H618" i="5"/>
  <c r="G618" i="5"/>
  <c r="F618" i="5"/>
  <c r="E618" i="5"/>
  <c r="D618" i="5"/>
  <c r="L617" i="5"/>
  <c r="K617" i="5"/>
  <c r="J617" i="5"/>
  <c r="H617" i="5"/>
  <c r="G617" i="5"/>
  <c r="F617" i="5"/>
  <c r="E617" i="5"/>
  <c r="D617" i="5"/>
  <c r="L616" i="5"/>
  <c r="K616" i="5"/>
  <c r="J616" i="5"/>
  <c r="H616" i="5"/>
  <c r="G616" i="5"/>
  <c r="F616" i="5"/>
  <c r="E616" i="5"/>
  <c r="D616" i="5"/>
  <c r="L615" i="5"/>
  <c r="K615" i="5"/>
  <c r="J615" i="5"/>
  <c r="H615" i="5"/>
  <c r="G615" i="5"/>
  <c r="F615" i="5"/>
  <c r="E615" i="5"/>
  <c r="D615" i="5"/>
  <c r="L614" i="5"/>
  <c r="K614" i="5"/>
  <c r="J614" i="5"/>
  <c r="H614" i="5"/>
  <c r="G614" i="5"/>
  <c r="F614" i="5"/>
  <c r="E614" i="5"/>
  <c r="D614" i="5"/>
  <c r="L613" i="5"/>
  <c r="K613" i="5"/>
  <c r="J613" i="5"/>
  <c r="H613" i="5"/>
  <c r="G613" i="5"/>
  <c r="F613" i="5"/>
  <c r="E613" i="5"/>
  <c r="D613" i="5"/>
  <c r="L612" i="5"/>
  <c r="K612" i="5"/>
  <c r="J612" i="5"/>
  <c r="H612" i="5"/>
  <c r="G612" i="5"/>
  <c r="F612" i="5"/>
  <c r="E612" i="5"/>
  <c r="D612" i="5"/>
  <c r="L611" i="5"/>
  <c r="K611" i="5"/>
  <c r="J611" i="5"/>
  <c r="H611" i="5"/>
  <c r="G611" i="5"/>
  <c r="F611" i="5"/>
  <c r="E611" i="5"/>
  <c r="D611" i="5"/>
  <c r="L610" i="5"/>
  <c r="K610" i="5"/>
  <c r="J610" i="5"/>
  <c r="H610" i="5"/>
  <c r="G610" i="5"/>
  <c r="F610" i="5"/>
  <c r="E610" i="5"/>
  <c r="D610" i="5"/>
  <c r="L609" i="5"/>
  <c r="K609" i="5"/>
  <c r="J609" i="5"/>
  <c r="H609" i="5"/>
  <c r="G609" i="5"/>
  <c r="F609" i="5"/>
  <c r="E609" i="5"/>
  <c r="D609" i="5"/>
  <c r="L608" i="5"/>
  <c r="K608" i="5"/>
  <c r="J608" i="5"/>
  <c r="H608" i="5"/>
  <c r="G608" i="5"/>
  <c r="F608" i="5"/>
  <c r="E608" i="5"/>
  <c r="D608" i="5"/>
  <c r="L607" i="5"/>
  <c r="K607" i="5"/>
  <c r="J607" i="5"/>
  <c r="H607" i="5"/>
  <c r="G607" i="5"/>
  <c r="F607" i="5"/>
  <c r="E607" i="5"/>
  <c r="D607" i="5"/>
  <c r="L606" i="5"/>
  <c r="K606" i="5"/>
  <c r="J606" i="5"/>
  <c r="H606" i="5"/>
  <c r="G606" i="5"/>
  <c r="F606" i="5"/>
  <c r="E606" i="5"/>
  <c r="D606" i="5"/>
  <c r="L605" i="5"/>
  <c r="K605" i="5"/>
  <c r="J605" i="5"/>
  <c r="H605" i="5"/>
  <c r="G605" i="5"/>
  <c r="F605" i="5"/>
  <c r="E605" i="5"/>
  <c r="D605" i="5"/>
  <c r="L604" i="5"/>
  <c r="K604" i="5"/>
  <c r="J604" i="5"/>
  <c r="H604" i="5"/>
  <c r="G604" i="5"/>
  <c r="F604" i="5"/>
  <c r="E604" i="5"/>
  <c r="D604" i="5"/>
  <c r="L603" i="5"/>
  <c r="K603" i="5"/>
  <c r="J603" i="5"/>
  <c r="H603" i="5"/>
  <c r="G603" i="5"/>
  <c r="F603" i="5"/>
  <c r="E603" i="5"/>
  <c r="D603" i="5"/>
  <c r="L602" i="5"/>
  <c r="K602" i="5"/>
  <c r="J602" i="5"/>
  <c r="H602" i="5"/>
  <c r="G602" i="5"/>
  <c r="F602" i="5"/>
  <c r="E602" i="5"/>
  <c r="D602" i="5"/>
  <c r="L601" i="5"/>
  <c r="K601" i="5"/>
  <c r="J601" i="5"/>
  <c r="H601" i="5"/>
  <c r="G601" i="5"/>
  <c r="F601" i="5"/>
  <c r="E601" i="5"/>
  <c r="D601" i="5"/>
  <c r="L600" i="5"/>
  <c r="K600" i="5"/>
  <c r="J600" i="5"/>
  <c r="H600" i="5"/>
  <c r="G600" i="5"/>
  <c r="F600" i="5"/>
  <c r="E600" i="5"/>
  <c r="D600" i="5"/>
  <c r="L599" i="5"/>
  <c r="K599" i="5"/>
  <c r="J599" i="5"/>
  <c r="H599" i="5"/>
  <c r="G599" i="5"/>
  <c r="F599" i="5"/>
  <c r="E599" i="5"/>
  <c r="D599" i="5"/>
  <c r="L598" i="5"/>
  <c r="K598" i="5"/>
  <c r="J598" i="5"/>
  <c r="H598" i="5"/>
  <c r="G598" i="5"/>
  <c r="F598" i="5"/>
  <c r="E598" i="5"/>
  <c r="D598" i="5"/>
  <c r="L597" i="5"/>
  <c r="K597" i="5"/>
  <c r="J597" i="5"/>
  <c r="H597" i="5"/>
  <c r="G597" i="5"/>
  <c r="F597" i="5"/>
  <c r="E597" i="5"/>
  <c r="D597" i="5"/>
  <c r="L596" i="5"/>
  <c r="K596" i="5"/>
  <c r="J596" i="5"/>
  <c r="H596" i="5"/>
  <c r="G596" i="5"/>
  <c r="F596" i="5"/>
  <c r="E596" i="5"/>
  <c r="D596" i="5"/>
  <c r="L595" i="5"/>
  <c r="K595" i="5"/>
  <c r="J595" i="5"/>
  <c r="H595" i="5"/>
  <c r="G595" i="5"/>
  <c r="F595" i="5"/>
  <c r="E595" i="5"/>
  <c r="D595" i="5"/>
  <c r="L594" i="5"/>
  <c r="K594" i="5"/>
  <c r="J594" i="5"/>
  <c r="H594" i="5"/>
  <c r="G594" i="5"/>
  <c r="F594" i="5"/>
  <c r="E594" i="5"/>
  <c r="D594" i="5"/>
  <c r="L593" i="5"/>
  <c r="K593" i="5"/>
  <c r="J593" i="5"/>
  <c r="H593" i="5"/>
  <c r="G593" i="5"/>
  <c r="F593" i="5"/>
  <c r="E593" i="5"/>
  <c r="D593" i="5"/>
  <c r="L592" i="5"/>
  <c r="K592" i="5"/>
  <c r="J592" i="5"/>
  <c r="H592" i="5"/>
  <c r="G592" i="5"/>
  <c r="F592" i="5"/>
  <c r="E592" i="5"/>
  <c r="D592" i="5"/>
  <c r="L591" i="5"/>
  <c r="K591" i="5"/>
  <c r="J591" i="5"/>
  <c r="H591" i="5"/>
  <c r="G591" i="5"/>
  <c r="F591" i="5"/>
  <c r="E591" i="5"/>
  <c r="D591" i="5"/>
  <c r="L590" i="5"/>
  <c r="K590" i="5"/>
  <c r="J590" i="5"/>
  <c r="H590" i="5"/>
  <c r="G590" i="5"/>
  <c r="F590" i="5"/>
  <c r="E590" i="5"/>
  <c r="D590" i="5"/>
  <c r="L589" i="5"/>
  <c r="K589" i="5"/>
  <c r="J589" i="5"/>
  <c r="H589" i="5"/>
  <c r="G589" i="5"/>
  <c r="F589" i="5"/>
  <c r="E589" i="5"/>
  <c r="D589" i="5"/>
  <c r="L588" i="5"/>
  <c r="K588" i="5"/>
  <c r="J588" i="5"/>
  <c r="H588" i="5"/>
  <c r="G588" i="5"/>
  <c r="F588" i="5"/>
  <c r="E588" i="5"/>
  <c r="D588" i="5"/>
  <c r="L587" i="5"/>
  <c r="K587" i="5"/>
  <c r="J587" i="5"/>
  <c r="H587" i="5"/>
  <c r="G587" i="5"/>
  <c r="F587" i="5"/>
  <c r="E587" i="5"/>
  <c r="D587" i="5"/>
  <c r="L586" i="5"/>
  <c r="K586" i="5"/>
  <c r="J586" i="5"/>
  <c r="H586" i="5"/>
  <c r="G586" i="5"/>
  <c r="F586" i="5"/>
  <c r="E586" i="5"/>
  <c r="D586" i="5"/>
  <c r="L585" i="5"/>
  <c r="K585" i="5"/>
  <c r="J585" i="5"/>
  <c r="H585" i="5"/>
  <c r="G585" i="5"/>
  <c r="F585" i="5"/>
  <c r="E585" i="5"/>
  <c r="D585" i="5"/>
  <c r="L584" i="5"/>
  <c r="K584" i="5"/>
  <c r="J584" i="5"/>
  <c r="H584" i="5"/>
  <c r="G584" i="5"/>
  <c r="F584" i="5"/>
  <c r="E584" i="5"/>
  <c r="D584" i="5"/>
  <c r="L583" i="5"/>
  <c r="K583" i="5"/>
  <c r="J583" i="5"/>
  <c r="H583" i="5"/>
  <c r="G583" i="5"/>
  <c r="F583" i="5"/>
  <c r="E583" i="5"/>
  <c r="D583" i="5"/>
  <c r="L582" i="5"/>
  <c r="K582" i="5"/>
  <c r="J582" i="5"/>
  <c r="H582" i="5"/>
  <c r="G582" i="5"/>
  <c r="F582" i="5"/>
  <c r="E582" i="5"/>
  <c r="D582" i="5"/>
  <c r="L581" i="5"/>
  <c r="K581" i="5"/>
  <c r="J581" i="5"/>
  <c r="H581" i="5"/>
  <c r="G581" i="5"/>
  <c r="F581" i="5"/>
  <c r="E581" i="5"/>
  <c r="D581" i="5"/>
  <c r="L580" i="5"/>
  <c r="K580" i="5"/>
  <c r="J580" i="5"/>
  <c r="H580" i="5"/>
  <c r="G580" i="5"/>
  <c r="F580" i="5"/>
  <c r="E580" i="5"/>
  <c r="D580" i="5"/>
  <c r="L579" i="5"/>
  <c r="K579" i="5"/>
  <c r="J579" i="5"/>
  <c r="H579" i="5"/>
  <c r="G579" i="5"/>
  <c r="F579" i="5"/>
  <c r="E579" i="5"/>
  <c r="D579" i="5"/>
  <c r="L578" i="5"/>
  <c r="K578" i="5"/>
  <c r="J578" i="5"/>
  <c r="H578" i="5"/>
  <c r="G578" i="5"/>
  <c r="F578" i="5"/>
  <c r="E578" i="5"/>
  <c r="D578" i="5"/>
  <c r="L577" i="5"/>
  <c r="K577" i="5"/>
  <c r="J577" i="5"/>
  <c r="H577" i="5"/>
  <c r="G577" i="5"/>
  <c r="F577" i="5"/>
  <c r="E577" i="5"/>
  <c r="D577" i="5"/>
  <c r="L576" i="5"/>
  <c r="K576" i="5"/>
  <c r="J576" i="5"/>
  <c r="H576" i="5"/>
  <c r="G576" i="5"/>
  <c r="F576" i="5"/>
  <c r="E576" i="5"/>
  <c r="D576" i="5"/>
  <c r="L575" i="5"/>
  <c r="K575" i="5"/>
  <c r="J575" i="5"/>
  <c r="H575" i="5"/>
  <c r="G575" i="5"/>
  <c r="F575" i="5"/>
  <c r="E575" i="5"/>
  <c r="D575" i="5"/>
  <c r="L574" i="5"/>
  <c r="K574" i="5"/>
  <c r="J574" i="5"/>
  <c r="H574" i="5"/>
  <c r="G574" i="5"/>
  <c r="F574" i="5"/>
  <c r="E574" i="5"/>
  <c r="D574" i="5"/>
  <c r="L573" i="5"/>
  <c r="K573" i="5"/>
  <c r="J573" i="5"/>
  <c r="H573" i="5"/>
  <c r="G573" i="5"/>
  <c r="F573" i="5"/>
  <c r="E573" i="5"/>
  <c r="D573" i="5"/>
  <c r="L572" i="5"/>
  <c r="K572" i="5"/>
  <c r="J572" i="5"/>
  <c r="H572" i="5"/>
  <c r="G572" i="5"/>
  <c r="F572" i="5"/>
  <c r="E572" i="5"/>
  <c r="D572" i="5"/>
  <c r="L571" i="5"/>
  <c r="K571" i="5"/>
  <c r="J571" i="5"/>
  <c r="H571" i="5"/>
  <c r="G571" i="5"/>
  <c r="F571" i="5"/>
  <c r="E571" i="5"/>
  <c r="D571" i="5"/>
  <c r="L570" i="5"/>
  <c r="K570" i="5"/>
  <c r="J570" i="5"/>
  <c r="H570" i="5"/>
  <c r="G570" i="5"/>
  <c r="F570" i="5"/>
  <c r="E570" i="5"/>
  <c r="D570" i="5"/>
  <c r="L569" i="5"/>
  <c r="K569" i="5"/>
  <c r="J569" i="5"/>
  <c r="H569" i="5"/>
  <c r="G569" i="5"/>
  <c r="F569" i="5"/>
  <c r="E569" i="5"/>
  <c r="D569" i="5"/>
  <c r="L568" i="5"/>
  <c r="K568" i="5"/>
  <c r="J568" i="5"/>
  <c r="H568" i="5"/>
  <c r="G568" i="5"/>
  <c r="F568" i="5"/>
  <c r="E568" i="5"/>
  <c r="D568" i="5"/>
  <c r="L567" i="5"/>
  <c r="K567" i="5"/>
  <c r="J567" i="5"/>
  <c r="H567" i="5"/>
  <c r="G567" i="5"/>
  <c r="F567" i="5"/>
  <c r="E567" i="5"/>
  <c r="D567" i="5"/>
  <c r="L566" i="5"/>
  <c r="K566" i="5"/>
  <c r="J566" i="5"/>
  <c r="H566" i="5"/>
  <c r="G566" i="5"/>
  <c r="F566" i="5"/>
  <c r="E566" i="5"/>
  <c r="D566" i="5"/>
  <c r="L565" i="5"/>
  <c r="K565" i="5"/>
  <c r="J565" i="5"/>
  <c r="H565" i="5"/>
  <c r="G565" i="5"/>
  <c r="F565" i="5"/>
  <c r="E565" i="5"/>
  <c r="D565" i="5"/>
  <c r="L564" i="5"/>
  <c r="K564" i="5"/>
  <c r="J564" i="5"/>
  <c r="H564" i="5"/>
  <c r="G564" i="5"/>
  <c r="F564" i="5"/>
  <c r="E564" i="5"/>
  <c r="D564" i="5"/>
  <c r="L563" i="5"/>
  <c r="K563" i="5"/>
  <c r="J563" i="5"/>
  <c r="H563" i="5"/>
  <c r="G563" i="5"/>
  <c r="F563" i="5"/>
  <c r="E563" i="5"/>
  <c r="D563" i="5"/>
  <c r="L562" i="5"/>
  <c r="K562" i="5"/>
  <c r="J562" i="5"/>
  <c r="H562" i="5"/>
  <c r="G562" i="5"/>
  <c r="F562" i="5"/>
  <c r="E562" i="5"/>
  <c r="D562" i="5"/>
  <c r="L561" i="5"/>
  <c r="K561" i="5"/>
  <c r="J561" i="5"/>
  <c r="H561" i="5"/>
  <c r="G561" i="5"/>
  <c r="F561" i="5"/>
  <c r="E561" i="5"/>
  <c r="D561" i="5"/>
  <c r="L560" i="5"/>
  <c r="K560" i="5"/>
  <c r="J560" i="5"/>
  <c r="H560" i="5"/>
  <c r="G560" i="5"/>
  <c r="F560" i="5"/>
  <c r="E560" i="5"/>
  <c r="D560" i="5"/>
  <c r="L559" i="5"/>
  <c r="K559" i="5"/>
  <c r="J559" i="5"/>
  <c r="H559" i="5"/>
  <c r="G559" i="5"/>
  <c r="F559" i="5"/>
  <c r="E559" i="5"/>
  <c r="D559" i="5"/>
  <c r="L558" i="5"/>
  <c r="K558" i="5"/>
  <c r="J558" i="5"/>
  <c r="H558" i="5"/>
  <c r="G558" i="5"/>
  <c r="F558" i="5"/>
  <c r="E558" i="5"/>
  <c r="D558" i="5"/>
  <c r="L557" i="5"/>
  <c r="K557" i="5"/>
  <c r="J557" i="5"/>
  <c r="H557" i="5"/>
  <c r="G557" i="5"/>
  <c r="F557" i="5"/>
  <c r="E557" i="5"/>
  <c r="D557" i="5"/>
  <c r="L556" i="5"/>
  <c r="K556" i="5"/>
  <c r="J556" i="5"/>
  <c r="H556" i="5"/>
  <c r="G556" i="5"/>
  <c r="F556" i="5"/>
  <c r="E556" i="5"/>
  <c r="D556" i="5"/>
  <c r="L555" i="5"/>
  <c r="K555" i="5"/>
  <c r="J555" i="5"/>
  <c r="H555" i="5"/>
  <c r="G555" i="5"/>
  <c r="F555" i="5"/>
  <c r="E555" i="5"/>
  <c r="D555" i="5"/>
  <c r="L554" i="5"/>
  <c r="K554" i="5"/>
  <c r="J554" i="5"/>
  <c r="H554" i="5"/>
  <c r="G554" i="5"/>
  <c r="F554" i="5"/>
  <c r="E554" i="5"/>
  <c r="D554" i="5"/>
  <c r="L553" i="5"/>
  <c r="K553" i="5"/>
  <c r="J553" i="5"/>
  <c r="H553" i="5"/>
  <c r="G553" i="5"/>
  <c r="F553" i="5"/>
  <c r="E553" i="5"/>
  <c r="D553" i="5"/>
  <c r="L552" i="5"/>
  <c r="K552" i="5"/>
  <c r="J552" i="5"/>
  <c r="H552" i="5"/>
  <c r="G552" i="5"/>
  <c r="F552" i="5"/>
  <c r="E552" i="5"/>
  <c r="D552" i="5"/>
  <c r="L551" i="5"/>
  <c r="K551" i="5"/>
  <c r="J551" i="5"/>
  <c r="H551" i="5"/>
  <c r="G551" i="5"/>
  <c r="F551" i="5"/>
  <c r="E551" i="5"/>
  <c r="D551" i="5"/>
  <c r="L550" i="5"/>
  <c r="K550" i="5"/>
  <c r="J550" i="5"/>
  <c r="H550" i="5"/>
  <c r="G550" i="5"/>
  <c r="F550" i="5"/>
  <c r="E550" i="5"/>
  <c r="D550" i="5"/>
  <c r="L549" i="5"/>
  <c r="K549" i="5"/>
  <c r="J549" i="5"/>
  <c r="H549" i="5"/>
  <c r="G549" i="5"/>
  <c r="F549" i="5"/>
  <c r="E549" i="5"/>
  <c r="D549" i="5"/>
  <c r="L548" i="5"/>
  <c r="K548" i="5"/>
  <c r="J548" i="5"/>
  <c r="H548" i="5"/>
  <c r="G548" i="5"/>
  <c r="F548" i="5"/>
  <c r="E548" i="5"/>
  <c r="D548" i="5"/>
  <c r="L547" i="5"/>
  <c r="K547" i="5"/>
  <c r="J547" i="5"/>
  <c r="H547" i="5"/>
  <c r="G547" i="5"/>
  <c r="F547" i="5"/>
  <c r="E547" i="5"/>
  <c r="D547" i="5"/>
  <c r="L546" i="5"/>
  <c r="K546" i="5"/>
  <c r="J546" i="5"/>
  <c r="H546" i="5"/>
  <c r="G546" i="5"/>
  <c r="F546" i="5"/>
  <c r="E546" i="5"/>
  <c r="D546" i="5"/>
  <c r="L545" i="5"/>
  <c r="K545" i="5"/>
  <c r="J545" i="5"/>
  <c r="H545" i="5"/>
  <c r="G545" i="5"/>
  <c r="F545" i="5"/>
  <c r="E545" i="5"/>
  <c r="D545" i="5"/>
  <c r="L544" i="5"/>
  <c r="K544" i="5"/>
  <c r="J544" i="5"/>
  <c r="H544" i="5"/>
  <c r="G544" i="5"/>
  <c r="F544" i="5"/>
  <c r="E544" i="5"/>
  <c r="D544" i="5"/>
  <c r="L543" i="5"/>
  <c r="K543" i="5"/>
  <c r="J543" i="5"/>
  <c r="H543" i="5"/>
  <c r="G543" i="5"/>
  <c r="F543" i="5"/>
  <c r="E543" i="5"/>
  <c r="D543" i="5"/>
  <c r="L542" i="5"/>
  <c r="K542" i="5"/>
  <c r="J542" i="5"/>
  <c r="H542" i="5"/>
  <c r="G542" i="5"/>
  <c r="F542" i="5"/>
  <c r="E542" i="5"/>
  <c r="D542" i="5"/>
  <c r="L541" i="5"/>
  <c r="K541" i="5"/>
  <c r="J541" i="5"/>
  <c r="H541" i="5"/>
  <c r="G541" i="5"/>
  <c r="F541" i="5"/>
  <c r="E541" i="5"/>
  <c r="D541" i="5"/>
  <c r="L540" i="5"/>
  <c r="K540" i="5"/>
  <c r="J540" i="5"/>
  <c r="H540" i="5"/>
  <c r="G540" i="5"/>
  <c r="F540" i="5"/>
  <c r="E540" i="5"/>
  <c r="D540" i="5"/>
  <c r="L539" i="5"/>
  <c r="K539" i="5"/>
  <c r="J539" i="5"/>
  <c r="H539" i="5"/>
  <c r="G539" i="5"/>
  <c r="F539" i="5"/>
  <c r="E539" i="5"/>
  <c r="D539" i="5"/>
  <c r="L538" i="5"/>
  <c r="K538" i="5"/>
  <c r="J538" i="5"/>
  <c r="H538" i="5"/>
  <c r="G538" i="5"/>
  <c r="F538" i="5"/>
  <c r="E538" i="5"/>
  <c r="D538" i="5"/>
  <c r="L537" i="5"/>
  <c r="K537" i="5"/>
  <c r="J537" i="5"/>
  <c r="H537" i="5"/>
  <c r="G537" i="5"/>
  <c r="F537" i="5"/>
  <c r="E537" i="5"/>
  <c r="D537" i="5"/>
  <c r="L536" i="5"/>
  <c r="K536" i="5"/>
  <c r="J536" i="5"/>
  <c r="H536" i="5"/>
  <c r="G536" i="5"/>
  <c r="F536" i="5"/>
  <c r="E536" i="5"/>
  <c r="D536" i="5"/>
  <c r="L535" i="5"/>
  <c r="K535" i="5"/>
  <c r="J535" i="5"/>
  <c r="H535" i="5"/>
  <c r="G535" i="5"/>
  <c r="F535" i="5"/>
  <c r="E535" i="5"/>
  <c r="D535" i="5"/>
  <c r="L534" i="5"/>
  <c r="K534" i="5"/>
  <c r="J534" i="5"/>
  <c r="H534" i="5"/>
  <c r="G534" i="5"/>
  <c r="F534" i="5"/>
  <c r="E534" i="5"/>
  <c r="D534" i="5"/>
  <c r="L533" i="5"/>
  <c r="K533" i="5"/>
  <c r="J533" i="5"/>
  <c r="H533" i="5"/>
  <c r="G533" i="5"/>
  <c r="F533" i="5"/>
  <c r="E533" i="5"/>
  <c r="D533" i="5"/>
  <c r="L532" i="5"/>
  <c r="K532" i="5"/>
  <c r="J532" i="5"/>
  <c r="H532" i="5"/>
  <c r="G532" i="5"/>
  <c r="F532" i="5"/>
  <c r="E532" i="5"/>
  <c r="D532" i="5"/>
  <c r="L531" i="5"/>
  <c r="K531" i="5"/>
  <c r="J531" i="5"/>
  <c r="H531" i="5"/>
  <c r="G531" i="5"/>
  <c r="F531" i="5"/>
  <c r="E531" i="5"/>
  <c r="D531" i="5"/>
  <c r="L530" i="5"/>
  <c r="K530" i="5"/>
  <c r="J530" i="5"/>
  <c r="H530" i="5"/>
  <c r="G530" i="5"/>
  <c r="F530" i="5"/>
  <c r="E530" i="5"/>
  <c r="D530" i="5"/>
  <c r="L529" i="5"/>
  <c r="K529" i="5"/>
  <c r="J529" i="5"/>
  <c r="H529" i="5"/>
  <c r="G529" i="5"/>
  <c r="F529" i="5"/>
  <c r="E529" i="5"/>
  <c r="D529" i="5"/>
  <c r="L528" i="5"/>
  <c r="K528" i="5"/>
  <c r="J528" i="5"/>
  <c r="H528" i="5"/>
  <c r="G528" i="5"/>
  <c r="F528" i="5"/>
  <c r="E528" i="5"/>
  <c r="D528" i="5"/>
  <c r="L527" i="5"/>
  <c r="K527" i="5"/>
  <c r="J527" i="5"/>
  <c r="H527" i="5"/>
  <c r="G527" i="5"/>
  <c r="F527" i="5"/>
  <c r="E527" i="5"/>
  <c r="D527" i="5"/>
  <c r="L526" i="5"/>
  <c r="K526" i="5"/>
  <c r="J526" i="5"/>
  <c r="H526" i="5"/>
  <c r="G526" i="5"/>
  <c r="F526" i="5"/>
  <c r="E526" i="5"/>
  <c r="D526" i="5"/>
  <c r="L525" i="5"/>
  <c r="K525" i="5"/>
  <c r="J525" i="5"/>
  <c r="H525" i="5"/>
  <c r="G525" i="5"/>
  <c r="F525" i="5"/>
  <c r="E525" i="5"/>
  <c r="D525" i="5"/>
  <c r="L524" i="5"/>
  <c r="K524" i="5"/>
  <c r="J524" i="5"/>
  <c r="H524" i="5"/>
  <c r="G524" i="5"/>
  <c r="F524" i="5"/>
  <c r="E524" i="5"/>
  <c r="D524" i="5"/>
  <c r="L523" i="5"/>
  <c r="K523" i="5"/>
  <c r="J523" i="5"/>
  <c r="H523" i="5"/>
  <c r="G523" i="5"/>
  <c r="F523" i="5"/>
  <c r="E523" i="5"/>
  <c r="D523" i="5"/>
  <c r="L522" i="5"/>
  <c r="K522" i="5"/>
  <c r="J522" i="5"/>
  <c r="H522" i="5"/>
  <c r="G522" i="5"/>
  <c r="F522" i="5"/>
  <c r="E522" i="5"/>
  <c r="D522" i="5"/>
  <c r="L521" i="5"/>
  <c r="K521" i="5"/>
  <c r="J521" i="5"/>
  <c r="H521" i="5"/>
  <c r="G521" i="5"/>
  <c r="F521" i="5"/>
  <c r="E521" i="5"/>
  <c r="D521" i="5"/>
  <c r="L520" i="5"/>
  <c r="K520" i="5"/>
  <c r="J520" i="5"/>
  <c r="H520" i="5"/>
  <c r="G520" i="5"/>
  <c r="F520" i="5"/>
  <c r="E520" i="5"/>
  <c r="D520" i="5"/>
  <c r="L519" i="5"/>
  <c r="K519" i="5"/>
  <c r="J519" i="5"/>
  <c r="H519" i="5"/>
  <c r="G519" i="5"/>
  <c r="F519" i="5"/>
  <c r="E519" i="5"/>
  <c r="D519" i="5"/>
  <c r="L518" i="5"/>
  <c r="K518" i="5"/>
  <c r="J518" i="5"/>
  <c r="H518" i="5"/>
  <c r="G518" i="5"/>
  <c r="F518" i="5"/>
  <c r="E518" i="5"/>
  <c r="D518" i="5"/>
  <c r="L517" i="5"/>
  <c r="K517" i="5"/>
  <c r="J517" i="5"/>
  <c r="H517" i="5"/>
  <c r="G517" i="5"/>
  <c r="F517" i="5"/>
  <c r="E517" i="5"/>
  <c r="D517" i="5"/>
  <c r="L516" i="5"/>
  <c r="K516" i="5"/>
  <c r="J516" i="5"/>
  <c r="H516" i="5"/>
  <c r="G516" i="5"/>
  <c r="F516" i="5"/>
  <c r="E516" i="5"/>
  <c r="D516" i="5"/>
  <c r="L515" i="5"/>
  <c r="K515" i="5"/>
  <c r="J515" i="5"/>
  <c r="H515" i="5"/>
  <c r="G515" i="5"/>
  <c r="F515" i="5"/>
  <c r="E515" i="5"/>
  <c r="D515" i="5"/>
  <c r="L514" i="5"/>
  <c r="K514" i="5"/>
  <c r="J514" i="5"/>
  <c r="H514" i="5"/>
  <c r="G514" i="5"/>
  <c r="F514" i="5"/>
  <c r="E514" i="5"/>
  <c r="D514" i="5"/>
  <c r="L513" i="5"/>
  <c r="K513" i="5"/>
  <c r="J513" i="5"/>
  <c r="H513" i="5"/>
  <c r="G513" i="5"/>
  <c r="F513" i="5"/>
  <c r="E513" i="5"/>
  <c r="D513" i="5"/>
  <c r="L512" i="5"/>
  <c r="K512" i="5"/>
  <c r="J512" i="5"/>
  <c r="H512" i="5"/>
  <c r="G512" i="5"/>
  <c r="F512" i="5"/>
  <c r="E512" i="5"/>
  <c r="D512" i="5"/>
  <c r="L511" i="5"/>
  <c r="K511" i="5"/>
  <c r="J511" i="5"/>
  <c r="H511" i="5"/>
  <c r="G511" i="5"/>
  <c r="F511" i="5"/>
  <c r="E511" i="5"/>
  <c r="D511" i="5"/>
  <c r="L510" i="5"/>
  <c r="K510" i="5"/>
  <c r="J510" i="5"/>
  <c r="H510" i="5"/>
  <c r="G510" i="5"/>
  <c r="F510" i="5"/>
  <c r="E510" i="5"/>
  <c r="D510" i="5"/>
  <c r="L509" i="5"/>
  <c r="K509" i="5"/>
  <c r="J509" i="5"/>
  <c r="H509" i="5"/>
  <c r="G509" i="5"/>
  <c r="F509" i="5"/>
  <c r="E509" i="5"/>
  <c r="D509" i="5"/>
  <c r="L508" i="5"/>
  <c r="K508" i="5"/>
  <c r="J508" i="5"/>
  <c r="H508" i="5"/>
  <c r="G508" i="5"/>
  <c r="F508" i="5"/>
  <c r="E508" i="5"/>
  <c r="D508" i="5"/>
  <c r="L507" i="5"/>
  <c r="K507" i="5"/>
  <c r="J507" i="5"/>
  <c r="H507" i="5"/>
  <c r="G507" i="5"/>
  <c r="F507" i="5"/>
  <c r="E507" i="5"/>
  <c r="D507" i="5"/>
  <c r="L506" i="5"/>
  <c r="K506" i="5"/>
  <c r="J506" i="5"/>
  <c r="H506" i="5"/>
  <c r="G506" i="5"/>
  <c r="F506" i="5"/>
  <c r="E506" i="5"/>
  <c r="D506" i="5"/>
  <c r="L505" i="5"/>
  <c r="K505" i="5"/>
  <c r="J505" i="5"/>
  <c r="H505" i="5"/>
  <c r="G505" i="5"/>
  <c r="F505" i="5"/>
  <c r="E505" i="5"/>
  <c r="D505" i="5"/>
  <c r="L504" i="5"/>
  <c r="K504" i="5"/>
  <c r="J504" i="5"/>
  <c r="H504" i="5"/>
  <c r="G504" i="5"/>
  <c r="F504" i="5"/>
  <c r="E504" i="5"/>
  <c r="D504" i="5"/>
  <c r="L503" i="5"/>
  <c r="K503" i="5"/>
  <c r="J503" i="5"/>
  <c r="H503" i="5"/>
  <c r="G503" i="5"/>
  <c r="F503" i="5"/>
  <c r="E503" i="5"/>
  <c r="D503" i="5"/>
  <c r="L502" i="5"/>
  <c r="K502" i="5"/>
  <c r="J502" i="5"/>
  <c r="H502" i="5"/>
  <c r="G502" i="5"/>
  <c r="F502" i="5"/>
  <c r="E502" i="5"/>
  <c r="D502" i="5"/>
  <c r="L501" i="5"/>
  <c r="K501" i="5"/>
  <c r="J501" i="5"/>
  <c r="H501" i="5"/>
  <c r="G501" i="5"/>
  <c r="F501" i="5"/>
  <c r="E501" i="5"/>
  <c r="D501" i="5"/>
  <c r="L500" i="5"/>
  <c r="K500" i="5"/>
  <c r="J500" i="5"/>
  <c r="H500" i="5"/>
  <c r="G500" i="5"/>
  <c r="F500" i="5"/>
  <c r="E500" i="5"/>
  <c r="D500" i="5"/>
  <c r="L499" i="5"/>
  <c r="K499" i="5"/>
  <c r="J499" i="5"/>
  <c r="H499" i="5"/>
  <c r="G499" i="5"/>
  <c r="F499" i="5"/>
  <c r="E499" i="5"/>
  <c r="D499" i="5"/>
  <c r="L498" i="5"/>
  <c r="K498" i="5"/>
  <c r="J498" i="5"/>
  <c r="H498" i="5"/>
  <c r="G498" i="5"/>
  <c r="F498" i="5"/>
  <c r="E498" i="5"/>
  <c r="D498" i="5"/>
  <c r="L497" i="5"/>
  <c r="K497" i="5"/>
  <c r="J497" i="5"/>
  <c r="H497" i="5"/>
  <c r="G497" i="5"/>
  <c r="F497" i="5"/>
  <c r="E497" i="5"/>
  <c r="D497" i="5"/>
  <c r="L496" i="5"/>
  <c r="K496" i="5"/>
  <c r="J496" i="5"/>
  <c r="H496" i="5"/>
  <c r="G496" i="5"/>
  <c r="F496" i="5"/>
  <c r="E496" i="5"/>
  <c r="D496" i="5"/>
  <c r="L495" i="5"/>
  <c r="K495" i="5"/>
  <c r="J495" i="5"/>
  <c r="H495" i="5"/>
  <c r="G495" i="5"/>
  <c r="F495" i="5"/>
  <c r="E495" i="5"/>
  <c r="D495" i="5"/>
  <c r="L494" i="5"/>
  <c r="K494" i="5"/>
  <c r="J494" i="5"/>
  <c r="H494" i="5"/>
  <c r="G494" i="5"/>
  <c r="F494" i="5"/>
  <c r="E494" i="5"/>
  <c r="D494" i="5"/>
  <c r="L493" i="5"/>
  <c r="K493" i="5"/>
  <c r="J493" i="5"/>
  <c r="H493" i="5"/>
  <c r="G493" i="5"/>
  <c r="F493" i="5"/>
  <c r="E493" i="5"/>
  <c r="D493" i="5"/>
  <c r="L492" i="5"/>
  <c r="K492" i="5"/>
  <c r="J492" i="5"/>
  <c r="H492" i="5"/>
  <c r="G492" i="5"/>
  <c r="F492" i="5"/>
  <c r="E492" i="5"/>
  <c r="D492" i="5"/>
  <c r="L491" i="5"/>
  <c r="K491" i="5"/>
  <c r="J491" i="5"/>
  <c r="H491" i="5"/>
  <c r="G491" i="5"/>
  <c r="F491" i="5"/>
  <c r="E491" i="5"/>
  <c r="D491" i="5"/>
  <c r="L490" i="5"/>
  <c r="K490" i="5"/>
  <c r="J490" i="5"/>
  <c r="H490" i="5"/>
  <c r="G490" i="5"/>
  <c r="F490" i="5"/>
  <c r="E490" i="5"/>
  <c r="D490" i="5"/>
  <c r="L489" i="5"/>
  <c r="K489" i="5"/>
  <c r="J489" i="5"/>
  <c r="H489" i="5"/>
  <c r="G489" i="5"/>
  <c r="F489" i="5"/>
  <c r="E489" i="5"/>
  <c r="D489" i="5"/>
  <c r="L488" i="5"/>
  <c r="K488" i="5"/>
  <c r="J488" i="5"/>
  <c r="H488" i="5"/>
  <c r="G488" i="5"/>
  <c r="F488" i="5"/>
  <c r="E488" i="5"/>
  <c r="D488" i="5"/>
  <c r="L487" i="5"/>
  <c r="K487" i="5"/>
  <c r="J487" i="5"/>
  <c r="H487" i="5"/>
  <c r="G487" i="5"/>
  <c r="F487" i="5"/>
  <c r="E487" i="5"/>
  <c r="D487" i="5"/>
  <c r="L486" i="5"/>
  <c r="K486" i="5"/>
  <c r="J486" i="5"/>
  <c r="H486" i="5"/>
  <c r="G486" i="5"/>
  <c r="F486" i="5"/>
  <c r="E486" i="5"/>
  <c r="D486" i="5"/>
  <c r="L485" i="5"/>
  <c r="K485" i="5"/>
  <c r="J485" i="5"/>
  <c r="H485" i="5"/>
  <c r="G485" i="5"/>
  <c r="F485" i="5"/>
  <c r="E485" i="5"/>
  <c r="D485" i="5"/>
  <c r="L484" i="5"/>
  <c r="K484" i="5"/>
  <c r="J484" i="5"/>
  <c r="H484" i="5"/>
  <c r="G484" i="5"/>
  <c r="F484" i="5"/>
  <c r="E484" i="5"/>
  <c r="D484" i="5"/>
  <c r="L483" i="5"/>
  <c r="K483" i="5"/>
  <c r="J483" i="5"/>
  <c r="H483" i="5"/>
  <c r="G483" i="5"/>
  <c r="F483" i="5"/>
  <c r="E483" i="5"/>
  <c r="D483" i="5"/>
  <c r="L482" i="5"/>
  <c r="K482" i="5"/>
  <c r="J482" i="5"/>
  <c r="H482" i="5"/>
  <c r="G482" i="5"/>
  <c r="F482" i="5"/>
  <c r="E482" i="5"/>
  <c r="D482" i="5"/>
  <c r="L481" i="5"/>
  <c r="K481" i="5"/>
  <c r="J481" i="5"/>
  <c r="H481" i="5"/>
  <c r="G481" i="5"/>
  <c r="F481" i="5"/>
  <c r="E481" i="5"/>
  <c r="D481" i="5"/>
  <c r="L480" i="5"/>
  <c r="K480" i="5"/>
  <c r="J480" i="5"/>
  <c r="H480" i="5"/>
  <c r="G480" i="5"/>
  <c r="F480" i="5"/>
  <c r="E480" i="5"/>
  <c r="D480" i="5"/>
  <c r="L479" i="5"/>
  <c r="K479" i="5"/>
  <c r="J479" i="5"/>
  <c r="H479" i="5"/>
  <c r="G479" i="5"/>
  <c r="F479" i="5"/>
  <c r="E479" i="5"/>
  <c r="D479" i="5"/>
  <c r="L478" i="5"/>
  <c r="K478" i="5"/>
  <c r="J478" i="5"/>
  <c r="H478" i="5"/>
  <c r="G478" i="5"/>
  <c r="F478" i="5"/>
  <c r="E478" i="5"/>
  <c r="D478" i="5"/>
  <c r="L477" i="5"/>
  <c r="K477" i="5"/>
  <c r="J477" i="5"/>
  <c r="H477" i="5"/>
  <c r="G477" i="5"/>
  <c r="F477" i="5"/>
  <c r="E477" i="5"/>
  <c r="D477" i="5"/>
  <c r="L476" i="5"/>
  <c r="K476" i="5"/>
  <c r="J476" i="5"/>
  <c r="H476" i="5"/>
  <c r="G476" i="5"/>
  <c r="F476" i="5"/>
  <c r="E476" i="5"/>
  <c r="D476" i="5"/>
  <c r="L475" i="5"/>
  <c r="K475" i="5"/>
  <c r="J475" i="5"/>
  <c r="H475" i="5"/>
  <c r="G475" i="5"/>
  <c r="F475" i="5"/>
  <c r="E475" i="5"/>
  <c r="D475" i="5"/>
  <c r="L474" i="5"/>
  <c r="K474" i="5"/>
  <c r="J474" i="5"/>
  <c r="H474" i="5"/>
  <c r="G474" i="5"/>
  <c r="F474" i="5"/>
  <c r="E474" i="5"/>
  <c r="D474" i="5"/>
  <c r="L473" i="5"/>
  <c r="K473" i="5"/>
  <c r="J473" i="5"/>
  <c r="H473" i="5"/>
  <c r="G473" i="5"/>
  <c r="F473" i="5"/>
  <c r="E473" i="5"/>
  <c r="D473" i="5"/>
  <c r="L472" i="5"/>
  <c r="K472" i="5"/>
  <c r="J472" i="5"/>
  <c r="H472" i="5"/>
  <c r="G472" i="5"/>
  <c r="F472" i="5"/>
  <c r="E472" i="5"/>
  <c r="D472" i="5"/>
  <c r="L471" i="5"/>
  <c r="K471" i="5"/>
  <c r="J471" i="5"/>
  <c r="H471" i="5"/>
  <c r="G471" i="5"/>
  <c r="F471" i="5"/>
  <c r="E471" i="5"/>
  <c r="D471" i="5"/>
  <c r="L470" i="5"/>
  <c r="K470" i="5"/>
  <c r="J470" i="5"/>
  <c r="H470" i="5"/>
  <c r="G470" i="5"/>
  <c r="F470" i="5"/>
  <c r="E470" i="5"/>
  <c r="D470" i="5"/>
  <c r="L469" i="5"/>
  <c r="K469" i="5"/>
  <c r="J469" i="5"/>
  <c r="H469" i="5"/>
  <c r="G469" i="5"/>
  <c r="F469" i="5"/>
  <c r="E469" i="5"/>
  <c r="D469" i="5"/>
  <c r="L468" i="5"/>
  <c r="K468" i="5"/>
  <c r="J468" i="5"/>
  <c r="H468" i="5"/>
  <c r="G468" i="5"/>
  <c r="F468" i="5"/>
  <c r="E468" i="5"/>
  <c r="D468" i="5"/>
  <c r="L467" i="5"/>
  <c r="K467" i="5"/>
  <c r="J467" i="5"/>
  <c r="H467" i="5"/>
  <c r="G467" i="5"/>
  <c r="F467" i="5"/>
  <c r="E467" i="5"/>
  <c r="D467" i="5"/>
  <c r="L466" i="5"/>
  <c r="K466" i="5"/>
  <c r="J466" i="5"/>
  <c r="H466" i="5"/>
  <c r="G466" i="5"/>
  <c r="F466" i="5"/>
  <c r="E466" i="5"/>
  <c r="D466" i="5"/>
  <c r="L465" i="5"/>
  <c r="K465" i="5"/>
  <c r="J465" i="5"/>
  <c r="H465" i="5"/>
  <c r="G465" i="5"/>
  <c r="F465" i="5"/>
  <c r="E465" i="5"/>
  <c r="D465" i="5"/>
  <c r="L464" i="5"/>
  <c r="K464" i="5"/>
  <c r="J464" i="5"/>
  <c r="H464" i="5"/>
  <c r="G464" i="5"/>
  <c r="F464" i="5"/>
  <c r="E464" i="5"/>
  <c r="D464" i="5"/>
  <c r="L463" i="5"/>
  <c r="K463" i="5"/>
  <c r="J463" i="5"/>
  <c r="H463" i="5"/>
  <c r="G463" i="5"/>
  <c r="F463" i="5"/>
  <c r="E463" i="5"/>
  <c r="D463" i="5"/>
  <c r="L462" i="5"/>
  <c r="K462" i="5"/>
  <c r="J462" i="5"/>
  <c r="H462" i="5"/>
  <c r="G462" i="5"/>
  <c r="F462" i="5"/>
  <c r="E462" i="5"/>
  <c r="D462" i="5"/>
  <c r="L461" i="5"/>
  <c r="K461" i="5"/>
  <c r="J461" i="5"/>
  <c r="H461" i="5"/>
  <c r="G461" i="5"/>
  <c r="F461" i="5"/>
  <c r="E461" i="5"/>
  <c r="D461" i="5"/>
  <c r="L460" i="5"/>
  <c r="K460" i="5"/>
  <c r="J460" i="5"/>
  <c r="H460" i="5"/>
  <c r="G460" i="5"/>
  <c r="F460" i="5"/>
  <c r="E460" i="5"/>
  <c r="D460" i="5"/>
  <c r="L459" i="5"/>
  <c r="K459" i="5"/>
  <c r="J459" i="5"/>
  <c r="H459" i="5"/>
  <c r="G459" i="5"/>
  <c r="F459" i="5"/>
  <c r="E459" i="5"/>
  <c r="D459" i="5"/>
  <c r="L458" i="5"/>
  <c r="K458" i="5"/>
  <c r="J458" i="5"/>
  <c r="H458" i="5"/>
  <c r="G458" i="5"/>
  <c r="F458" i="5"/>
  <c r="E458" i="5"/>
  <c r="D458" i="5"/>
  <c r="L457" i="5"/>
  <c r="K457" i="5"/>
  <c r="J457" i="5"/>
  <c r="H457" i="5"/>
  <c r="G457" i="5"/>
  <c r="F457" i="5"/>
  <c r="E457" i="5"/>
  <c r="D457" i="5"/>
  <c r="L456" i="5"/>
  <c r="K456" i="5"/>
  <c r="J456" i="5"/>
  <c r="H456" i="5"/>
  <c r="G456" i="5"/>
  <c r="F456" i="5"/>
  <c r="E456" i="5"/>
  <c r="D456" i="5"/>
  <c r="L455" i="5"/>
  <c r="K455" i="5"/>
  <c r="J455" i="5"/>
  <c r="H455" i="5"/>
  <c r="G455" i="5"/>
  <c r="F455" i="5"/>
  <c r="E455" i="5"/>
  <c r="D455" i="5"/>
  <c r="L454" i="5"/>
  <c r="K454" i="5"/>
  <c r="J454" i="5"/>
  <c r="H454" i="5"/>
  <c r="G454" i="5"/>
  <c r="F454" i="5"/>
  <c r="E454" i="5"/>
  <c r="D454" i="5"/>
  <c r="L453" i="5"/>
  <c r="K453" i="5"/>
  <c r="J453" i="5"/>
  <c r="H453" i="5"/>
  <c r="G453" i="5"/>
  <c r="F453" i="5"/>
  <c r="E453" i="5"/>
  <c r="D453" i="5"/>
  <c r="L452" i="5"/>
  <c r="K452" i="5"/>
  <c r="J452" i="5"/>
  <c r="H452" i="5"/>
  <c r="G452" i="5"/>
  <c r="F452" i="5"/>
  <c r="E452" i="5"/>
  <c r="D452" i="5"/>
  <c r="L451" i="5"/>
  <c r="K451" i="5"/>
  <c r="J451" i="5"/>
  <c r="H451" i="5"/>
  <c r="G451" i="5"/>
  <c r="F451" i="5"/>
  <c r="E451" i="5"/>
  <c r="D451" i="5"/>
  <c r="L450" i="5"/>
  <c r="K450" i="5"/>
  <c r="J450" i="5"/>
  <c r="H450" i="5"/>
  <c r="G450" i="5"/>
  <c r="F450" i="5"/>
  <c r="E450" i="5"/>
  <c r="D450" i="5"/>
  <c r="L449" i="5"/>
  <c r="K449" i="5"/>
  <c r="J449" i="5"/>
  <c r="H449" i="5"/>
  <c r="G449" i="5"/>
  <c r="F449" i="5"/>
  <c r="E449" i="5"/>
  <c r="D449" i="5"/>
  <c r="L448" i="5"/>
  <c r="K448" i="5"/>
  <c r="J448" i="5"/>
  <c r="H448" i="5"/>
  <c r="G448" i="5"/>
  <c r="F448" i="5"/>
  <c r="E448" i="5"/>
  <c r="D448" i="5"/>
  <c r="L447" i="5"/>
  <c r="K447" i="5"/>
  <c r="J447" i="5"/>
  <c r="H447" i="5"/>
  <c r="G447" i="5"/>
  <c r="F447" i="5"/>
  <c r="E447" i="5"/>
  <c r="D447" i="5"/>
  <c r="L446" i="5"/>
  <c r="K446" i="5"/>
  <c r="J446" i="5"/>
  <c r="H446" i="5"/>
  <c r="G446" i="5"/>
  <c r="F446" i="5"/>
  <c r="E446" i="5"/>
  <c r="D446" i="5"/>
  <c r="L445" i="5"/>
  <c r="K445" i="5"/>
  <c r="J445" i="5"/>
  <c r="H445" i="5"/>
  <c r="G445" i="5"/>
  <c r="F445" i="5"/>
  <c r="E445" i="5"/>
  <c r="D445" i="5"/>
  <c r="L444" i="5"/>
  <c r="K444" i="5"/>
  <c r="J444" i="5"/>
  <c r="H444" i="5"/>
  <c r="G444" i="5"/>
  <c r="F444" i="5"/>
  <c r="E444" i="5"/>
  <c r="D444" i="5"/>
  <c r="L443" i="5"/>
  <c r="K443" i="5"/>
  <c r="J443" i="5"/>
  <c r="H443" i="5"/>
  <c r="G443" i="5"/>
  <c r="F443" i="5"/>
  <c r="E443" i="5"/>
  <c r="D443" i="5"/>
  <c r="L442" i="5"/>
  <c r="K442" i="5"/>
  <c r="J442" i="5"/>
  <c r="H442" i="5"/>
  <c r="G442" i="5"/>
  <c r="F442" i="5"/>
  <c r="E442" i="5"/>
  <c r="D442" i="5"/>
  <c r="L441" i="5"/>
  <c r="K441" i="5"/>
  <c r="J441" i="5"/>
  <c r="H441" i="5"/>
  <c r="G441" i="5"/>
  <c r="F441" i="5"/>
  <c r="E441" i="5"/>
  <c r="D441" i="5"/>
  <c r="L440" i="5"/>
  <c r="K440" i="5"/>
  <c r="J440" i="5"/>
  <c r="H440" i="5"/>
  <c r="G440" i="5"/>
  <c r="F440" i="5"/>
  <c r="E440" i="5"/>
  <c r="D440" i="5"/>
  <c r="L439" i="5"/>
  <c r="K439" i="5"/>
  <c r="J439" i="5"/>
  <c r="H439" i="5"/>
  <c r="G439" i="5"/>
  <c r="F439" i="5"/>
  <c r="E439" i="5"/>
  <c r="D439" i="5"/>
  <c r="L438" i="5"/>
  <c r="K438" i="5"/>
  <c r="J438" i="5"/>
  <c r="H438" i="5"/>
  <c r="G438" i="5"/>
  <c r="F438" i="5"/>
  <c r="E438" i="5"/>
  <c r="D438" i="5"/>
  <c r="L437" i="5"/>
  <c r="K437" i="5"/>
  <c r="J437" i="5"/>
  <c r="H437" i="5"/>
  <c r="G437" i="5"/>
  <c r="F437" i="5"/>
  <c r="E437" i="5"/>
  <c r="D437" i="5"/>
  <c r="L436" i="5"/>
  <c r="K436" i="5"/>
  <c r="J436" i="5"/>
  <c r="H436" i="5"/>
  <c r="G436" i="5"/>
  <c r="F436" i="5"/>
  <c r="E436" i="5"/>
  <c r="D436" i="5"/>
  <c r="L435" i="5"/>
  <c r="K435" i="5"/>
  <c r="J435" i="5"/>
  <c r="H435" i="5"/>
  <c r="G435" i="5"/>
  <c r="F435" i="5"/>
  <c r="E435" i="5"/>
  <c r="D435" i="5"/>
  <c r="L434" i="5"/>
  <c r="K434" i="5"/>
  <c r="J434" i="5"/>
  <c r="H434" i="5"/>
  <c r="G434" i="5"/>
  <c r="F434" i="5"/>
  <c r="E434" i="5"/>
  <c r="D434" i="5"/>
  <c r="L433" i="5"/>
  <c r="K433" i="5"/>
  <c r="J433" i="5"/>
  <c r="H433" i="5"/>
  <c r="G433" i="5"/>
  <c r="F433" i="5"/>
  <c r="E433" i="5"/>
  <c r="D433" i="5"/>
  <c r="L432" i="5"/>
  <c r="K432" i="5"/>
  <c r="J432" i="5"/>
  <c r="H432" i="5"/>
  <c r="G432" i="5"/>
  <c r="F432" i="5"/>
  <c r="E432" i="5"/>
  <c r="D432" i="5"/>
  <c r="L431" i="5"/>
  <c r="K431" i="5"/>
  <c r="J431" i="5"/>
  <c r="H431" i="5"/>
  <c r="G431" i="5"/>
  <c r="F431" i="5"/>
  <c r="E431" i="5"/>
  <c r="D431" i="5"/>
  <c r="L430" i="5"/>
  <c r="K430" i="5"/>
  <c r="J430" i="5"/>
  <c r="H430" i="5"/>
  <c r="G430" i="5"/>
  <c r="F430" i="5"/>
  <c r="E430" i="5"/>
  <c r="D430" i="5"/>
  <c r="L429" i="5"/>
  <c r="K429" i="5"/>
  <c r="J429" i="5"/>
  <c r="H429" i="5"/>
  <c r="G429" i="5"/>
  <c r="F429" i="5"/>
  <c r="E429" i="5"/>
  <c r="D429" i="5"/>
  <c r="L428" i="5"/>
  <c r="K428" i="5"/>
  <c r="J428" i="5"/>
  <c r="H428" i="5"/>
  <c r="G428" i="5"/>
  <c r="F428" i="5"/>
  <c r="E428" i="5"/>
  <c r="D428" i="5"/>
  <c r="L427" i="5"/>
  <c r="K427" i="5"/>
  <c r="J427" i="5"/>
  <c r="H427" i="5"/>
  <c r="G427" i="5"/>
  <c r="F427" i="5"/>
  <c r="E427" i="5"/>
  <c r="D427" i="5"/>
  <c r="L426" i="5"/>
  <c r="K426" i="5"/>
  <c r="J426" i="5"/>
  <c r="H426" i="5"/>
  <c r="G426" i="5"/>
  <c r="F426" i="5"/>
  <c r="E426" i="5"/>
  <c r="D426" i="5"/>
  <c r="L425" i="5"/>
  <c r="K425" i="5"/>
  <c r="J425" i="5"/>
  <c r="H425" i="5"/>
  <c r="G425" i="5"/>
  <c r="F425" i="5"/>
  <c r="E425" i="5"/>
  <c r="D425" i="5"/>
  <c r="L424" i="5"/>
  <c r="K424" i="5"/>
  <c r="J424" i="5"/>
  <c r="H424" i="5"/>
  <c r="G424" i="5"/>
  <c r="F424" i="5"/>
  <c r="E424" i="5"/>
  <c r="D424" i="5"/>
  <c r="L423" i="5"/>
  <c r="K423" i="5"/>
  <c r="J423" i="5"/>
  <c r="H423" i="5"/>
  <c r="G423" i="5"/>
  <c r="F423" i="5"/>
  <c r="E423" i="5"/>
  <c r="D423" i="5"/>
  <c r="L422" i="5"/>
  <c r="K422" i="5"/>
  <c r="J422" i="5"/>
  <c r="H422" i="5"/>
  <c r="G422" i="5"/>
  <c r="F422" i="5"/>
  <c r="E422" i="5"/>
  <c r="D422" i="5"/>
  <c r="L421" i="5"/>
  <c r="K421" i="5"/>
  <c r="J421" i="5"/>
  <c r="H421" i="5"/>
  <c r="G421" i="5"/>
  <c r="F421" i="5"/>
  <c r="E421" i="5"/>
  <c r="D421" i="5"/>
  <c r="L420" i="5"/>
  <c r="K420" i="5"/>
  <c r="J420" i="5"/>
  <c r="H420" i="5"/>
  <c r="G420" i="5"/>
  <c r="F420" i="5"/>
  <c r="E420" i="5"/>
  <c r="D420" i="5"/>
  <c r="L419" i="5"/>
  <c r="K419" i="5"/>
  <c r="J419" i="5"/>
  <c r="H419" i="5"/>
  <c r="G419" i="5"/>
  <c r="F419" i="5"/>
  <c r="E419" i="5"/>
  <c r="D419" i="5"/>
  <c r="L418" i="5"/>
  <c r="K418" i="5"/>
  <c r="J418" i="5"/>
  <c r="H418" i="5"/>
  <c r="G418" i="5"/>
  <c r="F418" i="5"/>
  <c r="E418" i="5"/>
  <c r="D418" i="5"/>
  <c r="L417" i="5"/>
  <c r="K417" i="5"/>
  <c r="J417" i="5"/>
  <c r="H417" i="5"/>
  <c r="G417" i="5"/>
  <c r="F417" i="5"/>
  <c r="E417" i="5"/>
  <c r="D417" i="5"/>
  <c r="L416" i="5"/>
  <c r="K416" i="5"/>
  <c r="J416" i="5"/>
  <c r="H416" i="5"/>
  <c r="G416" i="5"/>
  <c r="F416" i="5"/>
  <c r="E416" i="5"/>
  <c r="D416" i="5"/>
  <c r="L415" i="5"/>
  <c r="K415" i="5"/>
  <c r="J415" i="5"/>
  <c r="H415" i="5"/>
  <c r="G415" i="5"/>
  <c r="F415" i="5"/>
  <c r="E415" i="5"/>
  <c r="D415" i="5"/>
  <c r="L414" i="5"/>
  <c r="K414" i="5"/>
  <c r="J414" i="5"/>
  <c r="H414" i="5"/>
  <c r="G414" i="5"/>
  <c r="F414" i="5"/>
  <c r="E414" i="5"/>
  <c r="D414" i="5"/>
  <c r="L413" i="5"/>
  <c r="K413" i="5"/>
  <c r="J413" i="5"/>
  <c r="H413" i="5"/>
  <c r="G413" i="5"/>
  <c r="F413" i="5"/>
  <c r="E413" i="5"/>
  <c r="D413" i="5"/>
  <c r="L412" i="5"/>
  <c r="K412" i="5"/>
  <c r="J412" i="5"/>
  <c r="H412" i="5"/>
  <c r="G412" i="5"/>
  <c r="F412" i="5"/>
  <c r="E412" i="5"/>
  <c r="D412" i="5"/>
  <c r="L411" i="5"/>
  <c r="K411" i="5"/>
  <c r="J411" i="5"/>
  <c r="H411" i="5"/>
  <c r="G411" i="5"/>
  <c r="F411" i="5"/>
  <c r="E411" i="5"/>
  <c r="D411" i="5"/>
  <c r="L410" i="5"/>
  <c r="K410" i="5"/>
  <c r="J410" i="5"/>
  <c r="H410" i="5"/>
  <c r="G410" i="5"/>
  <c r="F410" i="5"/>
  <c r="E410" i="5"/>
  <c r="D410" i="5"/>
  <c r="L409" i="5"/>
  <c r="K409" i="5"/>
  <c r="J409" i="5"/>
  <c r="H409" i="5"/>
  <c r="G409" i="5"/>
  <c r="F409" i="5"/>
  <c r="E409" i="5"/>
  <c r="D409" i="5"/>
  <c r="L408" i="5"/>
  <c r="K408" i="5"/>
  <c r="J408" i="5"/>
  <c r="H408" i="5"/>
  <c r="G408" i="5"/>
  <c r="F408" i="5"/>
  <c r="E408" i="5"/>
  <c r="D408" i="5"/>
  <c r="L407" i="5"/>
  <c r="K407" i="5"/>
  <c r="J407" i="5"/>
  <c r="H407" i="5"/>
  <c r="G407" i="5"/>
  <c r="F407" i="5"/>
  <c r="E407" i="5"/>
  <c r="D407" i="5"/>
  <c r="L406" i="5"/>
  <c r="K406" i="5"/>
  <c r="J406" i="5"/>
  <c r="H406" i="5"/>
  <c r="G406" i="5"/>
  <c r="F406" i="5"/>
  <c r="E406" i="5"/>
  <c r="D406" i="5"/>
  <c r="L405" i="5"/>
  <c r="K405" i="5"/>
  <c r="J405" i="5"/>
  <c r="H405" i="5"/>
  <c r="G405" i="5"/>
  <c r="F405" i="5"/>
  <c r="E405" i="5"/>
  <c r="D405" i="5"/>
  <c r="L404" i="5"/>
  <c r="K404" i="5"/>
  <c r="J404" i="5"/>
  <c r="H404" i="5"/>
  <c r="G404" i="5"/>
  <c r="F404" i="5"/>
  <c r="E404" i="5"/>
  <c r="D404" i="5"/>
  <c r="L403" i="5"/>
  <c r="K403" i="5"/>
  <c r="J403" i="5"/>
  <c r="H403" i="5"/>
  <c r="G403" i="5"/>
  <c r="F403" i="5"/>
  <c r="E403" i="5"/>
  <c r="D403" i="5"/>
  <c r="L402" i="5"/>
  <c r="K402" i="5"/>
  <c r="J402" i="5"/>
  <c r="H402" i="5"/>
  <c r="G402" i="5"/>
  <c r="F402" i="5"/>
  <c r="E402" i="5"/>
  <c r="D402" i="5"/>
  <c r="L401" i="5"/>
  <c r="K401" i="5"/>
  <c r="J401" i="5"/>
  <c r="H401" i="5"/>
  <c r="G401" i="5"/>
  <c r="F401" i="5"/>
  <c r="E401" i="5"/>
  <c r="D401" i="5"/>
  <c r="L400" i="5"/>
  <c r="K400" i="5"/>
  <c r="J400" i="5"/>
  <c r="H400" i="5"/>
  <c r="G400" i="5"/>
  <c r="F400" i="5"/>
  <c r="E400" i="5"/>
  <c r="D400" i="5"/>
  <c r="L399" i="5"/>
  <c r="K399" i="5"/>
  <c r="J399" i="5"/>
  <c r="H399" i="5"/>
  <c r="G399" i="5"/>
  <c r="F399" i="5"/>
  <c r="E399" i="5"/>
  <c r="D399" i="5"/>
  <c r="L398" i="5"/>
  <c r="K398" i="5"/>
  <c r="J398" i="5"/>
  <c r="H398" i="5"/>
  <c r="G398" i="5"/>
  <c r="F398" i="5"/>
  <c r="E398" i="5"/>
  <c r="D398" i="5"/>
  <c r="L397" i="5"/>
  <c r="K397" i="5"/>
  <c r="J397" i="5"/>
  <c r="H397" i="5"/>
  <c r="G397" i="5"/>
  <c r="F397" i="5"/>
  <c r="E397" i="5"/>
  <c r="D397" i="5"/>
  <c r="L396" i="5"/>
  <c r="K396" i="5"/>
  <c r="J396" i="5"/>
  <c r="H396" i="5"/>
  <c r="G396" i="5"/>
  <c r="F396" i="5"/>
  <c r="E396" i="5"/>
  <c r="D396" i="5"/>
  <c r="L395" i="5"/>
  <c r="K395" i="5"/>
  <c r="J395" i="5"/>
  <c r="H395" i="5"/>
  <c r="G395" i="5"/>
  <c r="F395" i="5"/>
  <c r="E395" i="5"/>
  <c r="D395" i="5"/>
  <c r="L394" i="5"/>
  <c r="K394" i="5"/>
  <c r="J394" i="5"/>
  <c r="H394" i="5"/>
  <c r="G394" i="5"/>
  <c r="F394" i="5"/>
  <c r="E394" i="5"/>
  <c r="D394" i="5"/>
  <c r="L393" i="5"/>
  <c r="K393" i="5"/>
  <c r="J393" i="5"/>
  <c r="H393" i="5"/>
  <c r="G393" i="5"/>
  <c r="F393" i="5"/>
  <c r="E393" i="5"/>
  <c r="D393" i="5"/>
  <c r="L392" i="5"/>
  <c r="K392" i="5"/>
  <c r="J392" i="5"/>
  <c r="H392" i="5"/>
  <c r="G392" i="5"/>
  <c r="F392" i="5"/>
  <c r="E392" i="5"/>
  <c r="D392" i="5"/>
  <c r="L391" i="5"/>
  <c r="K391" i="5"/>
  <c r="J391" i="5"/>
  <c r="H391" i="5"/>
  <c r="G391" i="5"/>
  <c r="F391" i="5"/>
  <c r="E391" i="5"/>
  <c r="D391" i="5"/>
  <c r="L390" i="5"/>
  <c r="K390" i="5"/>
  <c r="J390" i="5"/>
  <c r="H390" i="5"/>
  <c r="G390" i="5"/>
  <c r="F390" i="5"/>
  <c r="E390" i="5"/>
  <c r="D390" i="5"/>
  <c r="L389" i="5"/>
  <c r="K389" i="5"/>
  <c r="J389" i="5"/>
  <c r="H389" i="5"/>
  <c r="G389" i="5"/>
  <c r="F389" i="5"/>
  <c r="E389" i="5"/>
  <c r="D389" i="5"/>
  <c r="L388" i="5"/>
  <c r="K388" i="5"/>
  <c r="J388" i="5"/>
  <c r="H388" i="5"/>
  <c r="G388" i="5"/>
  <c r="F388" i="5"/>
  <c r="E388" i="5"/>
  <c r="D388" i="5"/>
  <c r="L387" i="5"/>
  <c r="K387" i="5"/>
  <c r="J387" i="5"/>
  <c r="H387" i="5"/>
  <c r="G387" i="5"/>
  <c r="F387" i="5"/>
  <c r="E387" i="5"/>
  <c r="D387" i="5"/>
  <c r="L386" i="5"/>
  <c r="K386" i="5"/>
  <c r="J386" i="5"/>
  <c r="H386" i="5"/>
  <c r="G386" i="5"/>
  <c r="F386" i="5"/>
  <c r="E386" i="5"/>
  <c r="D386" i="5"/>
  <c r="L385" i="5"/>
  <c r="K385" i="5"/>
  <c r="J385" i="5"/>
  <c r="H385" i="5"/>
  <c r="G385" i="5"/>
  <c r="F385" i="5"/>
  <c r="E385" i="5"/>
  <c r="D385" i="5"/>
  <c r="L384" i="5"/>
  <c r="K384" i="5"/>
  <c r="J384" i="5"/>
  <c r="H384" i="5"/>
  <c r="G384" i="5"/>
  <c r="F384" i="5"/>
  <c r="E384" i="5"/>
  <c r="D384" i="5"/>
  <c r="L383" i="5"/>
  <c r="K383" i="5"/>
  <c r="J383" i="5"/>
  <c r="H383" i="5"/>
  <c r="G383" i="5"/>
  <c r="F383" i="5"/>
  <c r="E383" i="5"/>
  <c r="D383" i="5"/>
  <c r="L382" i="5"/>
  <c r="K382" i="5"/>
  <c r="J382" i="5"/>
  <c r="H382" i="5"/>
  <c r="G382" i="5"/>
  <c r="F382" i="5"/>
  <c r="E382" i="5"/>
  <c r="D382" i="5"/>
  <c r="L381" i="5"/>
  <c r="K381" i="5"/>
  <c r="J381" i="5"/>
  <c r="H381" i="5"/>
  <c r="G381" i="5"/>
  <c r="F381" i="5"/>
  <c r="E381" i="5"/>
  <c r="D381" i="5"/>
  <c r="L380" i="5"/>
  <c r="K380" i="5"/>
  <c r="J380" i="5"/>
  <c r="H380" i="5"/>
  <c r="G380" i="5"/>
  <c r="F380" i="5"/>
  <c r="E380" i="5"/>
  <c r="D380" i="5"/>
  <c r="L379" i="5"/>
  <c r="K379" i="5"/>
  <c r="J379" i="5"/>
  <c r="H379" i="5"/>
  <c r="G379" i="5"/>
  <c r="F379" i="5"/>
  <c r="E379" i="5"/>
  <c r="D379" i="5"/>
  <c r="L378" i="5"/>
  <c r="K378" i="5"/>
  <c r="J378" i="5"/>
  <c r="H378" i="5"/>
  <c r="G378" i="5"/>
  <c r="F378" i="5"/>
  <c r="E378" i="5"/>
  <c r="D378" i="5"/>
  <c r="L377" i="5"/>
  <c r="K377" i="5"/>
  <c r="J377" i="5"/>
  <c r="H377" i="5"/>
  <c r="G377" i="5"/>
  <c r="F377" i="5"/>
  <c r="E377" i="5"/>
  <c r="D377" i="5"/>
  <c r="L376" i="5"/>
  <c r="K376" i="5"/>
  <c r="J376" i="5"/>
  <c r="H376" i="5"/>
  <c r="G376" i="5"/>
  <c r="F376" i="5"/>
  <c r="E376" i="5"/>
  <c r="D376" i="5"/>
  <c r="L375" i="5"/>
  <c r="K375" i="5"/>
  <c r="J375" i="5"/>
  <c r="H375" i="5"/>
  <c r="G375" i="5"/>
  <c r="F375" i="5"/>
  <c r="E375" i="5"/>
  <c r="D375" i="5"/>
  <c r="L374" i="5"/>
  <c r="K374" i="5"/>
  <c r="J374" i="5"/>
  <c r="H374" i="5"/>
  <c r="G374" i="5"/>
  <c r="F374" i="5"/>
  <c r="E374" i="5"/>
  <c r="D374" i="5"/>
  <c r="L373" i="5"/>
  <c r="K373" i="5"/>
  <c r="J373" i="5"/>
  <c r="H373" i="5"/>
  <c r="G373" i="5"/>
  <c r="F373" i="5"/>
  <c r="E373" i="5"/>
  <c r="D373" i="5"/>
  <c r="L372" i="5"/>
  <c r="K372" i="5"/>
  <c r="J372" i="5"/>
  <c r="H372" i="5"/>
  <c r="G372" i="5"/>
  <c r="F372" i="5"/>
  <c r="E372" i="5"/>
  <c r="D372" i="5"/>
  <c r="L371" i="5"/>
  <c r="K371" i="5"/>
  <c r="J371" i="5"/>
  <c r="H371" i="5"/>
  <c r="G371" i="5"/>
  <c r="F371" i="5"/>
  <c r="E371" i="5"/>
  <c r="D371" i="5"/>
  <c r="L370" i="5"/>
  <c r="K370" i="5"/>
  <c r="J370" i="5"/>
  <c r="H370" i="5"/>
  <c r="G370" i="5"/>
  <c r="F370" i="5"/>
  <c r="E370" i="5"/>
  <c r="D370" i="5"/>
  <c r="L369" i="5"/>
  <c r="K369" i="5"/>
  <c r="J369" i="5"/>
  <c r="H369" i="5"/>
  <c r="G369" i="5"/>
  <c r="F369" i="5"/>
  <c r="E369" i="5"/>
  <c r="D369" i="5"/>
  <c r="L368" i="5"/>
  <c r="K368" i="5"/>
  <c r="J368" i="5"/>
  <c r="H368" i="5"/>
  <c r="G368" i="5"/>
  <c r="F368" i="5"/>
  <c r="E368" i="5"/>
  <c r="D368" i="5"/>
  <c r="L367" i="5"/>
  <c r="K367" i="5"/>
  <c r="J367" i="5"/>
  <c r="H367" i="5"/>
  <c r="G367" i="5"/>
  <c r="F367" i="5"/>
  <c r="E367" i="5"/>
  <c r="D367" i="5"/>
  <c r="L366" i="5"/>
  <c r="K366" i="5"/>
  <c r="J366" i="5"/>
  <c r="H366" i="5"/>
  <c r="G366" i="5"/>
  <c r="F366" i="5"/>
  <c r="E366" i="5"/>
  <c r="D366" i="5"/>
  <c r="L365" i="5"/>
  <c r="K365" i="5"/>
  <c r="J365" i="5"/>
  <c r="H365" i="5"/>
  <c r="G365" i="5"/>
  <c r="F365" i="5"/>
  <c r="E365" i="5"/>
  <c r="D365" i="5"/>
  <c r="L364" i="5"/>
  <c r="K364" i="5"/>
  <c r="J364" i="5"/>
  <c r="H364" i="5"/>
  <c r="G364" i="5"/>
  <c r="F364" i="5"/>
  <c r="E364" i="5"/>
  <c r="D364" i="5"/>
  <c r="L363" i="5"/>
  <c r="K363" i="5"/>
  <c r="J363" i="5"/>
  <c r="H363" i="5"/>
  <c r="G363" i="5"/>
  <c r="F363" i="5"/>
  <c r="E363" i="5"/>
  <c r="D363" i="5"/>
  <c r="L362" i="5"/>
  <c r="K362" i="5"/>
  <c r="J362" i="5"/>
  <c r="H362" i="5"/>
  <c r="G362" i="5"/>
  <c r="F362" i="5"/>
  <c r="E362" i="5"/>
  <c r="D362" i="5"/>
  <c r="L361" i="5"/>
  <c r="K361" i="5"/>
  <c r="J361" i="5"/>
  <c r="H361" i="5"/>
  <c r="G361" i="5"/>
  <c r="F361" i="5"/>
  <c r="E361" i="5"/>
  <c r="D361" i="5"/>
  <c r="L360" i="5"/>
  <c r="K360" i="5"/>
  <c r="J360" i="5"/>
  <c r="H360" i="5"/>
  <c r="G360" i="5"/>
  <c r="F360" i="5"/>
  <c r="E360" i="5"/>
  <c r="D360" i="5"/>
  <c r="L359" i="5"/>
  <c r="K359" i="5"/>
  <c r="J359" i="5"/>
  <c r="H359" i="5"/>
  <c r="G359" i="5"/>
  <c r="F359" i="5"/>
  <c r="E359" i="5"/>
  <c r="D359" i="5"/>
  <c r="L358" i="5"/>
  <c r="K358" i="5"/>
  <c r="J358" i="5"/>
  <c r="H358" i="5"/>
  <c r="G358" i="5"/>
  <c r="F358" i="5"/>
  <c r="E358" i="5"/>
  <c r="D358" i="5"/>
  <c r="L357" i="5"/>
  <c r="K357" i="5"/>
  <c r="J357" i="5"/>
  <c r="H357" i="5"/>
  <c r="G357" i="5"/>
  <c r="F357" i="5"/>
  <c r="E357" i="5"/>
  <c r="D357" i="5"/>
  <c r="L356" i="5"/>
  <c r="K356" i="5"/>
  <c r="J356" i="5"/>
  <c r="H356" i="5"/>
  <c r="G356" i="5"/>
  <c r="F356" i="5"/>
  <c r="E356" i="5"/>
  <c r="D356" i="5"/>
  <c r="L355" i="5"/>
  <c r="K355" i="5"/>
  <c r="J355" i="5"/>
  <c r="H355" i="5"/>
  <c r="G355" i="5"/>
  <c r="F355" i="5"/>
  <c r="E355" i="5"/>
  <c r="D355" i="5"/>
  <c r="L354" i="5"/>
  <c r="K354" i="5"/>
  <c r="J354" i="5"/>
  <c r="H354" i="5"/>
  <c r="G354" i="5"/>
  <c r="F354" i="5"/>
  <c r="E354" i="5"/>
  <c r="D354" i="5"/>
  <c r="L353" i="5"/>
  <c r="K353" i="5"/>
  <c r="J353" i="5"/>
  <c r="H353" i="5"/>
  <c r="G353" i="5"/>
  <c r="F353" i="5"/>
  <c r="E353" i="5"/>
  <c r="D353" i="5"/>
  <c r="L352" i="5"/>
  <c r="K352" i="5"/>
  <c r="J352" i="5"/>
  <c r="H352" i="5"/>
  <c r="G352" i="5"/>
  <c r="F352" i="5"/>
  <c r="E352" i="5"/>
  <c r="D352" i="5"/>
  <c r="L351" i="5"/>
  <c r="K351" i="5"/>
  <c r="J351" i="5"/>
  <c r="H351" i="5"/>
  <c r="G351" i="5"/>
  <c r="F351" i="5"/>
  <c r="E351" i="5"/>
  <c r="D351" i="5"/>
  <c r="L350" i="5"/>
  <c r="K350" i="5"/>
  <c r="J350" i="5"/>
  <c r="H350" i="5"/>
  <c r="G350" i="5"/>
  <c r="F350" i="5"/>
  <c r="E350" i="5"/>
  <c r="D350" i="5"/>
  <c r="L349" i="5"/>
  <c r="K349" i="5"/>
  <c r="J349" i="5"/>
  <c r="H349" i="5"/>
  <c r="G349" i="5"/>
  <c r="F349" i="5"/>
  <c r="E349" i="5"/>
  <c r="D349" i="5"/>
  <c r="L348" i="5"/>
  <c r="K348" i="5"/>
  <c r="J348" i="5"/>
  <c r="H348" i="5"/>
  <c r="G348" i="5"/>
  <c r="F348" i="5"/>
  <c r="E348" i="5"/>
  <c r="D348" i="5"/>
  <c r="L347" i="5"/>
  <c r="K347" i="5"/>
  <c r="J347" i="5"/>
  <c r="H347" i="5"/>
  <c r="G347" i="5"/>
  <c r="F347" i="5"/>
  <c r="E347" i="5"/>
  <c r="D347" i="5"/>
  <c r="L346" i="5"/>
  <c r="K346" i="5"/>
  <c r="J346" i="5"/>
  <c r="H346" i="5"/>
  <c r="G346" i="5"/>
  <c r="F346" i="5"/>
  <c r="E346" i="5"/>
  <c r="D346" i="5"/>
  <c r="L345" i="5"/>
  <c r="K345" i="5"/>
  <c r="J345" i="5"/>
  <c r="H345" i="5"/>
  <c r="G345" i="5"/>
  <c r="F345" i="5"/>
  <c r="E345" i="5"/>
  <c r="D345" i="5"/>
  <c r="L344" i="5"/>
  <c r="K344" i="5"/>
  <c r="J344" i="5"/>
  <c r="H344" i="5"/>
  <c r="G344" i="5"/>
  <c r="F344" i="5"/>
  <c r="E344" i="5"/>
  <c r="D344" i="5"/>
  <c r="L343" i="5"/>
  <c r="K343" i="5"/>
  <c r="J343" i="5"/>
  <c r="H343" i="5"/>
  <c r="G343" i="5"/>
  <c r="F343" i="5"/>
  <c r="E343" i="5"/>
  <c r="D343" i="5"/>
  <c r="L342" i="5"/>
  <c r="K342" i="5"/>
  <c r="J342" i="5"/>
  <c r="H342" i="5"/>
  <c r="G342" i="5"/>
  <c r="F342" i="5"/>
  <c r="E342" i="5"/>
  <c r="D342" i="5"/>
  <c r="L341" i="5"/>
  <c r="K341" i="5"/>
  <c r="J341" i="5"/>
  <c r="H341" i="5"/>
  <c r="G341" i="5"/>
  <c r="F341" i="5"/>
  <c r="E341" i="5"/>
  <c r="D341" i="5"/>
  <c r="L340" i="5"/>
  <c r="K340" i="5"/>
  <c r="J340" i="5"/>
  <c r="H340" i="5"/>
  <c r="G340" i="5"/>
  <c r="F340" i="5"/>
  <c r="E340" i="5"/>
  <c r="D340" i="5"/>
  <c r="L339" i="5"/>
  <c r="K339" i="5"/>
  <c r="J339" i="5"/>
  <c r="H339" i="5"/>
  <c r="G339" i="5"/>
  <c r="F339" i="5"/>
  <c r="E339" i="5"/>
  <c r="D339" i="5"/>
  <c r="L338" i="5"/>
  <c r="K338" i="5"/>
  <c r="J338" i="5"/>
  <c r="H338" i="5"/>
  <c r="G338" i="5"/>
  <c r="F338" i="5"/>
  <c r="E338" i="5"/>
  <c r="D338" i="5"/>
  <c r="L337" i="5"/>
  <c r="K337" i="5"/>
  <c r="J337" i="5"/>
  <c r="H337" i="5"/>
  <c r="G337" i="5"/>
  <c r="F337" i="5"/>
  <c r="E337" i="5"/>
  <c r="D337" i="5"/>
  <c r="L336" i="5"/>
  <c r="K336" i="5"/>
  <c r="J336" i="5"/>
  <c r="H336" i="5"/>
  <c r="G336" i="5"/>
  <c r="F336" i="5"/>
  <c r="E336" i="5"/>
  <c r="D336" i="5"/>
  <c r="L335" i="5"/>
  <c r="K335" i="5"/>
  <c r="J335" i="5"/>
  <c r="H335" i="5"/>
  <c r="G335" i="5"/>
  <c r="F335" i="5"/>
  <c r="E335" i="5"/>
  <c r="D335" i="5"/>
  <c r="L334" i="5"/>
  <c r="K334" i="5"/>
  <c r="J334" i="5"/>
  <c r="H334" i="5"/>
  <c r="G334" i="5"/>
  <c r="F334" i="5"/>
  <c r="E334" i="5"/>
  <c r="D334" i="5"/>
  <c r="L333" i="5"/>
  <c r="K333" i="5"/>
  <c r="J333" i="5"/>
  <c r="H333" i="5"/>
  <c r="G333" i="5"/>
  <c r="F333" i="5"/>
  <c r="E333" i="5"/>
  <c r="D333" i="5"/>
  <c r="L332" i="5"/>
  <c r="K332" i="5"/>
  <c r="J332" i="5"/>
  <c r="H332" i="5"/>
  <c r="G332" i="5"/>
  <c r="F332" i="5"/>
  <c r="E332" i="5"/>
  <c r="D332" i="5"/>
  <c r="L331" i="5"/>
  <c r="K331" i="5"/>
  <c r="J331" i="5"/>
  <c r="H331" i="5"/>
  <c r="G331" i="5"/>
  <c r="F331" i="5"/>
  <c r="E331" i="5"/>
  <c r="D331" i="5"/>
  <c r="L330" i="5"/>
  <c r="K330" i="5"/>
  <c r="J330" i="5"/>
  <c r="H330" i="5"/>
  <c r="G330" i="5"/>
  <c r="F330" i="5"/>
  <c r="E330" i="5"/>
  <c r="D330" i="5"/>
  <c r="L329" i="5"/>
  <c r="K329" i="5"/>
  <c r="J329" i="5"/>
  <c r="H329" i="5"/>
  <c r="G329" i="5"/>
  <c r="F329" i="5"/>
  <c r="E329" i="5"/>
  <c r="D329" i="5"/>
  <c r="L328" i="5"/>
  <c r="K328" i="5"/>
  <c r="J328" i="5"/>
  <c r="H328" i="5"/>
  <c r="G328" i="5"/>
  <c r="F328" i="5"/>
  <c r="E328" i="5"/>
  <c r="D328" i="5"/>
  <c r="L327" i="5"/>
  <c r="K327" i="5"/>
  <c r="J327" i="5"/>
  <c r="H327" i="5"/>
  <c r="G327" i="5"/>
  <c r="F327" i="5"/>
  <c r="E327" i="5"/>
  <c r="D327" i="5"/>
  <c r="L326" i="5"/>
  <c r="K326" i="5"/>
  <c r="J326" i="5"/>
  <c r="H326" i="5"/>
  <c r="G326" i="5"/>
  <c r="F326" i="5"/>
  <c r="E326" i="5"/>
  <c r="D326" i="5"/>
  <c r="L325" i="5"/>
  <c r="K325" i="5"/>
  <c r="J325" i="5"/>
  <c r="H325" i="5"/>
  <c r="G325" i="5"/>
  <c r="F325" i="5"/>
  <c r="E325" i="5"/>
  <c r="D325" i="5"/>
  <c r="L324" i="5"/>
  <c r="K324" i="5"/>
  <c r="J324" i="5"/>
  <c r="H324" i="5"/>
  <c r="G324" i="5"/>
  <c r="F324" i="5"/>
  <c r="E324" i="5"/>
  <c r="D324" i="5"/>
  <c r="L323" i="5"/>
  <c r="K323" i="5"/>
  <c r="J323" i="5"/>
  <c r="H323" i="5"/>
  <c r="G323" i="5"/>
  <c r="F323" i="5"/>
  <c r="E323" i="5"/>
  <c r="D323" i="5"/>
  <c r="L322" i="5"/>
  <c r="K322" i="5"/>
  <c r="J322" i="5"/>
  <c r="H322" i="5"/>
  <c r="G322" i="5"/>
  <c r="F322" i="5"/>
  <c r="E322" i="5"/>
  <c r="D322" i="5"/>
  <c r="L321" i="5"/>
  <c r="K321" i="5"/>
  <c r="J321" i="5"/>
  <c r="H321" i="5"/>
  <c r="G321" i="5"/>
  <c r="F321" i="5"/>
  <c r="E321" i="5"/>
  <c r="D321" i="5"/>
  <c r="L320" i="5"/>
  <c r="K320" i="5"/>
  <c r="J320" i="5"/>
  <c r="H320" i="5"/>
  <c r="G320" i="5"/>
  <c r="F320" i="5"/>
  <c r="E320" i="5"/>
  <c r="D320" i="5"/>
  <c r="L319" i="5"/>
  <c r="K319" i="5"/>
  <c r="J319" i="5"/>
  <c r="H319" i="5"/>
  <c r="G319" i="5"/>
  <c r="F319" i="5"/>
  <c r="E319" i="5"/>
  <c r="D319" i="5"/>
  <c r="L318" i="5"/>
  <c r="K318" i="5"/>
  <c r="J318" i="5"/>
  <c r="H318" i="5"/>
  <c r="G318" i="5"/>
  <c r="F318" i="5"/>
  <c r="E318" i="5"/>
  <c r="D318" i="5"/>
  <c r="L317" i="5"/>
  <c r="K317" i="5"/>
  <c r="J317" i="5"/>
  <c r="H317" i="5"/>
  <c r="G317" i="5"/>
  <c r="F317" i="5"/>
  <c r="E317" i="5"/>
  <c r="D317" i="5"/>
  <c r="L316" i="5"/>
  <c r="K316" i="5"/>
  <c r="J316" i="5"/>
  <c r="H316" i="5"/>
  <c r="G316" i="5"/>
  <c r="F316" i="5"/>
  <c r="E316" i="5"/>
  <c r="D316" i="5"/>
  <c r="L315" i="5"/>
  <c r="K315" i="5"/>
  <c r="J315" i="5"/>
  <c r="H315" i="5"/>
  <c r="G315" i="5"/>
  <c r="F315" i="5"/>
  <c r="E315" i="5"/>
  <c r="D315" i="5"/>
  <c r="L314" i="5"/>
  <c r="K314" i="5"/>
  <c r="J314" i="5"/>
  <c r="H314" i="5"/>
  <c r="G314" i="5"/>
  <c r="F314" i="5"/>
  <c r="E314" i="5"/>
  <c r="D314" i="5"/>
  <c r="L313" i="5"/>
  <c r="K313" i="5"/>
  <c r="J313" i="5"/>
  <c r="H313" i="5"/>
  <c r="G313" i="5"/>
  <c r="F313" i="5"/>
  <c r="E313" i="5"/>
  <c r="D313" i="5"/>
  <c r="L312" i="5"/>
  <c r="K312" i="5"/>
  <c r="J312" i="5"/>
  <c r="H312" i="5"/>
  <c r="G312" i="5"/>
  <c r="F312" i="5"/>
  <c r="E312" i="5"/>
  <c r="D312" i="5"/>
  <c r="L311" i="5"/>
  <c r="K311" i="5"/>
  <c r="J311" i="5"/>
  <c r="H311" i="5"/>
  <c r="G311" i="5"/>
  <c r="F311" i="5"/>
  <c r="E311" i="5"/>
  <c r="D311" i="5"/>
  <c r="L310" i="5"/>
  <c r="K310" i="5"/>
  <c r="J310" i="5"/>
  <c r="H310" i="5"/>
  <c r="G310" i="5"/>
  <c r="F310" i="5"/>
  <c r="E310" i="5"/>
  <c r="D310" i="5"/>
  <c r="L309" i="5"/>
  <c r="K309" i="5"/>
  <c r="J309" i="5"/>
  <c r="H309" i="5"/>
  <c r="G309" i="5"/>
  <c r="F309" i="5"/>
  <c r="E309" i="5"/>
  <c r="D309" i="5"/>
  <c r="L308" i="5"/>
  <c r="K308" i="5"/>
  <c r="J308" i="5"/>
  <c r="H308" i="5"/>
  <c r="G308" i="5"/>
  <c r="F308" i="5"/>
  <c r="E308" i="5"/>
  <c r="D308" i="5"/>
  <c r="L307" i="5"/>
  <c r="K307" i="5"/>
  <c r="J307" i="5"/>
  <c r="H307" i="5"/>
  <c r="G307" i="5"/>
  <c r="F307" i="5"/>
  <c r="E307" i="5"/>
  <c r="D307" i="5"/>
  <c r="L306" i="5"/>
  <c r="K306" i="5"/>
  <c r="J306" i="5"/>
  <c r="H306" i="5"/>
  <c r="G306" i="5"/>
  <c r="F306" i="5"/>
  <c r="E306" i="5"/>
  <c r="D306" i="5"/>
  <c r="L305" i="5"/>
  <c r="K305" i="5"/>
  <c r="J305" i="5"/>
  <c r="H305" i="5"/>
  <c r="G305" i="5"/>
  <c r="F305" i="5"/>
  <c r="E305" i="5"/>
  <c r="D305" i="5"/>
  <c r="L304" i="5"/>
  <c r="K304" i="5"/>
  <c r="J304" i="5"/>
  <c r="H304" i="5"/>
  <c r="G304" i="5"/>
  <c r="F304" i="5"/>
  <c r="E304" i="5"/>
  <c r="D304" i="5"/>
  <c r="L303" i="5"/>
  <c r="K303" i="5"/>
  <c r="J303" i="5"/>
  <c r="H303" i="5"/>
  <c r="G303" i="5"/>
  <c r="F303" i="5"/>
  <c r="E303" i="5"/>
  <c r="D303" i="5"/>
  <c r="L302" i="5"/>
  <c r="K302" i="5"/>
  <c r="J302" i="5"/>
  <c r="H302" i="5"/>
  <c r="G302" i="5"/>
  <c r="F302" i="5"/>
  <c r="E302" i="5"/>
  <c r="D302" i="5"/>
  <c r="L301" i="5"/>
  <c r="K301" i="5"/>
  <c r="J301" i="5"/>
  <c r="H301" i="5"/>
  <c r="G301" i="5"/>
  <c r="F301" i="5"/>
  <c r="E301" i="5"/>
  <c r="D301" i="5"/>
  <c r="L300" i="5"/>
  <c r="K300" i="5"/>
  <c r="J300" i="5"/>
  <c r="H300" i="5"/>
  <c r="G300" i="5"/>
  <c r="F300" i="5"/>
  <c r="E300" i="5"/>
  <c r="D300" i="5"/>
  <c r="L299" i="5"/>
  <c r="K299" i="5"/>
  <c r="J299" i="5"/>
  <c r="H299" i="5"/>
  <c r="G299" i="5"/>
  <c r="F299" i="5"/>
  <c r="E299" i="5"/>
  <c r="D299" i="5"/>
  <c r="L298" i="5"/>
  <c r="K298" i="5"/>
  <c r="J298" i="5"/>
  <c r="H298" i="5"/>
  <c r="G298" i="5"/>
  <c r="F298" i="5"/>
  <c r="E298" i="5"/>
  <c r="D298" i="5"/>
  <c r="L297" i="5"/>
  <c r="K297" i="5"/>
  <c r="J297" i="5"/>
  <c r="H297" i="5"/>
  <c r="G297" i="5"/>
  <c r="F297" i="5"/>
  <c r="E297" i="5"/>
  <c r="D297" i="5"/>
  <c r="L296" i="5"/>
  <c r="K296" i="5"/>
  <c r="J296" i="5"/>
  <c r="H296" i="5"/>
  <c r="G296" i="5"/>
  <c r="F296" i="5"/>
  <c r="E296" i="5"/>
  <c r="D296" i="5"/>
  <c r="L295" i="5"/>
  <c r="K295" i="5"/>
  <c r="J295" i="5"/>
  <c r="H295" i="5"/>
  <c r="G295" i="5"/>
  <c r="F295" i="5"/>
  <c r="E295" i="5"/>
  <c r="D295" i="5"/>
  <c r="L294" i="5"/>
  <c r="K294" i="5"/>
  <c r="J294" i="5"/>
  <c r="H294" i="5"/>
  <c r="G294" i="5"/>
  <c r="F294" i="5"/>
  <c r="E294" i="5"/>
  <c r="D294" i="5"/>
  <c r="L293" i="5"/>
  <c r="K293" i="5"/>
  <c r="J293" i="5"/>
  <c r="H293" i="5"/>
  <c r="G293" i="5"/>
  <c r="F293" i="5"/>
  <c r="E293" i="5"/>
  <c r="D293" i="5"/>
  <c r="L292" i="5"/>
  <c r="K292" i="5"/>
  <c r="J292" i="5"/>
  <c r="H292" i="5"/>
  <c r="G292" i="5"/>
  <c r="F292" i="5"/>
  <c r="E292" i="5"/>
  <c r="D292" i="5"/>
  <c r="L291" i="5"/>
  <c r="K291" i="5"/>
  <c r="J291" i="5"/>
  <c r="H291" i="5"/>
  <c r="G291" i="5"/>
  <c r="F291" i="5"/>
  <c r="E291" i="5"/>
  <c r="D291" i="5"/>
  <c r="L290" i="5"/>
  <c r="K290" i="5"/>
  <c r="J290" i="5"/>
  <c r="H290" i="5"/>
  <c r="G290" i="5"/>
  <c r="F290" i="5"/>
  <c r="E290" i="5"/>
  <c r="D290" i="5"/>
  <c r="L289" i="5"/>
  <c r="K289" i="5"/>
  <c r="J289" i="5"/>
  <c r="H289" i="5"/>
  <c r="G289" i="5"/>
  <c r="F289" i="5"/>
  <c r="E289" i="5"/>
  <c r="D289" i="5"/>
  <c r="L288" i="5"/>
  <c r="K288" i="5"/>
  <c r="J288" i="5"/>
  <c r="H288" i="5"/>
  <c r="G288" i="5"/>
  <c r="F288" i="5"/>
  <c r="E288" i="5"/>
  <c r="D288" i="5"/>
  <c r="L287" i="5"/>
  <c r="K287" i="5"/>
  <c r="J287" i="5"/>
  <c r="H287" i="5"/>
  <c r="G287" i="5"/>
  <c r="F287" i="5"/>
  <c r="E287" i="5"/>
  <c r="D287" i="5"/>
  <c r="L286" i="5"/>
  <c r="K286" i="5"/>
  <c r="J286" i="5"/>
  <c r="H286" i="5"/>
  <c r="G286" i="5"/>
  <c r="F286" i="5"/>
  <c r="E286" i="5"/>
  <c r="D286" i="5"/>
  <c r="L285" i="5"/>
  <c r="K285" i="5"/>
  <c r="J285" i="5"/>
  <c r="H285" i="5"/>
  <c r="G285" i="5"/>
  <c r="F285" i="5"/>
  <c r="E285" i="5"/>
  <c r="D285" i="5"/>
  <c r="L284" i="5"/>
  <c r="K284" i="5"/>
  <c r="J284" i="5"/>
  <c r="H284" i="5"/>
  <c r="G284" i="5"/>
  <c r="F284" i="5"/>
  <c r="E284" i="5"/>
  <c r="D284" i="5"/>
  <c r="L283" i="5"/>
  <c r="K283" i="5"/>
  <c r="J283" i="5"/>
  <c r="H283" i="5"/>
  <c r="G283" i="5"/>
  <c r="F283" i="5"/>
  <c r="E283" i="5"/>
  <c r="D283" i="5"/>
  <c r="L282" i="5"/>
  <c r="K282" i="5"/>
  <c r="J282" i="5"/>
  <c r="H282" i="5"/>
  <c r="G282" i="5"/>
  <c r="F282" i="5"/>
  <c r="E282" i="5"/>
  <c r="D282" i="5"/>
  <c r="L281" i="5"/>
  <c r="K281" i="5"/>
  <c r="J281" i="5"/>
  <c r="H281" i="5"/>
  <c r="G281" i="5"/>
  <c r="F281" i="5"/>
  <c r="E281" i="5"/>
  <c r="D281" i="5"/>
  <c r="L280" i="5"/>
  <c r="K280" i="5"/>
  <c r="J280" i="5"/>
  <c r="H280" i="5"/>
  <c r="G280" i="5"/>
  <c r="F280" i="5"/>
  <c r="E280" i="5"/>
  <c r="D280" i="5"/>
  <c r="L279" i="5"/>
  <c r="K279" i="5"/>
  <c r="J279" i="5"/>
  <c r="H279" i="5"/>
  <c r="G279" i="5"/>
  <c r="F279" i="5"/>
  <c r="E279" i="5"/>
  <c r="D279" i="5"/>
  <c r="L278" i="5"/>
  <c r="K278" i="5"/>
  <c r="J278" i="5"/>
  <c r="H278" i="5"/>
  <c r="G278" i="5"/>
  <c r="F278" i="5"/>
  <c r="E278" i="5"/>
  <c r="D278" i="5"/>
  <c r="L277" i="5"/>
  <c r="K277" i="5"/>
  <c r="J277" i="5"/>
  <c r="H277" i="5"/>
  <c r="G277" i="5"/>
  <c r="F277" i="5"/>
  <c r="E277" i="5"/>
  <c r="D277" i="5"/>
  <c r="L276" i="5"/>
  <c r="K276" i="5"/>
  <c r="J276" i="5"/>
  <c r="H276" i="5"/>
  <c r="G276" i="5"/>
  <c r="F276" i="5"/>
  <c r="E276" i="5"/>
  <c r="D276" i="5"/>
  <c r="L275" i="5"/>
  <c r="K275" i="5"/>
  <c r="J275" i="5"/>
  <c r="H275" i="5"/>
  <c r="G275" i="5"/>
  <c r="F275" i="5"/>
  <c r="E275" i="5"/>
  <c r="D275" i="5"/>
  <c r="L274" i="5"/>
  <c r="K274" i="5"/>
  <c r="J274" i="5"/>
  <c r="H274" i="5"/>
  <c r="G274" i="5"/>
  <c r="F274" i="5"/>
  <c r="E274" i="5"/>
  <c r="D274" i="5"/>
  <c r="L273" i="5"/>
  <c r="K273" i="5"/>
  <c r="J273" i="5"/>
  <c r="H273" i="5"/>
  <c r="G273" i="5"/>
  <c r="F273" i="5"/>
  <c r="E273" i="5"/>
  <c r="D273" i="5"/>
  <c r="L272" i="5"/>
  <c r="K272" i="5"/>
  <c r="J272" i="5"/>
  <c r="H272" i="5"/>
  <c r="G272" i="5"/>
  <c r="F272" i="5"/>
  <c r="E272" i="5"/>
  <c r="D272" i="5"/>
  <c r="L271" i="5"/>
  <c r="K271" i="5"/>
  <c r="J271" i="5"/>
  <c r="H271" i="5"/>
  <c r="G271" i="5"/>
  <c r="F271" i="5"/>
  <c r="E271" i="5"/>
  <c r="D271" i="5"/>
  <c r="L270" i="5"/>
  <c r="K270" i="5"/>
  <c r="J270" i="5"/>
  <c r="H270" i="5"/>
  <c r="G270" i="5"/>
  <c r="F270" i="5"/>
  <c r="E270" i="5"/>
  <c r="D270" i="5"/>
  <c r="L269" i="5"/>
  <c r="K269" i="5"/>
  <c r="J269" i="5"/>
  <c r="H269" i="5"/>
  <c r="G269" i="5"/>
  <c r="F269" i="5"/>
  <c r="E269" i="5"/>
  <c r="D269" i="5"/>
  <c r="L268" i="5"/>
  <c r="K268" i="5"/>
  <c r="J268" i="5"/>
  <c r="H268" i="5"/>
  <c r="G268" i="5"/>
  <c r="F268" i="5"/>
  <c r="E268" i="5"/>
  <c r="D268" i="5"/>
  <c r="L267" i="5"/>
  <c r="K267" i="5"/>
  <c r="J267" i="5"/>
  <c r="H267" i="5"/>
  <c r="G267" i="5"/>
  <c r="F267" i="5"/>
  <c r="E267" i="5"/>
  <c r="D267" i="5"/>
  <c r="L266" i="5"/>
  <c r="K266" i="5"/>
  <c r="J266" i="5"/>
  <c r="H266" i="5"/>
  <c r="G266" i="5"/>
  <c r="F266" i="5"/>
  <c r="E266" i="5"/>
  <c r="D266" i="5"/>
  <c r="L265" i="5"/>
  <c r="K265" i="5"/>
  <c r="J265" i="5"/>
  <c r="H265" i="5"/>
  <c r="G265" i="5"/>
  <c r="F265" i="5"/>
  <c r="E265" i="5"/>
  <c r="D265" i="5"/>
  <c r="L264" i="5"/>
  <c r="K264" i="5"/>
  <c r="J264" i="5"/>
  <c r="H264" i="5"/>
  <c r="G264" i="5"/>
  <c r="F264" i="5"/>
  <c r="E264" i="5"/>
  <c r="D264" i="5"/>
  <c r="L263" i="5"/>
  <c r="K263" i="5"/>
  <c r="J263" i="5"/>
  <c r="H263" i="5"/>
  <c r="G263" i="5"/>
  <c r="F263" i="5"/>
  <c r="E263" i="5"/>
  <c r="D263" i="5"/>
  <c r="L262" i="5"/>
  <c r="K262" i="5"/>
  <c r="J262" i="5"/>
  <c r="H262" i="5"/>
  <c r="G262" i="5"/>
  <c r="F262" i="5"/>
  <c r="E262" i="5"/>
  <c r="D262" i="5"/>
  <c r="L261" i="5"/>
  <c r="K261" i="5"/>
  <c r="J261" i="5"/>
  <c r="H261" i="5"/>
  <c r="G261" i="5"/>
  <c r="F261" i="5"/>
  <c r="E261" i="5"/>
  <c r="D261" i="5"/>
  <c r="L260" i="5"/>
  <c r="K260" i="5"/>
  <c r="J260" i="5"/>
  <c r="H260" i="5"/>
  <c r="G260" i="5"/>
  <c r="F260" i="5"/>
  <c r="E260" i="5"/>
  <c r="D260" i="5"/>
  <c r="L259" i="5"/>
  <c r="K259" i="5"/>
  <c r="J259" i="5"/>
  <c r="H259" i="5"/>
  <c r="G259" i="5"/>
  <c r="F259" i="5"/>
  <c r="E259" i="5"/>
  <c r="D259" i="5"/>
  <c r="L258" i="5"/>
  <c r="K258" i="5"/>
  <c r="J258" i="5"/>
  <c r="H258" i="5"/>
  <c r="G258" i="5"/>
  <c r="F258" i="5"/>
  <c r="E258" i="5"/>
  <c r="D258" i="5"/>
  <c r="L257" i="5"/>
  <c r="K257" i="5"/>
  <c r="J257" i="5"/>
  <c r="H257" i="5"/>
  <c r="G257" i="5"/>
  <c r="F257" i="5"/>
  <c r="E257" i="5"/>
  <c r="D257" i="5"/>
  <c r="L256" i="5"/>
  <c r="K256" i="5"/>
  <c r="J256" i="5"/>
  <c r="H256" i="5"/>
  <c r="G256" i="5"/>
  <c r="F256" i="5"/>
  <c r="E256" i="5"/>
  <c r="D256" i="5"/>
  <c r="L255" i="5"/>
  <c r="K255" i="5"/>
  <c r="J255" i="5"/>
  <c r="H255" i="5"/>
  <c r="G255" i="5"/>
  <c r="F255" i="5"/>
  <c r="E255" i="5"/>
  <c r="D255" i="5"/>
  <c r="L254" i="5"/>
  <c r="K254" i="5"/>
  <c r="J254" i="5"/>
  <c r="H254" i="5"/>
  <c r="G254" i="5"/>
  <c r="F254" i="5"/>
  <c r="E254" i="5"/>
  <c r="D254" i="5"/>
  <c r="L253" i="5"/>
  <c r="K253" i="5"/>
  <c r="J253" i="5"/>
  <c r="H253" i="5"/>
  <c r="G253" i="5"/>
  <c r="F253" i="5"/>
  <c r="E253" i="5"/>
  <c r="D253" i="5"/>
  <c r="L252" i="5"/>
  <c r="K252" i="5"/>
  <c r="J252" i="5"/>
  <c r="H252" i="5"/>
  <c r="G252" i="5"/>
  <c r="F252" i="5"/>
  <c r="E252" i="5"/>
  <c r="D252" i="5"/>
  <c r="L251" i="5"/>
  <c r="K251" i="5"/>
  <c r="J251" i="5"/>
  <c r="H251" i="5"/>
  <c r="G251" i="5"/>
  <c r="F251" i="5"/>
  <c r="E251" i="5"/>
  <c r="D251" i="5"/>
  <c r="L250" i="5"/>
  <c r="K250" i="5"/>
  <c r="J250" i="5"/>
  <c r="H250" i="5"/>
  <c r="G250" i="5"/>
  <c r="F250" i="5"/>
  <c r="E250" i="5"/>
  <c r="D250" i="5"/>
  <c r="L249" i="5"/>
  <c r="K249" i="5"/>
  <c r="J249" i="5"/>
  <c r="H249" i="5"/>
  <c r="G249" i="5"/>
  <c r="F249" i="5"/>
  <c r="E249" i="5"/>
  <c r="D249" i="5"/>
  <c r="L248" i="5"/>
  <c r="K248" i="5"/>
  <c r="J248" i="5"/>
  <c r="H248" i="5"/>
  <c r="G248" i="5"/>
  <c r="F248" i="5"/>
  <c r="E248" i="5"/>
  <c r="D248" i="5"/>
  <c r="L247" i="5"/>
  <c r="K247" i="5"/>
  <c r="J247" i="5"/>
  <c r="H247" i="5"/>
  <c r="G247" i="5"/>
  <c r="F247" i="5"/>
  <c r="E247" i="5"/>
  <c r="D247" i="5"/>
  <c r="L246" i="5"/>
  <c r="K246" i="5"/>
  <c r="J246" i="5"/>
  <c r="H246" i="5"/>
  <c r="G246" i="5"/>
  <c r="F246" i="5"/>
  <c r="E246" i="5"/>
  <c r="D246" i="5"/>
  <c r="L245" i="5"/>
  <c r="K245" i="5"/>
  <c r="J245" i="5"/>
  <c r="H245" i="5"/>
  <c r="G245" i="5"/>
  <c r="F245" i="5"/>
  <c r="E245" i="5"/>
  <c r="D245" i="5"/>
  <c r="L244" i="5"/>
  <c r="K244" i="5"/>
  <c r="J244" i="5"/>
  <c r="H244" i="5"/>
  <c r="G244" i="5"/>
  <c r="F244" i="5"/>
  <c r="E244" i="5"/>
  <c r="D244" i="5"/>
  <c r="L243" i="5"/>
  <c r="K243" i="5"/>
  <c r="J243" i="5"/>
  <c r="H243" i="5"/>
  <c r="G243" i="5"/>
  <c r="F243" i="5"/>
  <c r="E243" i="5"/>
  <c r="D243" i="5"/>
  <c r="L242" i="5"/>
  <c r="K242" i="5"/>
  <c r="J242" i="5"/>
  <c r="H242" i="5"/>
  <c r="G242" i="5"/>
  <c r="F242" i="5"/>
  <c r="E242" i="5"/>
  <c r="D242" i="5"/>
  <c r="L241" i="5"/>
  <c r="K241" i="5"/>
  <c r="J241" i="5"/>
  <c r="H241" i="5"/>
  <c r="G241" i="5"/>
  <c r="F241" i="5"/>
  <c r="E241" i="5"/>
  <c r="D241" i="5"/>
  <c r="L240" i="5"/>
  <c r="K240" i="5"/>
  <c r="J240" i="5"/>
  <c r="H240" i="5"/>
  <c r="G240" i="5"/>
  <c r="F240" i="5"/>
  <c r="E240" i="5"/>
  <c r="D240" i="5"/>
  <c r="L239" i="5"/>
  <c r="K239" i="5"/>
  <c r="J239" i="5"/>
  <c r="H239" i="5"/>
  <c r="G239" i="5"/>
  <c r="F239" i="5"/>
  <c r="E239" i="5"/>
  <c r="D239" i="5"/>
  <c r="L238" i="5"/>
  <c r="K238" i="5"/>
  <c r="J238" i="5"/>
  <c r="H238" i="5"/>
  <c r="G238" i="5"/>
  <c r="F238" i="5"/>
  <c r="E238" i="5"/>
  <c r="D238" i="5"/>
  <c r="L237" i="5"/>
  <c r="K237" i="5"/>
  <c r="J237" i="5"/>
  <c r="H237" i="5"/>
  <c r="G237" i="5"/>
  <c r="F237" i="5"/>
  <c r="E237" i="5"/>
  <c r="D237" i="5"/>
  <c r="L236" i="5"/>
  <c r="K236" i="5"/>
  <c r="J236" i="5"/>
  <c r="H236" i="5"/>
  <c r="G236" i="5"/>
  <c r="F236" i="5"/>
  <c r="E236" i="5"/>
  <c r="D236" i="5"/>
  <c r="L235" i="5"/>
  <c r="K235" i="5"/>
  <c r="J235" i="5"/>
  <c r="H235" i="5"/>
  <c r="G235" i="5"/>
  <c r="F235" i="5"/>
  <c r="E235" i="5"/>
  <c r="D235" i="5"/>
  <c r="L234" i="5"/>
  <c r="K234" i="5"/>
  <c r="J234" i="5"/>
  <c r="H234" i="5"/>
  <c r="G234" i="5"/>
  <c r="F234" i="5"/>
  <c r="E234" i="5"/>
  <c r="D234" i="5"/>
  <c r="L233" i="5"/>
  <c r="K233" i="5"/>
  <c r="J233" i="5"/>
  <c r="H233" i="5"/>
  <c r="G233" i="5"/>
  <c r="F233" i="5"/>
  <c r="E233" i="5"/>
  <c r="D233" i="5"/>
  <c r="L232" i="5"/>
  <c r="K232" i="5"/>
  <c r="J232" i="5"/>
  <c r="H232" i="5"/>
  <c r="G232" i="5"/>
  <c r="F232" i="5"/>
  <c r="E232" i="5"/>
  <c r="D232" i="5"/>
  <c r="L231" i="5"/>
  <c r="K231" i="5"/>
  <c r="J231" i="5"/>
  <c r="H231" i="5"/>
  <c r="G231" i="5"/>
  <c r="F231" i="5"/>
  <c r="E231" i="5"/>
  <c r="D231" i="5"/>
  <c r="L230" i="5"/>
  <c r="K230" i="5"/>
  <c r="J230" i="5"/>
  <c r="H230" i="5"/>
  <c r="G230" i="5"/>
  <c r="F230" i="5"/>
  <c r="E230" i="5"/>
  <c r="D230" i="5"/>
  <c r="L229" i="5"/>
  <c r="K229" i="5"/>
  <c r="J229" i="5"/>
  <c r="H229" i="5"/>
  <c r="G229" i="5"/>
  <c r="F229" i="5"/>
  <c r="E229" i="5"/>
  <c r="D229" i="5"/>
  <c r="L228" i="5"/>
  <c r="K228" i="5"/>
  <c r="J228" i="5"/>
  <c r="H228" i="5"/>
  <c r="G228" i="5"/>
  <c r="F228" i="5"/>
  <c r="E228" i="5"/>
  <c r="D228" i="5"/>
  <c r="L227" i="5"/>
  <c r="K227" i="5"/>
  <c r="J227" i="5"/>
  <c r="H227" i="5"/>
  <c r="G227" i="5"/>
  <c r="F227" i="5"/>
  <c r="E227" i="5"/>
  <c r="D227" i="5"/>
  <c r="L226" i="5"/>
  <c r="K226" i="5"/>
  <c r="J226" i="5"/>
  <c r="H226" i="5"/>
  <c r="G226" i="5"/>
  <c r="F226" i="5"/>
  <c r="E226" i="5"/>
  <c r="D226" i="5"/>
  <c r="L225" i="5"/>
  <c r="K225" i="5"/>
  <c r="J225" i="5"/>
  <c r="H225" i="5"/>
  <c r="G225" i="5"/>
  <c r="F225" i="5"/>
  <c r="E225" i="5"/>
  <c r="D225" i="5"/>
  <c r="L224" i="5"/>
  <c r="K224" i="5"/>
  <c r="J224" i="5"/>
  <c r="H224" i="5"/>
  <c r="G224" i="5"/>
  <c r="F224" i="5"/>
  <c r="E224" i="5"/>
  <c r="D224" i="5"/>
  <c r="L223" i="5"/>
  <c r="K223" i="5"/>
  <c r="J223" i="5"/>
  <c r="H223" i="5"/>
  <c r="G223" i="5"/>
  <c r="F223" i="5"/>
  <c r="E223" i="5"/>
  <c r="D223" i="5"/>
  <c r="L222" i="5"/>
  <c r="K222" i="5"/>
  <c r="J222" i="5"/>
  <c r="H222" i="5"/>
  <c r="G222" i="5"/>
  <c r="F222" i="5"/>
  <c r="E222" i="5"/>
  <c r="D222" i="5"/>
  <c r="L221" i="5"/>
  <c r="K221" i="5"/>
  <c r="J221" i="5"/>
  <c r="H221" i="5"/>
  <c r="G221" i="5"/>
  <c r="F221" i="5"/>
  <c r="E221" i="5"/>
  <c r="D221" i="5"/>
  <c r="L220" i="5"/>
  <c r="K220" i="5"/>
  <c r="J220" i="5"/>
  <c r="H220" i="5"/>
  <c r="G220" i="5"/>
  <c r="F220" i="5"/>
  <c r="E220" i="5"/>
  <c r="D220" i="5"/>
  <c r="L219" i="5"/>
  <c r="K219" i="5"/>
  <c r="J219" i="5"/>
  <c r="H219" i="5"/>
  <c r="G219" i="5"/>
  <c r="F219" i="5"/>
  <c r="E219" i="5"/>
  <c r="D219" i="5"/>
  <c r="L218" i="5"/>
  <c r="K218" i="5"/>
  <c r="J218" i="5"/>
  <c r="H218" i="5"/>
  <c r="G218" i="5"/>
  <c r="F218" i="5"/>
  <c r="E218" i="5"/>
  <c r="D218" i="5"/>
  <c r="L217" i="5"/>
  <c r="K217" i="5"/>
  <c r="J217" i="5"/>
  <c r="H217" i="5"/>
  <c r="G217" i="5"/>
  <c r="F217" i="5"/>
  <c r="E217" i="5"/>
  <c r="D217" i="5"/>
  <c r="L216" i="5"/>
  <c r="K216" i="5"/>
  <c r="J216" i="5"/>
  <c r="H216" i="5"/>
  <c r="G216" i="5"/>
  <c r="F216" i="5"/>
  <c r="E216" i="5"/>
  <c r="D216" i="5"/>
  <c r="L215" i="5"/>
  <c r="K215" i="5"/>
  <c r="J215" i="5"/>
  <c r="H215" i="5"/>
  <c r="G215" i="5"/>
  <c r="F215" i="5"/>
  <c r="E215" i="5"/>
  <c r="D215" i="5"/>
  <c r="L214" i="5"/>
  <c r="K214" i="5"/>
  <c r="J214" i="5"/>
  <c r="H214" i="5"/>
  <c r="G214" i="5"/>
  <c r="F214" i="5"/>
  <c r="E214" i="5"/>
  <c r="D214" i="5"/>
  <c r="L213" i="5"/>
  <c r="K213" i="5"/>
  <c r="J213" i="5"/>
  <c r="H213" i="5"/>
  <c r="G213" i="5"/>
  <c r="F213" i="5"/>
  <c r="E213" i="5"/>
  <c r="D213" i="5"/>
  <c r="L212" i="5"/>
  <c r="K212" i="5"/>
  <c r="J212" i="5"/>
  <c r="H212" i="5"/>
  <c r="G212" i="5"/>
  <c r="F212" i="5"/>
  <c r="E212" i="5"/>
  <c r="D212" i="5"/>
  <c r="L211" i="5"/>
  <c r="K211" i="5"/>
  <c r="J211" i="5"/>
  <c r="H211" i="5"/>
  <c r="G211" i="5"/>
  <c r="F211" i="5"/>
  <c r="E211" i="5"/>
  <c r="D211" i="5"/>
  <c r="L210" i="5"/>
  <c r="K210" i="5"/>
  <c r="J210" i="5"/>
  <c r="H210" i="5"/>
  <c r="G210" i="5"/>
  <c r="F210" i="5"/>
  <c r="E210" i="5"/>
  <c r="D210" i="5"/>
  <c r="L209" i="5"/>
  <c r="K209" i="5"/>
  <c r="J209" i="5"/>
  <c r="H209" i="5"/>
  <c r="G209" i="5"/>
  <c r="F209" i="5"/>
  <c r="E209" i="5"/>
  <c r="D209" i="5"/>
  <c r="L208" i="5"/>
  <c r="K208" i="5"/>
  <c r="J208" i="5"/>
  <c r="H208" i="5"/>
  <c r="G208" i="5"/>
  <c r="F208" i="5"/>
  <c r="E208" i="5"/>
  <c r="D208" i="5"/>
  <c r="L207" i="5"/>
  <c r="K207" i="5"/>
  <c r="J207" i="5"/>
  <c r="H207" i="5"/>
  <c r="G207" i="5"/>
  <c r="F207" i="5"/>
  <c r="E207" i="5"/>
  <c r="D207" i="5"/>
  <c r="L206" i="5"/>
  <c r="K206" i="5"/>
  <c r="J206" i="5"/>
  <c r="H206" i="5"/>
  <c r="G206" i="5"/>
  <c r="F206" i="5"/>
  <c r="E206" i="5"/>
  <c r="D206" i="5"/>
  <c r="L205" i="5"/>
  <c r="K205" i="5"/>
  <c r="J205" i="5"/>
  <c r="H205" i="5"/>
  <c r="G205" i="5"/>
  <c r="F205" i="5"/>
  <c r="E205" i="5"/>
  <c r="D205" i="5"/>
  <c r="L204" i="5"/>
  <c r="K204" i="5"/>
  <c r="J204" i="5"/>
  <c r="H204" i="5"/>
  <c r="G204" i="5"/>
  <c r="F204" i="5"/>
  <c r="E204" i="5"/>
  <c r="D204" i="5"/>
  <c r="L203" i="5"/>
  <c r="K203" i="5"/>
  <c r="J203" i="5"/>
  <c r="H203" i="5"/>
  <c r="G203" i="5"/>
  <c r="F203" i="5"/>
  <c r="E203" i="5"/>
  <c r="D203" i="5"/>
  <c r="L202" i="5"/>
  <c r="K202" i="5"/>
  <c r="J202" i="5"/>
  <c r="H202" i="5"/>
  <c r="G202" i="5"/>
  <c r="F202" i="5"/>
  <c r="E202" i="5"/>
  <c r="D202" i="5"/>
  <c r="L201" i="5"/>
  <c r="K201" i="5"/>
  <c r="J201" i="5"/>
  <c r="H201" i="5"/>
  <c r="G201" i="5"/>
  <c r="F201" i="5"/>
  <c r="E201" i="5"/>
  <c r="D201" i="5"/>
  <c r="L200" i="5"/>
  <c r="K200" i="5"/>
  <c r="J200" i="5"/>
  <c r="H200" i="5"/>
  <c r="G200" i="5"/>
  <c r="F200" i="5"/>
  <c r="E200" i="5"/>
  <c r="D200" i="5"/>
  <c r="L199" i="5"/>
  <c r="K199" i="5"/>
  <c r="J199" i="5"/>
  <c r="H199" i="5"/>
  <c r="G199" i="5"/>
  <c r="F199" i="5"/>
  <c r="E199" i="5"/>
  <c r="D199" i="5"/>
  <c r="L198" i="5"/>
  <c r="K198" i="5"/>
  <c r="J198" i="5"/>
  <c r="H198" i="5"/>
  <c r="G198" i="5"/>
  <c r="F198" i="5"/>
  <c r="E198" i="5"/>
  <c r="D198" i="5"/>
  <c r="L197" i="5"/>
  <c r="K197" i="5"/>
  <c r="J197" i="5"/>
  <c r="H197" i="5"/>
  <c r="G197" i="5"/>
  <c r="F197" i="5"/>
  <c r="E197" i="5"/>
  <c r="D197" i="5"/>
  <c r="L196" i="5"/>
  <c r="K196" i="5"/>
  <c r="J196" i="5"/>
  <c r="H196" i="5"/>
  <c r="G196" i="5"/>
  <c r="F196" i="5"/>
  <c r="E196" i="5"/>
  <c r="D196" i="5"/>
  <c r="L195" i="5"/>
  <c r="K195" i="5"/>
  <c r="J195" i="5"/>
  <c r="H195" i="5"/>
  <c r="G195" i="5"/>
  <c r="F195" i="5"/>
  <c r="E195" i="5"/>
  <c r="D195" i="5"/>
  <c r="L194" i="5"/>
  <c r="K194" i="5"/>
  <c r="J194" i="5"/>
  <c r="H194" i="5"/>
  <c r="G194" i="5"/>
  <c r="F194" i="5"/>
  <c r="E194" i="5"/>
  <c r="D194" i="5"/>
  <c r="L193" i="5"/>
  <c r="K193" i="5"/>
  <c r="J193" i="5"/>
  <c r="H193" i="5"/>
  <c r="G193" i="5"/>
  <c r="F193" i="5"/>
  <c r="E193" i="5"/>
  <c r="D193" i="5"/>
  <c r="L192" i="5"/>
  <c r="K192" i="5"/>
  <c r="J192" i="5"/>
  <c r="H192" i="5"/>
  <c r="G192" i="5"/>
  <c r="F192" i="5"/>
  <c r="E192" i="5"/>
  <c r="D192" i="5"/>
  <c r="L191" i="5"/>
  <c r="K191" i="5"/>
  <c r="J191" i="5"/>
  <c r="H191" i="5"/>
  <c r="G191" i="5"/>
  <c r="F191" i="5"/>
  <c r="E191" i="5"/>
  <c r="D191" i="5"/>
  <c r="L190" i="5"/>
  <c r="K190" i="5"/>
  <c r="J190" i="5"/>
  <c r="H190" i="5"/>
  <c r="G190" i="5"/>
  <c r="F190" i="5"/>
  <c r="E190" i="5"/>
  <c r="D190" i="5"/>
  <c r="L189" i="5"/>
  <c r="K189" i="5"/>
  <c r="J189" i="5"/>
  <c r="H189" i="5"/>
  <c r="G189" i="5"/>
  <c r="F189" i="5"/>
  <c r="E189" i="5"/>
  <c r="D189" i="5"/>
  <c r="L188" i="5"/>
  <c r="K188" i="5"/>
  <c r="J188" i="5"/>
  <c r="H188" i="5"/>
  <c r="G188" i="5"/>
  <c r="F188" i="5"/>
  <c r="E188" i="5"/>
  <c r="D188" i="5"/>
  <c r="L187" i="5"/>
  <c r="K187" i="5"/>
  <c r="J187" i="5"/>
  <c r="H187" i="5"/>
  <c r="G187" i="5"/>
  <c r="F187" i="5"/>
  <c r="E187" i="5"/>
  <c r="D187" i="5"/>
  <c r="L186" i="5"/>
  <c r="K186" i="5"/>
  <c r="J186" i="5"/>
  <c r="H186" i="5"/>
  <c r="G186" i="5"/>
  <c r="F186" i="5"/>
  <c r="E186" i="5"/>
  <c r="D186" i="5"/>
  <c r="L185" i="5"/>
  <c r="K185" i="5"/>
  <c r="J185" i="5"/>
  <c r="H185" i="5"/>
  <c r="G185" i="5"/>
  <c r="F185" i="5"/>
  <c r="E185" i="5"/>
  <c r="D185" i="5"/>
  <c r="L184" i="5"/>
  <c r="K184" i="5"/>
  <c r="J184" i="5"/>
  <c r="H184" i="5"/>
  <c r="G184" i="5"/>
  <c r="F184" i="5"/>
  <c r="E184" i="5"/>
  <c r="D184" i="5"/>
  <c r="L183" i="5"/>
  <c r="K183" i="5"/>
  <c r="J183" i="5"/>
  <c r="H183" i="5"/>
  <c r="G183" i="5"/>
  <c r="F183" i="5"/>
  <c r="E183" i="5"/>
  <c r="D183" i="5"/>
  <c r="L182" i="5"/>
  <c r="K182" i="5"/>
  <c r="J182" i="5"/>
  <c r="H182" i="5"/>
  <c r="G182" i="5"/>
  <c r="F182" i="5"/>
  <c r="E182" i="5"/>
  <c r="D182" i="5"/>
  <c r="L181" i="5"/>
  <c r="K181" i="5"/>
  <c r="J181" i="5"/>
  <c r="H181" i="5"/>
  <c r="G181" i="5"/>
  <c r="F181" i="5"/>
  <c r="E181" i="5"/>
  <c r="D181" i="5"/>
  <c r="L180" i="5"/>
  <c r="K180" i="5"/>
  <c r="J180" i="5"/>
  <c r="H180" i="5"/>
  <c r="G180" i="5"/>
  <c r="F180" i="5"/>
  <c r="E180" i="5"/>
  <c r="D180" i="5"/>
  <c r="L179" i="5"/>
  <c r="K179" i="5"/>
  <c r="J179" i="5"/>
  <c r="H179" i="5"/>
  <c r="G179" i="5"/>
  <c r="F179" i="5"/>
  <c r="E179" i="5"/>
  <c r="D179" i="5"/>
  <c r="L178" i="5"/>
  <c r="K178" i="5"/>
  <c r="J178" i="5"/>
  <c r="H178" i="5"/>
  <c r="G178" i="5"/>
  <c r="F178" i="5"/>
  <c r="E178" i="5"/>
  <c r="D178" i="5"/>
  <c r="L177" i="5"/>
  <c r="K177" i="5"/>
  <c r="J177" i="5"/>
  <c r="H177" i="5"/>
  <c r="G177" i="5"/>
  <c r="F177" i="5"/>
  <c r="E177" i="5"/>
  <c r="D177" i="5"/>
  <c r="L176" i="5"/>
  <c r="K176" i="5"/>
  <c r="J176" i="5"/>
  <c r="H176" i="5"/>
  <c r="G176" i="5"/>
  <c r="F176" i="5"/>
  <c r="E176" i="5"/>
  <c r="D176" i="5"/>
  <c r="L175" i="5"/>
  <c r="K175" i="5"/>
  <c r="J175" i="5"/>
  <c r="H175" i="5"/>
  <c r="G175" i="5"/>
  <c r="F175" i="5"/>
  <c r="E175" i="5"/>
  <c r="D175" i="5"/>
  <c r="L174" i="5"/>
  <c r="K174" i="5"/>
  <c r="J174" i="5"/>
  <c r="H174" i="5"/>
  <c r="G174" i="5"/>
  <c r="F174" i="5"/>
  <c r="E174" i="5"/>
  <c r="D174" i="5"/>
  <c r="L173" i="5"/>
  <c r="K173" i="5"/>
  <c r="J173" i="5"/>
  <c r="H173" i="5"/>
  <c r="G173" i="5"/>
  <c r="F173" i="5"/>
  <c r="E173" i="5"/>
  <c r="D173" i="5"/>
  <c r="L172" i="5"/>
  <c r="K172" i="5"/>
  <c r="J172" i="5"/>
  <c r="H172" i="5"/>
  <c r="G172" i="5"/>
  <c r="F172" i="5"/>
  <c r="E172" i="5"/>
  <c r="D172" i="5"/>
  <c r="L171" i="5"/>
  <c r="K171" i="5"/>
  <c r="J171" i="5"/>
  <c r="H171" i="5"/>
  <c r="G171" i="5"/>
  <c r="F171" i="5"/>
  <c r="E171" i="5"/>
  <c r="D171" i="5"/>
  <c r="L170" i="5"/>
  <c r="K170" i="5"/>
  <c r="J170" i="5"/>
  <c r="H170" i="5"/>
  <c r="G170" i="5"/>
  <c r="F170" i="5"/>
  <c r="E170" i="5"/>
  <c r="D170" i="5"/>
  <c r="L169" i="5"/>
  <c r="K169" i="5"/>
  <c r="J169" i="5"/>
  <c r="H169" i="5"/>
  <c r="G169" i="5"/>
  <c r="F169" i="5"/>
  <c r="E169" i="5"/>
  <c r="D169" i="5"/>
  <c r="L168" i="5"/>
  <c r="K168" i="5"/>
  <c r="J168" i="5"/>
  <c r="H168" i="5"/>
  <c r="G168" i="5"/>
  <c r="F168" i="5"/>
  <c r="E168" i="5"/>
  <c r="D168" i="5"/>
  <c r="L167" i="5"/>
  <c r="K167" i="5"/>
  <c r="J167" i="5"/>
  <c r="H167" i="5"/>
  <c r="G167" i="5"/>
  <c r="F167" i="5"/>
  <c r="E167" i="5"/>
  <c r="D167" i="5"/>
  <c r="L166" i="5"/>
  <c r="K166" i="5"/>
  <c r="J166" i="5"/>
  <c r="H166" i="5"/>
  <c r="G166" i="5"/>
  <c r="F166" i="5"/>
  <c r="E166" i="5"/>
  <c r="D166" i="5"/>
  <c r="L165" i="5"/>
  <c r="K165" i="5"/>
  <c r="J165" i="5"/>
  <c r="H165" i="5"/>
  <c r="G165" i="5"/>
  <c r="F165" i="5"/>
  <c r="E165" i="5"/>
  <c r="D165" i="5"/>
  <c r="L164" i="5"/>
  <c r="K164" i="5"/>
  <c r="J164" i="5"/>
  <c r="H164" i="5"/>
  <c r="G164" i="5"/>
  <c r="F164" i="5"/>
  <c r="E164" i="5"/>
  <c r="D164" i="5"/>
  <c r="L163" i="5"/>
  <c r="K163" i="5"/>
  <c r="J163" i="5"/>
  <c r="H163" i="5"/>
  <c r="G163" i="5"/>
  <c r="F163" i="5"/>
  <c r="E163" i="5"/>
  <c r="D163" i="5"/>
  <c r="L162" i="5"/>
  <c r="K162" i="5"/>
  <c r="J162" i="5"/>
  <c r="H162" i="5"/>
  <c r="G162" i="5"/>
  <c r="F162" i="5"/>
  <c r="E162" i="5"/>
  <c r="D162" i="5"/>
  <c r="L161" i="5"/>
  <c r="K161" i="5"/>
  <c r="J161" i="5"/>
  <c r="H161" i="5"/>
  <c r="G161" i="5"/>
  <c r="F161" i="5"/>
  <c r="E161" i="5"/>
  <c r="D161" i="5"/>
  <c r="L160" i="5"/>
  <c r="K160" i="5"/>
  <c r="J160" i="5"/>
  <c r="H160" i="5"/>
  <c r="G160" i="5"/>
  <c r="F160" i="5"/>
  <c r="E160" i="5"/>
  <c r="D160" i="5"/>
  <c r="L159" i="5"/>
  <c r="K159" i="5"/>
  <c r="J159" i="5"/>
  <c r="H159" i="5"/>
  <c r="G159" i="5"/>
  <c r="F159" i="5"/>
  <c r="E159" i="5"/>
  <c r="D159" i="5"/>
  <c r="L158" i="5"/>
  <c r="K158" i="5"/>
  <c r="J158" i="5"/>
  <c r="H158" i="5"/>
  <c r="G158" i="5"/>
  <c r="F158" i="5"/>
  <c r="E158" i="5"/>
  <c r="D158" i="5"/>
  <c r="L157" i="5"/>
  <c r="K157" i="5"/>
  <c r="J157" i="5"/>
  <c r="H157" i="5"/>
  <c r="G157" i="5"/>
  <c r="F157" i="5"/>
  <c r="E157" i="5"/>
  <c r="D157" i="5"/>
  <c r="L156" i="5"/>
  <c r="K156" i="5"/>
  <c r="J156" i="5"/>
  <c r="H156" i="5"/>
  <c r="G156" i="5"/>
  <c r="F156" i="5"/>
  <c r="E156" i="5"/>
  <c r="D156" i="5"/>
  <c r="L155" i="5"/>
  <c r="K155" i="5"/>
  <c r="J155" i="5"/>
  <c r="H155" i="5"/>
  <c r="G155" i="5"/>
  <c r="F155" i="5"/>
  <c r="E155" i="5"/>
  <c r="D155" i="5"/>
  <c r="L154" i="5"/>
  <c r="K154" i="5"/>
  <c r="J154" i="5"/>
  <c r="H154" i="5"/>
  <c r="G154" i="5"/>
  <c r="F154" i="5"/>
  <c r="E154" i="5"/>
  <c r="D154" i="5"/>
  <c r="L153" i="5"/>
  <c r="K153" i="5"/>
  <c r="J153" i="5"/>
  <c r="H153" i="5"/>
  <c r="G153" i="5"/>
  <c r="F153" i="5"/>
  <c r="E153" i="5"/>
  <c r="D153" i="5"/>
  <c r="L152" i="5"/>
  <c r="K152" i="5"/>
  <c r="J152" i="5"/>
  <c r="H152" i="5"/>
  <c r="G152" i="5"/>
  <c r="F152" i="5"/>
  <c r="E152" i="5"/>
  <c r="D152" i="5"/>
  <c r="L151" i="5"/>
  <c r="K151" i="5"/>
  <c r="J151" i="5"/>
  <c r="H151" i="5"/>
  <c r="G151" i="5"/>
  <c r="F151" i="5"/>
  <c r="E151" i="5"/>
  <c r="D151" i="5"/>
  <c r="L150" i="5"/>
  <c r="K150" i="5"/>
  <c r="J150" i="5"/>
  <c r="H150" i="5"/>
  <c r="G150" i="5"/>
  <c r="F150" i="5"/>
  <c r="E150" i="5"/>
  <c r="D150" i="5"/>
  <c r="L149" i="5"/>
  <c r="K149" i="5"/>
  <c r="J149" i="5"/>
  <c r="H149" i="5"/>
  <c r="G149" i="5"/>
  <c r="F149" i="5"/>
  <c r="E149" i="5"/>
  <c r="D149" i="5"/>
  <c r="L148" i="5"/>
  <c r="K148" i="5"/>
  <c r="J148" i="5"/>
  <c r="H148" i="5"/>
  <c r="G148" i="5"/>
  <c r="F148" i="5"/>
  <c r="E148" i="5"/>
  <c r="D148" i="5"/>
  <c r="L147" i="5"/>
  <c r="K147" i="5"/>
  <c r="J147" i="5"/>
  <c r="H147" i="5"/>
  <c r="G147" i="5"/>
  <c r="F147" i="5"/>
  <c r="E147" i="5"/>
  <c r="D147" i="5"/>
  <c r="L146" i="5"/>
  <c r="K146" i="5"/>
  <c r="J146" i="5"/>
  <c r="H146" i="5"/>
  <c r="G146" i="5"/>
  <c r="F146" i="5"/>
  <c r="E146" i="5"/>
  <c r="D146" i="5"/>
  <c r="L145" i="5"/>
  <c r="K145" i="5"/>
  <c r="J145" i="5"/>
  <c r="H145" i="5"/>
  <c r="G145" i="5"/>
  <c r="F145" i="5"/>
  <c r="E145" i="5"/>
  <c r="D145" i="5"/>
  <c r="L144" i="5"/>
  <c r="K144" i="5"/>
  <c r="J144" i="5"/>
  <c r="H144" i="5"/>
  <c r="G144" i="5"/>
  <c r="F144" i="5"/>
  <c r="E144" i="5"/>
  <c r="D144" i="5"/>
  <c r="L143" i="5"/>
  <c r="K143" i="5"/>
  <c r="J143" i="5"/>
  <c r="H143" i="5"/>
  <c r="G143" i="5"/>
  <c r="F143" i="5"/>
  <c r="E143" i="5"/>
  <c r="D143" i="5"/>
  <c r="L142" i="5"/>
  <c r="K142" i="5"/>
  <c r="J142" i="5"/>
  <c r="H142" i="5"/>
  <c r="G142" i="5"/>
  <c r="F142" i="5"/>
  <c r="E142" i="5"/>
  <c r="D142" i="5"/>
  <c r="L141" i="5"/>
  <c r="K141" i="5"/>
  <c r="J141" i="5"/>
  <c r="H141" i="5"/>
  <c r="G141" i="5"/>
  <c r="F141" i="5"/>
  <c r="E141" i="5"/>
  <c r="D141" i="5"/>
  <c r="L140" i="5"/>
  <c r="K140" i="5"/>
  <c r="J140" i="5"/>
  <c r="H140" i="5"/>
  <c r="G140" i="5"/>
  <c r="F140" i="5"/>
  <c r="E140" i="5"/>
  <c r="D140" i="5"/>
  <c r="L139" i="5"/>
  <c r="K139" i="5"/>
  <c r="J139" i="5"/>
  <c r="H139" i="5"/>
  <c r="G139" i="5"/>
  <c r="F139" i="5"/>
  <c r="E139" i="5"/>
  <c r="D139" i="5"/>
  <c r="L138" i="5"/>
  <c r="K138" i="5"/>
  <c r="J138" i="5"/>
  <c r="H138" i="5"/>
  <c r="G138" i="5"/>
  <c r="F138" i="5"/>
  <c r="E138" i="5"/>
  <c r="D138" i="5"/>
  <c r="L137" i="5"/>
  <c r="K137" i="5"/>
  <c r="J137" i="5"/>
  <c r="H137" i="5"/>
  <c r="G137" i="5"/>
  <c r="F137" i="5"/>
  <c r="E137" i="5"/>
  <c r="D137" i="5"/>
  <c r="L136" i="5"/>
  <c r="K136" i="5"/>
  <c r="J136" i="5"/>
  <c r="H136" i="5"/>
  <c r="G136" i="5"/>
  <c r="F136" i="5"/>
  <c r="E136" i="5"/>
  <c r="D136" i="5"/>
  <c r="L135" i="5"/>
  <c r="K135" i="5"/>
  <c r="J135" i="5"/>
  <c r="H135" i="5"/>
  <c r="G135" i="5"/>
  <c r="F135" i="5"/>
  <c r="E135" i="5"/>
  <c r="D135" i="5"/>
  <c r="L134" i="5"/>
  <c r="K134" i="5"/>
  <c r="J134" i="5"/>
  <c r="H134" i="5"/>
  <c r="G134" i="5"/>
  <c r="F134" i="5"/>
  <c r="E134" i="5"/>
  <c r="D134" i="5"/>
  <c r="L133" i="5"/>
  <c r="K133" i="5"/>
  <c r="J133" i="5"/>
  <c r="H133" i="5"/>
  <c r="G133" i="5"/>
  <c r="F133" i="5"/>
  <c r="E133" i="5"/>
  <c r="D133" i="5"/>
  <c r="L132" i="5"/>
  <c r="K132" i="5"/>
  <c r="J132" i="5"/>
  <c r="H132" i="5"/>
  <c r="G132" i="5"/>
  <c r="F132" i="5"/>
  <c r="E132" i="5"/>
  <c r="D132" i="5"/>
  <c r="L131" i="5"/>
  <c r="K131" i="5"/>
  <c r="J131" i="5"/>
  <c r="H131" i="5"/>
  <c r="G131" i="5"/>
  <c r="F131" i="5"/>
  <c r="E131" i="5"/>
  <c r="D131" i="5"/>
  <c r="L130" i="5"/>
  <c r="K130" i="5"/>
  <c r="J130" i="5"/>
  <c r="H130" i="5"/>
  <c r="G130" i="5"/>
  <c r="F130" i="5"/>
  <c r="E130" i="5"/>
  <c r="D130" i="5"/>
  <c r="L129" i="5"/>
  <c r="K129" i="5"/>
  <c r="J129" i="5"/>
  <c r="H129" i="5"/>
  <c r="G129" i="5"/>
  <c r="F129" i="5"/>
  <c r="E129" i="5"/>
  <c r="D129" i="5"/>
  <c r="L128" i="5"/>
  <c r="K128" i="5"/>
  <c r="J128" i="5"/>
  <c r="H128" i="5"/>
  <c r="G128" i="5"/>
  <c r="F128" i="5"/>
  <c r="E128" i="5"/>
  <c r="D128" i="5"/>
  <c r="L127" i="5"/>
  <c r="K127" i="5"/>
  <c r="J127" i="5"/>
  <c r="H127" i="5"/>
  <c r="G127" i="5"/>
  <c r="F127" i="5"/>
  <c r="E127" i="5"/>
  <c r="D127" i="5"/>
  <c r="L126" i="5"/>
  <c r="K126" i="5"/>
  <c r="J126" i="5"/>
  <c r="H126" i="5"/>
  <c r="G126" i="5"/>
  <c r="F126" i="5"/>
  <c r="E126" i="5"/>
  <c r="D126" i="5"/>
  <c r="L125" i="5"/>
  <c r="K125" i="5"/>
  <c r="J125" i="5"/>
  <c r="H125" i="5"/>
  <c r="G125" i="5"/>
  <c r="F125" i="5"/>
  <c r="E125" i="5"/>
  <c r="D125" i="5"/>
  <c r="L124" i="5"/>
  <c r="K124" i="5"/>
  <c r="J124" i="5"/>
  <c r="H124" i="5"/>
  <c r="G124" i="5"/>
  <c r="F124" i="5"/>
  <c r="E124" i="5"/>
  <c r="D124" i="5"/>
  <c r="L123" i="5"/>
  <c r="K123" i="5"/>
  <c r="J123" i="5"/>
  <c r="H123" i="5"/>
  <c r="G123" i="5"/>
  <c r="F123" i="5"/>
  <c r="E123" i="5"/>
  <c r="D123" i="5"/>
  <c r="L122" i="5"/>
  <c r="K122" i="5"/>
  <c r="J122" i="5"/>
  <c r="H122" i="5"/>
  <c r="G122" i="5"/>
  <c r="F122" i="5"/>
  <c r="E122" i="5"/>
  <c r="D122" i="5"/>
  <c r="L121" i="5"/>
  <c r="K121" i="5"/>
  <c r="J121" i="5"/>
  <c r="H121" i="5"/>
  <c r="G121" i="5"/>
  <c r="F121" i="5"/>
  <c r="E121" i="5"/>
  <c r="D121" i="5"/>
  <c r="L120" i="5"/>
  <c r="K120" i="5"/>
  <c r="J120" i="5"/>
  <c r="H120" i="5"/>
  <c r="G120" i="5"/>
  <c r="F120" i="5"/>
  <c r="E120" i="5"/>
  <c r="D120" i="5"/>
  <c r="L119" i="5"/>
  <c r="K119" i="5"/>
  <c r="J119" i="5"/>
  <c r="H119" i="5"/>
  <c r="G119" i="5"/>
  <c r="F119" i="5"/>
  <c r="E119" i="5"/>
  <c r="D119" i="5"/>
  <c r="L118" i="5"/>
  <c r="K118" i="5"/>
  <c r="J118" i="5"/>
  <c r="H118" i="5"/>
  <c r="G118" i="5"/>
  <c r="F118" i="5"/>
  <c r="E118" i="5"/>
  <c r="D118" i="5"/>
  <c r="L117" i="5"/>
  <c r="K117" i="5"/>
  <c r="J117" i="5"/>
  <c r="H117" i="5"/>
  <c r="G117" i="5"/>
  <c r="F117" i="5"/>
  <c r="E117" i="5"/>
  <c r="D117" i="5"/>
  <c r="L116" i="5"/>
  <c r="K116" i="5"/>
  <c r="J116" i="5"/>
  <c r="H116" i="5"/>
  <c r="G116" i="5"/>
  <c r="F116" i="5"/>
  <c r="E116" i="5"/>
  <c r="D116" i="5"/>
  <c r="L115" i="5"/>
  <c r="K115" i="5"/>
  <c r="J115" i="5"/>
  <c r="H115" i="5"/>
  <c r="G115" i="5"/>
  <c r="F115" i="5"/>
  <c r="E115" i="5"/>
  <c r="D115" i="5"/>
  <c r="L114" i="5"/>
  <c r="K114" i="5"/>
  <c r="J114" i="5"/>
  <c r="H114" i="5"/>
  <c r="G114" i="5"/>
  <c r="F114" i="5"/>
  <c r="E114" i="5"/>
  <c r="D114" i="5"/>
  <c r="L113" i="5"/>
  <c r="K113" i="5"/>
  <c r="J113" i="5"/>
  <c r="H113" i="5"/>
  <c r="G113" i="5"/>
  <c r="F113" i="5"/>
  <c r="E113" i="5"/>
  <c r="D113" i="5"/>
  <c r="L112" i="5"/>
  <c r="K112" i="5"/>
  <c r="J112" i="5"/>
  <c r="H112" i="5"/>
  <c r="G112" i="5"/>
  <c r="F112" i="5"/>
  <c r="E112" i="5"/>
  <c r="D112" i="5"/>
  <c r="L111" i="5"/>
  <c r="K111" i="5"/>
  <c r="J111" i="5"/>
  <c r="H111" i="5"/>
  <c r="G111" i="5"/>
  <c r="F111" i="5"/>
  <c r="E111" i="5"/>
  <c r="D111" i="5"/>
  <c r="L110" i="5"/>
  <c r="K110" i="5"/>
  <c r="J110" i="5"/>
  <c r="H110" i="5"/>
  <c r="G110" i="5"/>
  <c r="F110" i="5"/>
  <c r="E110" i="5"/>
  <c r="D110" i="5"/>
  <c r="L109" i="5"/>
  <c r="K109" i="5"/>
  <c r="J109" i="5"/>
  <c r="H109" i="5"/>
  <c r="G109" i="5"/>
  <c r="F109" i="5"/>
  <c r="E109" i="5"/>
  <c r="D109" i="5"/>
  <c r="L108" i="5"/>
  <c r="K108" i="5"/>
  <c r="J108" i="5"/>
  <c r="H108" i="5"/>
  <c r="G108" i="5"/>
  <c r="F108" i="5"/>
  <c r="E108" i="5"/>
  <c r="D108" i="5"/>
  <c r="L107" i="5"/>
  <c r="K107" i="5"/>
  <c r="J107" i="5"/>
  <c r="H107" i="5"/>
  <c r="G107" i="5"/>
  <c r="F107" i="5"/>
  <c r="E107" i="5"/>
  <c r="D107" i="5"/>
  <c r="L106" i="5"/>
  <c r="K106" i="5"/>
  <c r="J106" i="5"/>
  <c r="H106" i="5"/>
  <c r="G106" i="5"/>
  <c r="F106" i="5"/>
  <c r="E106" i="5"/>
  <c r="D106" i="5"/>
  <c r="L105" i="5"/>
  <c r="K105" i="5"/>
  <c r="J105" i="5"/>
  <c r="H105" i="5"/>
  <c r="G105" i="5"/>
  <c r="F105" i="5"/>
  <c r="E105" i="5"/>
  <c r="D105" i="5"/>
  <c r="L104" i="5"/>
  <c r="K104" i="5"/>
  <c r="J104" i="5"/>
  <c r="H104" i="5"/>
  <c r="G104" i="5"/>
  <c r="F104" i="5"/>
  <c r="E104" i="5"/>
  <c r="D104" i="5"/>
  <c r="L103" i="5"/>
  <c r="K103" i="5"/>
  <c r="J103" i="5"/>
  <c r="H103" i="5"/>
  <c r="G103" i="5"/>
  <c r="F103" i="5"/>
  <c r="E103" i="5"/>
  <c r="D103" i="5"/>
  <c r="L102" i="5"/>
  <c r="K102" i="5"/>
  <c r="J102" i="5"/>
  <c r="H102" i="5"/>
  <c r="G102" i="5"/>
  <c r="F102" i="5"/>
  <c r="E102" i="5"/>
  <c r="D102" i="5"/>
  <c r="L101" i="5"/>
  <c r="K101" i="5"/>
  <c r="J101" i="5"/>
  <c r="H101" i="5"/>
  <c r="G101" i="5"/>
  <c r="F101" i="5"/>
  <c r="E101" i="5"/>
  <c r="D101" i="5"/>
  <c r="L100" i="5"/>
  <c r="K100" i="5"/>
  <c r="J100" i="5"/>
  <c r="H100" i="5"/>
  <c r="G100" i="5"/>
  <c r="F100" i="5"/>
  <c r="E100" i="5"/>
  <c r="D100" i="5"/>
  <c r="L99" i="5"/>
  <c r="K99" i="5"/>
  <c r="J99" i="5"/>
  <c r="H99" i="5"/>
  <c r="G99" i="5"/>
  <c r="F99" i="5"/>
  <c r="E99" i="5"/>
  <c r="D99" i="5"/>
  <c r="L98" i="5"/>
  <c r="K98" i="5"/>
  <c r="J98" i="5"/>
  <c r="H98" i="5"/>
  <c r="G98" i="5"/>
  <c r="F98" i="5"/>
  <c r="E98" i="5"/>
  <c r="D98" i="5"/>
  <c r="L97" i="5"/>
  <c r="K97" i="5"/>
  <c r="J97" i="5"/>
  <c r="H97" i="5"/>
  <c r="G97" i="5"/>
  <c r="F97" i="5"/>
  <c r="E97" i="5"/>
  <c r="D97" i="5"/>
  <c r="L96" i="5"/>
  <c r="K96" i="5"/>
  <c r="J96" i="5"/>
  <c r="H96" i="5"/>
  <c r="G96" i="5"/>
  <c r="F96" i="5"/>
  <c r="E96" i="5"/>
  <c r="D96" i="5"/>
  <c r="L95" i="5"/>
  <c r="K95" i="5"/>
  <c r="J95" i="5"/>
  <c r="H95" i="5"/>
  <c r="G95" i="5"/>
  <c r="F95" i="5"/>
  <c r="E95" i="5"/>
  <c r="D95" i="5"/>
  <c r="L94" i="5"/>
  <c r="K94" i="5"/>
  <c r="J94" i="5"/>
  <c r="H94" i="5"/>
  <c r="G94" i="5"/>
  <c r="F94" i="5"/>
  <c r="E94" i="5"/>
  <c r="D94" i="5"/>
  <c r="L93" i="5"/>
  <c r="K93" i="5"/>
  <c r="J93" i="5"/>
  <c r="H93" i="5"/>
  <c r="G93" i="5"/>
  <c r="F93" i="5"/>
  <c r="E93" i="5"/>
  <c r="D93" i="5"/>
  <c r="L92" i="5"/>
  <c r="K92" i="5"/>
  <c r="J92" i="5"/>
  <c r="H92" i="5"/>
  <c r="G92" i="5"/>
  <c r="F92" i="5"/>
  <c r="E92" i="5"/>
  <c r="D92" i="5"/>
  <c r="L91" i="5"/>
  <c r="K91" i="5"/>
  <c r="J91" i="5"/>
  <c r="H91" i="5"/>
  <c r="G91" i="5"/>
  <c r="F91" i="5"/>
  <c r="E91" i="5"/>
  <c r="D91" i="5"/>
  <c r="L90" i="5"/>
  <c r="K90" i="5"/>
  <c r="J90" i="5"/>
  <c r="H90" i="5"/>
  <c r="G90" i="5"/>
  <c r="F90" i="5"/>
  <c r="E90" i="5"/>
  <c r="D90" i="5"/>
  <c r="L89" i="5"/>
  <c r="K89" i="5"/>
  <c r="J89" i="5"/>
  <c r="H89" i="5"/>
  <c r="G89" i="5"/>
  <c r="F89" i="5"/>
  <c r="E89" i="5"/>
  <c r="D89" i="5"/>
  <c r="L88" i="5"/>
  <c r="K88" i="5"/>
  <c r="J88" i="5"/>
  <c r="H88" i="5"/>
  <c r="G88" i="5"/>
  <c r="F88" i="5"/>
  <c r="E88" i="5"/>
  <c r="D88" i="5"/>
  <c r="L87" i="5"/>
  <c r="K87" i="5"/>
  <c r="J87" i="5"/>
  <c r="H87" i="5"/>
  <c r="G87" i="5"/>
  <c r="F87" i="5"/>
  <c r="E87" i="5"/>
  <c r="D87" i="5"/>
  <c r="L86" i="5"/>
  <c r="K86" i="5"/>
  <c r="J86" i="5"/>
  <c r="H86" i="5"/>
  <c r="G86" i="5"/>
  <c r="F86" i="5"/>
  <c r="E86" i="5"/>
  <c r="D86" i="5"/>
  <c r="L85" i="5"/>
  <c r="K85" i="5"/>
  <c r="J85" i="5"/>
  <c r="H85" i="5"/>
  <c r="G85" i="5"/>
  <c r="F85" i="5"/>
  <c r="E85" i="5"/>
  <c r="D85" i="5"/>
  <c r="L84" i="5"/>
  <c r="K84" i="5"/>
  <c r="J84" i="5"/>
  <c r="H84" i="5"/>
  <c r="G84" i="5"/>
  <c r="F84" i="5"/>
  <c r="E84" i="5"/>
  <c r="D84" i="5"/>
  <c r="L83" i="5"/>
  <c r="K83" i="5"/>
  <c r="J83" i="5"/>
  <c r="H83" i="5"/>
  <c r="G83" i="5"/>
  <c r="F83" i="5"/>
  <c r="E83" i="5"/>
  <c r="D83" i="5"/>
  <c r="L82" i="5"/>
  <c r="K82" i="5"/>
  <c r="J82" i="5"/>
  <c r="H82" i="5"/>
  <c r="G82" i="5"/>
  <c r="F82" i="5"/>
  <c r="E82" i="5"/>
  <c r="D82" i="5"/>
  <c r="L81" i="5"/>
  <c r="K81" i="5"/>
  <c r="J81" i="5"/>
  <c r="H81" i="5"/>
  <c r="G81" i="5"/>
  <c r="F81" i="5"/>
  <c r="E81" i="5"/>
  <c r="D81" i="5"/>
  <c r="L80" i="5"/>
  <c r="K80" i="5"/>
  <c r="J80" i="5"/>
  <c r="H80" i="5"/>
  <c r="G80" i="5"/>
  <c r="F80" i="5"/>
  <c r="E80" i="5"/>
  <c r="D80" i="5"/>
  <c r="L79" i="5"/>
  <c r="K79" i="5"/>
  <c r="J79" i="5"/>
  <c r="H79" i="5"/>
  <c r="G79" i="5"/>
  <c r="F79" i="5"/>
  <c r="E79" i="5"/>
  <c r="D79" i="5"/>
  <c r="L78" i="5"/>
  <c r="K78" i="5"/>
  <c r="J78" i="5"/>
  <c r="H78" i="5"/>
  <c r="G78" i="5"/>
  <c r="F78" i="5"/>
  <c r="E78" i="5"/>
  <c r="D78" i="5"/>
  <c r="L77" i="5"/>
  <c r="K77" i="5"/>
  <c r="J77" i="5"/>
  <c r="H77" i="5"/>
  <c r="G77" i="5"/>
  <c r="F77" i="5"/>
  <c r="E77" i="5"/>
  <c r="D77" i="5"/>
  <c r="L76" i="5"/>
  <c r="K76" i="5"/>
  <c r="J76" i="5"/>
  <c r="H76" i="5"/>
  <c r="G76" i="5"/>
  <c r="F76" i="5"/>
  <c r="E76" i="5"/>
  <c r="D76" i="5"/>
  <c r="L75" i="5"/>
  <c r="K75" i="5"/>
  <c r="J75" i="5"/>
  <c r="H75" i="5"/>
  <c r="G75" i="5"/>
  <c r="F75" i="5"/>
  <c r="E75" i="5"/>
  <c r="D75" i="5"/>
  <c r="L74" i="5"/>
  <c r="K74" i="5"/>
  <c r="J74" i="5"/>
  <c r="H74" i="5"/>
  <c r="G74" i="5"/>
  <c r="F74" i="5"/>
  <c r="E74" i="5"/>
  <c r="D74" i="5"/>
  <c r="L73" i="5"/>
  <c r="K73" i="5"/>
  <c r="J73" i="5"/>
  <c r="H73" i="5"/>
  <c r="G73" i="5"/>
  <c r="F73" i="5"/>
  <c r="E73" i="5"/>
  <c r="D73" i="5"/>
  <c r="L72" i="5"/>
  <c r="K72" i="5"/>
  <c r="J72" i="5"/>
  <c r="H72" i="5"/>
  <c r="G72" i="5"/>
  <c r="F72" i="5"/>
  <c r="E72" i="5"/>
  <c r="D72" i="5"/>
  <c r="L71" i="5"/>
  <c r="K71" i="5"/>
  <c r="J71" i="5"/>
  <c r="H71" i="5"/>
  <c r="G71" i="5"/>
  <c r="F71" i="5"/>
  <c r="E71" i="5"/>
  <c r="D71" i="5"/>
  <c r="L70" i="5"/>
  <c r="K70" i="5"/>
  <c r="J70" i="5"/>
  <c r="H70" i="5"/>
  <c r="G70" i="5"/>
  <c r="F70" i="5"/>
  <c r="E70" i="5"/>
  <c r="D70" i="5"/>
  <c r="L69" i="5"/>
  <c r="K69" i="5"/>
  <c r="J69" i="5"/>
  <c r="H69" i="5"/>
  <c r="G69" i="5"/>
  <c r="F69" i="5"/>
  <c r="E69" i="5"/>
  <c r="D69" i="5"/>
  <c r="L68" i="5"/>
  <c r="K68" i="5"/>
  <c r="J68" i="5"/>
  <c r="H68" i="5"/>
  <c r="G68" i="5"/>
  <c r="F68" i="5"/>
  <c r="E68" i="5"/>
  <c r="D68" i="5"/>
  <c r="L67" i="5"/>
  <c r="K67" i="5"/>
  <c r="J67" i="5"/>
  <c r="H67" i="5"/>
  <c r="G67" i="5"/>
  <c r="F67" i="5"/>
  <c r="E67" i="5"/>
  <c r="D67" i="5"/>
  <c r="L66" i="5"/>
  <c r="K66" i="5"/>
  <c r="J66" i="5"/>
  <c r="H66" i="5"/>
  <c r="G66" i="5"/>
  <c r="F66" i="5"/>
  <c r="E66" i="5"/>
  <c r="D66" i="5"/>
  <c r="L65" i="5"/>
  <c r="K65" i="5"/>
  <c r="J65" i="5"/>
  <c r="H65" i="5"/>
  <c r="G65" i="5"/>
  <c r="F65" i="5"/>
  <c r="E65" i="5"/>
  <c r="D65" i="5"/>
  <c r="L64" i="5"/>
  <c r="K64" i="5"/>
  <c r="J64" i="5"/>
  <c r="H64" i="5"/>
  <c r="G64" i="5"/>
  <c r="F64" i="5"/>
  <c r="E64" i="5"/>
  <c r="D64" i="5"/>
  <c r="L63" i="5"/>
  <c r="K63" i="5"/>
  <c r="J63" i="5"/>
  <c r="H63" i="5"/>
  <c r="G63" i="5"/>
  <c r="F63" i="5"/>
  <c r="E63" i="5"/>
  <c r="D63" i="5"/>
  <c r="L62" i="5"/>
  <c r="K62" i="5"/>
  <c r="J62" i="5"/>
  <c r="H62" i="5"/>
  <c r="G62" i="5"/>
  <c r="F62" i="5"/>
  <c r="E62" i="5"/>
  <c r="D62" i="5"/>
  <c r="L61" i="5"/>
  <c r="K61" i="5"/>
  <c r="J61" i="5"/>
  <c r="H61" i="5"/>
  <c r="G61" i="5"/>
  <c r="F61" i="5"/>
  <c r="E61" i="5"/>
  <c r="D61" i="5"/>
  <c r="L60" i="5"/>
  <c r="K60" i="5"/>
  <c r="J60" i="5"/>
  <c r="H60" i="5"/>
  <c r="G60" i="5"/>
  <c r="F60" i="5"/>
  <c r="E60" i="5"/>
  <c r="D60" i="5"/>
  <c r="L59" i="5"/>
  <c r="K59" i="5"/>
  <c r="J59" i="5"/>
  <c r="H59" i="5"/>
  <c r="G59" i="5"/>
  <c r="F59" i="5"/>
  <c r="E59" i="5"/>
  <c r="D59" i="5"/>
  <c r="L58" i="5"/>
  <c r="K58" i="5"/>
  <c r="J58" i="5"/>
  <c r="H58" i="5"/>
  <c r="G58" i="5"/>
  <c r="F58" i="5"/>
  <c r="E58" i="5"/>
  <c r="D58" i="5"/>
  <c r="L57" i="5"/>
  <c r="K57" i="5"/>
  <c r="J57" i="5"/>
  <c r="H57" i="5"/>
  <c r="G57" i="5"/>
  <c r="F57" i="5"/>
  <c r="E57" i="5"/>
  <c r="D57" i="5"/>
  <c r="L56" i="5"/>
  <c r="K56" i="5"/>
  <c r="J56" i="5"/>
  <c r="H56" i="5"/>
  <c r="G56" i="5"/>
  <c r="F56" i="5"/>
  <c r="E56" i="5"/>
  <c r="D56" i="5"/>
  <c r="L55" i="5"/>
  <c r="K55" i="5"/>
  <c r="J55" i="5"/>
  <c r="H55" i="5"/>
  <c r="G55" i="5"/>
  <c r="F55" i="5"/>
  <c r="E55" i="5"/>
  <c r="D55" i="5"/>
  <c r="L54" i="5"/>
  <c r="K54" i="5"/>
  <c r="J54" i="5"/>
  <c r="H54" i="5"/>
  <c r="G54" i="5"/>
  <c r="F54" i="5"/>
  <c r="E54" i="5"/>
  <c r="D54" i="5"/>
  <c r="L53" i="5"/>
  <c r="K53" i="5"/>
  <c r="J53" i="5"/>
  <c r="H53" i="5"/>
  <c r="G53" i="5"/>
  <c r="F53" i="5"/>
  <c r="E53" i="5"/>
  <c r="D53" i="5"/>
  <c r="L52" i="5"/>
  <c r="K52" i="5"/>
  <c r="J52" i="5"/>
  <c r="H52" i="5"/>
  <c r="G52" i="5"/>
  <c r="F52" i="5"/>
  <c r="E52" i="5"/>
  <c r="D52" i="5"/>
  <c r="L51" i="5"/>
  <c r="K51" i="5"/>
  <c r="J51" i="5"/>
  <c r="H51" i="5"/>
  <c r="G51" i="5"/>
  <c r="F51" i="5"/>
  <c r="E51" i="5"/>
  <c r="D51" i="5"/>
  <c r="L50" i="5"/>
  <c r="K50" i="5"/>
  <c r="J50" i="5"/>
  <c r="H50" i="5"/>
  <c r="G50" i="5"/>
  <c r="F50" i="5"/>
  <c r="E50" i="5"/>
  <c r="D50" i="5"/>
  <c r="L49" i="5"/>
  <c r="K49" i="5"/>
  <c r="J49" i="5"/>
  <c r="H49" i="5"/>
  <c r="G49" i="5"/>
  <c r="F49" i="5"/>
  <c r="E49" i="5"/>
  <c r="D49" i="5"/>
  <c r="L48" i="5"/>
  <c r="K48" i="5"/>
  <c r="J48" i="5"/>
  <c r="H48" i="5"/>
  <c r="G48" i="5"/>
  <c r="F48" i="5"/>
  <c r="E48" i="5"/>
  <c r="D48" i="5"/>
  <c r="L47" i="5"/>
  <c r="K47" i="5"/>
  <c r="J47" i="5"/>
  <c r="H47" i="5"/>
  <c r="G47" i="5"/>
  <c r="F47" i="5"/>
  <c r="E47" i="5"/>
  <c r="D47" i="5"/>
  <c r="L46" i="5"/>
  <c r="K46" i="5"/>
  <c r="J46" i="5"/>
  <c r="H46" i="5"/>
  <c r="G46" i="5"/>
  <c r="F46" i="5"/>
  <c r="E46" i="5"/>
  <c r="D46" i="5"/>
  <c r="L45" i="5"/>
  <c r="K45" i="5"/>
  <c r="J45" i="5"/>
  <c r="H45" i="5"/>
  <c r="G45" i="5"/>
  <c r="F45" i="5"/>
  <c r="E45" i="5"/>
  <c r="D45" i="5"/>
  <c r="L44" i="5"/>
  <c r="K44" i="5"/>
  <c r="J44" i="5"/>
  <c r="H44" i="5"/>
  <c r="G44" i="5"/>
  <c r="F44" i="5"/>
  <c r="E44" i="5"/>
  <c r="D44" i="5"/>
  <c r="L43" i="5"/>
  <c r="K43" i="5"/>
  <c r="J43" i="5"/>
  <c r="H43" i="5"/>
  <c r="G43" i="5"/>
  <c r="F43" i="5"/>
  <c r="E43" i="5"/>
  <c r="D43" i="5"/>
  <c r="L42" i="5"/>
  <c r="K42" i="5"/>
  <c r="J42" i="5"/>
  <c r="H42" i="5"/>
  <c r="G42" i="5"/>
  <c r="F42" i="5"/>
  <c r="E42" i="5"/>
  <c r="D42" i="5"/>
  <c r="L41" i="5"/>
  <c r="K41" i="5"/>
  <c r="J41" i="5"/>
  <c r="H41" i="5"/>
  <c r="G41" i="5"/>
  <c r="F41" i="5"/>
  <c r="E41" i="5"/>
  <c r="D41" i="5"/>
  <c r="L40" i="5"/>
  <c r="K40" i="5"/>
  <c r="J40" i="5"/>
  <c r="H40" i="5"/>
  <c r="G40" i="5"/>
  <c r="F40" i="5"/>
  <c r="E40" i="5"/>
  <c r="D40" i="5"/>
  <c r="L39" i="5"/>
  <c r="K39" i="5"/>
  <c r="J39" i="5"/>
  <c r="H39" i="5"/>
  <c r="G39" i="5"/>
  <c r="F39" i="5"/>
  <c r="E39" i="5"/>
  <c r="D39" i="5"/>
  <c r="L38" i="5"/>
  <c r="K38" i="5"/>
  <c r="J38" i="5"/>
  <c r="H38" i="5"/>
  <c r="G38" i="5"/>
  <c r="F38" i="5"/>
  <c r="E38" i="5"/>
  <c r="D38" i="5"/>
  <c r="L37" i="5"/>
  <c r="K37" i="5"/>
  <c r="J37" i="5"/>
  <c r="H37" i="5"/>
  <c r="G37" i="5"/>
  <c r="F37" i="5"/>
  <c r="E37" i="5"/>
  <c r="D37" i="5"/>
  <c r="L36" i="5"/>
  <c r="K36" i="5"/>
  <c r="J36" i="5"/>
  <c r="H36" i="5"/>
  <c r="G36" i="5"/>
  <c r="F36" i="5"/>
  <c r="E36" i="5"/>
  <c r="D36" i="5"/>
  <c r="L35" i="5"/>
  <c r="K35" i="5"/>
  <c r="J35" i="5"/>
  <c r="H35" i="5"/>
  <c r="G35" i="5"/>
  <c r="F35" i="5"/>
  <c r="E35" i="5"/>
  <c r="D35" i="5"/>
  <c r="L34" i="5"/>
  <c r="K34" i="5"/>
  <c r="J34" i="5"/>
  <c r="H34" i="5"/>
  <c r="G34" i="5"/>
  <c r="F34" i="5"/>
  <c r="E34" i="5"/>
  <c r="D34" i="5"/>
  <c r="L33" i="5"/>
  <c r="K33" i="5"/>
  <c r="J33" i="5"/>
  <c r="H33" i="5"/>
  <c r="G33" i="5"/>
  <c r="F33" i="5"/>
  <c r="E33" i="5"/>
  <c r="D33" i="5"/>
  <c r="L32" i="5"/>
  <c r="K32" i="5"/>
  <c r="J32" i="5"/>
  <c r="H32" i="5"/>
  <c r="G32" i="5"/>
  <c r="F32" i="5"/>
  <c r="E32" i="5"/>
  <c r="D32" i="5"/>
  <c r="L31" i="5"/>
  <c r="K31" i="5"/>
  <c r="J31" i="5"/>
  <c r="H31" i="5"/>
  <c r="G31" i="5"/>
  <c r="F31" i="5"/>
  <c r="E31" i="5"/>
  <c r="D31" i="5"/>
  <c r="L30" i="5"/>
  <c r="K30" i="5"/>
  <c r="J30" i="5"/>
  <c r="H30" i="5"/>
  <c r="G30" i="5"/>
  <c r="F30" i="5"/>
  <c r="E30" i="5"/>
  <c r="D30" i="5"/>
  <c r="L29" i="5"/>
  <c r="K29" i="5"/>
  <c r="J29" i="5"/>
  <c r="H29" i="5"/>
  <c r="G29" i="5"/>
  <c r="F29" i="5"/>
  <c r="E29" i="5"/>
  <c r="D29" i="5"/>
  <c r="L28" i="5"/>
  <c r="K28" i="5"/>
  <c r="J28" i="5"/>
  <c r="H28" i="5"/>
  <c r="G28" i="5"/>
  <c r="F28" i="5"/>
  <c r="E28" i="5"/>
  <c r="D28" i="5"/>
  <c r="L27" i="5"/>
  <c r="K27" i="5"/>
  <c r="J27" i="5"/>
  <c r="H27" i="5"/>
  <c r="G27" i="5"/>
  <c r="F27" i="5"/>
  <c r="E27" i="5"/>
  <c r="D27" i="5"/>
  <c r="L26" i="5"/>
  <c r="K26" i="5"/>
  <c r="J26" i="5"/>
  <c r="H26" i="5"/>
  <c r="G26" i="5"/>
  <c r="F26" i="5"/>
  <c r="E26" i="5"/>
  <c r="D26" i="5"/>
  <c r="L25" i="5"/>
  <c r="K25" i="5"/>
  <c r="J25" i="5"/>
  <c r="H25" i="5"/>
  <c r="G25" i="5"/>
  <c r="F25" i="5"/>
  <c r="E25" i="5"/>
  <c r="D25" i="5"/>
  <c r="L24" i="5"/>
  <c r="K24" i="5"/>
  <c r="J24" i="5"/>
  <c r="H24" i="5"/>
  <c r="G24" i="5"/>
  <c r="F24" i="5"/>
  <c r="E24" i="5"/>
  <c r="D24" i="5"/>
  <c r="L23" i="5"/>
  <c r="K23" i="5"/>
  <c r="J23" i="5"/>
  <c r="H23" i="5"/>
  <c r="G23" i="5"/>
  <c r="F23" i="5"/>
  <c r="E23" i="5"/>
  <c r="D23" i="5"/>
  <c r="L22" i="5"/>
  <c r="K22" i="5"/>
  <c r="J22" i="5"/>
  <c r="H22" i="5"/>
  <c r="G22" i="5"/>
  <c r="F22" i="5"/>
  <c r="E22" i="5"/>
  <c r="D22" i="5"/>
  <c r="L21" i="5"/>
  <c r="K21" i="5"/>
  <c r="J21" i="5"/>
  <c r="H21" i="5"/>
  <c r="G21" i="5"/>
  <c r="F21" i="5"/>
  <c r="E21" i="5"/>
  <c r="D21" i="5"/>
  <c r="L20" i="5"/>
  <c r="K20" i="5"/>
  <c r="J20" i="5"/>
  <c r="H20" i="5"/>
  <c r="G20" i="5"/>
  <c r="F20" i="5"/>
  <c r="E20" i="5"/>
  <c r="D20" i="5"/>
  <c r="L19" i="5"/>
  <c r="K19" i="5"/>
  <c r="J19" i="5"/>
  <c r="H19" i="5"/>
  <c r="G19" i="5"/>
  <c r="F19" i="5"/>
  <c r="E19" i="5"/>
  <c r="D19" i="5"/>
  <c r="L18" i="5"/>
  <c r="K18" i="5"/>
  <c r="J18" i="5"/>
  <c r="H18" i="5"/>
  <c r="G18" i="5"/>
  <c r="F18" i="5"/>
  <c r="E18" i="5"/>
  <c r="D18" i="5"/>
  <c r="L17" i="5"/>
  <c r="K17" i="5"/>
  <c r="J17" i="5"/>
  <c r="H17" i="5"/>
  <c r="G17" i="5"/>
  <c r="F17" i="5"/>
  <c r="E17" i="5"/>
  <c r="D17" i="5"/>
  <c r="L16" i="5"/>
  <c r="K16" i="5"/>
  <c r="J16" i="5"/>
  <c r="H16" i="5"/>
  <c r="G16" i="5"/>
  <c r="F16" i="5"/>
  <c r="E16" i="5"/>
  <c r="D16" i="5"/>
  <c r="L15" i="5"/>
  <c r="K15" i="5"/>
  <c r="J15" i="5"/>
  <c r="H15" i="5"/>
  <c r="G15" i="5"/>
  <c r="F15" i="5"/>
  <c r="E15" i="5"/>
  <c r="D15" i="5"/>
  <c r="L14" i="5"/>
  <c r="K14" i="5"/>
  <c r="J14" i="5"/>
  <c r="H14" i="5"/>
  <c r="G14" i="5"/>
  <c r="F14" i="5"/>
  <c r="E14" i="5"/>
  <c r="D14" i="5"/>
  <c r="L13" i="5"/>
  <c r="K13" i="5"/>
  <c r="J13" i="5"/>
  <c r="H13" i="5"/>
  <c r="G13" i="5"/>
  <c r="F13" i="5"/>
  <c r="E13" i="5"/>
  <c r="D13" i="5"/>
  <c r="L12" i="5"/>
  <c r="K12" i="5"/>
  <c r="J12" i="5"/>
  <c r="H12" i="5"/>
  <c r="G12" i="5"/>
  <c r="F12" i="5"/>
  <c r="E12" i="5"/>
  <c r="D12" i="5"/>
  <c r="L11" i="5"/>
  <c r="K11" i="5"/>
  <c r="J11" i="5"/>
  <c r="H11" i="5"/>
  <c r="G11" i="5"/>
  <c r="F11" i="5"/>
  <c r="E11" i="5"/>
  <c r="D11" i="5"/>
  <c r="L10" i="5"/>
  <c r="K10" i="5"/>
  <c r="J10" i="5"/>
  <c r="H10" i="5"/>
  <c r="G10" i="5"/>
  <c r="F10" i="5"/>
  <c r="E10" i="5"/>
  <c r="D10" i="5"/>
  <c r="L9" i="5"/>
  <c r="K9" i="5"/>
  <c r="J9" i="5"/>
  <c r="H9" i="5"/>
  <c r="G9" i="5"/>
  <c r="F9" i="5"/>
  <c r="E9" i="5"/>
  <c r="D9" i="5"/>
  <c r="L8" i="5"/>
  <c r="K8" i="5"/>
  <c r="J8" i="5"/>
  <c r="H8" i="5"/>
  <c r="G8" i="5"/>
  <c r="F8" i="5"/>
  <c r="E8" i="5"/>
  <c r="D8" i="5"/>
  <c r="L7" i="5"/>
  <c r="K7" i="5"/>
  <c r="J7" i="5"/>
  <c r="H7" i="5"/>
  <c r="G7" i="5"/>
  <c r="F7" i="5"/>
  <c r="E7" i="5"/>
  <c r="D7" i="5"/>
  <c r="L6" i="5"/>
  <c r="K6" i="5"/>
  <c r="J6" i="5"/>
  <c r="H6" i="5"/>
  <c r="G6" i="5"/>
  <c r="F6" i="5"/>
  <c r="E6" i="5"/>
  <c r="D6" i="5"/>
  <c r="L5" i="5"/>
  <c r="K5" i="5"/>
  <c r="J5" i="5"/>
  <c r="H5" i="5"/>
  <c r="G5" i="5"/>
  <c r="F5" i="5"/>
  <c r="E5" i="5"/>
  <c r="D5" i="5"/>
  <c r="L4" i="5"/>
  <c r="K4" i="5"/>
  <c r="J4" i="5"/>
  <c r="H4" i="5"/>
  <c r="G4" i="5"/>
  <c r="F4" i="5"/>
  <c r="E4" i="5"/>
  <c r="D4" i="5"/>
  <c r="L3" i="5"/>
  <c r="K3" i="5"/>
  <c r="J3" i="5"/>
  <c r="H3" i="5"/>
  <c r="G3" i="5"/>
  <c r="F3" i="5"/>
  <c r="E3" i="5"/>
  <c r="D3" i="5"/>
  <c r="Q38" i="4"/>
  <c r="N38" i="4"/>
  <c r="M38" i="4"/>
  <c r="L38" i="4"/>
  <c r="K38" i="4"/>
  <c r="J38" i="4"/>
  <c r="I38" i="4"/>
  <c r="G38" i="4"/>
  <c r="B38" i="4"/>
  <c r="Q37" i="4"/>
  <c r="N37" i="4"/>
  <c r="M37" i="4"/>
  <c r="L37" i="4"/>
  <c r="K37" i="4"/>
  <c r="J37" i="4"/>
  <c r="I37" i="4"/>
  <c r="G37" i="4"/>
  <c r="B37" i="4"/>
  <c r="Q36" i="4"/>
  <c r="N36" i="4"/>
  <c r="M36" i="4"/>
  <c r="L36" i="4"/>
  <c r="K36" i="4"/>
  <c r="J36" i="4"/>
  <c r="I36" i="4"/>
  <c r="G36" i="4"/>
  <c r="B36" i="4"/>
  <c r="Q35" i="4"/>
  <c r="N35" i="4"/>
  <c r="M35" i="4"/>
  <c r="L35" i="4"/>
  <c r="K35" i="4"/>
  <c r="J35" i="4"/>
  <c r="I35" i="4"/>
  <c r="G35" i="4"/>
  <c r="B35" i="4"/>
  <c r="Q34" i="4"/>
  <c r="N34" i="4"/>
  <c r="M34" i="4"/>
  <c r="L34" i="4"/>
  <c r="K34" i="4"/>
  <c r="J34" i="4"/>
  <c r="I34" i="4"/>
  <c r="G34" i="4"/>
  <c r="B34" i="4"/>
  <c r="Q33" i="4"/>
  <c r="N33" i="4"/>
  <c r="M33" i="4"/>
  <c r="L33" i="4"/>
  <c r="K33" i="4"/>
  <c r="J33" i="4"/>
  <c r="I33" i="4"/>
  <c r="G33" i="4"/>
  <c r="B33" i="4"/>
  <c r="Q32" i="4"/>
  <c r="N32" i="4"/>
  <c r="M32" i="4"/>
  <c r="L32" i="4"/>
  <c r="K32" i="4"/>
  <c r="J32" i="4"/>
  <c r="I32" i="4"/>
  <c r="G32" i="4"/>
  <c r="B32" i="4"/>
  <c r="Q31" i="4"/>
  <c r="N31" i="4"/>
  <c r="M31" i="4"/>
  <c r="L31" i="4"/>
  <c r="K31" i="4"/>
  <c r="J31" i="4"/>
  <c r="I31" i="4"/>
  <c r="G31" i="4"/>
  <c r="B31" i="4"/>
  <c r="Q30" i="4"/>
  <c r="N30" i="4"/>
  <c r="M30" i="4"/>
  <c r="L30" i="4"/>
  <c r="K30" i="4"/>
  <c r="J30" i="4"/>
  <c r="I30" i="4"/>
  <c r="G30" i="4"/>
  <c r="B30" i="4"/>
  <c r="Q29" i="4"/>
  <c r="N29" i="4"/>
  <c r="M29" i="4"/>
  <c r="L29" i="4"/>
  <c r="K29" i="4"/>
  <c r="J29" i="4"/>
  <c r="I29" i="4"/>
  <c r="G29" i="4"/>
  <c r="B29" i="4"/>
  <c r="Q28" i="4"/>
  <c r="N28" i="4"/>
  <c r="M28" i="4"/>
  <c r="L28" i="4"/>
  <c r="K28" i="4"/>
  <c r="J28" i="4"/>
  <c r="I28" i="4"/>
  <c r="G28" i="4"/>
  <c r="B28" i="4"/>
  <c r="Q27" i="4"/>
  <c r="N27" i="4"/>
  <c r="M27" i="4"/>
  <c r="L27" i="4"/>
  <c r="K27" i="4"/>
  <c r="J27" i="4"/>
  <c r="I27" i="4"/>
  <c r="G27" i="4"/>
  <c r="B27" i="4"/>
  <c r="Q26" i="4"/>
  <c r="N26" i="4"/>
  <c r="M26" i="4"/>
  <c r="L26" i="4"/>
  <c r="K26" i="4"/>
  <c r="J26" i="4"/>
  <c r="I26" i="4"/>
  <c r="G26" i="4"/>
  <c r="B26" i="4"/>
  <c r="Q25" i="4"/>
  <c r="N25" i="4"/>
  <c r="M25" i="4"/>
  <c r="L25" i="4"/>
  <c r="K25" i="4"/>
  <c r="J25" i="4"/>
  <c r="I25" i="4"/>
  <c r="G25" i="4"/>
  <c r="B25" i="4"/>
  <c r="Q24" i="4"/>
  <c r="N24" i="4"/>
  <c r="M24" i="4"/>
  <c r="L24" i="4"/>
  <c r="K24" i="4"/>
  <c r="J24" i="4"/>
  <c r="I24" i="4"/>
  <c r="G24" i="4"/>
  <c r="B24" i="4"/>
  <c r="N23" i="4"/>
  <c r="M23" i="4"/>
  <c r="L23" i="4"/>
  <c r="K23" i="4"/>
  <c r="J23" i="4"/>
  <c r="I23" i="4"/>
  <c r="G23" i="4"/>
  <c r="B23" i="4"/>
  <c r="Q22" i="4"/>
  <c r="N22" i="4"/>
  <c r="M22" i="4"/>
  <c r="L22" i="4"/>
  <c r="K22" i="4"/>
  <c r="J22" i="4"/>
  <c r="I22" i="4"/>
  <c r="G22" i="4"/>
  <c r="B22" i="4"/>
  <c r="N21" i="4"/>
  <c r="M21" i="4"/>
  <c r="L21" i="4"/>
  <c r="K21" i="4"/>
  <c r="J21" i="4"/>
  <c r="I21" i="4"/>
  <c r="G21" i="4"/>
  <c r="B21" i="4"/>
  <c r="N20" i="4"/>
  <c r="M20" i="4"/>
  <c r="L20" i="4"/>
  <c r="K20" i="4"/>
  <c r="J20" i="4"/>
  <c r="I20" i="4"/>
  <c r="G20" i="4"/>
  <c r="B20" i="4"/>
  <c r="N19" i="4"/>
  <c r="M19" i="4"/>
  <c r="L19" i="4"/>
  <c r="K19" i="4"/>
  <c r="J19" i="4"/>
  <c r="I19" i="4"/>
  <c r="G19" i="4"/>
  <c r="B19" i="4"/>
  <c r="Q18" i="4"/>
  <c r="N18" i="4"/>
  <c r="M18" i="4"/>
  <c r="L18" i="4"/>
  <c r="K18" i="4"/>
  <c r="J18" i="4"/>
  <c r="I18" i="4"/>
  <c r="G18" i="4"/>
  <c r="B18" i="4"/>
  <c r="Q17" i="4"/>
  <c r="N17" i="4"/>
  <c r="M17" i="4"/>
  <c r="L17" i="4"/>
  <c r="K17" i="4"/>
  <c r="J17" i="4"/>
  <c r="I17" i="4"/>
  <c r="G17" i="4"/>
  <c r="B17" i="4"/>
  <c r="Q16" i="4"/>
  <c r="N16" i="4"/>
  <c r="M16" i="4"/>
  <c r="L16" i="4"/>
  <c r="K16" i="4"/>
  <c r="J16" i="4"/>
  <c r="I16" i="4"/>
  <c r="G16" i="4"/>
  <c r="B16" i="4"/>
  <c r="Q15" i="4"/>
  <c r="N15" i="4"/>
  <c r="M15" i="4"/>
  <c r="L15" i="4"/>
  <c r="K15" i="4"/>
  <c r="J15" i="4"/>
  <c r="I15" i="4"/>
  <c r="G15" i="4"/>
  <c r="B15" i="4"/>
  <c r="Q14" i="4"/>
  <c r="N14" i="4"/>
  <c r="M14" i="4"/>
  <c r="L14" i="4"/>
  <c r="K14" i="4"/>
  <c r="J14" i="4"/>
  <c r="I14" i="4"/>
  <c r="G14" i="4"/>
  <c r="B14" i="4"/>
  <c r="Q13" i="4"/>
  <c r="N13" i="4"/>
  <c r="M13" i="4"/>
  <c r="L13" i="4"/>
  <c r="K13" i="4"/>
  <c r="J13" i="4"/>
  <c r="I13" i="4"/>
  <c r="G13" i="4"/>
  <c r="B13" i="4"/>
  <c r="Q12" i="4"/>
  <c r="N12" i="4"/>
  <c r="M12" i="4"/>
  <c r="L12" i="4"/>
  <c r="K12" i="4"/>
  <c r="J12" i="4"/>
  <c r="I12" i="4"/>
  <c r="G12" i="4"/>
  <c r="B12" i="4"/>
  <c r="Q11" i="4"/>
  <c r="N11" i="4"/>
  <c r="M11" i="4"/>
  <c r="L11" i="4"/>
  <c r="K11" i="4"/>
  <c r="J11" i="4"/>
  <c r="I11" i="4"/>
  <c r="G11" i="4"/>
  <c r="B11" i="4"/>
  <c r="Q10" i="4"/>
  <c r="N10" i="4"/>
  <c r="M10" i="4"/>
  <c r="L10" i="4"/>
  <c r="K10" i="4"/>
  <c r="J10" i="4"/>
  <c r="I10" i="4"/>
  <c r="G10" i="4"/>
  <c r="B10" i="4"/>
  <c r="Q9" i="4"/>
  <c r="N9" i="4"/>
  <c r="M9" i="4"/>
  <c r="L9" i="4"/>
  <c r="K9" i="4"/>
  <c r="J9" i="4"/>
  <c r="I9" i="4"/>
  <c r="G9" i="4"/>
  <c r="B9" i="4"/>
  <c r="Q8" i="4"/>
  <c r="N8" i="4"/>
  <c r="M8" i="4"/>
  <c r="L8" i="4"/>
  <c r="K8" i="4"/>
  <c r="J8" i="4"/>
  <c r="I8" i="4"/>
  <c r="G8" i="4"/>
  <c r="B8" i="4"/>
  <c r="Q7" i="4"/>
  <c r="N7" i="4"/>
  <c r="M7" i="4"/>
  <c r="L7" i="4"/>
  <c r="K7" i="4"/>
  <c r="J7" i="4"/>
  <c r="I7" i="4"/>
  <c r="G7" i="4"/>
  <c r="B7" i="4"/>
  <c r="N6" i="4"/>
  <c r="M6" i="4"/>
  <c r="L6" i="4"/>
  <c r="K6" i="4"/>
  <c r="J6" i="4"/>
  <c r="I6" i="4"/>
  <c r="G6" i="4"/>
  <c r="B6" i="4"/>
  <c r="Q5" i="4"/>
  <c r="N5" i="4"/>
  <c r="M5" i="4"/>
  <c r="L5" i="4"/>
  <c r="K5" i="4"/>
  <c r="J5" i="4"/>
  <c r="I5" i="4"/>
  <c r="G5" i="4"/>
  <c r="B5" i="4"/>
  <c r="Q4" i="4"/>
  <c r="N4" i="4"/>
  <c r="M4" i="4"/>
  <c r="L4" i="4"/>
  <c r="K4" i="4"/>
  <c r="J4" i="4"/>
  <c r="I4" i="4"/>
  <c r="G4" i="4"/>
  <c r="B4" i="4"/>
  <c r="Q3" i="4"/>
  <c r="N3" i="4"/>
  <c r="M3" i="4"/>
  <c r="L3" i="4"/>
  <c r="K3" i="4"/>
  <c r="J3" i="4"/>
  <c r="I3" i="4"/>
  <c r="G3" i="4"/>
  <c r="B3" i="4"/>
  <c r="J388" i="3"/>
  <c r="I388" i="3"/>
  <c r="G388" i="3"/>
  <c r="J387" i="3"/>
  <c r="I387" i="3"/>
  <c r="G387" i="3"/>
  <c r="J386" i="3"/>
  <c r="I386" i="3"/>
  <c r="G386" i="3"/>
  <c r="J385" i="3"/>
  <c r="I385" i="3"/>
  <c r="G385" i="3"/>
  <c r="J384" i="3"/>
  <c r="I384" i="3"/>
  <c r="G384" i="3"/>
  <c r="J383" i="3"/>
  <c r="I383" i="3"/>
  <c r="G383" i="3"/>
  <c r="J382" i="3"/>
  <c r="I382" i="3"/>
  <c r="G382" i="3"/>
  <c r="J381" i="3"/>
  <c r="I381" i="3"/>
  <c r="G381" i="3"/>
  <c r="J380" i="3"/>
  <c r="I380" i="3"/>
  <c r="G380" i="3"/>
  <c r="J379" i="3"/>
  <c r="I379" i="3"/>
  <c r="G379" i="3"/>
  <c r="J378" i="3"/>
  <c r="I378" i="3"/>
  <c r="G378" i="3"/>
  <c r="J377" i="3"/>
  <c r="I377" i="3"/>
  <c r="G377" i="3"/>
  <c r="J376" i="3"/>
  <c r="I376" i="3"/>
  <c r="G376" i="3"/>
  <c r="J375" i="3"/>
  <c r="I375" i="3"/>
  <c r="G375" i="3"/>
  <c r="J374" i="3"/>
  <c r="I374" i="3"/>
  <c r="G374" i="3"/>
  <c r="J373" i="3"/>
  <c r="I373" i="3"/>
  <c r="G373" i="3"/>
  <c r="J372" i="3"/>
  <c r="I372" i="3"/>
  <c r="G372" i="3"/>
  <c r="J371" i="3"/>
  <c r="I371" i="3"/>
  <c r="G371" i="3"/>
  <c r="J370" i="3"/>
  <c r="I370" i="3"/>
  <c r="G370" i="3"/>
  <c r="J369" i="3"/>
  <c r="I369" i="3"/>
  <c r="G369" i="3"/>
  <c r="J368" i="3"/>
  <c r="I368" i="3"/>
  <c r="G368" i="3"/>
  <c r="J367" i="3"/>
  <c r="I367" i="3"/>
  <c r="G367" i="3"/>
  <c r="J366" i="3"/>
  <c r="I366" i="3"/>
  <c r="G366" i="3"/>
  <c r="J365" i="3"/>
  <c r="I365" i="3"/>
  <c r="G365" i="3"/>
  <c r="J364" i="3"/>
  <c r="I364" i="3"/>
  <c r="G364" i="3"/>
  <c r="J363" i="3"/>
  <c r="I363" i="3"/>
  <c r="G363" i="3"/>
  <c r="J362" i="3"/>
  <c r="I362" i="3"/>
  <c r="G362" i="3"/>
  <c r="J361" i="3"/>
  <c r="I361" i="3"/>
  <c r="G361" i="3"/>
  <c r="J360" i="3"/>
  <c r="I360" i="3"/>
  <c r="G360" i="3"/>
  <c r="J359" i="3"/>
  <c r="I359" i="3"/>
  <c r="G359" i="3"/>
  <c r="J358" i="3"/>
  <c r="I358" i="3"/>
  <c r="G358" i="3"/>
  <c r="J357" i="3"/>
  <c r="I357" i="3"/>
  <c r="G357" i="3"/>
  <c r="J356" i="3"/>
  <c r="I356" i="3"/>
  <c r="G356" i="3"/>
  <c r="J355" i="3"/>
  <c r="I355" i="3"/>
  <c r="G355" i="3"/>
  <c r="J354" i="3"/>
  <c r="I354" i="3"/>
  <c r="G354" i="3"/>
  <c r="J353" i="3"/>
  <c r="I353" i="3"/>
  <c r="G353" i="3"/>
  <c r="J352" i="3"/>
  <c r="I352" i="3"/>
  <c r="G352" i="3"/>
  <c r="J351" i="3"/>
  <c r="I351" i="3"/>
  <c r="G351" i="3"/>
  <c r="J350" i="3"/>
  <c r="I350" i="3"/>
  <c r="G350" i="3"/>
  <c r="J349" i="3"/>
  <c r="I349" i="3"/>
  <c r="G349" i="3"/>
  <c r="J348" i="3"/>
  <c r="I348" i="3"/>
  <c r="G348" i="3"/>
  <c r="J347" i="3"/>
  <c r="I347" i="3"/>
  <c r="G347" i="3"/>
  <c r="J346" i="3"/>
  <c r="I346" i="3"/>
  <c r="G346" i="3"/>
  <c r="J345" i="3"/>
  <c r="I345" i="3"/>
  <c r="G345" i="3"/>
  <c r="J344" i="3"/>
  <c r="I344" i="3"/>
  <c r="G344" i="3"/>
  <c r="J343" i="3"/>
  <c r="I343" i="3"/>
  <c r="G343" i="3"/>
  <c r="J342" i="3"/>
  <c r="I342" i="3"/>
  <c r="G342" i="3"/>
  <c r="J341" i="3"/>
  <c r="I341" i="3"/>
  <c r="G341" i="3"/>
  <c r="J340" i="3"/>
  <c r="I340" i="3"/>
  <c r="G340" i="3"/>
  <c r="J339" i="3"/>
  <c r="I339" i="3"/>
  <c r="G339" i="3"/>
  <c r="J338" i="3"/>
  <c r="I338" i="3"/>
  <c r="G338" i="3"/>
  <c r="J337" i="3"/>
  <c r="I337" i="3"/>
  <c r="G337" i="3"/>
  <c r="J336" i="3"/>
  <c r="I336" i="3"/>
  <c r="G336" i="3"/>
  <c r="J335" i="3"/>
  <c r="I335" i="3"/>
  <c r="G335" i="3"/>
  <c r="J334" i="3"/>
  <c r="I334" i="3"/>
  <c r="G334" i="3"/>
  <c r="J333" i="3"/>
  <c r="I333" i="3"/>
  <c r="G333" i="3"/>
  <c r="J332" i="3"/>
  <c r="I332" i="3"/>
  <c r="G332" i="3"/>
  <c r="J331" i="3"/>
  <c r="I331" i="3"/>
  <c r="G331" i="3"/>
  <c r="J330" i="3"/>
  <c r="I330" i="3"/>
  <c r="G330" i="3"/>
  <c r="J329" i="3"/>
  <c r="I329" i="3"/>
  <c r="G329" i="3"/>
  <c r="J328" i="3"/>
  <c r="I328" i="3"/>
  <c r="G328" i="3"/>
  <c r="J327" i="3"/>
  <c r="I327" i="3"/>
  <c r="G327" i="3"/>
  <c r="J326" i="3"/>
  <c r="I326" i="3"/>
  <c r="G326" i="3"/>
  <c r="J325" i="3"/>
  <c r="I325" i="3"/>
  <c r="G325" i="3"/>
  <c r="J324" i="3"/>
  <c r="I324" i="3"/>
  <c r="G324" i="3"/>
  <c r="J323" i="3"/>
  <c r="I323" i="3"/>
  <c r="G323" i="3"/>
  <c r="J322" i="3"/>
  <c r="I322" i="3"/>
  <c r="G322" i="3"/>
  <c r="J321" i="3"/>
  <c r="I321" i="3"/>
  <c r="G321" i="3"/>
  <c r="J320" i="3"/>
  <c r="I320" i="3"/>
  <c r="G320" i="3"/>
  <c r="J319" i="3"/>
  <c r="I319" i="3"/>
  <c r="G319" i="3"/>
  <c r="J318" i="3"/>
  <c r="I318" i="3"/>
  <c r="G318" i="3"/>
  <c r="J317" i="3"/>
  <c r="I317" i="3"/>
  <c r="G317" i="3"/>
  <c r="J316" i="3"/>
  <c r="I316" i="3"/>
  <c r="G316" i="3"/>
  <c r="J315" i="3"/>
  <c r="I315" i="3"/>
  <c r="G315" i="3"/>
  <c r="J314" i="3"/>
  <c r="I314" i="3"/>
  <c r="G314" i="3"/>
  <c r="J313" i="3"/>
  <c r="I313" i="3"/>
  <c r="G313" i="3"/>
  <c r="J312" i="3"/>
  <c r="I312" i="3"/>
  <c r="G312" i="3"/>
  <c r="J311" i="3"/>
  <c r="I311" i="3"/>
  <c r="G311" i="3"/>
  <c r="J310" i="3"/>
  <c r="I310" i="3"/>
  <c r="G310" i="3"/>
  <c r="J309" i="3"/>
  <c r="I309" i="3"/>
  <c r="G309" i="3"/>
  <c r="J308" i="3"/>
  <c r="I308" i="3"/>
  <c r="G308" i="3"/>
  <c r="J307" i="3"/>
  <c r="I307" i="3"/>
  <c r="G307" i="3"/>
  <c r="J306" i="3"/>
  <c r="I306" i="3"/>
  <c r="G306" i="3"/>
  <c r="J305" i="3"/>
  <c r="I305" i="3"/>
  <c r="G305" i="3"/>
  <c r="J304" i="3"/>
  <c r="I304" i="3"/>
  <c r="G304" i="3"/>
  <c r="J303" i="3"/>
  <c r="I303" i="3"/>
  <c r="G303" i="3"/>
  <c r="J302" i="3"/>
  <c r="I302" i="3"/>
  <c r="G302" i="3"/>
  <c r="J301" i="3"/>
  <c r="I301" i="3"/>
  <c r="G301" i="3"/>
  <c r="J300" i="3"/>
  <c r="I300" i="3"/>
  <c r="G300" i="3"/>
  <c r="J299" i="3"/>
  <c r="I299" i="3"/>
  <c r="G299" i="3"/>
  <c r="J298" i="3"/>
  <c r="I298" i="3"/>
  <c r="G298" i="3"/>
  <c r="J297" i="3"/>
  <c r="I297" i="3"/>
  <c r="G297" i="3"/>
  <c r="J296" i="3"/>
  <c r="I296" i="3"/>
  <c r="G296" i="3"/>
  <c r="J295" i="3"/>
  <c r="I295" i="3"/>
  <c r="G295" i="3"/>
  <c r="J294" i="3"/>
  <c r="I294" i="3"/>
  <c r="G294" i="3"/>
  <c r="J293" i="3"/>
  <c r="I293" i="3"/>
  <c r="G293" i="3"/>
  <c r="J292" i="3"/>
  <c r="I292" i="3"/>
  <c r="G292" i="3"/>
  <c r="J291" i="3"/>
  <c r="I291" i="3"/>
  <c r="G291" i="3"/>
  <c r="J290" i="3"/>
  <c r="I290" i="3"/>
  <c r="G290" i="3"/>
  <c r="J289" i="3"/>
  <c r="I289" i="3"/>
  <c r="G289" i="3"/>
  <c r="J288" i="3"/>
  <c r="I288" i="3"/>
  <c r="G288" i="3"/>
  <c r="J287" i="3"/>
  <c r="I287" i="3"/>
  <c r="G287" i="3"/>
  <c r="J286" i="3"/>
  <c r="I286" i="3"/>
  <c r="G286" i="3"/>
  <c r="J285" i="3"/>
  <c r="I285" i="3"/>
  <c r="G285" i="3"/>
  <c r="J284" i="3"/>
  <c r="I284" i="3"/>
  <c r="G284" i="3"/>
  <c r="J283" i="3"/>
  <c r="I283" i="3"/>
  <c r="G283" i="3"/>
  <c r="J282" i="3"/>
  <c r="I282" i="3"/>
  <c r="G282" i="3"/>
  <c r="J281" i="3"/>
  <c r="I281" i="3"/>
  <c r="G281" i="3"/>
  <c r="J280" i="3"/>
  <c r="I280" i="3"/>
  <c r="G280" i="3"/>
  <c r="J279" i="3"/>
  <c r="I279" i="3"/>
  <c r="G279" i="3"/>
  <c r="J278" i="3"/>
  <c r="I278" i="3"/>
  <c r="G278" i="3"/>
  <c r="J277" i="3"/>
  <c r="I277" i="3"/>
  <c r="G277" i="3"/>
  <c r="J276" i="3"/>
  <c r="I276" i="3"/>
  <c r="G276" i="3"/>
  <c r="J275" i="3"/>
  <c r="I275" i="3"/>
  <c r="G275" i="3"/>
  <c r="J274" i="3"/>
  <c r="I274" i="3"/>
  <c r="G274" i="3"/>
  <c r="J273" i="3"/>
  <c r="I273" i="3"/>
  <c r="G273" i="3"/>
  <c r="J272" i="3"/>
  <c r="I272" i="3"/>
  <c r="G272" i="3"/>
  <c r="J271" i="3"/>
  <c r="I271" i="3"/>
  <c r="G271" i="3"/>
  <c r="J270" i="3"/>
  <c r="I270" i="3"/>
  <c r="G270" i="3"/>
  <c r="J269" i="3"/>
  <c r="I269" i="3"/>
  <c r="G269" i="3"/>
  <c r="J268" i="3"/>
  <c r="I268" i="3"/>
  <c r="G268" i="3"/>
  <c r="J267" i="3"/>
  <c r="I267" i="3"/>
  <c r="G267" i="3"/>
  <c r="J266" i="3"/>
  <c r="I266" i="3"/>
  <c r="G266" i="3"/>
  <c r="J265" i="3"/>
  <c r="I265" i="3"/>
  <c r="G265" i="3"/>
  <c r="J264" i="3"/>
  <c r="I264" i="3"/>
  <c r="G264" i="3"/>
  <c r="J263" i="3"/>
  <c r="I263" i="3"/>
  <c r="G263" i="3"/>
  <c r="J262" i="3"/>
  <c r="I262" i="3"/>
  <c r="G262" i="3"/>
  <c r="J261" i="3"/>
  <c r="I261" i="3"/>
  <c r="G261" i="3"/>
  <c r="J260" i="3"/>
  <c r="I260" i="3"/>
  <c r="G260" i="3"/>
  <c r="J259" i="3"/>
  <c r="I259" i="3"/>
  <c r="G259" i="3"/>
  <c r="J258" i="3"/>
  <c r="I258" i="3"/>
  <c r="G258" i="3"/>
  <c r="J257" i="3"/>
  <c r="I257" i="3"/>
  <c r="G257" i="3"/>
  <c r="J256" i="3"/>
  <c r="I256" i="3"/>
  <c r="G256" i="3"/>
  <c r="J255" i="3"/>
  <c r="I255" i="3"/>
  <c r="G255" i="3"/>
  <c r="J254" i="3"/>
  <c r="I254" i="3"/>
  <c r="G254" i="3"/>
  <c r="J253" i="3"/>
  <c r="I253" i="3"/>
  <c r="G253" i="3"/>
  <c r="J252" i="3"/>
  <c r="I252" i="3"/>
  <c r="G252" i="3"/>
  <c r="J251" i="3"/>
  <c r="I251" i="3"/>
  <c r="G251" i="3"/>
  <c r="J250" i="3"/>
  <c r="I250" i="3"/>
  <c r="G250" i="3"/>
  <c r="J249" i="3"/>
  <c r="I249" i="3"/>
  <c r="G249" i="3"/>
  <c r="J248" i="3"/>
  <c r="I248" i="3"/>
  <c r="G248" i="3"/>
  <c r="J247" i="3"/>
  <c r="I247" i="3"/>
  <c r="G247" i="3"/>
  <c r="J246" i="3"/>
  <c r="I246" i="3"/>
  <c r="G246" i="3"/>
  <c r="J245" i="3"/>
  <c r="I245" i="3"/>
  <c r="G245" i="3"/>
  <c r="J244" i="3"/>
  <c r="I244" i="3"/>
  <c r="G244" i="3"/>
  <c r="J243" i="3"/>
  <c r="I243" i="3"/>
  <c r="G243" i="3"/>
  <c r="J242" i="3"/>
  <c r="I242" i="3"/>
  <c r="G242" i="3"/>
  <c r="J241" i="3"/>
  <c r="I241" i="3"/>
  <c r="G241" i="3"/>
  <c r="J240" i="3"/>
  <c r="I240" i="3"/>
  <c r="G240" i="3"/>
  <c r="J239" i="3"/>
  <c r="I239" i="3"/>
  <c r="G239" i="3"/>
  <c r="J238" i="3"/>
  <c r="I238" i="3"/>
  <c r="G238" i="3"/>
  <c r="J237" i="3"/>
  <c r="I237" i="3"/>
  <c r="G237" i="3"/>
  <c r="J236" i="3"/>
  <c r="I236" i="3"/>
  <c r="G236" i="3"/>
  <c r="J235" i="3"/>
  <c r="I235" i="3"/>
  <c r="G235" i="3"/>
  <c r="J234" i="3"/>
  <c r="I234" i="3"/>
  <c r="G234" i="3"/>
  <c r="J233" i="3"/>
  <c r="I233" i="3"/>
  <c r="G233" i="3"/>
  <c r="J232" i="3"/>
  <c r="I232" i="3"/>
  <c r="G232" i="3"/>
  <c r="J231" i="3"/>
  <c r="I231" i="3"/>
  <c r="G231" i="3"/>
  <c r="J230" i="3"/>
  <c r="I230" i="3"/>
  <c r="G230" i="3"/>
  <c r="J229" i="3"/>
  <c r="I229" i="3"/>
  <c r="G229" i="3"/>
  <c r="J228" i="3"/>
  <c r="I228" i="3"/>
  <c r="G228" i="3"/>
  <c r="J227" i="3"/>
  <c r="I227" i="3"/>
  <c r="G227" i="3"/>
  <c r="J226" i="3"/>
  <c r="I226" i="3"/>
  <c r="G226" i="3"/>
  <c r="J225" i="3"/>
  <c r="I225" i="3"/>
  <c r="G225" i="3"/>
  <c r="J224" i="3"/>
  <c r="I224" i="3"/>
  <c r="G224" i="3"/>
  <c r="J223" i="3"/>
  <c r="I223" i="3"/>
  <c r="G223" i="3"/>
  <c r="J222" i="3"/>
  <c r="I222" i="3"/>
  <c r="G222" i="3"/>
  <c r="J221" i="3"/>
  <c r="I221" i="3"/>
  <c r="G221" i="3"/>
  <c r="J220" i="3"/>
  <c r="I220" i="3"/>
  <c r="G220" i="3"/>
  <c r="J219" i="3"/>
  <c r="I219" i="3"/>
  <c r="G219" i="3"/>
  <c r="J218" i="3"/>
  <c r="I218" i="3"/>
  <c r="G218" i="3"/>
  <c r="J217" i="3"/>
  <c r="I217" i="3"/>
  <c r="G217" i="3"/>
  <c r="J216" i="3"/>
  <c r="I216" i="3"/>
  <c r="G216" i="3"/>
  <c r="J215" i="3"/>
  <c r="I215" i="3"/>
  <c r="G215" i="3"/>
  <c r="J214" i="3"/>
  <c r="I214" i="3"/>
  <c r="G214" i="3"/>
  <c r="J213" i="3"/>
  <c r="I213" i="3"/>
  <c r="G213" i="3"/>
  <c r="J212" i="3"/>
  <c r="I212" i="3"/>
  <c r="G212" i="3"/>
  <c r="J211" i="3"/>
  <c r="I211" i="3"/>
  <c r="G211" i="3"/>
  <c r="J210" i="3"/>
  <c r="I210" i="3"/>
  <c r="G210" i="3"/>
  <c r="J209" i="3"/>
  <c r="I209" i="3"/>
  <c r="G209" i="3"/>
  <c r="J208" i="3"/>
  <c r="I208" i="3"/>
  <c r="G208" i="3"/>
  <c r="J207" i="3"/>
  <c r="I207" i="3"/>
  <c r="G207" i="3"/>
  <c r="J206" i="3"/>
  <c r="I206" i="3"/>
  <c r="G206" i="3"/>
  <c r="J205" i="3"/>
  <c r="I205" i="3"/>
  <c r="G205" i="3"/>
  <c r="J204" i="3"/>
  <c r="I204" i="3"/>
  <c r="G204" i="3"/>
  <c r="J203" i="3"/>
  <c r="I203" i="3"/>
  <c r="G203" i="3"/>
  <c r="J202" i="3"/>
  <c r="I202" i="3"/>
  <c r="G202" i="3"/>
  <c r="J201" i="3"/>
  <c r="I201" i="3"/>
  <c r="G201" i="3"/>
  <c r="J200" i="3"/>
  <c r="I200" i="3"/>
  <c r="G200" i="3"/>
  <c r="J199" i="3"/>
  <c r="I199" i="3"/>
  <c r="G199" i="3"/>
  <c r="J198" i="3"/>
  <c r="I198" i="3"/>
  <c r="G198" i="3"/>
  <c r="J197" i="3"/>
  <c r="I197" i="3"/>
  <c r="G197" i="3"/>
  <c r="J196" i="3"/>
  <c r="I196" i="3"/>
  <c r="G196" i="3"/>
  <c r="J195" i="3"/>
  <c r="I195" i="3"/>
  <c r="G195" i="3"/>
  <c r="J194" i="3"/>
  <c r="I194" i="3"/>
  <c r="G194" i="3"/>
  <c r="J193" i="3"/>
  <c r="I193" i="3"/>
  <c r="G193" i="3"/>
  <c r="J192" i="3"/>
  <c r="I192" i="3"/>
  <c r="G192" i="3"/>
  <c r="J191" i="3"/>
  <c r="I191" i="3"/>
  <c r="G191" i="3"/>
  <c r="J190" i="3"/>
  <c r="I190" i="3"/>
  <c r="G190" i="3"/>
  <c r="J189" i="3"/>
  <c r="I189" i="3"/>
  <c r="G189" i="3"/>
  <c r="J188" i="3"/>
  <c r="I188" i="3"/>
  <c r="G188" i="3"/>
  <c r="J187" i="3"/>
  <c r="I187" i="3"/>
  <c r="G187" i="3"/>
  <c r="J186" i="3"/>
  <c r="I186" i="3"/>
  <c r="G186" i="3"/>
  <c r="J185" i="3"/>
  <c r="I185" i="3"/>
  <c r="G185" i="3"/>
  <c r="J184" i="3"/>
  <c r="I184" i="3"/>
  <c r="G184" i="3"/>
  <c r="J183" i="3"/>
  <c r="I183" i="3"/>
  <c r="G183" i="3"/>
  <c r="J182" i="3"/>
  <c r="I182" i="3"/>
  <c r="G182" i="3"/>
  <c r="J181" i="3"/>
  <c r="I181" i="3"/>
  <c r="G181" i="3"/>
  <c r="J180" i="3"/>
  <c r="I180" i="3"/>
  <c r="G180" i="3"/>
  <c r="J179" i="3"/>
  <c r="I179" i="3"/>
  <c r="G179" i="3"/>
  <c r="J178" i="3"/>
  <c r="I178" i="3"/>
  <c r="G178" i="3"/>
  <c r="J177" i="3"/>
  <c r="I177" i="3"/>
  <c r="G177" i="3"/>
  <c r="J176" i="3"/>
  <c r="I176" i="3"/>
  <c r="G176" i="3"/>
  <c r="J175" i="3"/>
  <c r="I175" i="3"/>
  <c r="G175" i="3"/>
  <c r="J174" i="3"/>
  <c r="I174" i="3"/>
  <c r="G174" i="3"/>
  <c r="J173" i="3"/>
  <c r="I173" i="3"/>
  <c r="G173" i="3"/>
  <c r="J172" i="3"/>
  <c r="I172" i="3"/>
  <c r="G172" i="3"/>
  <c r="J171" i="3"/>
  <c r="I171" i="3"/>
  <c r="G171" i="3"/>
  <c r="J170" i="3"/>
  <c r="I170" i="3"/>
  <c r="G170" i="3"/>
  <c r="J169" i="3"/>
  <c r="I169" i="3"/>
  <c r="G169" i="3"/>
  <c r="J168" i="3"/>
  <c r="I168" i="3"/>
  <c r="G168" i="3"/>
  <c r="J167" i="3"/>
  <c r="I167" i="3"/>
  <c r="G167" i="3"/>
  <c r="J166" i="3"/>
  <c r="I166" i="3"/>
  <c r="G166" i="3"/>
  <c r="J165" i="3"/>
  <c r="I165" i="3"/>
  <c r="G165" i="3"/>
  <c r="J164" i="3"/>
  <c r="I164" i="3"/>
  <c r="G164" i="3"/>
  <c r="J163" i="3"/>
  <c r="I163" i="3"/>
  <c r="G163" i="3"/>
  <c r="J162" i="3"/>
  <c r="I162" i="3"/>
  <c r="G162" i="3"/>
  <c r="J161" i="3"/>
  <c r="I161" i="3"/>
  <c r="G161" i="3"/>
  <c r="J160" i="3"/>
  <c r="I160" i="3"/>
  <c r="G160" i="3"/>
  <c r="J159" i="3"/>
  <c r="I159" i="3"/>
  <c r="G159" i="3"/>
  <c r="J158" i="3"/>
  <c r="I158" i="3"/>
  <c r="G158" i="3"/>
  <c r="J157" i="3"/>
  <c r="I157" i="3"/>
  <c r="G157" i="3"/>
  <c r="J156" i="3"/>
  <c r="I156" i="3"/>
  <c r="G156" i="3"/>
  <c r="J155" i="3"/>
  <c r="I155" i="3"/>
  <c r="G155" i="3"/>
  <c r="J154" i="3"/>
  <c r="I154" i="3"/>
  <c r="G154" i="3"/>
  <c r="J153" i="3"/>
  <c r="I153" i="3"/>
  <c r="G153" i="3"/>
  <c r="J152" i="3"/>
  <c r="I152" i="3"/>
  <c r="G152" i="3"/>
  <c r="J151" i="3"/>
  <c r="I151" i="3"/>
  <c r="G151" i="3"/>
  <c r="J150" i="3"/>
  <c r="I150" i="3"/>
  <c r="G150" i="3"/>
  <c r="J149" i="3"/>
  <c r="I149" i="3"/>
  <c r="G149" i="3"/>
  <c r="J148" i="3"/>
  <c r="I148" i="3"/>
  <c r="G148" i="3"/>
  <c r="J147" i="3"/>
  <c r="I147" i="3"/>
  <c r="G147" i="3"/>
  <c r="J146" i="3"/>
  <c r="I146" i="3"/>
  <c r="G146" i="3"/>
  <c r="J145" i="3"/>
  <c r="I145" i="3"/>
  <c r="G145" i="3"/>
  <c r="J144" i="3"/>
  <c r="I144" i="3"/>
  <c r="G144" i="3"/>
  <c r="J143" i="3"/>
  <c r="I143" i="3"/>
  <c r="G143" i="3"/>
  <c r="J142" i="3"/>
  <c r="I142" i="3"/>
  <c r="G142" i="3"/>
  <c r="J141" i="3"/>
  <c r="I141" i="3"/>
  <c r="G141" i="3"/>
  <c r="J140" i="3"/>
  <c r="I140" i="3"/>
  <c r="G140" i="3"/>
  <c r="J139" i="3"/>
  <c r="I139" i="3"/>
  <c r="G139" i="3"/>
  <c r="J138" i="3"/>
  <c r="I138" i="3"/>
  <c r="G138" i="3"/>
  <c r="J137" i="3"/>
  <c r="I137" i="3"/>
  <c r="G137" i="3"/>
  <c r="J136" i="3"/>
  <c r="I136" i="3"/>
  <c r="G136" i="3"/>
  <c r="J135" i="3"/>
  <c r="I135" i="3"/>
  <c r="G135" i="3"/>
  <c r="J134" i="3"/>
  <c r="I134" i="3"/>
  <c r="G134" i="3"/>
  <c r="J133" i="3"/>
  <c r="I133" i="3"/>
  <c r="G133" i="3"/>
  <c r="J132" i="3"/>
  <c r="I132" i="3"/>
  <c r="G132" i="3"/>
  <c r="J131" i="3"/>
  <c r="I131" i="3"/>
  <c r="G131" i="3"/>
  <c r="J130" i="3"/>
  <c r="I130" i="3"/>
  <c r="G130" i="3"/>
  <c r="J129" i="3"/>
  <c r="I129" i="3"/>
  <c r="G129" i="3"/>
  <c r="J128" i="3"/>
  <c r="I128" i="3"/>
  <c r="G128" i="3"/>
  <c r="J127" i="3"/>
  <c r="I127" i="3"/>
  <c r="G127" i="3"/>
  <c r="J126" i="3"/>
  <c r="I126" i="3"/>
  <c r="G126" i="3"/>
  <c r="J125" i="3"/>
  <c r="I125" i="3"/>
  <c r="G125" i="3"/>
  <c r="J124" i="3"/>
  <c r="I124" i="3"/>
  <c r="G124" i="3"/>
  <c r="J123" i="3"/>
  <c r="I123" i="3"/>
  <c r="G123" i="3"/>
  <c r="J122" i="3"/>
  <c r="I122" i="3"/>
  <c r="G122" i="3"/>
  <c r="J121" i="3"/>
  <c r="I121" i="3"/>
  <c r="G121" i="3"/>
  <c r="J120" i="3"/>
  <c r="I120" i="3"/>
  <c r="G120" i="3"/>
  <c r="J119" i="3"/>
  <c r="I119" i="3"/>
  <c r="G119" i="3"/>
  <c r="J118" i="3"/>
  <c r="I118" i="3"/>
  <c r="G118" i="3"/>
  <c r="J117" i="3"/>
  <c r="I117" i="3"/>
  <c r="G117" i="3"/>
  <c r="J116" i="3"/>
  <c r="I116" i="3"/>
  <c r="G116" i="3"/>
  <c r="J115" i="3"/>
  <c r="I115" i="3"/>
  <c r="G115" i="3"/>
  <c r="J114" i="3"/>
  <c r="I114" i="3"/>
  <c r="G114" i="3"/>
  <c r="J113" i="3"/>
  <c r="I113" i="3"/>
  <c r="G113" i="3"/>
  <c r="J112" i="3"/>
  <c r="I112" i="3"/>
  <c r="G112" i="3"/>
  <c r="J111" i="3"/>
  <c r="I111" i="3"/>
  <c r="G111" i="3"/>
  <c r="J110" i="3"/>
  <c r="I110" i="3"/>
  <c r="G110" i="3"/>
  <c r="J109" i="3"/>
  <c r="I109" i="3"/>
  <c r="G109" i="3"/>
  <c r="J108" i="3"/>
  <c r="I108" i="3"/>
  <c r="G108" i="3"/>
  <c r="J107" i="3"/>
  <c r="I107" i="3"/>
  <c r="G107" i="3"/>
  <c r="J106" i="3"/>
  <c r="I106" i="3"/>
  <c r="G106" i="3"/>
  <c r="J105" i="3"/>
  <c r="I105" i="3"/>
  <c r="G105" i="3"/>
  <c r="J104" i="3"/>
  <c r="I104" i="3"/>
  <c r="G104" i="3"/>
  <c r="J103" i="3"/>
  <c r="I103" i="3"/>
  <c r="G103" i="3"/>
  <c r="J102" i="3"/>
  <c r="I102" i="3"/>
  <c r="G102" i="3"/>
  <c r="J101" i="3"/>
  <c r="I101" i="3"/>
  <c r="G101" i="3"/>
  <c r="J100" i="3"/>
  <c r="I100" i="3"/>
  <c r="G100" i="3"/>
  <c r="J99" i="3"/>
  <c r="I99" i="3"/>
  <c r="G99" i="3"/>
  <c r="J98" i="3"/>
  <c r="I98" i="3"/>
  <c r="G98" i="3"/>
  <c r="J97" i="3"/>
  <c r="I97" i="3"/>
  <c r="G97" i="3"/>
  <c r="J96" i="3"/>
  <c r="I96" i="3"/>
  <c r="G96" i="3"/>
  <c r="J95" i="3"/>
  <c r="I95" i="3"/>
  <c r="G95" i="3"/>
  <c r="J94" i="3"/>
  <c r="I94" i="3"/>
  <c r="G94" i="3"/>
  <c r="J93" i="3"/>
  <c r="I93" i="3"/>
  <c r="G93" i="3"/>
  <c r="J92" i="3"/>
  <c r="I92" i="3"/>
  <c r="G92" i="3"/>
  <c r="J91" i="3"/>
  <c r="I91" i="3"/>
  <c r="G91" i="3"/>
  <c r="J90" i="3"/>
  <c r="I90" i="3"/>
  <c r="G90" i="3"/>
  <c r="J89" i="3"/>
  <c r="I89" i="3"/>
  <c r="G89" i="3"/>
  <c r="J88" i="3"/>
  <c r="I88" i="3"/>
  <c r="G88" i="3"/>
  <c r="J87" i="3"/>
  <c r="I87" i="3"/>
  <c r="G87" i="3"/>
  <c r="J86" i="3"/>
  <c r="I86" i="3"/>
  <c r="G86" i="3"/>
  <c r="J85" i="3"/>
  <c r="I85" i="3"/>
  <c r="G85" i="3"/>
  <c r="J84" i="3"/>
  <c r="I84" i="3"/>
  <c r="G84" i="3"/>
  <c r="J83" i="3"/>
  <c r="I83" i="3"/>
  <c r="G83" i="3"/>
  <c r="J82" i="3"/>
  <c r="I82" i="3"/>
  <c r="G82" i="3"/>
  <c r="J81" i="3"/>
  <c r="I81" i="3"/>
  <c r="G81" i="3"/>
  <c r="J80" i="3"/>
  <c r="I80" i="3"/>
  <c r="G80" i="3"/>
  <c r="J79" i="3"/>
  <c r="I79" i="3"/>
  <c r="G79" i="3"/>
  <c r="J78" i="3"/>
  <c r="I78" i="3"/>
  <c r="G78" i="3"/>
  <c r="J77" i="3"/>
  <c r="I77" i="3"/>
  <c r="G77" i="3"/>
  <c r="J76" i="3"/>
  <c r="I76" i="3"/>
  <c r="G76" i="3"/>
  <c r="J75" i="3"/>
  <c r="I75" i="3"/>
  <c r="G75" i="3"/>
  <c r="J74" i="3"/>
  <c r="I74" i="3"/>
  <c r="G74" i="3"/>
  <c r="J73" i="3"/>
  <c r="I73" i="3"/>
  <c r="G73" i="3"/>
  <c r="J72" i="3"/>
  <c r="I72" i="3"/>
  <c r="G72" i="3"/>
  <c r="J71" i="3"/>
  <c r="I71" i="3"/>
  <c r="G71" i="3"/>
  <c r="J70" i="3"/>
  <c r="I70" i="3"/>
  <c r="G70" i="3"/>
  <c r="J69" i="3"/>
  <c r="I69" i="3"/>
  <c r="G69" i="3"/>
  <c r="J68" i="3"/>
  <c r="I68" i="3"/>
  <c r="G68" i="3"/>
  <c r="J67" i="3"/>
  <c r="I67" i="3"/>
  <c r="G67" i="3"/>
  <c r="J66" i="3"/>
  <c r="I66" i="3"/>
  <c r="G66" i="3"/>
  <c r="J65" i="3"/>
  <c r="I65" i="3"/>
  <c r="G65" i="3"/>
  <c r="J64" i="3"/>
  <c r="I64" i="3"/>
  <c r="G64" i="3"/>
  <c r="J63" i="3"/>
  <c r="I63" i="3"/>
  <c r="G63" i="3"/>
  <c r="J62" i="3"/>
  <c r="I62" i="3"/>
  <c r="G62" i="3"/>
  <c r="J61" i="3"/>
  <c r="I61" i="3"/>
  <c r="G61" i="3"/>
  <c r="J60" i="3"/>
  <c r="I60" i="3"/>
  <c r="G60" i="3"/>
  <c r="J59" i="3"/>
  <c r="I59" i="3"/>
  <c r="G59" i="3"/>
  <c r="J58" i="3"/>
  <c r="I58" i="3"/>
  <c r="G58" i="3"/>
  <c r="J57" i="3"/>
  <c r="I57" i="3"/>
  <c r="G57" i="3"/>
  <c r="J56" i="3"/>
  <c r="I56" i="3"/>
  <c r="G56" i="3"/>
  <c r="J55" i="3"/>
  <c r="I55" i="3"/>
  <c r="G55" i="3"/>
  <c r="J54" i="3"/>
  <c r="I54" i="3"/>
  <c r="G54" i="3"/>
  <c r="J53" i="3"/>
  <c r="I53" i="3"/>
  <c r="G53" i="3"/>
  <c r="J52" i="3"/>
  <c r="I52" i="3"/>
  <c r="G52" i="3"/>
  <c r="J51" i="3"/>
  <c r="I51" i="3"/>
  <c r="G51" i="3"/>
  <c r="J50" i="3"/>
  <c r="I50" i="3"/>
  <c r="G50" i="3"/>
  <c r="J49" i="3"/>
  <c r="I49" i="3"/>
  <c r="G49" i="3"/>
  <c r="J48" i="3"/>
  <c r="I48" i="3"/>
  <c r="G48" i="3"/>
  <c r="J47" i="3"/>
  <c r="I47" i="3"/>
  <c r="G47" i="3"/>
  <c r="J46" i="3"/>
  <c r="I46" i="3"/>
  <c r="G46" i="3"/>
  <c r="J45" i="3"/>
  <c r="I45" i="3"/>
  <c r="G45" i="3"/>
  <c r="J44" i="3"/>
  <c r="I44" i="3"/>
  <c r="G44" i="3"/>
  <c r="J43" i="3"/>
  <c r="I43" i="3"/>
  <c r="G43" i="3"/>
  <c r="J42" i="3"/>
  <c r="I42" i="3"/>
  <c r="G42" i="3"/>
  <c r="J41" i="3"/>
  <c r="I41" i="3"/>
  <c r="G41" i="3"/>
  <c r="J40" i="3"/>
  <c r="I40" i="3"/>
  <c r="G40" i="3"/>
  <c r="J39" i="3"/>
  <c r="I39" i="3"/>
  <c r="G39" i="3"/>
  <c r="J38" i="3"/>
  <c r="I38" i="3"/>
  <c r="G38" i="3"/>
  <c r="J37" i="3"/>
  <c r="I37" i="3"/>
  <c r="G37" i="3"/>
  <c r="J36" i="3"/>
  <c r="I36" i="3"/>
  <c r="G36" i="3"/>
  <c r="J35" i="3"/>
  <c r="I35" i="3"/>
  <c r="G35" i="3"/>
  <c r="J34" i="3"/>
  <c r="I34" i="3"/>
  <c r="G34" i="3"/>
  <c r="J33" i="3"/>
  <c r="I33" i="3"/>
  <c r="G33" i="3"/>
  <c r="J32" i="3"/>
  <c r="I32" i="3"/>
  <c r="G32" i="3"/>
  <c r="J31" i="3"/>
  <c r="I31" i="3"/>
  <c r="G31" i="3"/>
  <c r="J30" i="3"/>
  <c r="I30" i="3"/>
  <c r="G30" i="3"/>
  <c r="J29" i="3"/>
  <c r="I29" i="3"/>
  <c r="G29" i="3"/>
  <c r="J28" i="3"/>
  <c r="I28" i="3"/>
  <c r="G28" i="3"/>
  <c r="J27" i="3"/>
  <c r="I27" i="3"/>
  <c r="G27" i="3"/>
  <c r="J26" i="3"/>
  <c r="I26" i="3"/>
  <c r="G26" i="3"/>
  <c r="J25" i="3"/>
  <c r="I25" i="3"/>
  <c r="G25" i="3"/>
  <c r="J24" i="3"/>
  <c r="I24" i="3"/>
  <c r="G24" i="3"/>
  <c r="J23" i="3"/>
  <c r="I23" i="3"/>
  <c r="G23" i="3"/>
  <c r="J22" i="3"/>
  <c r="I22" i="3"/>
  <c r="G22" i="3"/>
  <c r="J21" i="3"/>
  <c r="I21" i="3"/>
  <c r="G21" i="3"/>
  <c r="J20" i="3"/>
  <c r="I20" i="3"/>
  <c r="G20" i="3"/>
  <c r="J19" i="3"/>
  <c r="I19" i="3"/>
  <c r="G19" i="3"/>
  <c r="J18" i="3"/>
  <c r="I18" i="3"/>
  <c r="G18" i="3"/>
  <c r="J17" i="3"/>
  <c r="I17" i="3"/>
  <c r="G17" i="3"/>
  <c r="J16" i="3"/>
  <c r="I16" i="3"/>
  <c r="G16" i="3"/>
  <c r="J15" i="3"/>
  <c r="I15" i="3"/>
  <c r="G15" i="3"/>
  <c r="J14" i="3"/>
  <c r="I14" i="3"/>
  <c r="G14" i="3"/>
  <c r="J13" i="3"/>
  <c r="I13" i="3"/>
  <c r="G13" i="3"/>
  <c r="J12" i="3"/>
  <c r="I12" i="3"/>
  <c r="G12" i="3"/>
  <c r="J11" i="3"/>
  <c r="I11" i="3"/>
  <c r="G11" i="3"/>
  <c r="J10" i="3"/>
  <c r="I10" i="3"/>
  <c r="G10" i="3"/>
  <c r="J9" i="3"/>
  <c r="I9" i="3"/>
  <c r="G9" i="3"/>
  <c r="J8" i="3"/>
  <c r="I8" i="3"/>
  <c r="G8" i="3"/>
  <c r="J7" i="3"/>
  <c r="I7" i="3"/>
  <c r="G7" i="3"/>
  <c r="J6" i="3"/>
  <c r="I6" i="3"/>
  <c r="G6" i="3"/>
  <c r="J5" i="3"/>
  <c r="I5" i="3"/>
  <c r="G5" i="3"/>
  <c r="J4" i="3"/>
  <c r="I4" i="3"/>
  <c r="G4" i="3"/>
  <c r="J3" i="3"/>
  <c r="I3" i="3"/>
  <c r="G3" i="3"/>
  <c r="J2" i="3"/>
  <c r="I2" i="3"/>
  <c r="L2" i="2"/>
  <c r="I2" i="2"/>
  <c r="H2" i="2"/>
  <c r="B30" i="1"/>
  <c r="B29" i="1"/>
  <c r="B28" i="1"/>
  <c r="B27" i="1"/>
  <c r="B26" i="1"/>
  <c r="B25" i="1"/>
  <c r="B24" i="1"/>
  <c r="B23" i="1"/>
  <c r="B22" i="1"/>
  <c r="B21" i="1"/>
  <c r="C17" i="1"/>
  <c r="C16" i="1"/>
  <c r="C15" i="1"/>
  <c r="C14" i="1"/>
  <c r="C13" i="1"/>
  <c r="C11" i="1"/>
  <c r="C9" i="1"/>
  <c r="F6" i="1"/>
  <c r="E6" i="1"/>
  <c r="D6" i="1"/>
  <c r="C6" i="1"/>
  <c r="B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CONVERA</author>
  </authors>
  <commentList>
    <comment ref="F2" authorId="0" shapeId="0" xr:uid="{00000000-0006-0000-0100-000001000000}">
      <text>
        <r>
          <rPr>
            <sz val="11"/>
            <color theme="1"/>
            <rFont val="Arial"/>
            <family val="2"/>
            <scheme val="minor"/>
          </rPr>
          <t>القيمة الأساسية بالريال بدون ضريبة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CONVERA</author>
  </authors>
  <commentList>
    <comment ref="A2" authorId="0" shapeId="0" xr:uid="{00000000-0006-0000-0400-000001000000}">
      <text>
        <r>
          <rPr>
            <sz val="11"/>
            <color theme="1"/>
            <rFont val="Arial"/>
            <family val="2"/>
            <scheme val="minor"/>
          </rPr>
          <t>↑ صف مثال
• رقم المطالبة = 1 (المطالبة الأولى)
• رقم البند = 5 → يسحب البيانات من بنود العقد
• المنصرف السابق يُحسب تلقائياً من المطالبات السابقة ⭐</t>
        </r>
      </text>
    </comment>
    <comment ref="H3" authorId="0" shapeId="0" xr:uid="{00000000-0006-0000-0400-000002000000}">
      <text>
        <r>
          <rPr>
            <sz val="11"/>
            <color theme="1"/>
            <rFont val="Arial"/>
            <family val="2"/>
            <scheme val="minor"/>
          </rPr>
          <t>⭐ يُحسب تلقائياً
يجمع كميات نفس البند في كل المطالبات السابقة
لا يحتاج إدخال يدوي</t>
        </r>
      </text>
    </comment>
  </commentList>
</comments>
</file>

<file path=xl/sharedStrings.xml><?xml version="1.0" encoding="utf-8"?>
<sst xmlns="http://schemas.openxmlformats.org/spreadsheetml/2006/main" count="3662" uniqueCount="728">
  <si>
    <t>CONVERA — CONtract OVERsight &amp; governAnce</t>
  </si>
  <si>
    <t>📊  موجز المشروع — مؤشرات سريعة</t>
  </si>
  <si>
    <t>قيمة العقد (شامل ض)</t>
  </si>
  <si>
    <t>إجمالي البنود</t>
  </si>
  <si>
    <t>مطالبات معتمدة</t>
  </si>
  <si>
    <t>نسبة الإنجاز %</t>
  </si>
  <si>
    <t>حد 10% المستخدم</t>
  </si>
  <si>
    <t>📁  معلومات المشروع</t>
  </si>
  <si>
    <t>كود المشروع</t>
  </si>
  <si>
    <t>اسم المشروع</t>
  </si>
  <si>
    <t>نوع العقد</t>
  </si>
  <si>
    <t>المقاول</t>
  </si>
  <si>
    <t>تاريخ البدء</t>
  </si>
  <si>
    <t>تاريخ الانتهاء</t>
  </si>
  <si>
    <t>حالة العقد</t>
  </si>
  <si>
    <t>حد أوامر التغيير (10%)</t>
  </si>
  <si>
    <t>📑  فهرس الصفحات (انقر للانتقال)</t>
  </si>
  <si>
    <t>الصفحة</t>
  </si>
  <si>
    <t>الوصف</t>
  </si>
  <si>
    <t>بيانات العقد الأساسية والمالية</t>
  </si>
  <si>
    <t>لوحة متابعة التقدم التراكمي لكل بند</t>
  </si>
  <si>
    <t>البنود التفصيلية + استحداث بند جديد</t>
  </si>
  <si>
    <t>تتبع تحولات المطالبات بين المراحل الستة</t>
  </si>
  <si>
    <t>قائمة المستخدمين بالأدوار الستة</t>
  </si>
  <si>
    <t>لوحة فحص جاهزية البيانات للترحيل</t>
  </si>
  <si>
    <t>🎨  دليل الألوان والإشارات</t>
  </si>
  <si>
    <t>أولوية عالية — حقل مطلوب (لا يمكن تخطيه)</t>
  </si>
  <si>
    <t>تعبئة ثانوية — حقل اختياري</t>
  </si>
  <si>
    <t>قيمة تلقائية — يمنع التعديل اليدوي</t>
  </si>
  <si>
    <t>صف مثال توضيحي — يمكن حذفه عند البدء</t>
  </si>
  <si>
    <t>حالة معتمدة / تقدم 100%</t>
  </si>
  <si>
    <t>تنبيه تجاوز / حالة مرتجعة أو مرفوضة</t>
  </si>
  <si>
    <t>تحذير 90% / حالة بانتظار اعتماد</t>
  </si>
  <si>
    <t>حالة عند التدقيق</t>
  </si>
  <si>
    <t>📌  خطوات الاستخدام (1 → 8)</t>
  </si>
  <si>
    <t>1) ابدأ بصفحة 'العقد' — عبّئ بيانات العقد الأساسية (نوع العقد من القائمة)</t>
  </si>
  <si>
    <t>2) صفحة 'بنود العقد' — أدخل البنود مع التخصص ونوع البند، الكود يُولَّد آلياً</t>
  </si>
  <si>
    <t>3) صفحة 'المستخدمون' — سجّل أدوار الفريق الستة (مقاول → معتمد نهائي)</t>
  </si>
  <si>
    <t>4) صفحة 'المطالبات' — سجّل المطالبات وحدّد حالتها من القائمة المغلقة</t>
  </si>
  <si>
    <t>5) صفحة 'بنود المطالبات' — التقدم السابق يُحسب تلقائياً، تنبيه أحمر عند التجاوز</t>
  </si>
  <si>
    <t>6) صفحة 'سجل الحركة' — سجّل كل تحول للحالة (للترحيل لـ claim_workflow)</t>
  </si>
  <si>
    <t>7) أوامر التغيير — راقب لوحة 10% أعلى الصفحة قبل أي إضافة</t>
  </si>
  <si>
    <t>8) صفحة 'الجاهزية' — تأكد من 🟢 جاهز للترحيل قبل رفع البيانات للمنصة</t>
  </si>
  <si>
    <t>🔐 كلمة سر إلغاء الحماية: convera   |   📐 السعات: 500 بند | 50 مطالبة | 15 أمر تغيير</t>
  </si>
  <si>
    <t>🔤  دليل رموز التخصصات (مرتبة حسب المجال)</t>
  </si>
  <si>
    <t>▼ عمارة وإنشاء</t>
  </si>
  <si>
    <t xml:space="preserve">  معماري</t>
  </si>
  <si>
    <t>A</t>
  </si>
  <si>
    <t>CMH_01-A-001</t>
  </si>
  <si>
    <t xml:space="preserve">  مدني</t>
  </si>
  <si>
    <t>C</t>
  </si>
  <si>
    <t>CMH_01-C-001</t>
  </si>
  <si>
    <t>▼ ميكانيكا</t>
  </si>
  <si>
    <t xml:space="preserve">  ميكانيكا</t>
  </si>
  <si>
    <t>ME</t>
  </si>
  <si>
    <t>CMH_01-ME-001</t>
  </si>
  <si>
    <t xml:space="preserve">  تكييف</t>
  </si>
  <si>
    <t>HV</t>
  </si>
  <si>
    <t>CMH_01-HV-001</t>
  </si>
  <si>
    <t xml:space="preserve">  صحي</t>
  </si>
  <si>
    <t>PL</t>
  </si>
  <si>
    <t>CMH_01-PL-001</t>
  </si>
  <si>
    <t>▼ كهرباء</t>
  </si>
  <si>
    <t xml:space="preserve">  كهرباء</t>
  </si>
  <si>
    <t>EE</t>
  </si>
  <si>
    <t>CMH_01-EE-001</t>
  </si>
  <si>
    <t xml:space="preserve">  منخفض الجهد</t>
  </si>
  <si>
    <t>LV</t>
  </si>
  <si>
    <t>CMH_01-LV-001</t>
  </si>
  <si>
    <t>▼ سلامة</t>
  </si>
  <si>
    <t xml:space="preserve">  سلامة وإطفاء</t>
  </si>
  <si>
    <t>FF</t>
  </si>
  <si>
    <t>CMH_01-FF-001</t>
  </si>
  <si>
    <t>▼ أعمال أخرى</t>
  </si>
  <si>
    <t xml:space="preserve">  أثاث</t>
  </si>
  <si>
    <t>FUN</t>
  </si>
  <si>
    <t>CMH_01-FUN-001</t>
  </si>
  <si>
    <t xml:space="preserve">  موقع عام</t>
  </si>
  <si>
    <t>LS</t>
  </si>
  <si>
    <t>CMH_01-LS-001</t>
  </si>
  <si>
    <t xml:space="preserve">  إشراف</t>
  </si>
  <si>
    <t>SUP</t>
  </si>
  <si>
    <t>CMH_01-SUP-001</t>
  </si>
  <si>
    <t xml:space="preserve">  أخرى</t>
  </si>
  <si>
    <t>OT</t>
  </si>
  <si>
    <t>CMH_01-OT-001</t>
  </si>
  <si>
    <t>📌 للبنود المُستحدَثة في أوامر التغيير، يُضاف -NEW- في الكود مثل: CMH_01-A-NEW-001</t>
  </si>
  <si>
    <t>كود العقد</t>
  </si>
  <si>
    <t>قيمة العقد (بدون ض.م)</t>
  </si>
  <si>
    <t>نسبة ض.ق.م %</t>
  </si>
  <si>
    <t>قيمة ض.ق.م (تلقائي)</t>
  </si>
  <si>
    <t>الإجمالي شامل الضريبة (تلقائي)</t>
  </si>
  <si>
    <t>المدة (أشهر)</t>
  </si>
  <si>
    <t>نسبة الاستقطاع %</t>
  </si>
  <si>
    <t>CMH_01-C01</t>
  </si>
  <si>
    <t>إنشاءات</t>
  </si>
  <si>
    <t>نشط</t>
  </si>
  <si>
    <t>رقم البند</t>
  </si>
  <si>
    <t>وصف البند</t>
  </si>
  <si>
    <t>التخصص</t>
  </si>
  <si>
    <t>الوحدة</t>
  </si>
  <si>
    <t>سعر الوحدة</t>
  </si>
  <si>
    <t>الكمية التعاقدية</t>
  </si>
  <si>
    <t>إجمالي البند (تلقائي)</t>
  </si>
  <si>
    <t>نموذج التقدم</t>
  </si>
  <si>
    <t>كود البند (تلقائي)</t>
  </si>
  <si>
    <t>رمز التخصص (تلقائي)</t>
  </si>
  <si>
    <t>نوع البند</t>
  </si>
  <si>
    <t>توريد وتركيب نظام إنذار حريق — مثال</t>
  </si>
  <si>
    <t>سلامة وإطفاء</t>
  </si>
  <si>
    <t>عدد</t>
  </si>
  <si>
    <t>عددي</t>
  </si>
  <si>
    <t>مقاولات</t>
  </si>
  <si>
    <t>م</t>
  </si>
  <si>
    <t>رقم المطالبة الرسمي</t>
  </si>
  <si>
    <t>نوع المطالبة</t>
  </si>
  <si>
    <t>الفترة من</t>
  </si>
  <si>
    <t>الفترة إلى</t>
  </si>
  <si>
    <t>مبلغ البنود (تلقائي)</t>
  </si>
  <si>
    <t>نسبة الأداء %</t>
  </si>
  <si>
    <t>المبلغ بعد الأداء (تلقائي)</t>
  </si>
  <si>
    <t>الاستقطاع (تلقائي)</t>
  </si>
  <si>
    <t>صافي المبلغ (تلقائي)</t>
  </si>
  <si>
    <t>ض.ق.م (تلقائي)</t>
  </si>
  <si>
    <t>الإجمالي المستحق (تلقائي)</t>
  </si>
  <si>
    <t>تراكمي المعتمد (تلقائي)</t>
  </si>
  <si>
    <t>الحالة</t>
  </si>
  <si>
    <t>ملاحظات</t>
  </si>
  <si>
    <t>معرّف خارجي (External Ref)</t>
  </si>
  <si>
    <t>CMH_03-C01</t>
  </si>
  <si>
    <t>3100012345</t>
  </si>
  <si>
    <t>بنود فقط</t>
  </si>
  <si>
    <t>2024-05-01</t>
  </si>
  <si>
    <t>2024-05-31</t>
  </si>
  <si>
    <t>معتمدة</t>
  </si>
  <si>
    <t>المطالبة الأولى</t>
  </si>
  <si>
    <t>رقم المطالبة</t>
  </si>
  <si>
    <t>وصف البند (تلقائي)</t>
  </si>
  <si>
    <t>الوحدة (تلقائي)</t>
  </si>
  <si>
    <t>سعر الوحدة (تلقائي)</t>
  </si>
  <si>
    <t>الكمية التعاقدية (تلقائي)</t>
  </si>
  <si>
    <t>كمية هذه الفترة</t>
  </si>
  <si>
    <t>التراكمي (تلقائي)</t>
  </si>
  <si>
    <t>مبلغ الفترة (تلقائي)</t>
  </si>
  <si>
    <t>نسبة الإنجاز % (تلقائي)</t>
  </si>
  <si>
    <t>توريد وتركيب نظام إنذار — مثال</t>
  </si>
  <si>
    <t>20%</t>
  </si>
  <si>
    <t>📊  الملخص التراكمي — CMH_01</t>
  </si>
  <si>
    <t>الفئة (تلقائي)</t>
  </si>
  <si>
    <t>المنصرف التراكمي (تلقائي)</t>
  </si>
  <si>
    <t>المبلغ التراكمي (تلقائي)</t>
  </si>
  <si>
    <t>المتبقي كمية (تلقائي)</t>
  </si>
  <si>
    <t>المتبقي مبلغ (تلقائي)</t>
  </si>
  <si>
    <t>🚦 لوحة حد أوامر التغيير (10% من قيمة العقد)</t>
  </si>
  <si>
    <t>قيمة العقد الإجمالية (شاملة الضريبة)</t>
  </si>
  <si>
    <t>صافي الإضافات المعتمدة (تلقائي)</t>
  </si>
  <si>
    <t>النسبة الحالية %</t>
  </si>
  <si>
    <t>المتبقي قبل بلوغ الحد</t>
  </si>
  <si>
    <t>مبرر أمر التغيير</t>
  </si>
  <si>
    <t>تاريخ التقديم</t>
  </si>
  <si>
    <t>إضافات (تلقائي)</t>
  </si>
  <si>
    <t>وفر (تلقائي)</t>
  </si>
  <si>
    <t>صافي الأثر (تلقائي)</t>
  </si>
  <si>
    <t>ملاحظات / قرار</t>
  </si>
  <si>
    <t>معرّف خارجي</t>
  </si>
  <si>
    <t>زيادة كميات + إضافة بنود سلامة — مثال</t>
  </si>
  <si>
    <t>2025-06-15</t>
  </si>
  <si>
    <t>معتمد</t>
  </si>
  <si>
    <t>ضمن حد 10%</t>
  </si>
  <si>
    <t>رقم أمر التغيير</t>
  </si>
  <si>
    <t>نوع العملية</t>
  </si>
  <si>
    <t>رقم البند التعاقدي</t>
  </si>
  <si>
    <t>الكمية</t>
  </si>
  <si>
    <t>المدة الإضافية (أيام)</t>
  </si>
  <si>
    <t>الأثر المالي (تلقائي)</t>
  </si>
  <si>
    <t>زيادة كمية</t>
  </si>
  <si>
    <t>الاسم الكامل</t>
  </si>
  <si>
    <t>البريد الإلكتروني</t>
  </si>
  <si>
    <t>الدور</t>
  </si>
  <si>
    <t>الجهة</t>
  </si>
  <si>
    <t>الهاتف</t>
  </si>
  <si>
    <t>محمد العرفج</t>
  </si>
  <si>
    <t>ma.alarfaj@momah.gov.sa</t>
  </si>
  <si>
    <t>معتمد نهائي</t>
  </si>
  <si>
    <t>إدارة التطوير والتأهيل</t>
  </si>
  <si>
    <t>CMH_01-USR-001</t>
  </si>
  <si>
    <t>مدير مشروع</t>
  </si>
  <si>
    <t>CMH_01-USR-002</t>
  </si>
  <si>
    <t>جودة</t>
  </si>
  <si>
    <t>CMH_01-USR-003</t>
  </si>
  <si>
    <t>تدقيق</t>
  </si>
  <si>
    <t>CMH_01-USR-004</t>
  </si>
  <si>
    <t>مكتب استشاري</t>
  </si>
  <si>
    <t>CMH_01-USR-005</t>
  </si>
  <si>
    <t>مقاول</t>
  </si>
  <si>
    <t>شركة المقاولات</t>
  </si>
  <si>
    <t>CMH_01-USR-006</t>
  </si>
  <si>
    <t>📊  لوحة جاهزية الملف — CMH_01</t>
  </si>
  <si>
    <t>القسم</t>
  </si>
  <si>
    <t>الحقول المطلوبة</t>
  </si>
  <si>
    <t>الحقول المعبّأة</t>
  </si>
  <si>
    <t>نسبة الإنجاز</t>
  </si>
  <si>
    <t>العقد — الحقول الأساسية</t>
  </si>
  <si>
    <t>بنود العقد</t>
  </si>
  <si>
    <t>المطالبات (أول مطالبة)</t>
  </si>
  <si>
    <t>أوامر التغيير</t>
  </si>
  <si>
    <t>المستخدمون (اسم+بريد)</t>
  </si>
  <si>
    <t>الإجمالي</t>
  </si>
  <si>
    <t>📋  ملخص المشروع</t>
  </si>
  <si>
    <t>قيمة العقد (شامل الضريبة)</t>
  </si>
  <si>
    <t>عدد البنود</t>
  </si>
  <si>
    <t>عدد المطالبات المعتمدة</t>
  </si>
  <si>
    <t>إجمالي المعتمدة</t>
  </si>
  <si>
    <t>نسبة الإنجاز الكلية</t>
  </si>
  <si>
    <t>🔎  فحوصات جاهزية الترحيل للمنصة</t>
  </si>
  <si>
    <t>الفحص</t>
  </si>
  <si>
    <t>النتيجة</t>
  </si>
  <si>
    <t>ملاحظة</t>
  </si>
  <si>
    <t>حد أوامر التغيير 10%</t>
  </si>
  <si>
    <t>يجب أن تكون النسبة &lt; 10%</t>
  </si>
  <si>
    <t>جاهزة لتوليد شهادات الإتمام</t>
  </si>
  <si>
    <t>عدد سجلات الحركة</t>
  </si>
  <si>
    <t>للترحيل إلى claim_workflow</t>
  </si>
  <si>
    <t>عدد المستخدمين الواقعيين</t>
  </si>
  <si>
    <t>بدون صفوف الأمثلة</t>
  </si>
  <si>
    <t>نسبة اكتمال البيانات الإجمالية</t>
  </si>
  <si>
    <t>من لوحة الجاهزية أعلاه</t>
  </si>
  <si>
    <t>مرفقات إجبارية موجودة</t>
  </si>
  <si>
    <t>لا توجد مرفقات إجبارية مفقودة</t>
  </si>
  <si>
    <t>🎯 المؤشر الإجمالي للجاهزية</t>
  </si>
  <si>
    <t>📋 سجل الحركة — تتبع تحولات المطالبات بين المراحل الستة</t>
  </si>
  <si>
    <t>التاريخ والوقت</t>
  </si>
  <si>
    <t>الفاعل (البريد)</t>
  </si>
  <si>
    <t>الفاعل (الدور)</t>
  </si>
  <si>
    <t>الإجراء</t>
  </si>
  <si>
    <t>من حالة</t>
  </si>
  <si>
    <t>إلى حالة</t>
  </si>
  <si>
    <t>السبب / الملاحظة</t>
  </si>
  <si>
    <t>2024-05-31 14:30</t>
  </si>
  <si>
    <t>اعتماد</t>
  </si>
  <si>
    <t>عند المعتمد</t>
  </si>
  <si>
    <t>مطالبة سليمة وفق المتطلبات</t>
  </si>
  <si>
    <t>CMH_01-WF-001</t>
  </si>
  <si>
    <t>التخصصات (مرتبة حسب المجال)</t>
  </si>
  <si>
    <t>أنواع البند</t>
  </si>
  <si>
    <t>أنواع العملية</t>
  </si>
  <si>
    <t>اسم التخصص</t>
  </si>
  <si>
    <t>الرمز</t>
  </si>
  <si>
    <t>معماري</t>
  </si>
  <si>
    <t>استشارية</t>
  </si>
  <si>
    <t>تقليل كمية</t>
  </si>
  <si>
    <t>مدني</t>
  </si>
  <si>
    <t>حذف بند</t>
  </si>
  <si>
    <t>ميكانيكا</t>
  </si>
  <si>
    <t>تمديد مدة</t>
  </si>
  <si>
    <t>تكييف</t>
  </si>
  <si>
    <t>استحداث بند جديد</t>
  </si>
  <si>
    <t>صحي</t>
  </si>
  <si>
    <t>كهرباء</t>
  </si>
  <si>
    <t>منخفض الجهد</t>
  </si>
  <si>
    <t>أثاث</t>
  </si>
  <si>
    <t>موقع عام</t>
  </si>
  <si>
    <t>إشراف</t>
  </si>
  <si>
    <t>أخرى</t>
  </si>
  <si>
    <t>📎  سجل المرفقات — تتبع رفع PDFs</t>
  </si>
  <si>
    <t>📊 إحصاءات المرفقات</t>
  </si>
  <si>
    <t>📌 الصفوف تُولَّد آلياً. حدّث 'حالة الرفع' عند تحميل الملف للمجلد.</t>
  </si>
  <si>
    <t>إجباري — موجود</t>
  </si>
  <si>
    <t>نوع الكيان</t>
  </si>
  <si>
    <t>رقم الكيان</t>
  </si>
  <si>
    <t>نوع المستند</t>
  </si>
  <si>
    <t>الإجبارية</t>
  </si>
  <si>
    <t>اسم الملف المتوقع</t>
  </si>
  <si>
    <t>المجلد</t>
  </si>
  <si>
    <t>حالة الرفع</t>
  </si>
  <si>
    <t>تاريخ الرفع</t>
  </si>
  <si>
    <t>إجباري — مفقود ⚠</t>
  </si>
  <si>
    <t>فاتورة</t>
  </si>
  <si>
    <t>إجباري</t>
  </si>
  <si>
    <t>04_PAYMENTS</t>
  </si>
  <si>
    <t>اختياري — موجود</t>
  </si>
  <si>
    <t>تقرير فني</t>
  </si>
  <si>
    <t>نسبة الاكتمال %</t>
  </si>
  <si>
    <t>اختياري</t>
  </si>
  <si>
    <t>05_APPROVALS</t>
  </si>
  <si>
    <t>شهادة إتمام</t>
  </si>
  <si>
    <t>06_CERTIFICATES</t>
  </si>
  <si>
    <t>وثيقة الأمر</t>
  </si>
  <si>
    <t>03_VO</t>
  </si>
  <si>
    <t>اعتماد الأمر</t>
  </si>
  <si>
    <t xml:space="preserve">  CMH_01</t>
  </si>
  <si>
    <t xml:space="preserve">جدول الكميات </t>
  </si>
  <si>
    <t xml:space="preserve">سجل المطالبات </t>
  </si>
  <si>
    <t>بنود كل مطالبة مع تقدم تراكمي</t>
  </si>
  <si>
    <t xml:space="preserve"> أوامر التغيير + لوحة حد 10%</t>
  </si>
  <si>
    <t>رقم العقد (اعتماد)</t>
  </si>
  <si>
    <t xml:space="preserve">المنصرف السابق (تلقائي) </t>
  </si>
  <si>
    <t>مشروع تأهيل مقر الوزارة بالعليا</t>
  </si>
  <si>
    <t>شركة الخليج المتطورة للمقاولات</t>
  </si>
  <si>
    <t>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الجدران وتشمل  جميع أنواع جدران الطوب  والقواطع الجبسية و الخشبية و الزجاجية  بحسب المخططات المعتمدة وتعليمات المهندس المشرف.</t>
  </si>
  <si>
    <t>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number)-AR-هدم وإزالة تشطيبات رخام أو بلاط بورسلان أو سيراميك  للأرضيات والجدران الحالية  بحسب المخططات المعتمدة وتعليمات المهندس المشرف.</t>
  </si>
  <si>
    <t>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تشطيبات الأسقف المستعارة الحالية بما تشمل أسقف جبسية وبلاطات صناعية وأسقف معدنية  بحسب المخططات المعتمدة وتعليمات المهندس المشرف.</t>
  </si>
  <si>
    <t>صبة خرسانية مع شبكة حديد بقطر 8 مم  بأبعاد 10*10 سم  مخدومة بالمسطرين والقدة لتعطي سطحا ناعما في الفناء الوسطي. ويشمل السعر الدفان وأي مواد أو أعمال يتطلبها تنفيذ العمل حسب المواصفات والمخططات وتعليمات المهندس المشرف.</t>
  </si>
  <si>
    <t>صبة أسمنتية كطبقة حماية للعزل في الأماكن الرطبة. ويشمل السعر وأي مواد أو أعمال يتطلبها تنفيذ العمل حسب المواصفات والمخططات وتعليمات المهندس المشرف.</t>
  </si>
  <si>
    <t>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t>
  </si>
  <si>
    <t>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القسمRef drawing: 07-MRA-DD-(as per floor number) وتعليمات المهندس المشرف 04200-Ar-100</t>
  </si>
  <si>
    <t xml:space="preserve">توريد وتركيب درابزين من الزجاج السيكوريت سمك 12 مم مثبت بالارضيات للفناء الداخلي المفتوح بارتفاع 600مم شاملاً إطار الدرابزين من الالمنيوم )u-channel( مقاس 40مم × 30مم ثخانة2مم )لون اسود 9005RAL ( ويشمل السعر الاكسسوارات وأي مواد أو أعمال يتطلبها تشطيب العمل حسب المواصفات والمخططات. </t>
  </si>
  <si>
    <t>توريد وتركيب درابزين من الزجاج السيكوريت سمك 12 مم مثبت بالارضيات للفناء الوسطي الاساسي 1100 مم شاملاإًطار الدرابزين من الالمنيوم )u-channel(  مقاس80مم × 40مم )لون اسود 9005RAL ( ويشمل السعر الاكسسوارات وأي مواد أو أعمال يتطلبها تشطيب العمل حسب المواصفات والمخططات وتعليمات المهندس المشرف</t>
  </si>
  <si>
    <t>إعادة دهان هاندرايل من الحديد  بالايبوكسي ويشمل ازالة الدهان القديم  بالترميل )Sand Plasting( حسب  المواصفات والاصول الفنيه وتعليمات المهندس المشرف.</t>
  </si>
  <si>
    <t>تجديد وترميم ودهان وتلميع البوابات الحديدية الرئيسية في المدخل الغربي )مدخل الوزير( والبوابة الرئيسية في المدخل الشمالي )مدخل الموظفين( وتشمل الأعمال ما يلي:تجديد وترميم أبواب الحديد، سنفرة الأبواب، عمل طبقة تأسيس ناري للأبواب، تعشيقة الأبواب مع تلميع الزخرفة، دهان وتلميع الأجزاء نهاية الزخرفة بمواد أيبوكسي + دهان ماء الذهب المركز للأطراف الخارجية + تلميع خارجي بمادة البوليريثان، المحافظة على نظافة المكان وإزالة المخلفات. حسب الاصول الفنيه وتعليمات المهندس المشرف</t>
  </si>
  <si>
    <t>توريد وتركيب اسقف شبكة حديد مش )طلاء بودرة بالفرن لون اسود( سماكة 2 ملم مع تيوب حديد ابعاد 4*8 سم وسماكة 3ملم  ، مثبتة بنظام تعليق متصلة بالسقف الخرساني حسب الرسومات والمناظير وتعليمات المهندس المشرف.Ref drawing: 07-MRA-DD-G.F-AR-200</t>
  </si>
  <si>
    <t>توريد وتركيب اسقف شبكة حديد مش )طلاء بودرة بالفرن لون ابيض(سماكة 2 ملم مع تيوب حديد ابعاد 4*8 سم وسماكة 3ملم  ، مثبتة بنظام تعليق متصلة بالسقف الخرساني حسب الرسومات والمناظير وتعليمات المهندس المشرفRef drawing: 07-MRA-DD-G.F-AR-200</t>
  </si>
  <si>
    <t>توريد وتركيب تيوبات حديد ابعاد 4*4 سم وسماكة 2ملم مع أرفف فوق الكاونتر في منطقة المطبخ. )طلاء بودرة بالفرن لون اسود(مقاس: طول 4400 ملم، ارتفاع 2000 ملم و عرض 600 ملم</t>
  </si>
  <si>
    <t>توريد وتركيب تيوبات حديد ابعاد 4*4 سم وسماكة 2ملم مع أرفف فوق الكاونتر في منطقة المطبخ. )طلاء بودرة بالفرن لون اسود(مقاس: طول 3100 ملم، ارتفاع 2000 ملم و عرض 600 ملم</t>
  </si>
  <si>
    <t>توريد وتركيب تيوب حدبد مربع مقاس 30ملم* 30ملم سماكة 2 ملم كإيطار للوحات )طلاء بودرة بالفرن لون اسود( مقاس 3050x1250 ممRef drawing: 07-MRA-DD-G.F-AR-607.L</t>
  </si>
  <si>
    <t>توريد وتركيب كشك من هيكل حديدي متكون من تيوبات 10*10-مم وسماكة 6مم مع مع صاج مفرّغ بالليزرعلى شكل مثلثات مدهون بطلاء بني معتق ويشمل إضاءة مخفية حسب التصميم والرسومات  مقاس 5300x3400 مم وارتفاع 3000 مم.Ref drawing: 07-MRA-DD-G.F-AR-902</t>
  </si>
  <si>
    <t>خزانة مفتوحة مصنوعة من تيوبات حديد 20X20 ملم وسماكة 2 ملم )طلاء بودرة بالفرن لون اسود( مع أرفف من خشب ال mdf مع قشرة السنديان حسب التصميم والرسومات وتعليمات المهندس المشرف.Ref drawing: 07-MRA-DD-G.F-AR-607.C عرضx 400mm ارتفاع x 2600mm طول 13350mm</t>
  </si>
  <si>
    <t>توريد وتركيب هيكل حديدي تيوبات 20*100 مم وسماكة 2مم مثبت بالسقف والأرض مع شبكة حديد مش )طلاء بودرة بالفرن لون اسود( يشمل هيكل حديدي للمقاعد إضافة الى القماش اللازم ،  حسب الرسومات والمناظير وتعليمات المهندس المشرف.مقاس      Ref drawing: 07-MRA-DD-G.F-AR-607.B: طول 4300 ملم، ارتفاع 2400 ملم و عرض 1800 ملم</t>
  </si>
  <si>
    <t>توريد وتركيب هيكل حديدي تيوبات 20*100 مم وسماكة 2مم مثبت بالسقف والأرض مع شبكة حديد مش )طلاء بودرة بالفرن لون اسود( يشمل هيكل حديدي للمقاعد إضافة الى القماش اللازم ،  حسب الرسومات والمناظير وتعليمات المهندس المشرف.Ref drawing: 07-MRA-DD-G.F-AR-607.Bمقاس: طول 3100 ملم، ارتفاع 2400 ملم و عرض 1800 ملم</t>
  </si>
  <si>
    <t>توريد وتركيب شبكة حديد مش )طلاء بودرة بالفرن لون اسود(   مع تيوب حديد 50X50 ملم وسماكة 2 ملم لمنطقة القهوة والسعر يشمل طاولات الحديد في الوسط. مقاس 760X2750 ملم.Ref drawing: 07-MRA-DD-G.F-AR-607.A</t>
  </si>
  <si>
    <t>توريد وتركيب وزرات خشب )Mdf( مع قشرة جوز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 .Ref drawing: 07-MRA-DD-(as per floor number)-AR-301</t>
  </si>
  <si>
    <t>توريد وتركيب وزرات خشب )Mdf( مع قشرة ،وينغي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المشرفRef drawing: 07-MRA-DD-(as per floor number)-AR-301</t>
  </si>
  <si>
    <t>تصنيع وتركيب جدار خشبي ) Mdf(  مع قشرة السنديان المطلي بدهان ابيض تثبت على هيكل معدني، مع تصميم  فتحات على شكل مثلثات مضاءة من الداخل واحجام بمستويات مختلفة، حسب المناظير والرسومات وتعليمات المهندس المشرف.Code: WDP1-01,WDP1-02,WDP1-02.A</t>
  </si>
  <si>
    <t>تصنيع وتركيب لوح خشبي بشكل طولي من  الـ )Mdf(  مع قشرة الجوز او ما يتناسب مع العينة المتفق عليها طول 25سم وعرض 10سم وارتفاع 270 سم الى جانب الابواب الزجاجية حسب المناظير والرسومات وتعليمات المهندس المشرف.Code: WDP2-08</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</si>
  <si>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العامود الخرساني بدهان رمادي على شكل وهيئة الأسطح الاسمنتية )matt( بتصميم مع غروف حسب الرسومات والمناظير وتعليمات المهندس المشرف.Code: WDP3-04</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</si>
  <si>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القواطع الجبسية بدهان رمادي بيج  )matt( ، وبتصميم مع غروف حسب الرسومات والمناظير وتعليمات المهندس المشرف.Code: WPD4-01,WDP4-01.A</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</si>
  <si>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مثبتة على القواطع الجبسية مع قشرة صناعية بحسب العينة الموافق عليها وغروف حسب الرسومات والمناظير وتعليمات المهندس المشرفCode: WDP2</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</si>
  <si>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االقواطع الجبسية بدهان رمادي على شكل وهيئة الأسطح الاسمنتية ) matt( مع تصميم بفتحات حسب الرسومات والمناظير وتعليمات المهندس المشرف.Code: WDP3-01, WDP3-02, WDP3-03</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</si>
  <si>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مع قشرة السنديان المطلي بدهان ابيض  مع غروف وفتحات إضاءة مخفية مغلفة من الداخل بطبقة Acrylic مغشى  حسب الرسومات والمناظير وتعليمات المهندس المشرف.Code: WDP1-03, WDP1-04, WDP1-05, WDP1-06</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</si>
  <si>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بدهان رمادي   مع غروف وفتحات إضاءة مخفية مغلفة من الداخل بطبقة Acrylic مغشى  حسب الرسومات والمناظير وتعليمات المهندس المشرف.Code: WDP5</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</si>
  <si>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المطلي بدهان رمادي  Code: WDP6</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</si>
  <si>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number)-AR-600 to 07-MRA-DD (as per floor number)-AR-604كسوة من خشب الـ) Mdf(  ، مع قشرة  )walnut( لمدخل كبار الشخصيات ومكتب مدير مكتب معالي الوزير     حسب الرسومات والمناظير وتعليمات المهندس المشرف.Code: WDP7</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</si>
  <si>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صناعية بلون رمادي بيج لمنطقة معالي الوزير   حسب الرسومات والمناظير وتعليمات المهندس المشرف.Code: WDP8</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</si>
  <si>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ال )wenge( بشكل pattern مفرغة من الداخل مع ايطار خشبي ملبس بجلد لون بيج ومثبتة على الجدار الخشبي  لمنطقة معالي الوزير  حسب الرسومات والمناظير  وتعليمات المهندس المشرف.Code: P1</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</si>
  <si>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ال )wenge( بشكل pattern مفرغة من الداخل مع ايطار خشبي ومثبتة على الجدار الخشبي  لمنطقة التنفيذيين حسب الرسومات والمناظير وتعليمات المهندس المشرف.Code: P2</t>
  </si>
  <si>
    <t>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 سقف من خشب الـ)Mdf( ،  مطلي بدهان أبيض بشكل pattern مفرغة من الداخل  ومثبتة على ألواح خشبية مع قشرة الجوز مثبتة بنظام تعليق متصلة بالسقف الخرساني  لمنطقة معالي الوزير حسب الرسومات والمناظير وتعليمات المهندس المشرف.Code: WDC-04</t>
  </si>
  <si>
    <t>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 من من خشب الـ)Mdf(  مع قشرة صناعية بحسب العينة الموافق عليها وغروف مثبتة بنظام تعليق متصلة بالسقف الخرساني حسب الرسومات والمناظير وتعليمات المهندس المشرف.Code: WDC-01 &amp; WDC-02</t>
  </si>
  <si>
    <t>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خشبي03-WDC من من خشب الـ)Mdf( على شكل مربعات بسماكة تصميم  5سم، وفتحات على شكل مثلث مع اضاءة مخفية مغلفة من الاعلى بطبقة Acrylic شفاف مغشى سماكة 4مم مثبتة بنظام تعليق متصلة بالسقف الخرساني حسب الرسومات والمناظير وتعليمات المهندس المشرف.Code: WDC-03</t>
  </si>
  <si>
    <t>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خشبية01-WDC و 02-WDC من خشب الـ ) Mdf ( متداخلة الالوان من قشرة صناعية بحسب  العينة الموافق عليها والدهان الرمادي  على شكل وهيئة الاسطح الاسمنتية مثبتة على القواطع الجبسية مع اضاءة مخفية ومفصلات ومقابض مخفية وتصميم حسب الرسومات والمناظير وتعليمات المهندس المشرف.</t>
  </si>
  <si>
    <t>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خشبية03-WDC  من خشب الـ ) Mdf (  مع قشرة صناعية بحسب العينة الموافق عليها مثبتة على القواطع الجبسية  مع غروف ومفصلات ومقابض مخفية ،  حسب الرسومات والمناظير</t>
  </si>
  <si>
    <t>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خشبية04-WDC   من خشب الـ ) Mdf (  مطلية بدهان رمادي على شكل وهيئة الاسطح الاسمنتية مع غروف ومفصلات ومقابض مخفية ، وارفف مفتوحة من قشرة الجوز ،واضاءة مخفية ، مثبتة على الجدار الخارجي حسب الرسومات والمناظير  وتعليمات المهندس المشرف.</t>
  </si>
  <si>
    <t>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 خزانة خشبية05-WDC  من خشب الـ ) Mdf (  مع قشرة الوينغي الداكنة مع أرفف وإضاءة مخفية، أبواب الخزائن زجاجية   ribbed glass(مع إيطار خشبي وغروف ومفصلات ومقابض مخفية لمنطقة معالي الوزير حسب الرسومات والمناظير وتعليمات المهندس المشرف.</t>
  </si>
  <si>
    <t xml:space="preserve">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خشبية06-WDC   من خشب الـ ) Mdf (  مع قشرة الوينغي الداكنة مع أرفف وإضاءة مخفية، أبواب الخزائن زجاجية )black tinted clear glass(مع إيطار خشبي وغروف ومفصلات ومقابض مخفية لمنطقة معالي الوزير حسب الرسومات والمناظير وتعليمات المهندس المشرف. </t>
  </si>
  <si>
    <t xml:space="preserve"> توريد وتنفيذ طبقتين من غشاء عازل للمياه من الـبيتومين ثخانة 4 مم للأماكن الرطبة وحتى ارتفاع 10   سم على الجدران المحيطة ويشمل تحضير السطوح ومواد حشو الزوايا وطبقات الحماية جيوتكستايل الأفُقية والعمودية. ويشمل السعر أي مواد وأعمال مطلوبة لاستكمال العمل حسب المواصفات والمخططات.وتعليمات المهندس المشرف</t>
  </si>
  <si>
    <t>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المشرف.Ref drawing: 07-MRA-DD-(as per floor number)-AR-801 بعرض 1000 مم وارتفاع 2700 مم  GD01باب ضلفة واحدة  نموذج</t>
  </si>
  <si>
    <t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2600 مم  GD02باب ضلفتين  نموذج </t>
  </si>
  <si>
    <t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2100 مم  GD03باب ضلفتين  نموذج </t>
  </si>
  <si>
    <t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2000 مم وارتفاع 2200 مم  WD07باب مروحة ضلفتين  نموذج </t>
  </si>
  <si>
    <t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بعرض1000 مم وارتفاع 2200 مم  WD06باب مروحة ضلفة واحدة  نموذج </t>
  </si>
  <si>
    <t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WD05باب مروحة ضلفة واحدة  نموذج </t>
  </si>
  <si>
    <t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800 مم وارتفاع 2200 مم  WD04باب مروحة ضلفة واحدة  نموذج </t>
  </si>
  <si>
    <t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1000 مم وارتفاع 3000 مم  WD015باب مروحة ضلفة واحدة  نموذج </t>
  </si>
  <si>
    <t xml:space="preserve">توريد وتركيب باب من قطاعات الخشب شبه المصمت بسمك 44مم مكون من قواطيع خشب داخليه بحشو  mdf مع قشرة السنديان المطلية بدهان أبيض  والحلق من الخشب السويدي المسطم المقاوم للرطوبة مخفي داخل الواجهة الخشبية والبند يشمل جميع الإكسسوارات اللازمه من مفصلات ودفاش من النوع المخفي ومقابض، 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1000 مم وارتفاع 2200 مم  WD02باب مروحة ضلفة واحدة  نموذج </t>
  </si>
  <si>
    <t xml:space="preserve">توريد وتركيب باب من قطاعات الخشب شبه المصمت بسمك 44مم مكون من قواطيع خشب داخليه بحشو خفيف mdfوالمطلي بدهان رمادي على هيئة الأسطح الاسمنتية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WD01باب مروحة ضلفة واحدة  نموذج </t>
  </si>
  <si>
    <t xml:space="preserve">توريد وتركيب باب من قطاعات الخشب شبه المصمت بسمك 44مم مكون من قواطيع خشب داخليه بحشو  mdfوالمطلي بدهان رمادي بيج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بعرض900 مم وارتفاع 2200 مم  WD03باب مروحة ضلفة واحدة  نموذج </t>
  </si>
  <si>
    <t>توريد وتركيب باب من قطاعات الخشب شبه المصمت بسمك 44مم مكون من قواطيع خشب داخليه بحشو خفيف mdfوالمطلي بدهان أزرق بترولي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Ref drawing: 07-MRA-DD-(as per floor number)-AR-800 بعرض 900 مم وارتفاع 2200 مم  WD08 باب مروحة ضلفة واحدة  نموذج</t>
  </si>
  <si>
    <t>توريد وتركيب باب من قطاعات الخشب شبه المصمت بسمك 44مم مكون من قواطيع خشب داخليه بحشو خفيف mdfوالمطلي بدهان رمادي فاتح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WD09 باب مروحة ضلفة واحدة  نموذج</t>
  </si>
  <si>
    <t xml:space="preserve">توريد وتركيب باب من قطاعات الخشب شبه المصمت بسمك 44مم مكون من قواطيع خشب داخليه بحشو  mdf مع قشرة السنديان المطلية بدهان بيج  والحلق من الخشب السويدي المسطم المقاوم للرطوبة مخفي داخل الواجهة الخشبية والبند يشمل جميع الإكسسوارات اللازمه من مفصلات ودفاش من النوع المخفي ومقابض، 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1000 مم وارتفاع 2600 مم  WD010باب مروحة ضلفة واحدة  نموذج </t>
  </si>
  <si>
    <t>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باب مروحة ضلفتين  نموذج 12WD  بعرض 2000 مم وارتفاع 3000 مم )VIP Zone (Ref drawing: 07-MRA-DD-sixth floor-AR-800</t>
  </si>
  <si>
    <t>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باب مروحة ضلفة واحدة  نموذج 11WD  بعرض 1000 مم وارتفاع 3000 مم )VIP Zone(</t>
  </si>
  <si>
    <t>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تصميم على شكل وهيئة الباب   نموذج  WD11 A  بعرض 1000 مم وارتفاع 3000 مم )VIP  )Zone</t>
  </si>
  <si>
    <t>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باب مروحة ضلفة واحدة  نموذج 13WD  بعرض 1000 مم وارتفاع 4000 مم )VIP Zone(</t>
  </si>
  <si>
    <t>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تصميم على شكل وهيئة الباب   نموذج  WD13 A  بعرض 1000 مم وارتفاع 4000 مم )VIP )Zone</t>
  </si>
  <si>
    <t>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باب مروحة ضلفة واحدة  نموذج 14WD  بعرض 900 مم وارتفاع 2400 مم )VIP Zone(</t>
  </si>
  <si>
    <t>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t>
  </si>
  <si>
    <t xml:space="preserve">توريد وتركيب باب من قطاعات الحديد  بسمك 45 مم مقاوم للحريق 90 دقيقة،  مع طبقة من الصاج سماكة 2مم من الجهتين على اطار معدنى مجوف والسعر يشمل التكسية الخشبية بقشرة الجوز لضلفة الباب والإطار من جهة واحدة..ويشمل التوريد والتركيب والتثبيت  والمفصلات والمقابض   والدفاش والاكسسوارت من اجود الانواع  وكل مايلزم لانهاء العمل على اكمل وجه ة حسب المخططات وتعليمات االمهندس المشرف. Ref. drawing: 07-MRA-DD-(as per floor number)-AR-804 ضلفة واحدة عرض1000مم وإرتفاع 2200مم SD01 باب نموذج </t>
  </si>
  <si>
    <t>توريد وتركيب باب من قطاعات الحديد  بسمك 45 مم مقاوم للحريق 90 دقيقة،  مع طبقة من الصاج سماكة 2مم من الجهتين على اطار معدنى مجوف والسعر يشمل التكسية الخشبية بقشرة الجوز لضلفة الباب والإطار من جهة واحدة..ويشمل التوريد والتركيب والتثبيت  والمفصلات والمقابض   والدفاش والاكسسوارت من اجود الانواع  وكل مايلزم لانهاء العمل على اكمل وجه ة حسب المخططات وتعليمات االمهندس المشرف. Ref. drawing: 07-MRA-DD-(as per floor number)-AR-804 ضلفة واحدة عرض1100مم وإرتفاع 2200مم SD02 باب نموذج</t>
  </si>
  <si>
    <t>تجديد وترميم الأبواب الحديدية وتشمل الأعمال ما يلي: ــ  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ضلفتين عرض2000مم</t>
  </si>
  <si>
    <t>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ضلفة واحدة عرض1000مم</t>
  </si>
  <si>
    <t>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ضلفة واحدة عرض800مم</t>
  </si>
  <si>
    <t>طبقة من اللياسة الأسمنتية فوق الأسطح الخرسانية والجدران الداخلية  بسمك متوسط 20 مم على طبقات  طرطشة بسمك 5 مم وضهارة 15 مم حسب المواصفات مع المعالجة اليومية  بالمياه لمنع التنميلات ويتم عمل افريز بين البلوك والخرسانة يملئ بمواد قابلة للدهان والسعر يشمل كامل الأكسسوارات اللازمة من شبك معدني ممدد وزوايا ونهايات معدنية  ومواد الترابط  وعمل تجاويف في طبقة اللياسة بعمق 10مم عرض 10مم  في الاعمدة  وفي الجدران ان وجدت حسب الرسومات والمناظير وتعليمات المهندس المشرف ذلك حسب الاصول الفنية وتعليمات المهندس المشرف. لياسة الجدران والأعمدة الداخلية  وتشمل جميع الإكسسوارات بإرتفاع 20 سم أعلي الأسقف الجبسيه لزوم الجدران الداخلية</t>
  </si>
  <si>
    <t xml:space="preserve">توريد وتركيب قاطع جداري ثخانة 100مم ذو الواح اسمنتية مقاوم للحريق  ثخانة 12مم تركب من الجهتين )طبقات مزدوجة(  لدورات المياه والأوفيس ويشمل المسامير المعدنية و المزالج / الأعضاء المعدنية الساندة والسكك والغطاء العازل للصوت )صوف صخري( وكل الاكسسوارات حسب المخطط والمواصفات وتعليمات المهندس المشرف. </t>
  </si>
  <si>
    <t>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t>
  </si>
  <si>
    <t>توريد وتركيب أسقف معلقة من الالواح الجبسيه )01-GBC( ثخانة 12 مم المقاومة للحريق شاملة نظام التعليق وضبط الحواف والزوايا وأبواب لفتحات الكشف بالأسقف لأعمال الصيانة )أبواب جاهزة من النوع السهل الاستعمال والمزود بمفصلات مخفية( والإكسسوارات. ويشمل السعر أي مواد أو أعمال يتطلبها استكمال العمل حسب المواصفات والمخططات.</t>
  </si>
  <si>
    <t>توريد وتركيب أسقف معلقة من الالواح الجبسيه  )02-GBC( ثخانة 12 مم المقاومة للرطوبة شاملة نظام التعليق وضبط الحواف والزوايا وأبواب لفتحات الكشف بالأسقف لأعمال الصيانة )أبواب جاهزة من النوع السهل الاستعمال والمزود بمفصلات مخفية( واالإكسسوارات. ويشمل السعر أي مواد أو أعمال يتطلبها استكمال العمل حسب المواصفات والمخططات وتعليمات المهندس المشرف.</t>
  </si>
  <si>
    <t>600×600مم توريد وتركيب اسقف اصطناعية  والسعر يشمل نظام التعليق من الحديد المجفلن مع جميع الاكسسوارات وكل مايلزم حسب المواصفات والمخططات وتعليمات الشركة المصنعة .</t>
  </si>
  <si>
    <t>توريد وتركيب اسقف معدنية على شكل مربعات بشكل سماكة 5سم)grey color powder coated( ، وفتحات على شكل مثلث مع اضاءة مخفية مغلفة من الاعلى بطبقة Acrylic شفاف مغشى سماكة 4مم مثبتة بنظام تعليق متصلة بالسقف الخرساني حسب الرسومات والمناظير.01-Code MTL</t>
  </si>
  <si>
    <t xml:space="preserve"> أرضيات بورسلان 01-PT مقاس 600×600×12مم فرز اول بالمقاسات والالوان المطلوبة لدورات المياه الخاصة بمكاتب الوكلاء ومساعدين الوكلاء العامة ومنطقة التنفيذيين بالدور السادس  طبقاً للمخططات والمواصفات.</t>
  </si>
  <si>
    <t xml:space="preserve"> أرضيات بورسلان 02-PTمقاس 600×600×12مم فرز اول بالمقاسات والالوان المطلوبة لدورات المياه الخاصة بمكاتب المدراء العامين  طبقاً للمخططات والمواصفات.</t>
  </si>
  <si>
    <t xml:space="preserve"> أرضيات بورسلان03-PT مقاس 600×600×12مم فرز ثاني بالمقاسات والالوان المطلوبة لدورات المياة العامة  طبقاً للمخططات والمواصفات.</t>
  </si>
  <si>
    <t xml:space="preserve"> أرضيات بورسلان04-PT مقاس 600×600×12مم فرز ثاني بالمقاسات والالوان المطلوبة لغرف الأرشيف والمخازن والمطبخ طبقاً للمخططات والمواصفات.</t>
  </si>
  <si>
    <t xml:space="preserve"> جدران بورسلان(PW-01(type A,B &amp;C مقاس 600×300×12مم فرز اول بالمقاسات والالوان المطلوبة لدورات المياه الخاصة بمكاتب الوكلاء ومساعدين الوكلاء العامة ومنطقة التنفيذيين بالدور السادس  طبقاً للمخططات والمواصفات.</t>
  </si>
  <si>
    <t xml:space="preserve"> جدران بورسلان(PW-02(type A&amp;B مقاس 600×300×12مم فرز اول بالمقاسات والالوان المطلوبة لدورات المياه الخاصة بمكاتب المدراء العامين  طبقاً للمخططات والمواصفات.</t>
  </si>
  <si>
    <t xml:space="preserve"> جدران بورسلان (PW-03(type A&amp;B  مقاس 600×300×12مم فرز ثاني بالمقاسات والالوان المطلوبة لدورات المياة العامة  طبقاً للمخططات والمواصفات.</t>
  </si>
  <si>
    <t xml:space="preserve"> وزرة من بورسلان بسماكة 12مم  100*600 مم والسعر يشمل التثبيت  بالغراء والشطف وكل ما يلزم لانهاء العمل حسب الاصول الفنية وتعليمات المهندس المشرف.Ref. Drawings: 07-MRA-DD-(as per floor number)-AR-300</t>
  </si>
  <si>
    <t>توريد وتركيب بلاط سيراميك مزجج للجدران يلصق بمادة الغراء يتم إعتمادها على اللياسة المنفذه أسفل اوعلى القواطع الاسمنتية هويكون السيراميك المزجج من النوع الجيد والمتوفر  والسعر يشمل المادة اللاصقه ومادة السقاية  والديكور المطلوب ويتم التنفيذ طبقا للمخططات  واصول الصناعة وتعليمات المهندس المشرف.</t>
  </si>
  <si>
    <t>رخام 01-MT رمادي غامق تندر غراي مقاس  1200× 300 مم لمنطقة القهوة و المدخل سماكة 20مم .</t>
  </si>
  <si>
    <t>رخام 02-MT رمادي فاتح تندر غراي مقاس 1200× 300 مم لمنطقة القهوة و المدخل سماكة 20مم</t>
  </si>
  <si>
    <t>رخام 03-MT رمادي بيترا غراي غراي مقاس 1200× 300 مم لمنطقة القهوة في الدور السادس سماكة 20مم</t>
  </si>
  <si>
    <t>رخام رمادي فاتح تندر غراي الواح مقاس 1000× 1000 مم بحسب اعتماد المهندس المشرف للممرات  سماكة 20مم</t>
  </si>
  <si>
    <t>رخام رمادي بيترا غراي للدور السادس ألواح مقاس 1000× 1000 مم بحسب اعتماد المهندس سماكة 20مم</t>
  </si>
  <si>
    <t>رخام 03-MR ثاسوس ابيض لحمام معالي الوزير مقاس 900×900 مم  بحسب اعتماد المهندس سماكة 20مم</t>
  </si>
  <si>
    <t>رخام تندر غراي فاتح للدرج في الفناء الوسطي ب عرض 30 سم وارتفاع 15 سم وطول 800 سم.</t>
  </si>
  <si>
    <t>معالجة وتنظيف وصقل وجلاء بلاط رخام الأرضيات والدرج مع بودرة الرخام المستخدم والتلميع 4 أوجه وملو الفواصل بمادة مقاومة للرطوبة والبكتيريا  والسعر يشمل جميع المواد والأعمال اللازمة لإتمام العمل المطلوب طبقا للمخططات والمواصفات الفنية وبحسب توجيهات واعتماد المهندس المشرف. رخام الأرضيات في المداخل و الممرات الرئيسية وبسطات الدرج.</t>
  </si>
  <si>
    <t>معالجة وتنظيف وصقل وجلاء بلاط رخام الأرضيات والدرج مع بودرة الرخام المستخدم والتلميع 4 أوجه وملو الفواصل بمادة مقاومة للرطوبة والبكتيريا  والسعر يشمل جميع المواد والأعمال اللازمة لإتمام العمل المطلوب طبقا للمخططات والمواصفات الفنية وبحسب توجيهات واعتماد المهندس المشرف. رخام الدرج )قائمة والسعر يشمل النائمة والحبسة</t>
  </si>
  <si>
    <t>رخام رمادي غامق تندر غراي مقاس 600×900 مم  سماكة  20مم  كإطار حول المصاعد</t>
  </si>
  <si>
    <t>رخام ابيض ثاسوس  سماكة 20مم على جدران دورات مياه منطقة معالي الوزير</t>
  </si>
  <si>
    <t>رخام أخضر داكن مثبت على قواطع السيمنت خلف مكاتب السكرتاريا وفي المدخل الرئيسي في منطقة معالي الوزير.</t>
  </si>
  <si>
    <t>رخام  الحوائط والأعمدة والكمر والوزرات لمدخل كبار الشخصيات ومدخل الموظفين وعلى المصاعد وفي الممرات الرئيسية والوجهات الداخلية للفناء الوسطي.</t>
  </si>
  <si>
    <t>توريد وتركيب وزرة من الرخام  رمادي فاتح تندر غراي بسماكة 20مم 100*1000 مم والسعر يشمل التثبيت  بالغراء والشطف وكل ما يلزم لانهاء العمل حسب الاصول الفنية وتعليمات المهندس المشرف.</t>
  </si>
  <si>
    <t>معالجة وتنظيف و الصقل والجلاء  لبلاط  الموزايك للأرضيات والدرج ومحمل على البند الوزر  والبند يشمل معالجة اللحامات والسقاية وملو الفواصل بمادة مقاومة للرطوبة والبكتيريا  طبقا للمخططات والمواصفات الفنية وبحسب توجيهات واعتماد المهندس المشرف. الأرضيات الموزايكو في سلالم الخدمة وبسطات الدرج.</t>
  </si>
  <si>
    <t>معالجة وتنظيف و الصقل والجلاء  لبلاط  الموزايك للأرضيات والدرج ومحمل على البند الوزر  والبند يشمل معالجة اللحامات والسقاية وملو الفواصل بمادة مقاومة للرطوبة والبكتيريا  طبقا للمخططات والمواصفات الفنية وبحسب توجيهات واعتماد المهندس المشرف. موزايكو الدرج )قائمة والسعر يشمل النائمة والحبسة</t>
  </si>
  <si>
    <t>Ref drawing: 07-MRA-DD-(as per floor number)-AR-300 مقاس 500×500 مم  لون رمادي لمنطقة المرور CT-01بلاط - سجاد</t>
  </si>
  <si>
    <t>بلاط - سجاد 02-CT مقاس 500× 500 مم لون أزرق فاتح لمحطة العمل وغرفة الاجتماعات</t>
  </si>
  <si>
    <t>Ref drawing: 07-MRA-DD-(as per floor number)-AR-300 مقاس 500×500 مم لون بيج لمكتب المدير CT-03بلاط - سجاد</t>
  </si>
  <si>
    <t>Ref drawing: 07-MRA-DD-(as per floor number)-AR-300 مقاس 500×500 مم لمنطقة الاستقبال الرئيسية CT-04بلاط - سجاد</t>
  </si>
  <si>
    <t>بلاط - سجاد05-CT مقاس 500×500 مم لغرف خدمة العملاء مع تصميم بشكل مثلث وألوان مختلفة</t>
  </si>
  <si>
    <t>Ref drawing: 07-MRA-DD-(as per floor number)-AR-300 مقاس 500×500 مم لمركز الأعمال CT-06بلاط - سجاد</t>
  </si>
  <si>
    <t>بلاط - سجاد 01-CR مقاس 500×500 مم لمكتب الرئيس ونائب الرئيس والصالة والسكرتارية وغرفة الاجتماعات الكبيرة.</t>
  </si>
  <si>
    <t>بلاط - سجاد 02-CR مقاس 500×500 مم لمكتب الرئيس ونائب الرئيس على شكل مثلثات لون بيج، رمادي فاتح ورمادي غامق.</t>
  </si>
  <si>
    <t>300-Ref drawing: 07-MRA-DD-(as per floor number)-ARبلاط - سجاد 03-CR مقاس 500×500 مم للمدير العام ومنطقة السكرتارية</t>
  </si>
  <si>
    <t>Ref drawing: 07-MRA-DD-(as per floor number)-AR-300 لمنطقة الصلاة CR-04 رولات السجاد</t>
  </si>
  <si>
    <t>رولات السجاد 05-CR لمدخل معالي الوزير في الدور الارضي، سجادة المراسم الملكية لون بنفسجي مع إضافة إطار بنقشة مزخرفة حسب المناظير الداخلية.</t>
  </si>
  <si>
    <t>رولات السجاد 06-CR للمدخل الرئيسي والثانوي في الدور الأرضي بلون بيج مع تصميم على شكل مثلثات حسب المناظير الداخلية.</t>
  </si>
  <si>
    <t>رولات السجاد 07-CR لمختصر معالي الوزير، غرفة الاجتماعات الخاصة بمعالي الوزير، غرفة الاجتماعات الرئيسية ومدير مكتب معالي الوزير.</t>
  </si>
  <si>
    <t>300-Ref drawing: 07-MRA-DD-(as per floor number)-ARرولات السجاد 08-CR لمنطقة انتظار كبار الشخصيات في الدور السادس</t>
  </si>
  <si>
    <t>300-Ref drawing: 07-MRA-DD-(as per floor number)-ARرولات السجاد 09-CR  لمكتب معالي الوزير، السكرتاريا ومنطقة الانتظار</t>
  </si>
  <si>
    <t>300-Ref drawing: 07-MRA-DD-(as per floor number)-ARرولات السجاد 10-CR  لغرفة اللاونج في منطقة التنفيذين في الدور السادس</t>
  </si>
  <si>
    <t>بلاط laminated HDF باركيه01-PQ  لمركز الأعمال والفناء الوسطي</t>
  </si>
  <si>
    <t xml:space="preserve">عمل صبة خرسانية من السرك سماكة 10 سم مع طبقة واحدة من شبك الحديد قطر 6مم. على أن تكون طبقة التشطيب النهائية بلون رمادي غامق على شكل الأسطح الاسمنتية  بحسب اللون والملمس المعتمد. </t>
  </si>
  <si>
    <t>عمل صبة خرسانية من السرك سماكة 10 سم مع طبقة واحدة من شبك الحديد قطر 6مم. على أن تكون طبقة التشطيب النهائية بلون رمادي فاتح على شكل الأسطح الاسمنتية  بحسب اللون والملمس المعتمد وبحسب تعليمات المهندس المشرف.</t>
  </si>
  <si>
    <t xml:space="preserve">حجر جرانيت اسود مع تشكيلات مثلثات من لون فاتح للنافورة الداخلية   01-ST حسب الموضح بالمخطط </t>
  </si>
  <si>
    <t>300-Ref. Drawings: 07-MRA-DD-(as per floor number)-AR حجر رياض ابيض كإطار حول الجلسات في الفناء الوسطي الاساسي 02-ST</t>
  </si>
  <si>
    <t>دهان بلون رمادي بيج على الألواح الجبسية والألواح الاسمنتية 100-WPF</t>
  </si>
  <si>
    <t>دهان بلون رمادي خشن على هيئة الاسطح الاسمنتية مع غرووف  على الأعمدة</t>
  </si>
  <si>
    <t>دهان لجدران وأسقف السلالم والجدران الداخلية بالمبنى.</t>
  </si>
  <si>
    <t>.دهان بلون رمادي اسمنتي على الألواح الجبسية والألواح الاسمنتية 200-WPF</t>
  </si>
  <si>
    <t>.دهان بلون رمادي فاتح  على الألواح الجبسية والألواح الاسمنتية 300-WPF</t>
  </si>
  <si>
    <t>.دهان بلون اصفر خردلي  على الألواح الجبسية والألواح الاسمنتية 400-WPF</t>
  </si>
  <si>
    <t>.دهان بلون ازرق أخضر  على الألواح الجبسية والألواح الاسمنتية 500-WPF</t>
  </si>
  <si>
    <t>.دهان بلون رمادي خشن على هيئة الاسطح الاسمنتية مع تجويف  على جدار البلوك 600-WPF</t>
  </si>
  <si>
    <t>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ابيض</t>
  </si>
  <si>
    <t>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اصفر خردلي</t>
  </si>
  <si>
    <t>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ازرق تيل</t>
  </si>
  <si>
    <t>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ازرق فاتح</t>
  </si>
  <si>
    <t>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 دهان  بلون اسود</t>
  </si>
  <si>
    <t>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  دهان رمادي غامق</t>
  </si>
  <si>
    <t>معالجة و دهان سقف الفناء الوسطى والبند يشمل أعمال ترميم  ودهان الألواح الجبسية مع تغيير التالف منها وفك ألواح التغطية الشفافة )ألواح اللكسان( الحالية وتوريد وتركيب ألواح جديدة ومحمل على البند فك وحدات الانارة الحالية وتوريد وتركيب ،حدات إنارة جديدة مناسبة على ان يقدم المقاول مقترح كامل لطريقة التنفيذ وعينات المواد للاعتماد من المهندس المشرف  قبل البدء بالاعمال والسعر يشمل كافة المواد والاعمال اللازمة لتنفيذ البند طبقاً لتوصيات المهندس المشرف</t>
  </si>
  <si>
    <t>توريد وتثبيت ورق جدران عالي الجودة على الألواح الجبسية بعد تأسيس الجدران واغلاق الفواصل والفتحات وتاسيس الجدار بدهان مناسب لاعمال ورق الجدران  حسب النوع . في منطقة التنفيذيين ومكتب مدير مكتب معالي الوزير في الدور السادس  ويتم التنفيذ طبقا للمخططات والمواصفات الفنية وبحسب تعليمات المهندس المشرف.</t>
  </si>
  <si>
    <t>جهاز تجفيف للأيدي كهربائي</t>
  </si>
  <si>
    <t>جهاز مناديل كهربائي</t>
  </si>
  <si>
    <t>موزع صابون سائل</t>
  </si>
  <si>
    <t>حاملة لفة ورق توليت</t>
  </si>
  <si>
    <t>مقابض لذوي الاحتياجات الخاصة  مكونه من مقبض خلفي 900 مم</t>
  </si>
  <si>
    <t>مقابض لذوي الاحتياجات الخاصة   مكونه من مقبض جانبي1100 مم</t>
  </si>
  <si>
    <t>طقم اكسسوارات لمكتب معالي الوزير شاملة اكسسوارات حوض المغسلة، ماسورة تعليق المناشف وحوامل المناشف، فرشاة الحمام، حامل ورق التواليت</t>
  </si>
  <si>
    <t>طقم اكسسوارات لمكتب الوكيل ومساعد الوكيل ومكاتب التنفيذيين في الدور السادس شاملة اكسسوارات حوض المغسلة، ماسورة تعليق المناشف وحوامل المناشف، فرش الحمام، حامل ورق التواليت</t>
  </si>
  <si>
    <t>طقم اكسسوارات لمكاتب المدراء العامين شاملة اكسسوارات حوض المغسلة، ماسورة تعليق المناشف وحوامل المناشف، فرش الحمام، حامل ورق التواليت</t>
  </si>
  <si>
    <t>توريد وتركيب مرآة وجه 6 مم ترُكّب بارزة عن الجدار مع شطف على كل الجهات طبقا للمواصفات وبحسب تعليمات المهندس المشرف. مقاس 1100 × 900 مم</t>
  </si>
  <si>
    <t>توريد وتركيب مرآة وجه 6 مم ترُكّب بارزة عن الجدار مع شطف على كل الجهات طبقا للمواصفات وبحسب تعليمات المهندس المشرف. مقاس 1200 × 800 مم</t>
  </si>
  <si>
    <t>توريد وتركيب مرآة وجه 6 مم ترُكّب بارزة عن الجدار مع شطف على كل الجهات طبقا للمواصفات وبحسب تعليمات المهندس المشرف. مقاس 1200 × 700 مم</t>
  </si>
  <si>
    <t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1250طول × عرض600 مم </t>
  </si>
  <si>
    <t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1200طول × عرض600 مم </t>
  </si>
  <si>
    <t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مقاس: 1000طولRef drawing: 07-MRA-DD-(as per floor number)-AR-700 to 703 عرض600 مم × </t>
  </si>
  <si>
    <t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المشرف.Ref drawing: 07-MRA-DD-(as per floor number)-AR-700 to 703 مقاس: 3800طول × عرض600 مم </t>
  </si>
  <si>
    <t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1340طول × عرض600 مم </t>
  </si>
  <si>
    <t>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1620طول × عرض600 مم</t>
  </si>
  <si>
    <t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1200طول × عرض500 مم </t>
  </si>
  <si>
    <t>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1250طول × عرض600 مم</t>
  </si>
  <si>
    <t>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1200طول × عرض600 مم</t>
  </si>
  <si>
    <t>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المشرف.Ref drawing: 07-MRA-DD-(as per floor number)-AR-700 to 703 مقاس: 1000طول × عرض600 مم</t>
  </si>
  <si>
    <t>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3800طول × عرض600 مم</t>
  </si>
  <si>
    <t>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1340طول × عرض600 مم</t>
  </si>
  <si>
    <t>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1620طول × عرض600 مم</t>
  </si>
  <si>
    <t>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1200طول × عرض500 مم</t>
  </si>
  <si>
    <t xml:space="preserve"> توريد وتركيب بار كاونتر للمطعم من الرخام الأسود والوجه مطلي باللون الرمادي على شكل وهيئة.الأسطح الاسمنتية  4400mm -طول x 1100mm - ارتفاع x 600mm -عرض</t>
  </si>
  <si>
    <t xml:space="preserve"> توريد وتركيب بار كاونتر للمطعم من الرخام الأسود والوجه مطلي باللون الرمادي على شكل وهيئة.الأسطح الاسمنتية  3100mm -طول x 1100mm - ارتفاع x 600mm -عرض</t>
  </si>
  <si>
    <t>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للإستقبال نوع  101ID</t>
  </si>
  <si>
    <t>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للمكاتب نوع  102ID</t>
  </si>
  <si>
    <t>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لحجرة الإجتماعات نوع  103ID</t>
  </si>
  <si>
    <t>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للحمامات نوع  104ID</t>
  </si>
  <si>
    <t>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لمستوي السلالم نوع  105ID</t>
  </si>
  <si>
    <t>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لسلالم الخروج نوع  106ID</t>
  </si>
  <si>
    <t>قواطع الحمامات مكونة من ألواح الفينوليك المضغوط ارتفاع 2 متر ذو المقاومة الشديدة للماء مع طبقة ميلامين بلون رمادي غامق مقاومة للخدش وسهلة التنظيف ، سمك الألواح هو  19 ملم ،. قواطع الحمامات تشمل إكسسوارات عالية الجودة ) مفصلات ذاتية الإغلاق وقفل ( والأبواب والاكسسوارات والعلاقات من الستانلس ستيل brushed finish وكل ما يلزم لانهاء العمل حسب الأصول الفنية والمواصفلت وتعليمات المهندس المشرف .</t>
  </si>
  <si>
    <t>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t>
  </si>
  <si>
    <t>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t>
  </si>
  <si>
    <t>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32مم</t>
  </si>
  <si>
    <t>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40 مم</t>
  </si>
  <si>
    <t>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الداخلية:قطر 50 مم</t>
  </si>
  <si>
    <t>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t>
  </si>
  <si>
    <t>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t>
  </si>
  <si>
    <t>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التالية:توريد و تركيب و اختبار سخان بسعة 30 لتر، وقدرة 2.1  كيلو وات، مرجع     1-EWH</t>
  </si>
  <si>
    <t>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التالية:اعادة تركيب و اختبار السخان الحالي بسعة 100 ليتر   بعد الكشف و المعاينة و الفحص حسب تعليمات مهندس المشرف</t>
  </si>
  <si>
    <t>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t>
  </si>
  <si>
    <t>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75 مم</t>
  </si>
  <si>
    <t>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t>
  </si>
  <si>
    <t>صفاية أرضية )FD(، من PVC مع مصفاة معدنية  مطلية بالكروم شاملة سيفون كما هو موصف بالمقاسات التالية:مخرج قطر 75 مم</t>
  </si>
  <si>
    <t>صفاية أرضية )FD(، من PVC مع مصفاة معدنية  مطلية بالكروم شاملة سيفون كما هو موصف بالمقاسات التالية:صفاية' طولية أرضية )SD(،مع مصفاة  معدنية مطلية بالكروم شاملة سيفون مخرج قطر 50 مم</t>
  </si>
  <si>
    <t>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:حوض وجه على رخامة )مرجع 1-LAV ( من نفس نوع الرخام الصناعي كوريان للكاونتر والكاونتر محسوب في بند منفصل</t>
  </si>
  <si>
    <t>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:حوض وجه كامل مع العامود، )مرجع 2-LAV(</t>
  </si>
  <si>
    <t>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غسيل أواني للمطبخ بعين واحدة )مرجع 1-KS</t>
  </si>
  <si>
    <t>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وجه يركب على الكاونتر )مرجع 3-LAV (</t>
  </si>
  <si>
    <t>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افرنجي )مرجع 1-WWC  ( مثبت على الارض  مع خزان  طرد  مع زر دفق من الصلب الذي لا يصدأ ، مع غطاء للمرحاض مقاوم للبكتريا من نوع soft closing</t>
  </si>
  <si>
    <t>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افرنجي ) مرجع 2-WWC (  مثبت على الحائط بخزان  طرد مخفي مع زر دفق من الصلب الذي لا يصدأ - مع غطاء للمرحاض مقاوم للبكتريا من نوع soft closing</t>
  </si>
  <si>
    <t>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شرقي )مرجع EWC( مثبت على الحائط بخزان  طرد مخفي مع زر دفق من الصلب الذي لا يصدأ،</t>
  </si>
  <si>
    <t>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:مقبض رشاش مع الخرطوم وأداة التعليق، مرجع PS</t>
  </si>
  <si>
    <t>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:خلاط مياة  يركب على الحوض</t>
  </si>
  <si>
    <t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t>
  </si>
  <si>
    <t>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40</t>
  </si>
  <si>
    <t>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28</t>
  </si>
  <si>
    <t>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33</t>
  </si>
  <si>
    <t>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63</t>
  </si>
  <si>
    <t>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77</t>
  </si>
  <si>
    <t>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94</t>
  </si>
  <si>
    <t>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141</t>
  </si>
  <si>
    <t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32 mm dia.</t>
  </si>
  <si>
    <t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40 mm dia.</t>
  </si>
  <si>
    <t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50 mm dia.</t>
  </si>
  <si>
    <t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63 mm dia.</t>
  </si>
  <si>
    <t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80 mm dia.</t>
  </si>
  <si>
    <t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100 mm dia.</t>
  </si>
  <si>
    <t>توريد و تركيب و اختبار رشاشات آلية اوتوماتيكية كما هو موصف رشاشات معلقة، ذات فتحة 2/1 بوصة، ومعامل 5.6 =K   ودرجة حرارة تشغيل 68 درجة مئوية</t>
  </si>
  <si>
    <t>توريد و تركيب و اختبار رشاشات آلية اوتوماتيكية كما هو موصف رشاشات من النوع المخفي، ذات فتحة 2/1 بوصة، ومعامل 5.6 =K   ودرجة حرارة تشغيل 68 درجة مئوية</t>
  </si>
  <si>
    <t>توريد و تركيب و اختبار رشاشات آلية اوتوماتيكية كما هو موصف رشاشات عامودية، ذات فتحة 2/1 بوصة، ومعامل 5.6 =K   ودرجة حرارة تشغيل 68 درجة مئوية</t>
  </si>
  <si>
    <t>توريد و تركيب طفايات حريق قابلة للحمل كما هو محددنوع ABC ، سعة 6 كغ ، بودرة جافّة مرجع 1-FE</t>
  </si>
  <si>
    <t>توريد و تركيب نظام  غازي200FM لغرف الكهرباء و السنترال و ما يتطلبه النظام من تعديلاتمعمارية على ان يتم تقديمها للاعتماد من قبل مهندس المشرف  ،  مرجع 3-FE</t>
  </si>
  <si>
    <t>توريد و تركيب كبائن مكافحة الحريق class II مزوده بمحبس 5.1 بوصة و خرطوم قماشي من مادةمعتمدة و ايضا بها طفاية حريق ABC  سعة 6 كيلو</t>
  </si>
  <si>
    <t xml:space="preserve"> توريد و تركيب طفايات حريق  نوع 2Co ، سعة 6 كغ ، بودرة جافّة</t>
  </si>
  <si>
    <t>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01-VAV ، اجمالي الهواء 0-250 ) ق/د( استطاعة التخزين 5.1 )ك/و(</t>
  </si>
  <si>
    <t>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02-VAV ، اجمالي الهواء 0-500 ) ق/د( استطاعة التخزين 2 )ك/و(</t>
  </si>
  <si>
    <t xml:space="preserve">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03-VAV ، اجمالي الهواء 0-750 ) ق/د( استطاعة التخزين 3 )ك/و( </t>
  </si>
  <si>
    <t>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04-VAV ، اجمالي الهواء 0-1000 ) ق/د( استطاعة التخزين 5.3 )ك/و(</t>
  </si>
  <si>
    <t>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05-VAV ، اجمالي الهواء 0-1500 ) ق/د( استطاعة التخزين 5.3 )ك/و(</t>
  </si>
  <si>
    <t>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06-VAV ، اجمالي الهواء 0-2000 ) ق/د( استطاعة التخزين 6.3 )ك/و(</t>
  </si>
  <si>
    <t>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07-VAV ، اجمالي الهواء 0-2500 ) ق/د( استطاعة التخزين 7.3 )ك/و(</t>
  </si>
  <si>
    <t>فك و ترحيل VAV الموجودة حاليا  و تركيبها حسب المخطط  المعدل و حسب تعليمات المهندس المشرف. على المقاول معاينة الوحدات الموجودة و الاستفادة بإعادة تركيبها بعد عمل الفحوصات و الاختبارات المناسبة لحسن ضمان عملها و حسب تعليمات المهندس المشرف</t>
  </si>
  <si>
    <t>فك وإعادة تهيئة و اصلاح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t>
  </si>
  <si>
    <t>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t>
  </si>
  <si>
    <t>ناشرة هواء ذات فتحات طولية  للهواء الداخل مصنعة من الألمنيوم المشكل بالبثق ومطلية بمسحوق البولستركاملة، مخمدات صوت ذات أرياش متضادّة ،وصندوق حجمى معزول من الداخل بعازل صوتى وميكانيزم للتحكم فى الهواء من واجهة الناشر وكل قطع الأكسسوار حسب المواصفات والمخططات مع توفير عينات للاعتماد من مهندس المشرف. ثلاثة فتحات / ثقب 25مم عرض</t>
  </si>
  <si>
    <t>ناشرة هواء ذات فتحات طولية للهواء الراجع مصنعة من الألمنيوم المشكل بالبثق ومطلية بمسحوق البولستركاملة، وكل قطع الأكسسوار حسب المواصفات والمخططات مع توفير عينات للاعتماد من مهندس المشرف. ثلاثة فتحات / ثقب 25مم عرض</t>
  </si>
  <si>
    <t xml:space="preserve"> جريلات تغذية من الالومينيوم مغطاة ببودرة البوليستر كاملة وجميع الملحقات حسب المخططات..والمواصفات مع توفير عينات للاعتماد من مهندس المشرف 600mm X 600mm</t>
  </si>
  <si>
    <t xml:space="preserve"> جريلات رجوع من الالومينيوم مغطاة ببودرة البوليستر كاملة وجميع الملحقات حسب المخططات.والمواصفات مع توفير عينات للاعتماد من مهندس المشرف 600mm X 600mm</t>
  </si>
  <si>
    <t xml:space="preserve"> جريلات لسحب الهواء من الالمونيوم مغطاة ببودرة البوليستر كاملة بجميع ملحقات التركيب وحسب.المخططات والمواصفات مع توفير عينات للاعتماد من مهندس المشرف 150mm X 150MM</t>
  </si>
  <si>
    <t>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المشرف.Dia 150 mm</t>
  </si>
  <si>
    <t>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200 mm</t>
  </si>
  <si>
    <t>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250 mm</t>
  </si>
  <si>
    <t xml:space="preserve"> توريد و تركيب مراوح سحب الهواء )طرد مركزي فوق السطح ( تشمل عمليات الاختبار و الموازنة : تشمل عمليات التوريد و التركيب و الاختبار و التثبيت مراوح سحب الهواء )طرد مركزي فوق السطح ( سعة 6500 قدم مكعب بالدقيقة</t>
  </si>
  <si>
    <t xml:space="preserve"> توريد و تركيب مراوح سحب الهواء )طرد مركزي فوق السطح ( تشمل عمليات الاختبار و الموازنة : تشمل عمليات التوريد و التركيب و الاختبار و التثبيت مراوح سحب الهواء )طرد مركزي فوق السطح ( سعة 7500 قدم مكعب بالدقيقة</t>
  </si>
  <si>
    <t xml:space="preserve"> توريد و تركيب مراوح سحب الهواء )طرد مركزي فوق السطح ( تشمل عمليات الاختبار و الموازنة : تشمل عمليات التوريد و التركيب و الاختبار و التثبيت مراوح سحب الهواء )طرد مركزي فوق السطح ( سعة9000  قدم مكعب بالدقيقة</t>
  </si>
  <si>
    <t>الموازنة والضبط والتهيئة لتشغيل أنظمة تكييف الهواء ،و يجب ان تحتوي على جميع التجهيزات والادوات المطلوبة لإجراء الاختبار والتهيئة للتشغيل والتشغيل مع ضبط كميات الهواء وموازنة الهواء  لنظام التكييف، ويجب ايضا ان تكون مد ة الاختبار حسب متطلبات المنظمات العالمية مثل )NEBB( كما هو  مطلوب بالكود السعودي و اشري ASHREE ويجب ان يكون المقاول المختص عضوا فى احد المنظمات مع تقديم الشهادة لذلك.</t>
  </si>
  <si>
    <t>نظام إدارة المبنى BMS    تصميم وتوريد وتركيب نظام لإدارة المبنى أتوماتيكياً على أن يكون نظام التشغيل )OPEN PROTOCOL ( حسب توصيات الاستشارى المشرف وذلك للتحكم في تشغيل ومراقبة الانظمة الميكانيكية والكهربائية التالية :                                                  ـ التشلرات والمراوح ووحدات مناولة الهواء ووحدات ملف المروحة ومضخات المياه ووحدة ضخ الهواء وإنظمة الحريق والتحكم في الأنظمة والمعدات الميكانيكية بالمبنى - والتحكم في تشغيل ومتابعة حالة اللوحات الكهربائية الرئيسية والثانوية والمصاعد وكل الأنظمة التي يراها الاستشاري لأزمة مع الأخذ في الاعتبار قابلية التوسع في المباني المستقبلية .توريد وتركيب وتوصيل نظام إدارة المباني ) BMS ( لأنظمة HVAC ، وأنظمة السباكة ، ونظام الحريق ، والأنظمة الكهربائية والخدمات الخارجية ، كاملة بما في ذلك وحدات التحكم ونقاط التحكم والأسلاك والقنوات وصناديق السحب وصناديق التوصيل الثانوية وجميع عمليات التثبيت الضرورية مستلزمات؛ كل ما هو محدد ومفصل على الرسومات والموصوفة في المواصفات. والنظام يجب ان يتضمن البرامج واجهزة التحكم واجهزة المواقع ونقاط التحكم والاسلاك المتصلة بباقي الانظمة والمواسير وعلب السحب وعلب التوصيل الثانوية وجميع اكسسوارات ومتطلبات التركيبات الضرورية وهذه الاجهزة يجب ان يتم توصيلها مع جميع انظمة شبكة IP سواء من خلال تمكين اجهزة IP او من خلال بوابة IP او الموزع ويجب ان تشمل وحدات التحكم الطرفية التركيبات الضرورية والبرمجة والدمج عند اللزوم لتأسيس الاتصال والتعامل بين اجهزة التركيبات الالكتروميكانيكية وانظمة السلامة وانظمة الامن حسب اوامر ونظام التشغيل ووفقا لنظام وحسب تعليمات مهندس المشرف و يجب ان يتوافق النظام مع الانظمة الحالية للترشيد و المراقبة و يكون النظام لكامل المبني</t>
  </si>
  <si>
    <t>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اللازمة.PP-1,  200 A ,MCCB</t>
  </si>
  <si>
    <t>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 PP-2, 200 A , MCCB</t>
  </si>
  <si>
    <t>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 PP-3, 200 A , MCCB</t>
  </si>
  <si>
    <t>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اللازمة.PP-4, 200 A , MCCB</t>
  </si>
  <si>
    <t>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t>
  </si>
  <si>
    <t>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مقبس ثنائي سقفى، من النوع المؤرض، 15 أمبير، 230 فولت، طور واحد، قطبين، 3 أسلاك.</t>
  </si>
  <si>
    <t>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الارض، من النوع المؤرض، 15 أمبير، 230 فولت، طور واحد، قطبين، 3 أسلاك.</t>
  </si>
  <si>
    <t xml:space="preserve">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 RESIDUAL CURRENT DEVICE, 30mA TRIPPING( </t>
  </si>
  <si>
    <t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مخرج مقبس متعدد الاستخدام ومؤرض 30 أمبير ، 230 فولت 3 أسلاك ، 1 فاز ، للمطبخ</t>
  </si>
  <si>
    <t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المشرفمخرج  ومؤرض 30 أمبير ، 230 فولت 3 أسلاك ، 1 فاز لمجفف الأيدي</t>
  </si>
  <si>
    <t>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)A(  )تحتوى على  4 قوى &amp; 4 داتا (</t>
  </si>
  <si>
    <t>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)B(   )تحتوى على 2 قوى &amp; 2 داتا (</t>
  </si>
  <si>
    <t>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)1FB(   )تحتوى على 1 قوى (</t>
  </si>
  <si>
    <t>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)2FB(   )تحتوى على 2 قوى (</t>
  </si>
  <si>
    <t xml:space="preserve"> 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وحتى كابينة الداتا  وحسب CAT 6A UTP المقابس + )ب( مآخذ للهاتف والبيانات ذات كابلات .بالوزارة IT  مواصفات إدارة الـ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Type JB 1U  ( 2 power &amp; 1 data )</t>
  </si>
  <si>
    <t xml:space="preserve"> 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وحتى كابينة الداتا  وحسب CAT 6A UTP المقابس + )ب( مآخذ للهاتف والبيانات ذات كابلات .بالوزارة IT  مواصفات إدارة الـ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Type JB 2U  ( 4 power &amp; 2 data )</t>
  </si>
  <si>
    <t xml:space="preserve"> 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وحتى كابينة الداتا  وحسب CAT 6A UTP المقابس + )ب( مآخذ للهاتف والبيانات ذات كابلات .بالوزارة IT  مواصفات إدارة الـ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Type JB 4U ( 8 power &amp; 4 data )</t>
  </si>
  <si>
    <t xml:space="preserve"> توريد وتركيب واختبار والتشغيل التجريبي لمفاتيح فصل على الحمل من النوع عالية التحمل مع ماسورة  التثبيت المعدنية المرنة والمانعة لنفاذ السوائل، وقطع الإكسسوارعلى المقاول المعاينة و فحص الشبكة الحالية و الاستفادة من التمديدات الحالية و دمجها مع التركيبات الجديدة بعد عمل الاختبارات اللازمة و بعدالموافقة من مهندس المشرف  وبالإستطاعات التالية 30 A, 250 V, 2P</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</si>
  <si>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</si>
  <si>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A1E</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</si>
  <si>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A2</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</si>
  <si>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A3</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</si>
  <si>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A4</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</si>
  <si>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A5</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</si>
  <si>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A6</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</si>
  <si>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A7</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</si>
  <si>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A8</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</si>
  <si>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</si>
  <si>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</si>
  <si>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B2</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</si>
  <si>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</si>
  <si>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</si>
  <si>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</si>
  <si>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</si>
  <si>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C5</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</si>
  <si>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C6</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</si>
  <si>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C7</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</si>
  <si>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D1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</si>
  <si>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D2</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</si>
  <si>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D3</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</si>
  <si>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D4</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</si>
  <si>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</si>
  <si>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E2</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</si>
  <si>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E3</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</si>
  <si>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</si>
  <si>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LB2</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</si>
  <si>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LB3</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</si>
  <si>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LB4</t>
  </si>
  <si>
    <t xml:space="preserve"> توريد وتركيب وتوصيل وإختبار وفحص اجهزة الإنارة ويشمل اللمبات وأقواس التركيب وحبال التعليق وعلبEMT أو PVC  وقطع الأكسسوار و ايضا نقاط الانارة متضمنة مواسير/أقنية قاسية عالية التحمل ذات أسلاك لاتقل عن 0.4 مم2 لنقطة الإنارة وتوصيل أطراف أسلاك التأريض،وكل الأعمال المساعدة كما.هو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LB5</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</si>
  <si>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LB6</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</si>
  <si>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LB7</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</si>
  <si>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ES-1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</si>
  <si>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E3</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</si>
  <si>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P1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</si>
  <si>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T1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</si>
  <si>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CH-1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</si>
  <si>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CH-2</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</si>
  <si>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CH-3</t>
  </si>
  <si>
    <t>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مفتاح أحادي ، أحادي الكباّس، 10 أمبير</t>
  </si>
  <si>
    <t>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أحادي ، ثنائي الكباّس، 10 أمبير</t>
  </si>
  <si>
    <t>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ثلاثي ، ثلاثي الكباّس، 10 أمبير</t>
  </si>
  <si>
    <t>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ثنائي ، ثنائي الكباّس، 10 أمبير</t>
  </si>
  <si>
    <t xml:space="preserve"> توريد وتركيب وتوصيل وتجريب مفاتيح ذات أضواء دليلية وتشمل الماسورة والأسلاك حسب المبيّن على.المخططات و ذلك لسخانات المياه  وحسب المواصفات 20 Amp., 230 V, 1PH</t>
  </si>
  <si>
    <t>توريد وتركيب و فحص وتسليم نظام انذار حريق معنون  يتضمن لوحة إنذار رئيسية مرتبطة بحاسب مع طابعة  مزود  ببرنامج مصنع خصيصاً لهذا النوع من الأنظمة  قادر على التوافق مع نظام المراقبة التلفزيونية  و التحكم بالدخول و المراقبة . و ذلك باستخدام كوابل مخصصة لأنظمة إنذار الحريق ذات غلاف خارجي من نوع LSOH و يجب أن لا يقل الناقل عن Cx1.5mm2   و يتم التركيب ضمن مواسير من النوع EMT    و تشمل اعمال المدنية إن لزم ذلك  وكل ما يلزم لإتمام العمل على اكمل وجه.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على المقاول عمل ربط  انذار الحريق مع نظام ادارة المبنى BMS</t>
  </si>
  <si>
    <t xml:space="preserve"> كاشف انذار دخان من النوع المعنون طبقا للمخططات  ومواصفات المشروع</t>
  </si>
  <si>
    <t>كاشف إنذار حراري من النوع المعنون طبقا للمخططات  ومواصفات المشروع</t>
  </si>
  <si>
    <t xml:space="preserve"> وحدة إنذار حريق يدوية من النوع المعنون طبقا للمخططات  ومواصفات المشروع</t>
  </si>
  <si>
    <t>وحدة عزل )fault isolator( من النوع المعنون طبقا للمخططات  ومواصفات المشروع</t>
  </si>
  <si>
    <t>وحدة تحكم  )Control module( من النوع المعنون طبقا للمخططات  ومواصفات المشروع</t>
  </si>
  <si>
    <t>وحدة جرس إنذار حريق داخلى طبقا للمخططات  ومواصفات المشروع</t>
  </si>
  <si>
    <t>وحدة هاتف رجل الاطفاء حريق داخلى )fireman telephone Jack ( طبقا للمخططات  ومواصفات المشروع</t>
  </si>
  <si>
    <t>وحدات لاسلكية لتوفير خدمة شبكة المعلومات )Wireless Access Points(</t>
  </si>
  <si>
    <t>عن طريق مقاول متخصص ذو خبرة كبيرة في هذا المجال ويقدم للاعتماد من إدارة الـ IT بالوزارة و يربط النظام مع الانظمة المعنية بالتحكم و الموازنة و يشمل البند جميع الوصلات و الكابلات و غيرها من المتطلبات الخاصة بنهو النظام كاملا توريد وتركيب واختبارنقاط كاميرا مراقبة داخلية سقفية و جميع ما يلزم من توصيلات و تركيبات و خلافة  لنهو النظام .</t>
  </si>
  <si>
    <t>توريد وتركيب واختبار نظام التحكم فى الدخول بروتوكول IP  مع البرامج الخاصة بنظام التحكم بتقنية dual RFID integration ، مع المواسير والكابلات وكل الملحقات لضمان عمل النظام على الوجه الاكمل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لوحة التحكم الرئيسية فى الابواب )IASC( ذات دارة خرج  )poE - ( IP</t>
  </si>
  <si>
    <t>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قارىء من النوع التقاربى      ( reader card Proximity )</t>
  </si>
  <si>
    <t>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بطاقات تعريف ذكية</t>
  </si>
  <si>
    <t>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قفل كهربائى       locks( door magnetic )Electro</t>
  </si>
  <si>
    <t>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قفل كهربائى لبابين      locks( door magnetic )Electro</t>
  </si>
  <si>
    <t>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زر خروج من النوع button( )Push</t>
  </si>
  <si>
    <t xml:space="preserve">توريد وتركيب وإختبار نظام النداء الصوتي العام يتضمن كافة الكابالت و المواسير و العلب و النهايات مع كامل اكسسوارات التركيب الالزمة وتشغيل تجهيزات الصوت و تركيب المعدات الرئيسية بغرفة التحكم حسب المخططات و المواصفات وتعليمات الشركة المصنعة مشتمال على كل ما يلزم التمام العمل
و ربطه مع نظام الحريق و ادارة المبنى و يتكون من االتي -:
سماعة سقفية 6 وات
</t>
  </si>
  <si>
    <t>انة معدنية مع باب زجاجي مع قفل قياس 19 بوصة شاملة للمراوح وجميع االكسسوارات مع جهاز مكبر صوت و مكرفون لنظام النداء
الصوتي و جهاز التجميع والتحكم بنظام الصوت الرقمي متضمنا 8 مدخل يشمل التوصيالت و التركيبات
الالزمة لنهو العمل - 8 مخرج، مرتبط بنظام االنذار من الحريق ، ثنائي المراقبة ، مرتبط
بنظام التحكم بااللي للمبنى شامال لجميع المعدات و التوصيالت الالزمة.</t>
  </si>
  <si>
    <t>هيز وتركيب وإختبار لنظام الصوت و الصورة بغرفة اإلجتماعات conferance( )video ويتضمن كافة الكابالت و المواسير و العلب و النهايات مع كامل اكسسوارات التركيب الالزمة شامال و الملحقات
الالزمة ا لتعليمات ومواصفات إدارة الـ IT ، وعلى أن يحتوي لتجهيزات التالية:
تمديدات لكاميرا (FHD) IP سقفية عدد 2
سماعات سففية عدد 4
وحدة نداء (ميكرفون)
محطة عمل</t>
  </si>
  <si>
    <t xml:space="preserve">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فردي حائطي مزود بعدد واحد مأخذ RJ-45
</t>
  </si>
  <si>
    <t xml:space="preserve">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الانواع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فردي سقفى مزود بعدد واحد مأخذ RJ-45</t>
  </si>
  <si>
    <t>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HDMI مع الكوابل اللازمة</t>
  </si>
  <si>
    <t>خزانة تجهيزات 42 U مقاس 2000×1000×800 ملم من أجود األنواع العالمية مع جميع االكسسوارات الالزمة من قاطع رئيسي 32( أمبير) وموزعات و مراوح و منظمات مسير الكوابل و كل
ما يلزم التمام العمل وحسب مواصفات وتعليمات إدارة الـ IT بالوزارة.</t>
  </si>
  <si>
    <t>لوحة توزيع رئيسية لنظام كابالت األلياف الضوئية Panel Patch Optical مزودة بعدد )12( موصل
من النوع Multimode</t>
  </si>
  <si>
    <t>لوحات توزيع كابالت نحاسية Panel Patch a 6 CAT مع الوصالت لعدد 24 مخرج</t>
  </si>
  <si>
    <t xml:space="preserve">توريد وتركيب وتوصيل جميع تمديدات كابالت األلياف الضوئية ( الفايبر) من نوع 12core - multimode من الموزعات الفرعية بكبائن األدوارإلى الموزع الرئيسى بغرفة الداتا الرئيسية وذلك حسب المواصفات القياسية والبند يشمل كافة وسائل وإكسسوارات التركيب والتثبيت و على المقاول تقديم
الحسابات لالعتمادها من قبل المهندس المشرف
</t>
  </si>
  <si>
    <t xml:space="preserve">فك و تقطيع وتنزيل و ترحيل مواسير شبكة الصرف و التغذية القائمة و البند يشمل فك القطع والترحيل خارج الموقع وتسليم جميع مكونات شبكة الصرف و التغذية للجهة مالكة المشروع </t>
  </si>
  <si>
    <t xml:space="preserve"> توريد و تركيب خرسانة مسلحة ، لا يقل إجهاد كسرها عن 35 ميجا باسكال لزوم خرسانات  الأسقف ، بأسمنت من النوع (أ)، طبقاً للمخططات . ويشمل السعر القوالب  وحديد التسليح  و الربط مع الكمرات الحالية بالتكسير و المضافات الخرسانية و الخلط والنقل والصب والمعالجة والاختبار حسب المخططات لإنهاء الأعمال حسب اصول الصنع وتوجيهات المهندس المشرف </t>
  </si>
  <si>
    <t xml:space="preserve">ازالة واعادة انشاء مبنى غرفة الحراسة   أعمال الإزالة و الحفر والردم </t>
  </si>
  <si>
    <t xml:space="preserve">الأعمال الكهربائية لغرفة الحارس </t>
  </si>
  <si>
    <t xml:space="preserve">الأعمال الميكانيكية لغرفة الحارس  </t>
  </si>
  <si>
    <t xml:space="preserve">أعمال الهيكل الخرساني و المباني والتشطيبات المعمارية لغرفة الحارس </t>
  </si>
  <si>
    <t>ازالة وتكسير وترحيل ارضيات الخرسانة</t>
  </si>
  <si>
    <t xml:space="preserve">فك و تقطيع وتنزيل و ترحيل مواسير شبكة مكافحة الحريق القائمة و البند يشمل فك الرشاشات والترحيل خارج الموقع وتسليم جميع مكونات شبكة الحريق للجهة مالكة المشروع </t>
  </si>
  <si>
    <t xml:space="preserve">فك وفحص و إختبار وحدات VAV القائمة بالمبنى و البند يشمل  الترحيل لمستودعات الجهة مالكة المشروع بمدينة الرياض </t>
  </si>
  <si>
    <t xml:space="preserve">فك و إزالة  مجاري الهواء من الصفائح المعدنية المجلفنة شامل الاكواع و التفريعات و التحويله و العامة وحاملة التعليق و الترحيل إلى مستودعات الجهة مالكة المشروع بمدينة الرياض  </t>
  </si>
  <si>
    <t xml:space="preserve">تصنيع و توريد و تركيب شباك دبل أكشن (Tilt &amp;turn)مقاس
 (1.0متر *3.0متر ) ثابت مع مفصلات </t>
  </si>
  <si>
    <t xml:space="preserve">تصنيع و توريد و تركيب شباك دبل أكشن (Tilt &amp;turn)مقاس
 1.0 متر * 4.40متر ) ثابت مع مفصلات </t>
  </si>
  <si>
    <t xml:space="preserve">
توريد وتركيب مرحاض افرنجي مثبت على الحائط  مع محبس دفق (Flush valve)  مع زر دفق من الكروم ، مع غطاء للمرحاض مقاوم للبكتريا من نوع soft closing</t>
  </si>
  <si>
    <t xml:space="preserve">
توريد وتركيب مرحاض افرنجي مثبت على الحائط  مع محبس دفق (Flush valve) مزود بحساس مع زر دفق من الكروم، مع غطاء للمرحاض مقاوم للبكتريا من نوع soft closing</t>
  </si>
  <si>
    <t>توريد وتركيب برادات مياة حسب العينة المعتمدة ويتم التركيب طبقاً للمخططات والمواصفات الفنية وبحسب توجيهات واعتماد المهندس المشرف.</t>
  </si>
  <si>
    <t xml:space="preserve"> توريد و تركيب مراوح سحب الهواء (AXIAL INLINE FAN)  تشمل عمليات التوريد و التركيب و الاختبار و التثبيت  سعة 100 قدم مكعب بالدقيقة بالدور الثالث والرابع والخامس</t>
  </si>
  <si>
    <t xml:space="preserve">توريد وتركيب  
سماعة معلقة 6 وات لون اسود مع الكابلات والتمديدات  حسب المخططات   والبند يشمل جميع التمديدات المواسير للسماعات قطر 3/4  بوصة من الEMT  وسحب الاسلاك  الخاصة بنظام الصوت. </t>
  </si>
  <si>
    <t>توريد وتركيب وفرد دهان ايبوكسي لزوم الدربزينات بالفناء الوسطي و البهو الداخلي بين الادوار و المدخل ويتم التركيب طبقاً للمخططات والمواصفات الفنية و المواد المعتمدة  .</t>
  </si>
  <si>
    <t>توريد وتركيب ابواب خشبيةWD02 حسب العينة المعتمدة ويتم التركيب طبقاً للمخططات والمواصفات الفنية وبحسب توجيهات واعتماد المهندس المشرف.</t>
  </si>
  <si>
    <t>للمواسير داخل المبنى من مواسير متعددة الطبقات بولي بروبلين كما هو موصف تشمل كافة القطع التركيبية مثل القارنات من الحديد الصلب الغير قابل للصدأ والأكواع والمنحنيات والتفريعات والدعامات ، كما هو مبين في المخططات لتركيب مايلي من الأقطار الداخلية مع ربطه بالشبكة الحالية لاقرب نقطة و على المقاول تقديم المخططات التنفيذية و الحسابات الهيدروليكية و اعتمادها قبل البدأ بتنفيذ الاعمال من المهندس المشرف للاقطار  الداخلية :
قطر 75 مم</t>
  </si>
  <si>
    <t>للمواسير داخل المبنى من مواسير متعددة الطبقات بولي بروبلين كما هو موصف تشمل كافة القطع التركيبية مثل القارنات من الحديد الصلب الغير قابل للصدأ والأكواع والمنحنيات والتفريعات والدعامات ، كما هو مبين في المخططات لتركيب مايلي من الأقطار الداخلية مع ربطه بالشبكة الحالية لاقرب نقطة و على المقاول تقديم المخططات التنفيذية و الحسابات الهيدروليكية و اعتمادها قبل البدأ بتنفيذ الاعمال من المهندس المشرف للاقطار  الداخلية :
قطر 63 مم</t>
  </si>
  <si>
    <t>توريد وتركيب محبس بوابة (GATE VALVE) يركب علي شبكة المواسير داخل المبني ، والبند يشمل جميع القطع والتوصيلات اللازمة للتركيب وذلك للأقطار التالية:
قطر 3 بوصة</t>
  </si>
  <si>
    <t>توريد وتركيب محبس بوابة (GATE VALVE) يركب علي شبكة المواسير داخل المبني ، والبند يشمل جميع القطع والتوصيلات اللازمة للتركيب وذلك للأقطار التالية:
قطر 2.5 بوصة</t>
  </si>
  <si>
    <t>توريد وتركيب محبس بوابة (GATE VALVE) يركب علي شبكة المواسير داخل المبني ، والبند يشمل جميع القطع والتوصيلات اللازمة للتركيب وذلك للأقطار التالية:
قطر 1.25 بوصة</t>
  </si>
  <si>
    <t>توريد وتركيب محبس تخفيض ضغط (PRV) يركب علي شبكة المواسير داخل المبني ، والبند يشمل جميع القطع والتوصيلات اللازمة للتركيب وذلك للأقطار التالية:
قطر 2 بوصة</t>
  </si>
  <si>
    <t>توريد وتركيب محبس تخفيض ضغط (PRV) يركب علي شبكة المواسير داخل المبني ، والبند يشمل جميع القطع والتوصيلات اللازمة للتركيب وذلك للأقطار التالية:
قطر 1.25 بوصة</t>
  </si>
  <si>
    <t>توريد وتركيب محبس تنفيس الهواء (AUTOMATIC AIR VENT) يركب علي شبكة المواسير داخل المبني ، والبند يشمل جميع القطع والتوصيلات اللازمة للتركيب وذلك للأقطار التالية:
قطر 1 بوصة</t>
  </si>
  <si>
    <t>01-MT 02&amp; MT رخام مون ستون غراي رمادي فاتح و رمادي غامق 
مقاس  1200× 300 مم لمنطقة القهوة و المدخل سماكة 16مم .</t>
  </si>
  <si>
    <t>01-MT 02&amp; MT رخام مون ستون غراي رمادي فاتح و رمادي غامق 
مقاس  1200× 300 مم لمنطقة القهوة و المدخل سماكة 30مم .</t>
  </si>
  <si>
    <t>رخام مون ستون غراي رمادي فاتح  الواح مقاس 1000× 1000 مم بحسب اعتماد المهندس المشرف للممرات  سماكة 30مم</t>
  </si>
  <si>
    <t>رخام رمادي بيترا غراي للدور السادس ألواح مقاس 1000× 1000 مم بحسب اعتماد المهندس سماكة 30مم</t>
  </si>
  <si>
    <t>رخام مون ستون غراي فاتح للدرج في الفناء الوسطي ب عرض 30 سم وارتفاع 15 سم وطول 800 سم.</t>
  </si>
  <si>
    <t>رخام مقله  ألواح مقاس 600× 600 مم بحسب اعتماد المهندس سماكة 20مم</t>
  </si>
  <si>
    <t xml:space="preserve"> توريد و تركيب حوض خدمة  (JANITOR SINK) والبند يشمل كوع الصرف والخلاط وجميع ما يلزم للتركيب والتثبيت</t>
  </si>
  <si>
    <t>توريد وتركيب واختبار محبس LANDING VALVE مزود بمخفض ضغط داخلي قطر 2.5 بوصة</t>
  </si>
  <si>
    <t xml:space="preserve">توريد وتركيب صندوق غاطس يوضع بداخله محبس 
LANDING VALVE </t>
  </si>
  <si>
    <t xml:space="preserve">توريد وتركيب جدار خشبى مقاوم للحريق </t>
  </si>
  <si>
    <t xml:space="preserve">توريد وتركيب باب خشبى مقاوم للحريق </t>
  </si>
  <si>
    <t>توريد وتركيب بورسلان للمبنى PW-01(A)-SUTILEGRIS PULIDO</t>
  </si>
  <si>
    <t>توريد وتركيب بورسلان للمبنى PW-02-A(VANGLISH PULIDO)</t>
  </si>
  <si>
    <t>توريد وتركيب بورسلان للمبنى PW-03-B(ATLANTIDA)</t>
  </si>
  <si>
    <t xml:space="preserve">توريد وتركيب  SHOWER SET </t>
  </si>
  <si>
    <t>توريد وتركيب واختبار وتشغيل DUCT SMOKE DEECTORS</t>
  </si>
  <si>
    <t>توريد وتركيب واختبار وتشغيل MULTIDEECTORS</t>
  </si>
  <si>
    <t xml:space="preserve">بالمتر المسطح توريد وتركيب قماش ستائر(Roller Blind)والسعر يشمل التوريد والتركيب </t>
  </si>
  <si>
    <t xml:space="preserve">بالعدد توريد موتور سومفي فرنسي والسعر يشعمل التوريد والتركيب </t>
  </si>
  <si>
    <t xml:space="preserve">بالعدد توريدریموت سومفي  5قناه والسعر يشعمل التوريد والتركيب </t>
  </si>
  <si>
    <t xml:space="preserve">بالعدد توريدریموت سومفي  1قناه والسعر يشعمل التوريد والتركيب  </t>
  </si>
  <si>
    <t xml:space="preserve">توريد وتركيب كوريان للمطابخ للدور الثالث </t>
  </si>
  <si>
    <t xml:space="preserve">توريد وتركيب رخام بيترا جراى للمينى سماكة 20 مم </t>
  </si>
  <si>
    <t>توريد وتركيب واختبار كابل 4*10 مم2 مع عزل حرارى بلاستيك PVC/PVC</t>
  </si>
  <si>
    <t xml:space="preserve">توريد وتركيب ,واستبدال القواطع الخاصة بلوحة ال UPS </t>
  </si>
  <si>
    <t>توريد وتركيب فيش صناعى 32 أمبير 2P+E</t>
  </si>
  <si>
    <t>م2</t>
  </si>
  <si>
    <t>م3</t>
  </si>
  <si>
    <t>م.ط</t>
  </si>
  <si>
    <t>م²</t>
  </si>
  <si>
    <t>م³</t>
  </si>
  <si>
    <t>نسبة مئوية</t>
  </si>
  <si>
    <t>اضافة بنود + زيادة الكميات + تقليل كميات</t>
  </si>
  <si>
    <t xml:space="preserve">حسام الحبلين </t>
  </si>
  <si>
    <t>halhablayn-Contractor@momah.gov.sa</t>
  </si>
  <si>
    <t>عبدالله الدرع</t>
  </si>
  <si>
    <t>aaldera-contractor@momah.gov.sa</t>
  </si>
  <si>
    <t>mahmoud.ragab@beeah.sa</t>
  </si>
  <si>
    <t>محمود مساد</t>
  </si>
  <si>
    <t>شركة البيئة</t>
  </si>
  <si>
    <t>info@gdci.com.sa</t>
  </si>
  <si>
    <t>230302028960</t>
  </si>
  <si>
    <t>230502047363</t>
  </si>
  <si>
    <t>230602216686</t>
  </si>
  <si>
    <t>230902137329</t>
  </si>
  <si>
    <t>231002332498</t>
  </si>
  <si>
    <t>240102169624</t>
  </si>
  <si>
    <t>240202247790</t>
  </si>
  <si>
    <t>240402029618</t>
  </si>
  <si>
    <t>240402175547</t>
  </si>
  <si>
    <t>240702195001</t>
  </si>
  <si>
    <t>240902011858</t>
  </si>
  <si>
    <t>241002110633</t>
  </si>
  <si>
    <t>241102111582</t>
  </si>
  <si>
    <t>230802167393</t>
  </si>
  <si>
    <t>240602053573</t>
  </si>
  <si>
    <t>241102213835</t>
  </si>
  <si>
    <t>250302015472</t>
  </si>
  <si>
    <t>250502023877</t>
  </si>
  <si>
    <t>250702126887</t>
  </si>
  <si>
    <t>250902193001</t>
  </si>
  <si>
    <t>251102237265</t>
  </si>
  <si>
    <t xml:space="preserve">اضافة بنود </t>
  </si>
  <si>
    <t>أنس الغامدي</t>
  </si>
  <si>
    <t>anaalghamdi-contractor@momah.gov.sa</t>
  </si>
  <si>
    <t>صلاحية الاعتماد النهائي</t>
  </si>
  <si>
    <t>إدارة المشروع والمتابعة</t>
  </si>
  <si>
    <t>ضبط الجودة والمراجعة</t>
  </si>
  <si>
    <t>تدقيق المطالبات المالية</t>
  </si>
  <si>
    <t>الإشراف على تنفيذ المشروع</t>
  </si>
  <si>
    <t>تقديم المطالبات وأوامر التغيير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</si>
</sst>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 _ر_._س_._‏_-;\-* #,##0.00\ _ر_._س_._‏_-;_-* &quot;-&quot;??\ _ر_._س_._‏_-;_-@_-"/>
    <numFmt numFmtId="165" formatCode="yyyy\-mm\-dd"/>
    <numFmt numFmtId="166" formatCode="0.0&quot;%&quot;"/>
    <numFmt numFmtId="167" formatCode="0.00&quot;%&quot;"/>
    <numFmt numFmtId="168" formatCode="#,##0.00\ &quot;ر.س&quot;"/>
    <numFmt numFmtId="169" formatCode="#,##0\ &quot;ر.س&quot;"/>
    <numFmt numFmtId="170" formatCode="[$-1170000]B2dd/mm/yy;@"/>
    <numFmt numFmtId="171" formatCode="[$-1170000]B2dd/mm/yyyy;@"/>
    <numFmt numFmtId="172" formatCode="_-* #,##0.00_-;\-* #,##0.00_-;_-* &quot;-&quot;??_-;_-@_-"/>
    <numFmt numFmtId="173" formatCode="_-* #,##0.00_-;_-* #,##0.00\-;_-* &quot;-&quot;??_-;_-@_-"/>
    <numFmt numFmtId="174" formatCode="&quot;ج.م.‏&quot;\ #,##0_-;&quot;ج.م.‏&quot;\ #,##0\-"/>
    <numFmt numFmtId="175" formatCode="0.000"/>
  </numFmts>
  <fonts count="46">
    <font>
      <sz val="11"/>
      <color theme="1"/>
      <name val="Arial"/>
      <family val="2"/>
      <scheme val="minor"/>
    </font>
    <font>
      <sz val="11"/>
      <color theme="1"/>
      <name val="Arial"/>
      <family val="2"/>
      <charset val="178"/>
      <scheme val="minor"/>
    </font>
    <font>
      <b/>
      <sz val="16"/>
      <color rgb="FFFFFFFF"/>
      <name val="Tajawal"/>
    </font>
    <font>
      <b/>
      <sz val="13"/>
      <color rgb="FF045859"/>
      <name val="Tajawal"/>
    </font>
    <font>
      <b/>
      <sz val="11"/>
      <color rgb="FF1A1A2E"/>
      <name val="Tajawal"/>
    </font>
    <font>
      <sz val="11"/>
      <color rgb="FF1A1A2E"/>
      <name val="Tajawal"/>
    </font>
    <font>
      <b/>
      <sz val="12"/>
      <color rgb="FF045859"/>
      <name val="Tajawal"/>
    </font>
    <font>
      <b/>
      <sz val="11"/>
      <color rgb="FFFFFFFF"/>
      <name val="Tajawal"/>
    </font>
    <font>
      <i/>
      <sz val="11"/>
      <color rgb="FF888888"/>
      <name val="Tajawal"/>
    </font>
    <font>
      <i/>
      <sz val="10"/>
      <color rgb="FF54565B"/>
      <name val="Tajawal"/>
    </font>
    <font>
      <b/>
      <sz val="14"/>
      <color rgb="FF045859"/>
      <name val="Tajawal"/>
    </font>
    <font>
      <b/>
      <sz val="10"/>
      <color rgb="FF1A1A2E"/>
      <name val="Tajawal"/>
    </font>
    <font>
      <sz val="10"/>
      <color rgb="FF1A1A2E"/>
      <name val="Tajawal"/>
    </font>
    <font>
      <b/>
      <sz val="10"/>
      <name val="Tajawal"/>
    </font>
    <font>
      <sz val="9"/>
      <color rgb="FF54565B"/>
      <name val="Tajawal"/>
    </font>
    <font>
      <b/>
      <sz val="12"/>
      <name val="Tajawal"/>
    </font>
    <font>
      <b/>
      <sz val="11"/>
      <color rgb="FF045859"/>
      <name val="Arial"/>
      <family val="2"/>
    </font>
    <font>
      <sz val="10"/>
      <name val="Tajawal"/>
    </font>
    <font>
      <b/>
      <sz val="10"/>
      <color rgb="FF045859"/>
      <name val="Tajawal"/>
    </font>
    <font>
      <sz val="9"/>
      <color rgb="FF54565B"/>
      <name val="Courier New"/>
      <family val="3"/>
    </font>
    <font>
      <i/>
      <sz val="9"/>
      <color rgb="FFC05728"/>
      <name val="Tajawal"/>
    </font>
    <font>
      <b/>
      <sz val="11"/>
      <name val="Arial"/>
      <family val="2"/>
    </font>
    <font>
      <b/>
      <sz val="9"/>
      <color rgb="FFFFFFFF"/>
      <name val="Tajawal"/>
    </font>
    <font>
      <b/>
      <sz val="18"/>
      <color rgb="FF045859"/>
      <name val="Tajawal"/>
    </font>
    <font>
      <b/>
      <u/>
      <sz val="10"/>
      <color rgb="FF00A79D"/>
      <name val="Tajawal"/>
    </font>
    <font>
      <sz val="9"/>
      <color rgb="FF1A1A2E"/>
      <name val="Tajawal"/>
    </font>
    <font>
      <i/>
      <sz val="9"/>
      <color rgb="FF54565B"/>
      <name val="Tajawal"/>
    </font>
    <font>
      <b/>
      <sz val="11"/>
      <color rgb="FF045859"/>
      <name val="Tajawal"/>
    </font>
    <font>
      <b/>
      <sz val="11"/>
      <name val="Tajawal"/>
    </font>
    <font>
      <sz val="10"/>
      <name val="Arial"/>
      <family val="2"/>
    </font>
    <font>
      <sz val="11"/>
      <color theme="1"/>
      <name val="Arial"/>
      <family val="2"/>
      <scheme val="minor"/>
    </font>
    <font>
      <sz val="11"/>
      <color rgb="FF9C0006"/>
      <name val="Arial"/>
      <family val="2"/>
      <charset val="178"/>
      <scheme val="minor"/>
    </font>
    <font>
      <sz val="10"/>
      <name val="Arial"/>
      <family val="2"/>
    </font>
    <font>
      <sz val="11"/>
      <color indexed="8"/>
      <name val="Calibri"/>
      <family val="2"/>
      <charset val="178"/>
    </font>
    <font>
      <sz val="11"/>
      <color indexed="8"/>
      <name val="Calibri"/>
      <family val="2"/>
    </font>
    <font>
      <sz val="12"/>
      <name val="Times New Roman"/>
      <family val="1"/>
    </font>
    <font>
      <sz val="10"/>
      <name val="Helv"/>
      <charset val="178"/>
    </font>
    <font>
      <b/>
      <sz val="11"/>
      <color indexed="52"/>
      <name val="Calibri"/>
      <family val="2"/>
      <charset val="178"/>
    </font>
    <font>
      <sz val="10"/>
      <name val="Arial"/>
      <family val="2"/>
      <charset val="178"/>
    </font>
    <font>
      <b/>
      <sz val="11"/>
      <color rgb="FFFA7D00"/>
      <name val="Arial"/>
      <family val="2"/>
      <scheme val="minor"/>
    </font>
    <font>
      <b/>
      <sz val="11"/>
      <color theme="0"/>
      <name val="Arial"/>
      <family val="2"/>
      <scheme val="minor"/>
    </font>
    <font>
      <b/>
      <sz val="13"/>
      <color theme="3"/>
      <name val="Arial"/>
      <family val="2"/>
      <scheme val="minor"/>
    </font>
    <font>
      <u/>
      <sz val="11"/>
      <color theme="10"/>
      <name val="Arial"/>
      <family val="2"/>
      <charset val="178"/>
      <scheme val="minor"/>
    </font>
    <font>
      <sz val="10"/>
      <color rgb="FF000000"/>
      <name val="Times New Roman"/>
      <family val="1"/>
    </font>
    <font>
      <u/>
      <sz val="11"/>
      <color theme="10"/>
      <name val="Arial"/>
      <family val="2"/>
      <scheme val="minor"/>
    </font>
    <font>
      <sz val="10"/>
      <color rgb="FF54565B"/>
      <name val="Tajawal"/>
    </font>
  </fonts>
  <fills count="25">
    <fill>
      <patternFill patternType="none"/>
    </fill>
    <fill>
      <patternFill patternType="gray125"/>
    </fill>
    <fill>
      <patternFill patternType="solid">
        <fgColor rgb="FF045859"/>
      </patternFill>
    </fill>
    <fill>
      <patternFill patternType="solid">
        <fgColor rgb="FFF0F7FA"/>
      </patternFill>
    </fill>
    <fill>
      <patternFill patternType="solid">
        <fgColor rgb="FFFFE0C0"/>
      </patternFill>
    </fill>
    <fill>
      <patternFill patternType="solid">
        <fgColor rgb="FFFFF9E0"/>
      </patternFill>
    </fill>
    <fill>
      <patternFill patternType="solid">
        <fgColor rgb="FFE8F4F4"/>
      </patternFill>
    </fill>
    <fill>
      <patternFill patternType="solid">
        <fgColor rgb="FFF0F0F0"/>
      </patternFill>
    </fill>
    <fill>
      <patternFill patternType="solid">
        <fgColor rgb="FFE0F0E8"/>
      </patternFill>
    </fill>
    <fill>
      <patternFill patternType="solid">
        <fgColor rgb="FFE0F4F3"/>
      </patternFill>
    </fill>
    <fill>
      <patternFill patternType="solid">
        <fgColor rgb="FFF7F8FA"/>
      </patternFill>
    </fill>
    <fill>
      <patternFill patternType="solid">
        <fgColor rgb="FF502C7C"/>
      </patternFill>
    </fill>
    <fill>
      <patternFill patternType="solid">
        <fgColor rgb="FF87BA26"/>
      </patternFill>
    </fill>
    <fill>
      <patternFill patternType="solid">
        <fgColor rgb="FF00A79D"/>
      </patternFill>
    </fill>
    <fill>
      <patternFill patternType="solid">
        <fgColor rgb="FFFFC845"/>
      </patternFill>
    </fill>
    <fill>
      <patternFill patternType="solid">
        <fgColor rgb="FFFAEEE8"/>
      </patternFill>
    </fill>
    <fill>
      <patternFill patternType="solid">
        <fgColor rgb="FFFFF8E0"/>
      </patternFill>
    </fill>
    <fill>
      <patternFill patternType="solid">
        <fgColor rgb="FFF0F7E0"/>
      </patternFill>
    </fill>
    <fill>
      <patternFill patternType="solid">
        <fgColor rgb="FFC05728"/>
      </patternFill>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indexed="22"/>
        <bgColor indexed="31"/>
      </patternFill>
    </fill>
    <fill>
      <patternFill patternType="solid">
        <fgColor indexed="26"/>
        <bgColor indexed="9"/>
      </patternFill>
    </fill>
  </fills>
  <borders count="16">
    <border>
      <left/>
      <right/>
      <top/>
      <bottom/>
      <diagonal/>
    </border>
    <border>
      <left style="thin">
        <color rgb="FFDDE2E8"/>
      </left>
      <right style="thin">
        <color rgb="FFDDE2E8"/>
      </right>
      <top style="thin">
        <color rgb="FFDDE2E8"/>
      </top>
      <bottom style="thin">
        <color rgb="FFDDE2E8"/>
      </bottom>
      <diagonal/>
    </border>
    <border>
      <left style="thin">
        <color rgb="FF54565B"/>
      </left>
      <right style="thin">
        <color rgb="FF54565B"/>
      </right>
      <top style="thin">
        <color rgb="FF54565B"/>
      </top>
      <bottom style="thin">
        <color rgb="FF54565B"/>
      </bottom>
      <diagonal/>
    </border>
    <border>
      <left/>
      <right/>
      <top style="thin">
        <color rgb="FF54565B"/>
      </top>
      <bottom style="thin">
        <color rgb="FF54565B"/>
      </bottom>
      <diagonal/>
    </border>
    <border>
      <left/>
      <right style="thin">
        <color rgb="FF54565B"/>
      </right>
      <top style="thin">
        <color rgb="FF54565B"/>
      </top>
      <bottom style="thin">
        <color rgb="FF54565B"/>
      </bottom>
      <diagonal/>
    </border>
    <border>
      <left/>
      <right/>
      <top style="thin">
        <color rgb="FFDDE2E8"/>
      </top>
      <bottom style="thin">
        <color rgb="FFDDE2E8"/>
      </bottom>
      <diagonal/>
    </border>
    <border>
      <left/>
      <right style="thin">
        <color rgb="FFDDE2E8"/>
      </right>
      <top style="thin">
        <color rgb="FFDDE2E8"/>
      </top>
      <bottom style="thin">
        <color rgb="FFDDE2E8"/>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rgb="FFDDE2E8"/>
      </left>
      <right style="thin">
        <color rgb="FFDDE2E8"/>
      </right>
      <top style="thin">
        <color rgb="FFDDE2E8"/>
      </top>
      <bottom/>
      <diagonal/>
    </border>
    <border>
      <left style="thin">
        <color rgb="FFDDE2E8"/>
      </left>
      <right style="thin">
        <color rgb="FFDDE2E8"/>
      </right>
      <top/>
      <bottom style="thin">
        <color rgb="FFDDE2E8"/>
      </bottom>
      <diagonal/>
    </border>
    <border>
      <left style="thin">
        <color rgb="FFDDE2E8"/>
      </left>
      <right style="thin">
        <color rgb="FFDDE2E8"/>
      </right>
      <top/>
      <bottom/>
      <diagonal/>
    </border>
  </borders>
  <cellStyleXfs count="726">
    <xf numFmtId="0" fontId="0" fillId="0" borderId="0"/>
    <xf numFmtId="0" fontId="29" fillId="0" borderId="0"/>
    <xf numFmtId="0" fontId="32" fillId="0" borderId="0"/>
    <xf numFmtId="0" fontId="29" fillId="0" borderId="0"/>
    <xf numFmtId="0" fontId="29" fillId="0" borderId="0"/>
    <xf numFmtId="0" fontId="31" fillId="19" borderId="0" applyNumberFormat="0" applyBorder="0" applyAlignment="0" applyProtection="0"/>
    <xf numFmtId="0" fontId="39" fillId="20" borderId="8" applyNumberFormat="0" applyAlignment="0" applyProtection="0"/>
    <xf numFmtId="0" fontId="40" fillId="21" borderId="9" applyNumberFormat="0" applyAlignment="0" applyProtection="0"/>
    <xf numFmtId="173" fontId="29" fillId="0" borderId="0" applyFont="0" applyFill="0" applyBorder="0" applyAlignment="0" applyProtection="0"/>
    <xf numFmtId="172" fontId="29" fillId="0" borderId="0" applyFont="0" applyFill="0" applyBorder="0" applyAlignment="0" applyProtection="0"/>
    <xf numFmtId="172" fontId="30" fillId="0" borderId="0" applyFont="0" applyFill="0" applyBorder="0" applyAlignment="0" applyProtection="0"/>
    <xf numFmtId="174" fontId="33" fillId="0" borderId="0" applyFill="0" applyBorder="0" applyAlignment="0" applyProtection="0"/>
    <xf numFmtId="173" fontId="29" fillId="0" borderId="0" applyFont="0" applyFill="0" applyBorder="0" applyAlignment="0" applyProtection="0"/>
    <xf numFmtId="172" fontId="29" fillId="0" borderId="0" applyFont="0" applyFill="0" applyBorder="0" applyAlignment="0" applyProtection="0"/>
    <xf numFmtId="164" fontId="29"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3" fontId="29" fillId="0" borderId="0" applyFill="0" applyBorder="0" applyAlignment="0" applyProtection="0"/>
    <xf numFmtId="173" fontId="29" fillId="0" borderId="0" applyFill="0" applyBorder="0" applyAlignment="0" applyProtection="0"/>
    <xf numFmtId="173" fontId="29" fillId="0" borderId="0" applyFill="0" applyBorder="0" applyAlignment="0" applyProtection="0"/>
    <xf numFmtId="173" fontId="34" fillId="0" borderId="0" applyFont="0" applyFill="0" applyBorder="0" applyAlignment="0" applyProtection="0"/>
    <xf numFmtId="173" fontId="29" fillId="0" borderId="0" applyFill="0" applyBorder="0" applyAlignment="0" applyProtection="0"/>
    <xf numFmtId="172" fontId="30" fillId="0" borderId="0" applyFont="0" applyFill="0" applyBorder="0" applyAlignment="0" applyProtection="0"/>
    <xf numFmtId="173" fontId="29" fillId="0" borderId="0" applyFont="0" applyFill="0" applyBorder="0" applyAlignment="0" applyProtection="0"/>
    <xf numFmtId="0" fontId="37" fillId="23" borderId="11" applyNumberFormat="0" applyAlignment="0" applyProtection="0"/>
    <xf numFmtId="0" fontId="41" fillId="0" borderId="7" applyNumberFormat="0" applyFill="0" applyAlignment="0" applyProtection="0"/>
    <xf numFmtId="0" fontId="42" fillId="0" borderId="0" applyNumberFormat="0" applyFill="0" applyBorder="0" applyAlignment="0" applyProtection="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5" fillId="0" borderId="0"/>
    <xf numFmtId="0" fontId="38" fillId="0" borderId="0"/>
    <xf numFmtId="0" fontId="29" fillId="0" borderId="0"/>
    <xf numFmtId="0" fontId="30" fillId="0" borderId="0"/>
    <xf numFmtId="0" fontId="29" fillId="0" borderId="0"/>
    <xf numFmtId="0" fontId="33" fillId="0" borderId="0"/>
    <xf numFmtId="0" fontId="29" fillId="0" borderId="0"/>
    <xf numFmtId="0" fontId="29" fillId="0" borderId="0"/>
    <xf numFmtId="0" fontId="30" fillId="0" borderId="0"/>
    <xf numFmtId="0" fontId="29" fillId="0" borderId="0"/>
    <xf numFmtId="0" fontId="29" fillId="0" borderId="0"/>
    <xf numFmtId="0" fontId="29" fillId="0" borderId="0"/>
    <xf numFmtId="0" fontId="1" fillId="0" borderId="0"/>
    <xf numFmtId="0" fontId="1" fillId="0" borderId="0"/>
    <xf numFmtId="0" fontId="30" fillId="0" borderId="0"/>
    <xf numFmtId="0" fontId="30" fillId="0" borderId="0"/>
    <xf numFmtId="0" fontId="29" fillId="0" borderId="0"/>
    <xf numFmtId="0" fontId="1" fillId="0" borderId="0"/>
    <xf numFmtId="0" fontId="34" fillId="22" borderId="10" applyNumberFormat="0" applyFont="0" applyAlignment="0" applyProtection="0"/>
    <xf numFmtId="0" fontId="33" fillId="24" borderId="12" applyNumberFormat="0" applyAlignment="0" applyProtection="0"/>
    <xf numFmtId="0" fontId="33" fillId="24" borderId="12" applyNumberFormat="0" applyAlignment="0" applyProtection="0"/>
    <xf numFmtId="0" fontId="34" fillId="22" borderId="10" applyNumberFormat="0" applyFont="0" applyAlignment="0" applyProtection="0"/>
    <xf numFmtId="9" fontId="29" fillId="0" borderId="0" applyFont="0" applyFill="0" applyBorder="0" applyAlignment="0" applyProtection="0"/>
    <xf numFmtId="9" fontId="34" fillId="0" borderId="0" applyFont="0" applyFill="0" applyBorder="0" applyAlignment="0" applyProtection="0"/>
    <xf numFmtId="9" fontId="1" fillId="0" borderId="0" applyFont="0" applyFill="0" applyBorder="0" applyAlignment="0" applyProtection="0"/>
    <xf numFmtId="9" fontId="30" fillId="0" borderId="0" applyFont="0" applyFill="0" applyBorder="0" applyAlignment="0" applyProtection="0"/>
    <xf numFmtId="0" fontId="36" fillId="0" borderId="0"/>
    <xf numFmtId="0" fontId="30" fillId="22" borderId="10" applyNumberFormat="0" applyFont="0" applyAlignment="0" applyProtection="0"/>
    <xf numFmtId="0" fontId="30" fillId="0" borderId="0"/>
    <xf numFmtId="0" fontId="43" fillId="0" borderId="0"/>
    <xf numFmtId="0" fontId="44" fillId="0" borderId="0" applyNumberFormat="0" applyFill="0" applyBorder="0" applyAlignment="0" applyProtection="0"/>
  </cellStyleXfs>
  <cellXfs count="114">
    <xf numFmtId="0" fontId="0" fillId="0" borderId="0" xfId="0"/>
    <xf numFmtId="0" fontId="4" fillId="3" borderId="1" xfId="0" applyFont="1" applyFill="1" applyBorder="1" applyAlignment="1">
      <alignment horizontal="right" vertical="center" wrapText="1" readingOrder="2"/>
    </xf>
    <xf numFmtId="0" fontId="5" fillId="3" borderId="1" xfId="0" applyFont="1" applyFill="1" applyBorder="1" applyAlignment="1">
      <alignment horizontal="center" vertical="center" wrapText="1" readingOrder="2"/>
    </xf>
    <xf numFmtId="0" fontId="7" fillId="2" borderId="1" xfId="0" applyFont="1" applyFill="1" applyBorder="1" applyAlignment="1">
      <alignment horizontal="center" vertical="center" wrapText="1" readingOrder="2"/>
    </xf>
    <xf numFmtId="0" fontId="4" fillId="6" borderId="1" xfId="0" applyFont="1" applyFill="1" applyBorder="1" applyAlignment="1">
      <alignment horizontal="center" vertical="center" wrapText="1" readingOrder="2"/>
    </xf>
    <xf numFmtId="0" fontId="5" fillId="4" borderId="1" xfId="0" applyFont="1" applyFill="1" applyBorder="1" applyAlignment="1" applyProtection="1">
      <alignment horizontal="right" vertical="center" wrapText="1" readingOrder="2"/>
      <protection locked="0"/>
    </xf>
    <xf numFmtId="0" fontId="5" fillId="4" borderId="1" xfId="0" applyFont="1" applyFill="1" applyBorder="1" applyAlignment="1" applyProtection="1">
      <alignment horizontal="center" vertical="center" wrapText="1" readingOrder="2"/>
      <protection locked="0"/>
    </xf>
    <xf numFmtId="4" fontId="5" fillId="4" borderId="1" xfId="0" applyNumberFormat="1" applyFont="1" applyFill="1" applyBorder="1" applyAlignment="1" applyProtection="1">
      <alignment horizontal="center" vertical="center" wrapText="1" readingOrder="2"/>
      <protection locked="0"/>
    </xf>
    <xf numFmtId="0" fontId="5" fillId="5" borderId="1" xfId="0" applyFont="1" applyFill="1" applyBorder="1" applyAlignment="1" applyProtection="1">
      <alignment horizontal="center" vertical="center" wrapText="1" readingOrder="2"/>
      <protection locked="0"/>
    </xf>
    <xf numFmtId="4" fontId="5" fillId="6" borderId="1" xfId="0" applyNumberFormat="1" applyFont="1" applyFill="1" applyBorder="1" applyAlignment="1">
      <alignment horizontal="center" vertical="center" wrapText="1" readingOrder="2"/>
    </xf>
    <xf numFmtId="4" fontId="4" fillId="6" borderId="1" xfId="0" applyNumberFormat="1" applyFont="1" applyFill="1" applyBorder="1" applyAlignment="1">
      <alignment horizontal="center" vertical="center" wrapText="1" readingOrder="2"/>
    </xf>
    <xf numFmtId="165" fontId="5" fillId="4" borderId="1" xfId="0" applyNumberFormat="1" applyFont="1" applyFill="1" applyBorder="1" applyAlignment="1" applyProtection="1">
      <alignment horizontal="center" vertical="center" wrapText="1" readingOrder="2"/>
      <protection locked="0"/>
    </xf>
    <xf numFmtId="0" fontId="5" fillId="6" borderId="1" xfId="0" applyFont="1" applyFill="1" applyBorder="1" applyAlignment="1">
      <alignment horizontal="center" vertical="center" wrapText="1" readingOrder="2"/>
    </xf>
    <xf numFmtId="0" fontId="8" fillId="7" borderId="1" xfId="0" applyFont="1" applyFill="1" applyBorder="1" applyAlignment="1">
      <alignment horizontal="center" vertical="center" wrapText="1" readingOrder="2"/>
    </xf>
    <xf numFmtId="4" fontId="8" fillId="7" borderId="1" xfId="0" applyNumberFormat="1" applyFont="1" applyFill="1" applyBorder="1" applyAlignment="1">
      <alignment horizontal="center" vertical="center" wrapText="1" readingOrder="2"/>
    </xf>
    <xf numFmtId="0" fontId="7" fillId="2" borderId="0" xfId="0" applyFont="1" applyFill="1" applyAlignment="1">
      <alignment horizontal="center" vertical="center" wrapText="1" readingOrder="2"/>
    </xf>
    <xf numFmtId="0" fontId="4" fillId="0" borderId="1" xfId="0" applyFont="1" applyBorder="1" applyAlignment="1">
      <alignment horizontal="right" vertical="center" wrapText="1" readingOrder="2"/>
    </xf>
    <xf numFmtId="0" fontId="5" fillId="0" borderId="1" xfId="0" applyFont="1" applyBorder="1" applyAlignment="1">
      <alignment horizontal="center" vertical="center" wrapText="1" readingOrder="2"/>
    </xf>
    <xf numFmtId="4" fontId="4" fillId="8" borderId="1" xfId="0" applyNumberFormat="1" applyFont="1" applyFill="1" applyBorder="1" applyAlignment="1">
      <alignment horizontal="center" vertical="center" wrapText="1" readingOrder="2"/>
    </xf>
    <xf numFmtId="0" fontId="5" fillId="5" borderId="1" xfId="0" applyFont="1" applyFill="1" applyBorder="1" applyAlignment="1" applyProtection="1">
      <alignment horizontal="right" vertical="center" wrapText="1" readingOrder="2"/>
      <protection locked="0"/>
    </xf>
    <xf numFmtId="0" fontId="5" fillId="6" borderId="1" xfId="0" applyFont="1" applyFill="1" applyBorder="1" applyAlignment="1">
      <alignment horizontal="right" vertical="center" wrapText="1" readingOrder="2"/>
    </xf>
    <xf numFmtId="166" fontId="5" fillId="6" borderId="1" xfId="0" applyNumberFormat="1" applyFont="1" applyFill="1" applyBorder="1" applyAlignment="1">
      <alignment horizontal="center" vertical="center" wrapText="1" readingOrder="2"/>
    </xf>
    <xf numFmtId="0" fontId="5" fillId="6" borderId="1" xfId="0" applyFont="1" applyFill="1" applyBorder="1" applyAlignment="1" applyProtection="1">
      <alignment horizontal="right" vertical="center" wrapText="1" readingOrder="2"/>
      <protection locked="0"/>
    </xf>
    <xf numFmtId="0" fontId="5" fillId="6" borderId="1" xfId="0" applyFont="1" applyFill="1" applyBorder="1" applyAlignment="1" applyProtection="1">
      <alignment horizontal="center" vertical="center" wrapText="1" readingOrder="2"/>
      <protection locked="0"/>
    </xf>
    <xf numFmtId="4" fontId="5" fillId="6" borderId="1" xfId="0" applyNumberFormat="1" applyFont="1" applyFill="1" applyBorder="1" applyAlignment="1" applyProtection="1">
      <alignment horizontal="center" vertical="center" wrapText="1" readingOrder="2"/>
      <protection locked="0"/>
    </xf>
    <xf numFmtId="0" fontId="8" fillId="7" borderId="1" xfId="0" applyFont="1" applyFill="1" applyBorder="1" applyAlignment="1">
      <alignment horizontal="right" vertical="center" wrapText="1" readingOrder="2"/>
    </xf>
    <xf numFmtId="166" fontId="4" fillId="0" borderId="1" xfId="0" applyNumberFormat="1" applyFont="1" applyBorder="1" applyAlignment="1">
      <alignment horizontal="center" vertical="center" wrapText="1" readingOrder="2"/>
    </xf>
    <xf numFmtId="166" fontId="7" fillId="2" borderId="0" xfId="0" applyNumberFormat="1" applyFont="1" applyFill="1" applyAlignment="1">
      <alignment horizontal="center" vertical="center" wrapText="1" readingOrder="2"/>
    </xf>
    <xf numFmtId="4" fontId="5" fillId="3" borderId="1" xfId="0" applyNumberFormat="1" applyFont="1" applyFill="1" applyBorder="1" applyAlignment="1">
      <alignment horizontal="center" vertical="center" wrapText="1" readingOrder="2"/>
    </xf>
    <xf numFmtId="166" fontId="5" fillId="3" borderId="1" xfId="0" applyNumberFormat="1" applyFont="1" applyFill="1" applyBorder="1" applyAlignment="1">
      <alignment horizontal="center" vertical="center" wrapText="1" readingOrder="2"/>
    </xf>
    <xf numFmtId="0" fontId="6" fillId="0" borderId="0" xfId="0" applyFont="1"/>
    <xf numFmtId="0" fontId="7" fillId="2" borderId="2" xfId="0" applyFont="1" applyFill="1" applyBorder="1" applyAlignment="1">
      <alignment horizontal="center" vertical="center" wrapText="1"/>
    </xf>
    <xf numFmtId="0" fontId="11" fillId="10" borderId="2" xfId="0" applyFont="1" applyFill="1" applyBorder="1" applyAlignment="1">
      <alignment horizontal="right" vertical="center" wrapText="1"/>
    </xf>
    <xf numFmtId="0" fontId="9" fillId="9" borderId="1" xfId="0" applyFont="1" applyFill="1" applyBorder="1" applyAlignment="1" applyProtection="1">
      <alignment horizontal="center" vertical="center"/>
      <protection locked="0"/>
    </xf>
    <xf numFmtId="0" fontId="9" fillId="9" borderId="0" xfId="0" applyFont="1" applyFill="1" applyAlignment="1">
      <alignment horizontal="center" vertical="center"/>
    </xf>
    <xf numFmtId="0" fontId="13" fillId="0" borderId="0" xfId="0" applyFont="1"/>
    <xf numFmtId="0" fontId="0" fillId="0" borderId="0" xfId="0" applyAlignment="1">
      <alignment horizontal="center"/>
    </xf>
    <xf numFmtId="0" fontId="14" fillId="0" borderId="0" xfId="0" applyFont="1"/>
    <xf numFmtId="0" fontId="15" fillId="0" borderId="0" xfId="0" applyFont="1" applyAlignment="1">
      <alignment horizontal="center"/>
    </xf>
    <xf numFmtId="0" fontId="17" fillId="0" borderId="0" xfId="0" applyFont="1"/>
    <xf numFmtId="0" fontId="18" fillId="0" borderId="0" xfId="0" applyFont="1" applyAlignment="1">
      <alignment horizontal="center"/>
    </xf>
    <xf numFmtId="0" fontId="19" fillId="0" borderId="0" xfId="0" applyFont="1" applyAlignment="1">
      <alignment horizontal="center"/>
    </xf>
    <xf numFmtId="0" fontId="16" fillId="0" borderId="0" xfId="0" applyFont="1"/>
    <xf numFmtId="0" fontId="21" fillId="0" borderId="0" xfId="0" applyFont="1"/>
    <xf numFmtId="0" fontId="22" fillId="2" borderId="1" xfId="0" applyFont="1" applyFill="1" applyBorder="1" applyAlignment="1">
      <alignment horizontal="center" vertical="center" wrapText="1"/>
    </xf>
    <xf numFmtId="0" fontId="22" fillId="11" borderId="1" xfId="0" applyFont="1" applyFill="1" applyBorder="1" applyAlignment="1">
      <alignment horizontal="center" vertical="center" wrapText="1"/>
    </xf>
    <xf numFmtId="0" fontId="22" fillId="12" borderId="1" xfId="0" applyFont="1" applyFill="1" applyBorder="1" applyAlignment="1">
      <alignment horizontal="center" vertical="center" wrapText="1"/>
    </xf>
    <xf numFmtId="0" fontId="22" fillId="13" borderId="1" xfId="0" applyFont="1" applyFill="1" applyBorder="1" applyAlignment="1">
      <alignment horizontal="center" vertical="center" wrapText="1"/>
    </xf>
    <xf numFmtId="0" fontId="22" fillId="14" borderId="1" xfId="0" applyFont="1" applyFill="1" applyBorder="1" applyAlignment="1">
      <alignment horizontal="center" vertical="center" wrapText="1"/>
    </xf>
    <xf numFmtId="3" fontId="15" fillId="10" borderId="1" xfId="0" applyNumberFormat="1" applyFont="1" applyFill="1" applyBorder="1" applyAlignment="1">
      <alignment horizontal="center" vertical="center"/>
    </xf>
    <xf numFmtId="166" fontId="15" fillId="10" borderId="1" xfId="0" applyNumberFormat="1" applyFont="1" applyFill="1" applyBorder="1" applyAlignment="1">
      <alignment horizontal="center" vertical="center"/>
    </xf>
    <xf numFmtId="0" fontId="11" fillId="10" borderId="1" xfId="0" applyFont="1" applyFill="1" applyBorder="1" applyAlignment="1">
      <alignment horizontal="right" vertical="center"/>
    </xf>
    <xf numFmtId="0" fontId="7" fillId="2" borderId="1" xfId="0" applyFont="1" applyFill="1" applyBorder="1" applyAlignment="1">
      <alignment horizontal="center" vertical="center" wrapText="1"/>
    </xf>
    <xf numFmtId="0" fontId="24" fillId="10" borderId="1" xfId="0" applyFont="1" applyFill="1" applyBorder="1" applyAlignment="1">
      <alignment horizontal="right" vertical="center"/>
    </xf>
    <xf numFmtId="0" fontId="24" fillId="0" borderId="1" xfId="0" applyFont="1" applyBorder="1" applyAlignment="1">
      <alignment horizontal="right" vertical="center"/>
    </xf>
    <xf numFmtId="0" fontId="0" fillId="15" borderId="2" xfId="0" applyFill="1" applyBorder="1"/>
    <xf numFmtId="0" fontId="0" fillId="16" borderId="2" xfId="0" applyFill="1" applyBorder="1"/>
    <xf numFmtId="0" fontId="0" fillId="9" borderId="2" xfId="0" applyFill="1" applyBorder="1"/>
    <xf numFmtId="0" fontId="0" fillId="17" borderId="2" xfId="0" applyFill="1" applyBorder="1"/>
    <xf numFmtId="0" fontId="0" fillId="12" borderId="2" xfId="0" applyFill="1" applyBorder="1"/>
    <xf numFmtId="0" fontId="0" fillId="18" borderId="2" xfId="0" applyFill="1" applyBorder="1"/>
    <xf numFmtId="0" fontId="0" fillId="14" borderId="2" xfId="0" applyFill="1" applyBorder="1"/>
    <xf numFmtId="0" fontId="0" fillId="11" borderId="2" xfId="0" applyFill="1" applyBorder="1"/>
    <xf numFmtId="169" fontId="15" fillId="10" borderId="1" xfId="0" applyNumberFormat="1" applyFont="1" applyFill="1" applyBorder="1" applyAlignment="1">
      <alignment horizontal="center" vertical="center"/>
    </xf>
    <xf numFmtId="4" fontId="0" fillId="0" borderId="0" xfId="0" applyNumberFormat="1"/>
    <xf numFmtId="3" fontId="28" fillId="0" borderId="1" xfId="0" applyNumberFormat="1" applyFont="1" applyBorder="1" applyAlignment="1">
      <alignment horizontal="center"/>
    </xf>
    <xf numFmtId="166" fontId="28" fillId="0" borderId="1" xfId="0" applyNumberFormat="1" applyFont="1" applyBorder="1" applyAlignment="1">
      <alignment horizontal="center"/>
    </xf>
    <xf numFmtId="1" fontId="5" fillId="4" borderId="1" xfId="0" applyNumberFormat="1" applyFont="1" applyFill="1" applyBorder="1" applyAlignment="1" applyProtection="1">
      <alignment horizontal="center" vertical="center" wrapText="1" readingOrder="2"/>
      <protection locked="0"/>
    </xf>
    <xf numFmtId="170" fontId="5" fillId="4" borderId="1" xfId="0" applyNumberFormat="1" applyFont="1" applyFill="1" applyBorder="1" applyAlignment="1" applyProtection="1">
      <alignment horizontal="center" vertical="center" wrapText="1" readingOrder="2"/>
      <protection locked="0"/>
    </xf>
    <xf numFmtId="4" fontId="5" fillId="4" borderId="15" xfId="0" applyNumberFormat="1" applyFont="1" applyFill="1" applyBorder="1" applyAlignment="1" applyProtection="1">
      <alignment horizontal="center" vertical="center" wrapText="1" readingOrder="2"/>
      <protection locked="0"/>
    </xf>
    <xf numFmtId="4" fontId="5" fillId="4" borderId="14" xfId="0" applyNumberFormat="1" applyFont="1" applyFill="1" applyBorder="1" applyAlignment="1" applyProtection="1">
      <alignment horizontal="center" vertical="center" wrapText="1" readingOrder="2"/>
      <protection locked="0"/>
    </xf>
    <xf numFmtId="4" fontId="5" fillId="4" borderId="13" xfId="0" applyNumberFormat="1" applyFont="1" applyFill="1" applyBorder="1" applyAlignment="1" applyProtection="1">
      <alignment horizontal="center" vertical="center" wrapText="1" readingOrder="2"/>
      <protection locked="0"/>
    </xf>
    <xf numFmtId="0" fontId="0" fillId="0" borderId="0" xfId="0"/>
    <xf numFmtId="175" fontId="0" fillId="0" borderId="0" xfId="0" applyNumberFormat="1"/>
    <xf numFmtId="0" fontId="0" fillId="0" borderId="0" xfId="0"/>
    <xf numFmtId="2" fontId="0" fillId="0" borderId="0" xfId="0" applyNumberFormat="1"/>
    <xf numFmtId="0" fontId="0" fillId="0" borderId="0" xfId="0"/>
    <xf numFmtId="0" fontId="44" fillId="9" borderId="1" xfId="725" applyFill="1" applyBorder="1" applyAlignment="1" applyProtection="1">
      <alignment horizontal="center" vertical="center"/>
      <protection locked="0"/>
    </xf>
    <xf numFmtId="0" fontId="45" fillId="9" borderId="1" xfId="0" applyFont="1" applyFill="1" applyBorder="1" applyAlignment="1" applyProtection="1">
      <alignment horizontal="center" vertical="center"/>
      <protection locked="0"/>
    </xf>
    <xf numFmtId="49" fontId="5" fillId="4" borderId="1" xfId="0" applyNumberFormat="1" applyFont="1" applyFill="1" applyBorder="1" applyAlignment="1" applyProtection="1">
      <alignment horizontal="center" vertical="center" wrapText="1" readingOrder="2"/>
      <protection locked="0"/>
    </xf>
    <xf numFmtId="0" fontId="0" fillId="0" borderId="0" xfId="0"/>
    <xf numFmtId="0" fontId="12" fillId="0" borderId="0" xfId="0" applyFont="1" applyAlignment="1">
      <alignment horizontal="right" vertical="center" indent="1"/>
    </xf>
    <xf numFmtId="0" fontId="0" fillId="0" borderId="0" xfId="0"/>
    <xf numFmtId="0" fontId="23" fillId="0" borderId="0" xfId="0" applyFont="1" applyAlignment="1">
      <alignment horizontal="right" vertical="center"/>
    </xf>
    <xf numFmtId="0" fontId="25" fillId="10" borderId="1" xfId="0" applyFont="1" applyFill="1" applyBorder="1" applyAlignment="1">
      <alignment horizontal="right" vertical="center"/>
    </xf>
    <xf numFmtId="0" fontId="0" fillId="0" borderId="5" xfId="0" applyBorder="1"/>
    <xf numFmtId="0" fontId="0" fillId="0" borderId="6" xfId="0" applyBorder="1"/>
    <xf numFmtId="0" fontId="12" fillId="0" borderId="1" xfId="0" applyFont="1" applyBorder="1" applyAlignment="1">
      <alignment horizontal="center" vertical="center"/>
    </xf>
    <xf numFmtId="0" fontId="10" fillId="0" borderId="0" xfId="0" applyFont="1" applyAlignment="1">
      <alignment horizontal="right" vertical="center"/>
    </xf>
    <xf numFmtId="0" fontId="9" fillId="0" borderId="0" xfId="0" applyFont="1" applyAlignment="1">
      <alignment horizontal="right" vertical="center"/>
    </xf>
    <xf numFmtId="0" fontId="3" fillId="0" borderId="0" xfId="0" applyFont="1" applyAlignment="1">
      <alignment horizontal="right" vertical="center"/>
    </xf>
    <xf numFmtId="168" fontId="12" fillId="0" borderId="1" xfId="0" applyNumberFormat="1" applyFont="1" applyBorder="1" applyAlignment="1">
      <alignment horizontal="center" vertical="center"/>
    </xf>
    <xf numFmtId="0" fontId="25" fillId="0" borderId="1" xfId="0" applyFont="1" applyBorder="1" applyAlignment="1">
      <alignment horizontal="right" vertical="center"/>
    </xf>
    <xf numFmtId="0" fontId="12" fillId="10" borderId="0" xfId="0" applyFont="1" applyFill="1" applyAlignment="1">
      <alignment horizontal="right" vertical="center" indent="1"/>
    </xf>
    <xf numFmtId="0" fontId="17" fillId="0" borderId="0" xfId="0" applyFont="1" applyAlignment="1">
      <alignment horizontal="right" vertical="center"/>
    </xf>
    <xf numFmtId="0" fontId="20" fillId="0" borderId="0" xfId="0" applyFont="1"/>
    <xf numFmtId="0" fontId="7" fillId="2" borderId="0" xfId="0" applyFont="1" applyFill="1" applyAlignment="1">
      <alignment horizontal="right" vertical="center"/>
    </xf>
    <xf numFmtId="0" fontId="6" fillId="0" borderId="0" xfId="0" applyFont="1" applyAlignment="1">
      <alignment horizontal="right" vertical="center"/>
    </xf>
    <xf numFmtId="0" fontId="26" fillId="0" borderId="0" xfId="0" applyFont="1" applyAlignment="1">
      <alignment horizontal="right" vertical="center"/>
    </xf>
    <xf numFmtId="171" fontId="12" fillId="0" borderId="1" xfId="0" applyNumberFormat="1" applyFont="1" applyBorder="1" applyAlignment="1">
      <alignment horizontal="center" vertical="center"/>
    </xf>
    <xf numFmtId="171" fontId="0" fillId="0" borderId="5" xfId="0" applyNumberFormat="1" applyBorder="1"/>
    <xf numFmtId="171" fontId="0" fillId="0" borderId="6" xfId="0" applyNumberFormat="1" applyBorder="1"/>
    <xf numFmtId="0" fontId="7" fillId="2" borderId="1" xfId="0" applyFont="1" applyFill="1" applyBorder="1" applyAlignment="1">
      <alignment horizontal="center" vertical="center" wrapText="1"/>
    </xf>
    <xf numFmtId="0" fontId="2" fillId="2" borderId="0" xfId="0" applyFont="1" applyFill="1" applyAlignment="1">
      <alignment horizontal="center" vertical="center" wrapText="1" readingOrder="2"/>
    </xf>
    <xf numFmtId="4" fontId="12" fillId="0" borderId="2" xfId="0" applyNumberFormat="1" applyFont="1" applyBorder="1" applyAlignment="1">
      <alignment horizontal="center" vertical="center"/>
    </xf>
    <xf numFmtId="0" fontId="0" fillId="0" borderId="3" xfId="0" applyBorder="1"/>
    <xf numFmtId="0" fontId="0" fillId="0" borderId="4" xfId="0" applyBorder="1"/>
    <xf numFmtId="167" fontId="12" fillId="0" borderId="2" xfId="0" applyNumberFormat="1" applyFont="1" applyBorder="1" applyAlignment="1">
      <alignment horizontal="center" vertical="center"/>
    </xf>
    <xf numFmtId="0" fontId="10" fillId="0" borderId="0" xfId="0" applyFont="1"/>
    <xf numFmtId="49" fontId="12" fillId="0" borderId="2" xfId="0" applyNumberFormat="1" applyFont="1" applyBorder="1" applyAlignment="1">
      <alignment horizontal="center" vertical="center"/>
    </xf>
    <xf numFmtId="0" fontId="3" fillId="0" borderId="0" xfId="0" applyFont="1"/>
    <xf numFmtId="0" fontId="6" fillId="0" borderId="0" xfId="0" applyFont="1"/>
    <xf numFmtId="0" fontId="13" fillId="10" borderId="1" xfId="0" applyFont="1" applyFill="1" applyBorder="1" applyAlignment="1">
      <alignment horizontal="right"/>
    </xf>
    <xf numFmtId="0" fontId="27" fillId="0" borderId="0" xfId="0" applyFont="1"/>
  </cellXfs>
  <cellStyles count="726">
    <cellStyle name="0,0_x000d__x000a_NA_x000d__x000a_" xfId="3" xr:uid="{00000000-0005-0000-0000-000000000000}"/>
    <cellStyle name="0,0_x000d__x000a_NA_x000d__x000a_ 2" xfId="4" xr:uid="{00000000-0005-0000-0000-000001000000}"/>
    <cellStyle name="Bad 2" xfId="5" xr:uid="{00000000-0005-0000-0000-000002000000}"/>
    <cellStyle name="Calculation 2" xfId="6" xr:uid="{00000000-0005-0000-0000-000003000000}"/>
    <cellStyle name="Check Cell 2" xfId="7" xr:uid="{00000000-0005-0000-0000-000004000000}"/>
    <cellStyle name="Comma 10 2 2" xfId="9" xr:uid="{00000000-0005-0000-0000-000005000000}"/>
    <cellStyle name="Comma 2" xfId="10" xr:uid="{00000000-0005-0000-0000-000006000000}"/>
    <cellStyle name="Comma 2 2" xfId="11" xr:uid="{00000000-0005-0000-0000-000007000000}"/>
    <cellStyle name="Comma 2 3" xfId="12" xr:uid="{00000000-0005-0000-0000-000008000000}"/>
    <cellStyle name="Comma 2 4" xfId="13" xr:uid="{00000000-0005-0000-0000-000009000000}"/>
    <cellStyle name="Comma 2 4 2" xfId="14" xr:uid="{00000000-0005-0000-0000-00000A000000}"/>
    <cellStyle name="Comma 3" xfId="15" xr:uid="{00000000-0005-0000-0000-00000B000000}"/>
    <cellStyle name="Comma 3 2" xfId="16" xr:uid="{00000000-0005-0000-0000-00000C000000}"/>
    <cellStyle name="Comma 3 3" xfId="17" xr:uid="{00000000-0005-0000-0000-00000D000000}"/>
    <cellStyle name="Comma 4" xfId="18" xr:uid="{00000000-0005-0000-0000-00000E000000}"/>
    <cellStyle name="Comma 4 2" xfId="19" xr:uid="{00000000-0005-0000-0000-00000F000000}"/>
    <cellStyle name="Comma 4 3" xfId="20" xr:uid="{00000000-0005-0000-0000-000010000000}"/>
    <cellStyle name="Comma 5" xfId="21" xr:uid="{00000000-0005-0000-0000-000011000000}"/>
    <cellStyle name="Comma 5 2" xfId="22" xr:uid="{00000000-0005-0000-0000-000012000000}"/>
    <cellStyle name="Comma 6" xfId="23" xr:uid="{00000000-0005-0000-0000-000013000000}"/>
    <cellStyle name="Comma 7" xfId="8" xr:uid="{00000000-0005-0000-0000-000014000000}"/>
    <cellStyle name="Excel_BuiltIn_Calculation" xfId="24" xr:uid="{00000000-0005-0000-0000-000015000000}"/>
    <cellStyle name="Heading 2 2" xfId="25" xr:uid="{00000000-0005-0000-0000-000016000000}"/>
    <cellStyle name="Hyperlink" xfId="725" builtinId="8"/>
    <cellStyle name="Hyperlink 2" xfId="26" xr:uid="{00000000-0005-0000-0000-000018000000}"/>
    <cellStyle name="Normal" xfId="0" builtinId="0"/>
    <cellStyle name="Normal 10" xfId="2" xr:uid="{00000000-0005-0000-0000-00001A000000}"/>
    <cellStyle name="Normal 10 2" xfId="27" xr:uid="{00000000-0005-0000-0000-00001B000000}"/>
    <cellStyle name="Normal 12 2 3" xfId="724" xr:uid="{00000000-0005-0000-0000-00001C000000}"/>
    <cellStyle name="Normal 2" xfId="723" xr:uid="{00000000-0005-0000-0000-00001D000000}"/>
    <cellStyle name="Normal 2 2" xfId="28" xr:uid="{00000000-0005-0000-0000-00001E000000}"/>
    <cellStyle name="Normal 2 2 10" xfId="29" xr:uid="{00000000-0005-0000-0000-00001F000000}"/>
    <cellStyle name="Normal 2 2 11" xfId="30" xr:uid="{00000000-0005-0000-0000-000020000000}"/>
    <cellStyle name="Normal 2 2 11 2" xfId="31" xr:uid="{00000000-0005-0000-0000-000021000000}"/>
    <cellStyle name="Normal 2 2 11 2 2" xfId="32" xr:uid="{00000000-0005-0000-0000-000022000000}"/>
    <cellStyle name="Normal 2 2 11 2 2 2" xfId="33" xr:uid="{00000000-0005-0000-0000-000023000000}"/>
    <cellStyle name="Normal 2 2 11 2 2 2 2" xfId="34" xr:uid="{00000000-0005-0000-0000-000024000000}"/>
    <cellStyle name="Normal 2 2 11 2 2 2 2 2" xfId="35" xr:uid="{00000000-0005-0000-0000-000025000000}"/>
    <cellStyle name="Normal 2 2 11 2 2 2 2 2 2" xfId="36" xr:uid="{00000000-0005-0000-0000-000026000000}"/>
    <cellStyle name="Normal 2 2 11 2 2 2 2 3" xfId="37" xr:uid="{00000000-0005-0000-0000-000027000000}"/>
    <cellStyle name="Normal 2 2 11 2 2 2 2 4" xfId="38" xr:uid="{00000000-0005-0000-0000-000028000000}"/>
    <cellStyle name="Normal 2 2 11 2 3" xfId="39" xr:uid="{00000000-0005-0000-0000-000029000000}"/>
    <cellStyle name="Normal 2 2 11 2 3 2" xfId="40" xr:uid="{00000000-0005-0000-0000-00002A000000}"/>
    <cellStyle name="Normal 2 2 11 2 3 3" xfId="41" xr:uid="{00000000-0005-0000-0000-00002B000000}"/>
    <cellStyle name="Normal 2 2 11 2 4" xfId="42" xr:uid="{00000000-0005-0000-0000-00002C000000}"/>
    <cellStyle name="Normal 2 2 11 2 4 2" xfId="43" xr:uid="{00000000-0005-0000-0000-00002D000000}"/>
    <cellStyle name="Normal 2 2 11 2 4 3" xfId="44" xr:uid="{00000000-0005-0000-0000-00002E000000}"/>
    <cellStyle name="Normal 2 2 11 2 4 4" xfId="45" xr:uid="{00000000-0005-0000-0000-00002F000000}"/>
    <cellStyle name="Normal 2 2 11 2 5" xfId="46" xr:uid="{00000000-0005-0000-0000-000030000000}"/>
    <cellStyle name="Normal 2 2 11 2 5 2" xfId="47" xr:uid="{00000000-0005-0000-0000-000031000000}"/>
    <cellStyle name="Normal 2 2 11 2 5 2 2" xfId="48" xr:uid="{00000000-0005-0000-0000-000032000000}"/>
    <cellStyle name="Normal 2 2 11 2 5 3" xfId="49" xr:uid="{00000000-0005-0000-0000-000033000000}"/>
    <cellStyle name="Normal 2 2 11 2 6" xfId="50" xr:uid="{00000000-0005-0000-0000-000034000000}"/>
    <cellStyle name="Normal 2 2 11 2 7" xfId="51" xr:uid="{00000000-0005-0000-0000-000035000000}"/>
    <cellStyle name="Normal 2 2 11 3" xfId="52" xr:uid="{00000000-0005-0000-0000-000036000000}"/>
    <cellStyle name="Normal 2 2 11 3 2" xfId="53" xr:uid="{00000000-0005-0000-0000-000037000000}"/>
    <cellStyle name="Normal 2 2 11 3 3" xfId="54" xr:uid="{00000000-0005-0000-0000-000038000000}"/>
    <cellStyle name="Normal 2 2 12" xfId="55" xr:uid="{00000000-0005-0000-0000-000039000000}"/>
    <cellStyle name="Normal 2 2 12 2" xfId="56" xr:uid="{00000000-0005-0000-0000-00003A000000}"/>
    <cellStyle name="Normal 2 2 12 2 2" xfId="57" xr:uid="{00000000-0005-0000-0000-00003B000000}"/>
    <cellStyle name="Normal 2 2 12 2 2 2" xfId="58" xr:uid="{00000000-0005-0000-0000-00003C000000}"/>
    <cellStyle name="Normal 2 2 12 2 2 2 2" xfId="59" xr:uid="{00000000-0005-0000-0000-00003D000000}"/>
    <cellStyle name="Normal 2 2 12 2 2 2 2 2" xfId="60" xr:uid="{00000000-0005-0000-0000-00003E000000}"/>
    <cellStyle name="Normal 2 2 12 2 2 2 3" xfId="61" xr:uid="{00000000-0005-0000-0000-00003F000000}"/>
    <cellStyle name="Normal 2 2 12 3" xfId="62" xr:uid="{00000000-0005-0000-0000-000040000000}"/>
    <cellStyle name="Normal 2 2 12 3 2" xfId="63" xr:uid="{00000000-0005-0000-0000-000041000000}"/>
    <cellStyle name="Normal 2 2 12 3 3" xfId="64" xr:uid="{00000000-0005-0000-0000-000042000000}"/>
    <cellStyle name="Normal 2 2 12 3 4" xfId="65" xr:uid="{00000000-0005-0000-0000-000043000000}"/>
    <cellStyle name="Normal 2 2 12 4" xfId="66" xr:uid="{00000000-0005-0000-0000-000044000000}"/>
    <cellStyle name="Normal 2 2 12 4 2" xfId="67" xr:uid="{00000000-0005-0000-0000-000045000000}"/>
    <cellStyle name="Normal 2 2 12 4 2 2 2 2" xfId="68" xr:uid="{00000000-0005-0000-0000-000046000000}"/>
    <cellStyle name="Normal 2 2 12 4 2 2 2 2 2" xfId="69" xr:uid="{00000000-0005-0000-0000-000047000000}"/>
    <cellStyle name="Normal 2 2 12 4 2 2 2 2 3" xfId="70" xr:uid="{00000000-0005-0000-0000-000048000000}"/>
    <cellStyle name="Normal 2 2 12 4 2 2 2 2 3 2" xfId="71" xr:uid="{00000000-0005-0000-0000-000049000000}"/>
    <cellStyle name="Normal 2 2 12 4 3" xfId="72" xr:uid="{00000000-0005-0000-0000-00004A000000}"/>
    <cellStyle name="Normal 2 2 12 4 4" xfId="73" xr:uid="{00000000-0005-0000-0000-00004B000000}"/>
    <cellStyle name="Normal 2 2 12 4 4 2" xfId="74" xr:uid="{00000000-0005-0000-0000-00004C000000}"/>
    <cellStyle name="Normal 2 2 12 5" xfId="75" xr:uid="{00000000-0005-0000-0000-00004D000000}"/>
    <cellStyle name="Normal 2 2 12 6" xfId="76" xr:uid="{00000000-0005-0000-0000-00004E000000}"/>
    <cellStyle name="Normal 2 2 12 6 2" xfId="77" xr:uid="{00000000-0005-0000-0000-00004F000000}"/>
    <cellStyle name="Normal 2 2 13" xfId="78" xr:uid="{00000000-0005-0000-0000-000050000000}"/>
    <cellStyle name="Normal 2 2 14" xfId="79" xr:uid="{00000000-0005-0000-0000-000051000000}"/>
    <cellStyle name="Normal 2 2 14 2" xfId="80" xr:uid="{00000000-0005-0000-0000-000052000000}"/>
    <cellStyle name="Normal 2 2 14 3" xfId="81" xr:uid="{00000000-0005-0000-0000-000053000000}"/>
    <cellStyle name="Normal 2 2 15" xfId="82" xr:uid="{00000000-0005-0000-0000-000054000000}"/>
    <cellStyle name="Normal 2 2 2" xfId="83" xr:uid="{00000000-0005-0000-0000-000055000000}"/>
    <cellStyle name="Normal 2 2 2 10" xfId="84" xr:uid="{00000000-0005-0000-0000-000056000000}"/>
    <cellStyle name="Normal 2 2 2 11" xfId="85" xr:uid="{00000000-0005-0000-0000-000057000000}"/>
    <cellStyle name="Normal 2 2 2 12" xfId="86" xr:uid="{00000000-0005-0000-0000-000058000000}"/>
    <cellStyle name="Normal 2 2 2 13" xfId="87" xr:uid="{00000000-0005-0000-0000-000059000000}"/>
    <cellStyle name="Normal 2 2 2 2" xfId="88" xr:uid="{00000000-0005-0000-0000-00005A000000}"/>
    <cellStyle name="Normal 2 2 2 2 2" xfId="89" xr:uid="{00000000-0005-0000-0000-00005B000000}"/>
    <cellStyle name="Normal 2 2 2 2 2 2" xfId="90" xr:uid="{00000000-0005-0000-0000-00005C000000}"/>
    <cellStyle name="Normal 2 2 2 2 2 2 2" xfId="91" xr:uid="{00000000-0005-0000-0000-00005D000000}"/>
    <cellStyle name="Normal 2 2 2 2 2 2 2 2" xfId="92" xr:uid="{00000000-0005-0000-0000-00005E000000}"/>
    <cellStyle name="Normal 2 2 2 2 2 2 2 3" xfId="93" xr:uid="{00000000-0005-0000-0000-00005F000000}"/>
    <cellStyle name="Normal 2 2 2 2 2 2 3" xfId="94" xr:uid="{00000000-0005-0000-0000-000060000000}"/>
    <cellStyle name="Normal 2 2 2 2 2 2 4" xfId="95" xr:uid="{00000000-0005-0000-0000-000061000000}"/>
    <cellStyle name="Normal 2 2 2 2 2 3" xfId="96" xr:uid="{00000000-0005-0000-0000-000062000000}"/>
    <cellStyle name="Normal 2 2 2 2 2 3 2" xfId="97" xr:uid="{00000000-0005-0000-0000-000063000000}"/>
    <cellStyle name="Normal 2 2 2 2 2 3 3" xfId="98" xr:uid="{00000000-0005-0000-0000-000064000000}"/>
    <cellStyle name="Normal 2 2 2 2 2 4" xfId="99" xr:uid="{00000000-0005-0000-0000-000065000000}"/>
    <cellStyle name="Normal 2 2 2 2 2 5" xfId="100" xr:uid="{00000000-0005-0000-0000-000066000000}"/>
    <cellStyle name="Normal 2 2 2 2 3" xfId="101" xr:uid="{00000000-0005-0000-0000-000067000000}"/>
    <cellStyle name="Normal 2 2 2 2 3 2" xfId="102" xr:uid="{00000000-0005-0000-0000-000068000000}"/>
    <cellStyle name="Normal 2 2 2 2 3 2 2" xfId="103" xr:uid="{00000000-0005-0000-0000-000069000000}"/>
    <cellStyle name="Normal 2 2 2 2 3 2 3" xfId="104" xr:uid="{00000000-0005-0000-0000-00006A000000}"/>
    <cellStyle name="Normal 2 2 2 2 3 3" xfId="105" xr:uid="{00000000-0005-0000-0000-00006B000000}"/>
    <cellStyle name="Normal 2 2 2 2 3 4" xfId="106" xr:uid="{00000000-0005-0000-0000-00006C000000}"/>
    <cellStyle name="Normal 2 2 2 2 4" xfId="107" xr:uid="{00000000-0005-0000-0000-00006D000000}"/>
    <cellStyle name="Normal 2 2 2 2 4 2" xfId="108" xr:uid="{00000000-0005-0000-0000-00006E000000}"/>
    <cellStyle name="Normal 2 2 2 2 4 2 2" xfId="109" xr:uid="{00000000-0005-0000-0000-00006F000000}"/>
    <cellStyle name="Normal 2 2 2 2 4 2 3" xfId="110" xr:uid="{00000000-0005-0000-0000-000070000000}"/>
    <cellStyle name="Normal 2 2 2 2 4 3" xfId="111" xr:uid="{00000000-0005-0000-0000-000071000000}"/>
    <cellStyle name="Normal 2 2 2 2 4 4" xfId="112" xr:uid="{00000000-0005-0000-0000-000072000000}"/>
    <cellStyle name="Normal 2 2 2 2 5" xfId="113" xr:uid="{00000000-0005-0000-0000-000073000000}"/>
    <cellStyle name="Normal 2 2 2 2 5 2" xfId="114" xr:uid="{00000000-0005-0000-0000-000074000000}"/>
    <cellStyle name="Normal 2 2 2 2 5 3" xfId="115" xr:uid="{00000000-0005-0000-0000-000075000000}"/>
    <cellStyle name="Normal 2 2 2 2 6" xfId="116" xr:uid="{00000000-0005-0000-0000-000076000000}"/>
    <cellStyle name="Normal 2 2 2 2 7" xfId="117" xr:uid="{00000000-0005-0000-0000-000077000000}"/>
    <cellStyle name="Normal 2 2 2 3" xfId="118" xr:uid="{00000000-0005-0000-0000-000078000000}"/>
    <cellStyle name="Normal 2 2 2 3 10" xfId="119" xr:uid="{00000000-0005-0000-0000-000079000000}"/>
    <cellStyle name="Normal 2 2 2 3 11" xfId="120" xr:uid="{00000000-0005-0000-0000-00007A000000}"/>
    <cellStyle name="Normal 2 2 2 3 11 2" xfId="121" xr:uid="{00000000-0005-0000-0000-00007B000000}"/>
    <cellStyle name="Normal 2 2 2 3 11 2 2" xfId="122" xr:uid="{00000000-0005-0000-0000-00007C000000}"/>
    <cellStyle name="Normal 2 2 2 3 11 2 2 2" xfId="123" xr:uid="{00000000-0005-0000-0000-00007D000000}"/>
    <cellStyle name="Normal 2 2 2 3 11 2 3" xfId="124" xr:uid="{00000000-0005-0000-0000-00007E000000}"/>
    <cellStyle name="Normal 2 2 2 3 2" xfId="125" xr:uid="{00000000-0005-0000-0000-00007F000000}"/>
    <cellStyle name="Normal 2 2 2 3 2 2" xfId="126" xr:uid="{00000000-0005-0000-0000-000080000000}"/>
    <cellStyle name="Normal 2 2 2 3 2 2 2" xfId="127" xr:uid="{00000000-0005-0000-0000-000081000000}"/>
    <cellStyle name="Normal 2 2 2 3 2 2 2 2" xfId="128" xr:uid="{00000000-0005-0000-0000-000082000000}"/>
    <cellStyle name="Normal 2 2 2 3 2 2 2 3" xfId="129" xr:uid="{00000000-0005-0000-0000-000083000000}"/>
    <cellStyle name="Normal 2 2 2 3 2 2 3" xfId="130" xr:uid="{00000000-0005-0000-0000-000084000000}"/>
    <cellStyle name="Normal 2 2 2 3 2 2 4" xfId="131" xr:uid="{00000000-0005-0000-0000-000085000000}"/>
    <cellStyle name="Normal 2 2 2 3 2 3" xfId="132" xr:uid="{00000000-0005-0000-0000-000086000000}"/>
    <cellStyle name="Normal 2 2 2 3 2 3 2" xfId="133" xr:uid="{00000000-0005-0000-0000-000087000000}"/>
    <cellStyle name="Normal 2 2 2 3 2 3 3" xfId="134" xr:uid="{00000000-0005-0000-0000-000088000000}"/>
    <cellStyle name="Normal 2 2 2 3 2 4" xfId="135" xr:uid="{00000000-0005-0000-0000-000089000000}"/>
    <cellStyle name="Normal 2 2 2 3 2 5" xfId="136" xr:uid="{00000000-0005-0000-0000-00008A000000}"/>
    <cellStyle name="Normal 2 2 2 3 3" xfId="137" xr:uid="{00000000-0005-0000-0000-00008B000000}"/>
    <cellStyle name="Normal 2 2 2 3 3 2" xfId="138" xr:uid="{00000000-0005-0000-0000-00008C000000}"/>
    <cellStyle name="Normal 2 2 2 3 3 2 2" xfId="139" xr:uid="{00000000-0005-0000-0000-00008D000000}"/>
    <cellStyle name="Normal 2 2 2 3 3 2 3" xfId="140" xr:uid="{00000000-0005-0000-0000-00008E000000}"/>
    <cellStyle name="Normal 2 2 2 3 3 3" xfId="141" xr:uid="{00000000-0005-0000-0000-00008F000000}"/>
    <cellStyle name="Normal 2 2 2 3 3 4" xfId="142" xr:uid="{00000000-0005-0000-0000-000090000000}"/>
    <cellStyle name="Normal 2 2 2 3 4" xfId="143" xr:uid="{00000000-0005-0000-0000-000091000000}"/>
    <cellStyle name="Normal 2 2 2 3 4 2" xfId="144" xr:uid="{00000000-0005-0000-0000-000092000000}"/>
    <cellStyle name="Normal 2 2 2 3 4 2 2" xfId="145" xr:uid="{00000000-0005-0000-0000-000093000000}"/>
    <cellStyle name="Normal 2 2 2 3 4 2 3" xfId="146" xr:uid="{00000000-0005-0000-0000-000094000000}"/>
    <cellStyle name="Normal 2 2 2 3 4 3" xfId="147" xr:uid="{00000000-0005-0000-0000-000095000000}"/>
    <cellStyle name="Normal 2 2 2 3 4 4" xfId="148" xr:uid="{00000000-0005-0000-0000-000096000000}"/>
    <cellStyle name="Normal 2 2 2 3 5" xfId="149" xr:uid="{00000000-0005-0000-0000-000097000000}"/>
    <cellStyle name="Normal 2 2 2 3 5 2" xfId="150" xr:uid="{00000000-0005-0000-0000-000098000000}"/>
    <cellStyle name="Normal 2 2 2 3 5 2 2" xfId="151" xr:uid="{00000000-0005-0000-0000-000099000000}"/>
    <cellStyle name="Normal 2 2 2 3 5 2 3" xfId="152" xr:uid="{00000000-0005-0000-0000-00009A000000}"/>
    <cellStyle name="Normal 2 2 2 3 5 3" xfId="153" xr:uid="{00000000-0005-0000-0000-00009B000000}"/>
    <cellStyle name="Normal 2 2 2 3 5 3 2" xfId="154" xr:uid="{00000000-0005-0000-0000-00009C000000}"/>
    <cellStyle name="Normal 2 2 2 3 5 3 2 2" xfId="155" xr:uid="{00000000-0005-0000-0000-00009D000000}"/>
    <cellStyle name="Normal 2 2 2 3 5 3 2 3" xfId="156" xr:uid="{00000000-0005-0000-0000-00009E000000}"/>
    <cellStyle name="Normal 2 2 2 3 5 3 3" xfId="157" xr:uid="{00000000-0005-0000-0000-00009F000000}"/>
    <cellStyle name="Normal 2 2 2 3 5 3 4" xfId="158" xr:uid="{00000000-0005-0000-0000-0000A0000000}"/>
    <cellStyle name="Normal 2 2 2 3 5 4" xfId="159" xr:uid="{00000000-0005-0000-0000-0000A1000000}"/>
    <cellStyle name="Normal 2 2 2 3 5 5" xfId="160" xr:uid="{00000000-0005-0000-0000-0000A2000000}"/>
    <cellStyle name="Normal 2 2 2 3 6" xfId="161" xr:uid="{00000000-0005-0000-0000-0000A3000000}"/>
    <cellStyle name="Normal 2 2 2 3 6 2" xfId="162" xr:uid="{00000000-0005-0000-0000-0000A4000000}"/>
    <cellStyle name="Normal 2 2 2 3 6 3" xfId="163" xr:uid="{00000000-0005-0000-0000-0000A5000000}"/>
    <cellStyle name="Normal 2 2 2 3 7" xfId="164" xr:uid="{00000000-0005-0000-0000-0000A6000000}"/>
    <cellStyle name="Normal 2 2 2 3 8" xfId="165" xr:uid="{00000000-0005-0000-0000-0000A7000000}"/>
    <cellStyle name="Normal 2 2 2 3 8 2" xfId="166" xr:uid="{00000000-0005-0000-0000-0000A8000000}"/>
    <cellStyle name="Normal 2 2 2 3 8 2 2" xfId="167" xr:uid="{00000000-0005-0000-0000-0000A9000000}"/>
    <cellStyle name="Normal 2 2 2 3 8 2 2 2" xfId="168" xr:uid="{00000000-0005-0000-0000-0000AA000000}"/>
    <cellStyle name="Normal 2 2 2 3 8 2 2 2 2" xfId="169" xr:uid="{00000000-0005-0000-0000-0000AB000000}"/>
    <cellStyle name="Normal 2 2 2 3 8 2 2 2 2 2" xfId="170" xr:uid="{00000000-0005-0000-0000-0000AC000000}"/>
    <cellStyle name="Normal 2 2 2 3 8 2 2 2 3" xfId="171" xr:uid="{00000000-0005-0000-0000-0000AD000000}"/>
    <cellStyle name="Normal 2 2 2 3 8 2 2 3" xfId="172" xr:uid="{00000000-0005-0000-0000-0000AE000000}"/>
    <cellStyle name="Normal 2 2 2 3 8 2 2 4" xfId="173" xr:uid="{00000000-0005-0000-0000-0000AF000000}"/>
    <cellStyle name="Normal 2 2 2 3 8 2 3" xfId="174" xr:uid="{00000000-0005-0000-0000-0000B0000000}"/>
    <cellStyle name="Normal 2 2 2 3 8 2 3 2" xfId="175" xr:uid="{00000000-0005-0000-0000-0000B1000000}"/>
    <cellStyle name="Normal 2 2 2 3 8 2 3 3" xfId="176" xr:uid="{00000000-0005-0000-0000-0000B2000000}"/>
    <cellStyle name="Normal 2 2 2 3 8 2 3 4" xfId="177" xr:uid="{00000000-0005-0000-0000-0000B3000000}"/>
    <cellStyle name="Normal 2 2 2 3 8 3" xfId="178" xr:uid="{00000000-0005-0000-0000-0000B4000000}"/>
    <cellStyle name="Normal 2 2 2 3 8 3 2" xfId="179" xr:uid="{00000000-0005-0000-0000-0000B5000000}"/>
    <cellStyle name="Normal 2 2 2 3 8 3 3" xfId="180" xr:uid="{00000000-0005-0000-0000-0000B6000000}"/>
    <cellStyle name="Normal 2 2 2 3 8 4" xfId="181" xr:uid="{00000000-0005-0000-0000-0000B7000000}"/>
    <cellStyle name="Normal 2 2 2 3 8 4 2" xfId="182" xr:uid="{00000000-0005-0000-0000-0000B8000000}"/>
    <cellStyle name="Normal 2 2 2 3 8 4 3" xfId="183" xr:uid="{00000000-0005-0000-0000-0000B9000000}"/>
    <cellStyle name="Normal 2 2 2 3 8 4 4" xfId="184" xr:uid="{00000000-0005-0000-0000-0000BA000000}"/>
    <cellStyle name="Normal 2 2 2 3 9" xfId="185" xr:uid="{00000000-0005-0000-0000-0000BB000000}"/>
    <cellStyle name="Normal 2 2 2 3 9 2" xfId="186" xr:uid="{00000000-0005-0000-0000-0000BC000000}"/>
    <cellStyle name="Normal 2 2 2 3 9 3" xfId="187" xr:uid="{00000000-0005-0000-0000-0000BD000000}"/>
    <cellStyle name="Normal 2 2 2 3 9 4" xfId="188" xr:uid="{00000000-0005-0000-0000-0000BE000000}"/>
    <cellStyle name="Normal 2 2 2 3 9 4 2" xfId="189" xr:uid="{00000000-0005-0000-0000-0000BF000000}"/>
    <cellStyle name="Normal 2 2 2 4" xfId="190" xr:uid="{00000000-0005-0000-0000-0000C0000000}"/>
    <cellStyle name="Normal 2 2 2 4 10" xfId="191" xr:uid="{00000000-0005-0000-0000-0000C1000000}"/>
    <cellStyle name="Normal 2 2 2 4 10 2" xfId="192" xr:uid="{00000000-0005-0000-0000-0000C2000000}"/>
    <cellStyle name="Normal 2 2 2 4 10 2 2" xfId="193" xr:uid="{00000000-0005-0000-0000-0000C3000000}"/>
    <cellStyle name="Normal 2 2 2 4 10 2 2 2" xfId="194" xr:uid="{00000000-0005-0000-0000-0000C4000000}"/>
    <cellStyle name="Normal 2 2 2 4 10 2 2 3" xfId="195" xr:uid="{00000000-0005-0000-0000-0000C5000000}"/>
    <cellStyle name="Normal 2 2 2 4 11" xfId="196" xr:uid="{00000000-0005-0000-0000-0000C6000000}"/>
    <cellStyle name="Normal 2 2 2 4 11 2" xfId="197" xr:uid="{00000000-0005-0000-0000-0000C7000000}"/>
    <cellStyle name="Normal 2 2 2 4 11 3" xfId="198" xr:uid="{00000000-0005-0000-0000-0000C8000000}"/>
    <cellStyle name="Normal 2 2 2 4 12" xfId="199" xr:uid="{00000000-0005-0000-0000-0000C9000000}"/>
    <cellStyle name="Normal 2 2 2 4 12 2" xfId="200" xr:uid="{00000000-0005-0000-0000-0000CA000000}"/>
    <cellStyle name="Normal 2 2 2 4 12 3" xfId="201" xr:uid="{00000000-0005-0000-0000-0000CB000000}"/>
    <cellStyle name="Normal 2 2 2 4 13" xfId="202" xr:uid="{00000000-0005-0000-0000-0000CC000000}"/>
    <cellStyle name="Normal 2 2 2 4 13 2" xfId="203" xr:uid="{00000000-0005-0000-0000-0000CD000000}"/>
    <cellStyle name="Normal 2 2 2 4 13 2 2 2" xfId="204" xr:uid="{00000000-0005-0000-0000-0000CE000000}"/>
    <cellStyle name="Normal 2 2 2 4 13 2 2 2 2" xfId="205" xr:uid="{00000000-0005-0000-0000-0000CF000000}"/>
    <cellStyle name="Normal 2 2 2 4 13 2 2 2 3" xfId="206" xr:uid="{00000000-0005-0000-0000-0000D0000000}"/>
    <cellStyle name="Normal 2 2 2 4 2" xfId="207" xr:uid="{00000000-0005-0000-0000-0000D1000000}"/>
    <cellStyle name="Normal 2 2 2 4 2 2" xfId="208" xr:uid="{00000000-0005-0000-0000-0000D2000000}"/>
    <cellStyle name="Normal 2 2 2 4 2 2 2" xfId="209" xr:uid="{00000000-0005-0000-0000-0000D3000000}"/>
    <cellStyle name="Normal 2 2 2 4 2 2 2 2" xfId="210" xr:uid="{00000000-0005-0000-0000-0000D4000000}"/>
    <cellStyle name="Normal 2 2 2 4 2 2 2 3" xfId="211" xr:uid="{00000000-0005-0000-0000-0000D5000000}"/>
    <cellStyle name="Normal 2 2 2 4 2 2 3" xfId="212" xr:uid="{00000000-0005-0000-0000-0000D6000000}"/>
    <cellStyle name="Normal 2 2 2 4 2 2 4" xfId="213" xr:uid="{00000000-0005-0000-0000-0000D7000000}"/>
    <cellStyle name="Normal 2 2 2 4 2 3" xfId="214" xr:uid="{00000000-0005-0000-0000-0000D8000000}"/>
    <cellStyle name="Normal 2 2 2 4 2 3 2" xfId="215" xr:uid="{00000000-0005-0000-0000-0000D9000000}"/>
    <cellStyle name="Normal 2 2 2 4 2 3 3" xfId="216" xr:uid="{00000000-0005-0000-0000-0000DA000000}"/>
    <cellStyle name="Normal 2 2 2 4 2 4" xfId="217" xr:uid="{00000000-0005-0000-0000-0000DB000000}"/>
    <cellStyle name="Normal 2 2 2 4 2 5" xfId="218" xr:uid="{00000000-0005-0000-0000-0000DC000000}"/>
    <cellStyle name="Normal 2 2 2 4 3" xfId="219" xr:uid="{00000000-0005-0000-0000-0000DD000000}"/>
    <cellStyle name="Normal 2 2 2 4 3 2" xfId="220" xr:uid="{00000000-0005-0000-0000-0000DE000000}"/>
    <cellStyle name="Normal 2 2 2 4 3 2 2" xfId="221" xr:uid="{00000000-0005-0000-0000-0000DF000000}"/>
    <cellStyle name="Normal 2 2 2 4 3 2 3" xfId="222" xr:uid="{00000000-0005-0000-0000-0000E0000000}"/>
    <cellStyle name="Normal 2 2 2 4 3 3" xfId="223" xr:uid="{00000000-0005-0000-0000-0000E1000000}"/>
    <cellStyle name="Normal 2 2 2 4 3 4" xfId="224" xr:uid="{00000000-0005-0000-0000-0000E2000000}"/>
    <cellStyle name="Normal 2 2 2 4 4" xfId="225" xr:uid="{00000000-0005-0000-0000-0000E3000000}"/>
    <cellStyle name="Normal 2 2 2 4 4 2" xfId="226" xr:uid="{00000000-0005-0000-0000-0000E4000000}"/>
    <cellStyle name="Normal 2 2 2 4 4 2 2" xfId="227" xr:uid="{00000000-0005-0000-0000-0000E5000000}"/>
    <cellStyle name="Normal 2 2 2 4 4 2 3" xfId="228" xr:uid="{00000000-0005-0000-0000-0000E6000000}"/>
    <cellStyle name="Normal 2 2 2 4 4 3" xfId="229" xr:uid="{00000000-0005-0000-0000-0000E7000000}"/>
    <cellStyle name="Normal 2 2 2 4 4 4" xfId="230" xr:uid="{00000000-0005-0000-0000-0000E8000000}"/>
    <cellStyle name="Normal 2 2 2 4 5" xfId="231" xr:uid="{00000000-0005-0000-0000-0000E9000000}"/>
    <cellStyle name="Normal 2 2 2 4 5 2" xfId="232" xr:uid="{00000000-0005-0000-0000-0000EA000000}"/>
    <cellStyle name="Normal 2 2 2 4 5 2 2" xfId="233" xr:uid="{00000000-0005-0000-0000-0000EB000000}"/>
    <cellStyle name="Normal 2 2 2 4 5 2 3" xfId="234" xr:uid="{00000000-0005-0000-0000-0000EC000000}"/>
    <cellStyle name="Normal 2 2 2 4 5 3" xfId="235" xr:uid="{00000000-0005-0000-0000-0000ED000000}"/>
    <cellStyle name="Normal 2 2 2 4 5 4" xfId="236" xr:uid="{00000000-0005-0000-0000-0000EE000000}"/>
    <cellStyle name="Normal 2 2 2 4 6" xfId="237" xr:uid="{00000000-0005-0000-0000-0000EF000000}"/>
    <cellStyle name="Normal 2 2 2 4 6 2" xfId="238" xr:uid="{00000000-0005-0000-0000-0000F0000000}"/>
    <cellStyle name="Normal 2 2 2 4 6 2 2" xfId="239" xr:uid="{00000000-0005-0000-0000-0000F1000000}"/>
    <cellStyle name="Normal 2 2 2 4 6 2 3" xfId="240" xr:uid="{00000000-0005-0000-0000-0000F2000000}"/>
    <cellStyle name="Normal 2 2 2 4 6 3" xfId="241" xr:uid="{00000000-0005-0000-0000-0000F3000000}"/>
    <cellStyle name="Normal 2 2 2 4 6 4" xfId="242" xr:uid="{00000000-0005-0000-0000-0000F4000000}"/>
    <cellStyle name="Normal 2 2 2 4 6 5" xfId="243" xr:uid="{00000000-0005-0000-0000-0000F5000000}"/>
    <cellStyle name="Normal 2 2 2 4 6 5 2" xfId="244" xr:uid="{00000000-0005-0000-0000-0000F6000000}"/>
    <cellStyle name="Normal 2 2 2 4 6 5 2 2" xfId="245" xr:uid="{00000000-0005-0000-0000-0000F7000000}"/>
    <cellStyle name="Normal 2 2 2 4 6 5 2 2 2 2" xfId="246" xr:uid="{00000000-0005-0000-0000-0000F8000000}"/>
    <cellStyle name="Normal 2 2 2 4 6 5 2 2 2 2 2" xfId="247" xr:uid="{00000000-0005-0000-0000-0000F9000000}"/>
    <cellStyle name="Normal 2 2 2 4 6 5 2 2 2 2 3" xfId="248" xr:uid="{00000000-0005-0000-0000-0000FA000000}"/>
    <cellStyle name="Normal 2 2 2 4 6 5 2 2 2 2 4" xfId="249" xr:uid="{00000000-0005-0000-0000-0000FB000000}"/>
    <cellStyle name="Normal 2 2 2 4 6 5 2 3" xfId="250" xr:uid="{00000000-0005-0000-0000-0000FC000000}"/>
    <cellStyle name="Normal 2 2 2 4 6 5 2 3 2" xfId="251" xr:uid="{00000000-0005-0000-0000-0000FD000000}"/>
    <cellStyle name="Normal 2 2 2 4 6 5 3" xfId="252" xr:uid="{00000000-0005-0000-0000-0000FE000000}"/>
    <cellStyle name="Normal 2 2 2 4 6 5 4" xfId="253" xr:uid="{00000000-0005-0000-0000-0000FF000000}"/>
    <cellStyle name="Normal 2 2 2 4 6 5 4 2" xfId="254" xr:uid="{00000000-0005-0000-0000-000000010000}"/>
    <cellStyle name="Normal 2 2 2 4 6 6" xfId="255" xr:uid="{00000000-0005-0000-0000-000001010000}"/>
    <cellStyle name="Normal 2 2 2 4 7" xfId="256" xr:uid="{00000000-0005-0000-0000-000002010000}"/>
    <cellStyle name="Normal 2 2 2 4 7 2" xfId="257" xr:uid="{00000000-0005-0000-0000-000003010000}"/>
    <cellStyle name="Normal 2 2 2 4 7 3" xfId="258" xr:uid="{00000000-0005-0000-0000-000004010000}"/>
    <cellStyle name="Normal 2 2 2 4 8" xfId="259" xr:uid="{00000000-0005-0000-0000-000005010000}"/>
    <cellStyle name="Normal 2 2 2 4 9" xfId="260" xr:uid="{00000000-0005-0000-0000-000006010000}"/>
    <cellStyle name="Normal 2 2 2 5" xfId="261" xr:uid="{00000000-0005-0000-0000-000007010000}"/>
    <cellStyle name="Normal 2 2 2 5 2" xfId="262" xr:uid="{00000000-0005-0000-0000-000008010000}"/>
    <cellStyle name="Normal 2 2 2 5 2 2" xfId="263" xr:uid="{00000000-0005-0000-0000-000009010000}"/>
    <cellStyle name="Normal 2 2 2 5 2 2 2" xfId="264" xr:uid="{00000000-0005-0000-0000-00000A010000}"/>
    <cellStyle name="Normal 2 2 2 5 2 2 3" xfId="265" xr:uid="{00000000-0005-0000-0000-00000B010000}"/>
    <cellStyle name="Normal 2 2 2 5 2 3" xfId="266" xr:uid="{00000000-0005-0000-0000-00000C010000}"/>
    <cellStyle name="Normal 2 2 2 5 2 4" xfId="267" xr:uid="{00000000-0005-0000-0000-00000D010000}"/>
    <cellStyle name="Normal 2 2 2 5 3" xfId="268" xr:uid="{00000000-0005-0000-0000-00000E010000}"/>
    <cellStyle name="Normal 2 2 2 5 3 2" xfId="269" xr:uid="{00000000-0005-0000-0000-00000F010000}"/>
    <cellStyle name="Normal 2 2 2 5 3 3" xfId="270" xr:uid="{00000000-0005-0000-0000-000010010000}"/>
    <cellStyle name="Normal 2 2 2 5 4" xfId="271" xr:uid="{00000000-0005-0000-0000-000011010000}"/>
    <cellStyle name="Normal 2 2 2 5 5" xfId="272" xr:uid="{00000000-0005-0000-0000-000012010000}"/>
    <cellStyle name="Normal 2 2 2 6" xfId="273" xr:uid="{00000000-0005-0000-0000-000013010000}"/>
    <cellStyle name="Normal 2 2 2 6 2" xfId="274" xr:uid="{00000000-0005-0000-0000-000014010000}"/>
    <cellStyle name="Normal 2 2 2 6 2 2" xfId="275" xr:uid="{00000000-0005-0000-0000-000015010000}"/>
    <cellStyle name="Normal 2 2 2 6 2 3" xfId="276" xr:uid="{00000000-0005-0000-0000-000016010000}"/>
    <cellStyle name="Normal 2 2 2 6 3" xfId="277" xr:uid="{00000000-0005-0000-0000-000017010000}"/>
    <cellStyle name="Normal 2 2 2 6 4" xfId="278" xr:uid="{00000000-0005-0000-0000-000018010000}"/>
    <cellStyle name="Normal 2 2 2 7" xfId="279" xr:uid="{00000000-0005-0000-0000-000019010000}"/>
    <cellStyle name="Normal 2 2 2 7 2" xfId="280" xr:uid="{00000000-0005-0000-0000-00001A010000}"/>
    <cellStyle name="Normal 2 2 2 7 2 2" xfId="281" xr:uid="{00000000-0005-0000-0000-00001B010000}"/>
    <cellStyle name="Normal 2 2 2 7 2 3" xfId="282" xr:uid="{00000000-0005-0000-0000-00001C010000}"/>
    <cellStyle name="Normal 2 2 2 7 3" xfId="283" xr:uid="{00000000-0005-0000-0000-00001D010000}"/>
    <cellStyle name="Normal 2 2 2 7 4" xfId="284" xr:uid="{00000000-0005-0000-0000-00001E010000}"/>
    <cellStyle name="Normal 2 2 2 8" xfId="285" xr:uid="{00000000-0005-0000-0000-00001F010000}"/>
    <cellStyle name="Normal 2 2 2 8 2" xfId="286" xr:uid="{00000000-0005-0000-0000-000020010000}"/>
    <cellStyle name="Normal 2 2 2 8 3" xfId="287" xr:uid="{00000000-0005-0000-0000-000021010000}"/>
    <cellStyle name="Normal 2 2 2 9" xfId="288" xr:uid="{00000000-0005-0000-0000-000022010000}"/>
    <cellStyle name="Normal 2 2 3" xfId="289" xr:uid="{00000000-0005-0000-0000-000023010000}"/>
    <cellStyle name="Normal 2 2 3 10" xfId="290" xr:uid="{00000000-0005-0000-0000-000024010000}"/>
    <cellStyle name="Normal 2 2 3 11" xfId="291" xr:uid="{00000000-0005-0000-0000-000025010000}"/>
    <cellStyle name="Normal 2 2 3 12" xfId="292" xr:uid="{00000000-0005-0000-0000-000026010000}"/>
    <cellStyle name="Normal 2 2 3 2" xfId="293" xr:uid="{00000000-0005-0000-0000-000027010000}"/>
    <cellStyle name="Normal 2 2 3 2 10" xfId="294" xr:uid="{00000000-0005-0000-0000-000028010000}"/>
    <cellStyle name="Normal 2 2 3 2 10 2" xfId="295" xr:uid="{00000000-0005-0000-0000-000029010000}"/>
    <cellStyle name="Normal 2 2 3 2 10 2 2" xfId="296" xr:uid="{00000000-0005-0000-0000-00002A010000}"/>
    <cellStyle name="Normal 2 2 3 2 10 2 2 2" xfId="297" xr:uid="{00000000-0005-0000-0000-00002B010000}"/>
    <cellStyle name="Normal 2 2 3 2 10 2 2 2 2" xfId="298" xr:uid="{00000000-0005-0000-0000-00002C010000}"/>
    <cellStyle name="Normal 2 2 3 2 10 2 2 2 2 2" xfId="299" xr:uid="{00000000-0005-0000-0000-00002D010000}"/>
    <cellStyle name="Normal 2 2 3 2 10 2 2 2 3" xfId="300" xr:uid="{00000000-0005-0000-0000-00002E010000}"/>
    <cellStyle name="Normal 2 2 3 2 10 2 3" xfId="301" xr:uid="{00000000-0005-0000-0000-00002F010000}"/>
    <cellStyle name="Normal 2 2 3 2 10 2 3 2" xfId="302" xr:uid="{00000000-0005-0000-0000-000030010000}"/>
    <cellStyle name="Normal 2 2 3 2 10 2 3 3" xfId="303" xr:uid="{00000000-0005-0000-0000-000031010000}"/>
    <cellStyle name="Normal 2 2 3 2 10 2 4" xfId="304" xr:uid="{00000000-0005-0000-0000-000032010000}"/>
    <cellStyle name="Normal 2 2 3 2 10 2 4 2" xfId="305" xr:uid="{00000000-0005-0000-0000-000033010000}"/>
    <cellStyle name="Normal 2 2 3 2 10 2 4 3" xfId="306" xr:uid="{00000000-0005-0000-0000-000034010000}"/>
    <cellStyle name="Normal 2 2 3 2 10 2 5" xfId="307" xr:uid="{00000000-0005-0000-0000-000035010000}"/>
    <cellStyle name="Normal 2 2 3 2 10 2 5 2" xfId="308" xr:uid="{00000000-0005-0000-0000-000036010000}"/>
    <cellStyle name="Normal 2 2 3 2 10 2 5 3" xfId="309" xr:uid="{00000000-0005-0000-0000-000037010000}"/>
    <cellStyle name="Normal 2 2 3 2 10 3" xfId="310" xr:uid="{00000000-0005-0000-0000-000038010000}"/>
    <cellStyle name="Normal 2 2 3 2 10 3 2" xfId="311" xr:uid="{00000000-0005-0000-0000-000039010000}"/>
    <cellStyle name="Normal 2 2 3 2 10 3 3" xfId="312" xr:uid="{00000000-0005-0000-0000-00003A010000}"/>
    <cellStyle name="Normal 2 2 3 2 10 4" xfId="313" xr:uid="{00000000-0005-0000-0000-00003B010000}"/>
    <cellStyle name="Normal 2 2 3 2 10 4 2" xfId="314" xr:uid="{00000000-0005-0000-0000-00003C010000}"/>
    <cellStyle name="Normal 2 2 3 2 10 4 3" xfId="315" xr:uid="{00000000-0005-0000-0000-00003D010000}"/>
    <cellStyle name="Normal 2 2 3 2 10 4 4" xfId="316" xr:uid="{00000000-0005-0000-0000-00003E010000}"/>
    <cellStyle name="Normal 2 2 3 2 11" xfId="317" xr:uid="{00000000-0005-0000-0000-00003F010000}"/>
    <cellStyle name="Normal 2 2 3 2 11 2" xfId="318" xr:uid="{00000000-0005-0000-0000-000040010000}"/>
    <cellStyle name="Normal 2 2 3 2 11 2 2" xfId="319" xr:uid="{00000000-0005-0000-0000-000041010000}"/>
    <cellStyle name="Normal 2 2 3 2 11 2 3" xfId="320" xr:uid="{00000000-0005-0000-0000-000042010000}"/>
    <cellStyle name="Normal 2 2 3 2 11 2 3 2" xfId="321" xr:uid="{00000000-0005-0000-0000-000043010000}"/>
    <cellStyle name="Normal 2 2 3 2 11 3" xfId="322" xr:uid="{00000000-0005-0000-0000-000044010000}"/>
    <cellStyle name="Normal 2 2 3 2 11 4" xfId="323" xr:uid="{00000000-0005-0000-0000-000045010000}"/>
    <cellStyle name="Normal 2 2 3 2 11 4 2" xfId="324" xr:uid="{00000000-0005-0000-0000-000046010000}"/>
    <cellStyle name="Normal 2 2 3 2 12" xfId="325" xr:uid="{00000000-0005-0000-0000-000047010000}"/>
    <cellStyle name="Normal 2 2 3 2 13" xfId="326" xr:uid="{00000000-0005-0000-0000-000048010000}"/>
    <cellStyle name="Normal 2 2 3 2 13 2" xfId="327" xr:uid="{00000000-0005-0000-0000-000049010000}"/>
    <cellStyle name="Normal 2 2 3 2 13 3" xfId="328" xr:uid="{00000000-0005-0000-0000-00004A010000}"/>
    <cellStyle name="Normal 2 2 3 2 14" xfId="329" xr:uid="{00000000-0005-0000-0000-00004B010000}"/>
    <cellStyle name="Normal 2 2 3 2 14 2" xfId="330" xr:uid="{00000000-0005-0000-0000-00004C010000}"/>
    <cellStyle name="Normal 2 2 3 2 14 3" xfId="331" xr:uid="{00000000-0005-0000-0000-00004D010000}"/>
    <cellStyle name="Normal 2 2 3 2 15" xfId="332" xr:uid="{00000000-0005-0000-0000-00004E010000}"/>
    <cellStyle name="Normal 2 2 3 2 2" xfId="333" xr:uid="{00000000-0005-0000-0000-00004F010000}"/>
    <cellStyle name="Normal 2 2 3 2 2 2" xfId="334" xr:uid="{00000000-0005-0000-0000-000050010000}"/>
    <cellStyle name="Normal 2 2 3 2 2 2 2" xfId="335" xr:uid="{00000000-0005-0000-0000-000051010000}"/>
    <cellStyle name="Normal 2 2 3 2 2 2 2 2" xfId="336" xr:uid="{00000000-0005-0000-0000-000052010000}"/>
    <cellStyle name="Normal 2 2 3 2 2 2 2 2 2" xfId="337" xr:uid="{00000000-0005-0000-0000-000053010000}"/>
    <cellStyle name="Normal 2 2 3 2 2 2 2 2 3" xfId="338" xr:uid="{00000000-0005-0000-0000-000054010000}"/>
    <cellStyle name="Normal 2 2 3 2 2 2 2 3" xfId="339" xr:uid="{00000000-0005-0000-0000-000055010000}"/>
    <cellStyle name="Normal 2 2 3 2 2 2 2 4" xfId="340" xr:uid="{00000000-0005-0000-0000-000056010000}"/>
    <cellStyle name="Normal 2 2 3 2 2 2 3" xfId="341" xr:uid="{00000000-0005-0000-0000-000057010000}"/>
    <cellStyle name="Normal 2 2 3 2 2 2 3 2" xfId="342" xr:uid="{00000000-0005-0000-0000-000058010000}"/>
    <cellStyle name="Normal 2 2 3 2 2 2 3 3" xfId="343" xr:uid="{00000000-0005-0000-0000-000059010000}"/>
    <cellStyle name="Normal 2 2 3 2 2 2 4" xfId="344" xr:uid="{00000000-0005-0000-0000-00005A010000}"/>
    <cellStyle name="Normal 2 2 3 2 2 2 5" xfId="345" xr:uid="{00000000-0005-0000-0000-00005B010000}"/>
    <cellStyle name="Normal 2 2 3 2 2 3" xfId="346" xr:uid="{00000000-0005-0000-0000-00005C010000}"/>
    <cellStyle name="Normal 2 2 3 2 2 3 2" xfId="347" xr:uid="{00000000-0005-0000-0000-00005D010000}"/>
    <cellStyle name="Normal 2 2 3 2 2 3 2 2" xfId="348" xr:uid="{00000000-0005-0000-0000-00005E010000}"/>
    <cellStyle name="Normal 2 2 3 2 2 3 2 3" xfId="349" xr:uid="{00000000-0005-0000-0000-00005F010000}"/>
    <cellStyle name="Normal 2 2 3 2 2 3 3" xfId="350" xr:uid="{00000000-0005-0000-0000-000060010000}"/>
    <cellStyle name="Normal 2 2 3 2 2 3 4" xfId="351" xr:uid="{00000000-0005-0000-0000-000061010000}"/>
    <cellStyle name="Normal 2 2 3 2 2 4" xfId="352" xr:uid="{00000000-0005-0000-0000-000062010000}"/>
    <cellStyle name="Normal 2 2 3 2 2 4 2" xfId="353" xr:uid="{00000000-0005-0000-0000-000063010000}"/>
    <cellStyle name="Normal 2 2 3 2 2 4 2 2" xfId="354" xr:uid="{00000000-0005-0000-0000-000064010000}"/>
    <cellStyle name="Normal 2 2 3 2 2 4 2 2 2" xfId="355" xr:uid="{00000000-0005-0000-0000-000065010000}"/>
    <cellStyle name="Normal 2 2 3 2 2 4 2 2 2 2" xfId="356" xr:uid="{00000000-0005-0000-0000-000066010000}"/>
    <cellStyle name="Normal 2 2 3 2 2 4 2 2 2 3" xfId="357" xr:uid="{00000000-0005-0000-0000-000067010000}"/>
    <cellStyle name="Normal 2 2 3 2 2 4 2 2 3" xfId="358" xr:uid="{00000000-0005-0000-0000-000068010000}"/>
    <cellStyle name="Normal 2 2 3 2 2 4 2 2 4" xfId="359" xr:uid="{00000000-0005-0000-0000-000069010000}"/>
    <cellStyle name="Normal 2 2 3 2 2 4 2 3" xfId="360" xr:uid="{00000000-0005-0000-0000-00006A010000}"/>
    <cellStyle name="Normal 2 2 3 2 2 4 2 3 2" xfId="361" xr:uid="{00000000-0005-0000-0000-00006B010000}"/>
    <cellStyle name="Normal 2 2 3 2 2 4 2 3 3" xfId="362" xr:uid="{00000000-0005-0000-0000-00006C010000}"/>
    <cellStyle name="Normal 2 2 3 2 2 4 2 4" xfId="363" xr:uid="{00000000-0005-0000-0000-00006D010000}"/>
    <cellStyle name="Normal 2 2 3 2 2 4 2 5" xfId="364" xr:uid="{00000000-0005-0000-0000-00006E010000}"/>
    <cellStyle name="Normal 2 2 3 2 2 4 3" xfId="365" xr:uid="{00000000-0005-0000-0000-00006F010000}"/>
    <cellStyle name="Normal 2 2 3 2 2 4 3 2" xfId="366" xr:uid="{00000000-0005-0000-0000-000070010000}"/>
    <cellStyle name="Normal 2 2 3 2 2 4 3 2 2" xfId="367" xr:uid="{00000000-0005-0000-0000-000071010000}"/>
    <cellStyle name="Normal 2 2 3 2 2 4 3 2 2 2" xfId="368" xr:uid="{00000000-0005-0000-0000-000072010000}"/>
    <cellStyle name="Normal 2 2 3 2 2 4 3 2 2 3" xfId="369" xr:uid="{00000000-0005-0000-0000-000073010000}"/>
    <cellStyle name="Normal 2 2 3 2 2 4 3 2 3" xfId="370" xr:uid="{00000000-0005-0000-0000-000074010000}"/>
    <cellStyle name="Normal 2 2 3 2 2 4 3 2 4" xfId="371" xr:uid="{00000000-0005-0000-0000-000075010000}"/>
    <cellStyle name="Normal 2 2 3 2 2 4 3 3" xfId="372" xr:uid="{00000000-0005-0000-0000-000076010000}"/>
    <cellStyle name="Normal 2 2 3 2 2 4 3 3 2" xfId="373" xr:uid="{00000000-0005-0000-0000-000077010000}"/>
    <cellStyle name="Normal 2 2 3 2 2 4 3 3 3" xfId="374" xr:uid="{00000000-0005-0000-0000-000078010000}"/>
    <cellStyle name="Normal 2 2 3 2 2 4 3 4" xfId="375" xr:uid="{00000000-0005-0000-0000-000079010000}"/>
    <cellStyle name="Normal 2 2 3 2 2 4 3 5" xfId="376" xr:uid="{00000000-0005-0000-0000-00007A010000}"/>
    <cellStyle name="Normal 2 2 3 2 2 4 4" xfId="377" xr:uid="{00000000-0005-0000-0000-00007B010000}"/>
    <cellStyle name="Normal 2 2 3 2 2 4 4 2" xfId="378" xr:uid="{00000000-0005-0000-0000-00007C010000}"/>
    <cellStyle name="Normal 2 2 3 2 2 4 4 2 2" xfId="379" xr:uid="{00000000-0005-0000-0000-00007D010000}"/>
    <cellStyle name="Normal 2 2 3 2 2 4 4 2 3" xfId="380" xr:uid="{00000000-0005-0000-0000-00007E010000}"/>
    <cellStyle name="Normal 2 2 3 2 2 4 4 3" xfId="381" xr:uid="{00000000-0005-0000-0000-00007F010000}"/>
    <cellStyle name="Normal 2 2 3 2 2 4 4 4" xfId="382" xr:uid="{00000000-0005-0000-0000-000080010000}"/>
    <cellStyle name="Normal 2 2 3 2 2 4 5" xfId="383" xr:uid="{00000000-0005-0000-0000-000081010000}"/>
    <cellStyle name="Normal 2 2 3 2 2 4 5 2" xfId="384" xr:uid="{00000000-0005-0000-0000-000082010000}"/>
    <cellStyle name="Normal 2 2 3 2 2 4 5 2 2" xfId="385" xr:uid="{00000000-0005-0000-0000-000083010000}"/>
    <cellStyle name="Normal 2 2 3 2 2 4 5 2 3" xfId="386" xr:uid="{00000000-0005-0000-0000-000084010000}"/>
    <cellStyle name="Normal 2 2 3 2 2 4 5 3" xfId="387" xr:uid="{00000000-0005-0000-0000-000085010000}"/>
    <cellStyle name="Normal 2 2 3 2 2 4 5 4" xfId="388" xr:uid="{00000000-0005-0000-0000-000086010000}"/>
    <cellStyle name="Normal 2 2 3 2 2 4 6" xfId="389" xr:uid="{00000000-0005-0000-0000-000087010000}"/>
    <cellStyle name="Normal 2 2 3 2 2 4 6 2" xfId="390" xr:uid="{00000000-0005-0000-0000-000088010000}"/>
    <cellStyle name="Normal 2 2 3 2 2 4 6 2 2" xfId="391" xr:uid="{00000000-0005-0000-0000-000089010000}"/>
    <cellStyle name="Normal 2 2 3 2 2 4 6 2 3" xfId="392" xr:uid="{00000000-0005-0000-0000-00008A010000}"/>
    <cellStyle name="Normal 2 2 3 2 2 4 6 3" xfId="393" xr:uid="{00000000-0005-0000-0000-00008B010000}"/>
    <cellStyle name="Normal 2 2 3 2 2 4 6 4" xfId="394" xr:uid="{00000000-0005-0000-0000-00008C010000}"/>
    <cellStyle name="Normal 2 2 3 2 2 4 7" xfId="395" xr:uid="{00000000-0005-0000-0000-00008D010000}"/>
    <cellStyle name="Normal 2 2 3 2 2 4 7 2" xfId="396" xr:uid="{00000000-0005-0000-0000-00008E010000}"/>
    <cellStyle name="Normal 2 2 3 2 2 4 7 3" xfId="397" xr:uid="{00000000-0005-0000-0000-00008F010000}"/>
    <cellStyle name="Normal 2 2 3 2 2 4 8" xfId="398" xr:uid="{00000000-0005-0000-0000-000090010000}"/>
    <cellStyle name="Normal 2 2 3 2 2 4 9" xfId="399" xr:uid="{00000000-0005-0000-0000-000091010000}"/>
    <cellStyle name="Normal 2 2 3 2 2 5" xfId="400" xr:uid="{00000000-0005-0000-0000-000092010000}"/>
    <cellStyle name="Normal 2 2 3 2 2 5 2" xfId="401" xr:uid="{00000000-0005-0000-0000-000093010000}"/>
    <cellStyle name="Normal 2 2 3 2 2 5 2 2" xfId="402" xr:uid="{00000000-0005-0000-0000-000094010000}"/>
    <cellStyle name="Normal 2 2 3 2 2 5 2 3" xfId="403" xr:uid="{00000000-0005-0000-0000-000095010000}"/>
    <cellStyle name="Normal 2 2 3 2 2 5 3" xfId="404" xr:uid="{00000000-0005-0000-0000-000096010000}"/>
    <cellStyle name="Normal 2 2 3 2 2 5 4" xfId="405" xr:uid="{00000000-0005-0000-0000-000097010000}"/>
    <cellStyle name="Normal 2 2 3 2 2 6" xfId="406" xr:uid="{00000000-0005-0000-0000-000098010000}"/>
    <cellStyle name="Normal 2 2 3 2 2 6 2" xfId="407" xr:uid="{00000000-0005-0000-0000-000099010000}"/>
    <cellStyle name="Normal 2 2 3 2 2 6 3" xfId="408" xr:uid="{00000000-0005-0000-0000-00009A010000}"/>
    <cellStyle name="Normal 2 2 3 2 2 7" xfId="409" xr:uid="{00000000-0005-0000-0000-00009B010000}"/>
    <cellStyle name="Normal 2 2 3 2 2 8" xfId="410" xr:uid="{00000000-0005-0000-0000-00009C010000}"/>
    <cellStyle name="Normal 2 2 3 2 3" xfId="411" xr:uid="{00000000-0005-0000-0000-00009D010000}"/>
    <cellStyle name="Normal 2 2 3 2 3 2" xfId="412" xr:uid="{00000000-0005-0000-0000-00009E010000}"/>
    <cellStyle name="Normal 2 2 3 2 3 2 2" xfId="413" xr:uid="{00000000-0005-0000-0000-00009F010000}"/>
    <cellStyle name="Normal 2 2 3 2 3 2 2 2" xfId="414" xr:uid="{00000000-0005-0000-0000-0000A0010000}"/>
    <cellStyle name="Normal 2 2 3 2 3 2 2 3" xfId="415" xr:uid="{00000000-0005-0000-0000-0000A1010000}"/>
    <cellStyle name="Normal 2 2 3 2 3 2 3" xfId="416" xr:uid="{00000000-0005-0000-0000-0000A2010000}"/>
    <cellStyle name="Normal 2 2 3 2 3 2 4" xfId="417" xr:uid="{00000000-0005-0000-0000-0000A3010000}"/>
    <cellStyle name="Normal 2 2 3 2 3 3" xfId="418" xr:uid="{00000000-0005-0000-0000-0000A4010000}"/>
    <cellStyle name="Normal 2 2 3 2 3 3 2" xfId="419" xr:uid="{00000000-0005-0000-0000-0000A5010000}"/>
    <cellStyle name="Normal 2 2 3 2 3 3 3" xfId="420" xr:uid="{00000000-0005-0000-0000-0000A6010000}"/>
    <cellStyle name="Normal 2 2 3 2 3 4" xfId="421" xr:uid="{00000000-0005-0000-0000-0000A7010000}"/>
    <cellStyle name="Normal 2 2 3 2 3 5" xfId="422" xr:uid="{00000000-0005-0000-0000-0000A8010000}"/>
    <cellStyle name="Normal 2 2 3 2 4" xfId="423" xr:uid="{00000000-0005-0000-0000-0000A9010000}"/>
    <cellStyle name="Normal 2 2 3 2 4 2" xfId="424" xr:uid="{00000000-0005-0000-0000-0000AA010000}"/>
    <cellStyle name="Normal 2 2 3 2 4 2 2" xfId="425" xr:uid="{00000000-0005-0000-0000-0000AB010000}"/>
    <cellStyle name="Normal 2 2 3 2 4 2 3" xfId="426" xr:uid="{00000000-0005-0000-0000-0000AC010000}"/>
    <cellStyle name="Normal 2 2 3 2 4 3" xfId="427" xr:uid="{00000000-0005-0000-0000-0000AD010000}"/>
    <cellStyle name="Normal 2 2 3 2 4 4" xfId="428" xr:uid="{00000000-0005-0000-0000-0000AE010000}"/>
    <cellStyle name="Normal 2 2 3 2 5" xfId="429" xr:uid="{00000000-0005-0000-0000-0000AF010000}"/>
    <cellStyle name="Normal 2 2 3 2 5 2" xfId="430" xr:uid="{00000000-0005-0000-0000-0000B0010000}"/>
    <cellStyle name="Normal 2 2 3 2 5 2 2" xfId="431" xr:uid="{00000000-0005-0000-0000-0000B1010000}"/>
    <cellStyle name="Normal 2 2 3 2 5 2 3" xfId="432" xr:uid="{00000000-0005-0000-0000-0000B2010000}"/>
    <cellStyle name="Normal 2 2 3 2 5 3" xfId="433" xr:uid="{00000000-0005-0000-0000-0000B3010000}"/>
    <cellStyle name="Normal 2 2 3 2 5 4" xfId="434" xr:uid="{00000000-0005-0000-0000-0000B4010000}"/>
    <cellStyle name="Normal 2 2 3 2 6" xfId="435" xr:uid="{00000000-0005-0000-0000-0000B5010000}"/>
    <cellStyle name="Normal 2 2 3 2 6 2" xfId="436" xr:uid="{00000000-0005-0000-0000-0000B6010000}"/>
    <cellStyle name="Normal 2 2 3 2 6 2 2" xfId="437" xr:uid="{00000000-0005-0000-0000-0000B7010000}"/>
    <cellStyle name="Normal 2 2 3 2 6 2 3" xfId="438" xr:uid="{00000000-0005-0000-0000-0000B8010000}"/>
    <cellStyle name="Normal 2 2 3 2 6 3" xfId="439" xr:uid="{00000000-0005-0000-0000-0000B9010000}"/>
    <cellStyle name="Normal 2 2 3 2 6 4" xfId="440" xr:uid="{00000000-0005-0000-0000-0000BA010000}"/>
    <cellStyle name="Normal 2 2 3 2 7" xfId="441" xr:uid="{00000000-0005-0000-0000-0000BB010000}"/>
    <cellStyle name="Normal 2 2 3 2 7 2" xfId="442" xr:uid="{00000000-0005-0000-0000-0000BC010000}"/>
    <cellStyle name="Normal 2 2 3 2 7 2 2" xfId="443" xr:uid="{00000000-0005-0000-0000-0000BD010000}"/>
    <cellStyle name="Normal 2 2 3 2 7 2 3" xfId="444" xr:uid="{00000000-0005-0000-0000-0000BE010000}"/>
    <cellStyle name="Normal 2 2 3 2 7 3" xfId="445" xr:uid="{00000000-0005-0000-0000-0000BF010000}"/>
    <cellStyle name="Normal 2 2 3 2 7 4" xfId="446" xr:uid="{00000000-0005-0000-0000-0000C0010000}"/>
    <cellStyle name="Normal 2 2 3 2 7 5" xfId="447" xr:uid="{00000000-0005-0000-0000-0000C1010000}"/>
    <cellStyle name="Normal 2 2 3 2 7 5 2" xfId="448" xr:uid="{00000000-0005-0000-0000-0000C2010000}"/>
    <cellStyle name="Normal 2 2 3 2 7 5 2 2" xfId="449" xr:uid="{00000000-0005-0000-0000-0000C3010000}"/>
    <cellStyle name="Normal 2 2 3 2 7 5 2 3" xfId="450" xr:uid="{00000000-0005-0000-0000-0000C4010000}"/>
    <cellStyle name="Normal 2 2 3 2 7 5 3" xfId="451" xr:uid="{00000000-0005-0000-0000-0000C5010000}"/>
    <cellStyle name="Normal 2 2 3 2 7 5 4" xfId="452" xr:uid="{00000000-0005-0000-0000-0000C6010000}"/>
    <cellStyle name="Normal 2 2 3 2 7 5 4 2" xfId="453" xr:uid="{00000000-0005-0000-0000-0000C7010000}"/>
    <cellStyle name="Normal 2 2 3 2 7 6" xfId="454" xr:uid="{00000000-0005-0000-0000-0000C8010000}"/>
    <cellStyle name="Normal 2 2 3 2 8" xfId="455" xr:uid="{00000000-0005-0000-0000-0000C9010000}"/>
    <cellStyle name="Normal 2 2 3 2 8 2" xfId="456" xr:uid="{00000000-0005-0000-0000-0000CA010000}"/>
    <cellStyle name="Normal 2 2 3 2 8 3" xfId="457" xr:uid="{00000000-0005-0000-0000-0000CB010000}"/>
    <cellStyle name="Normal 2 2 3 2 9" xfId="458" xr:uid="{00000000-0005-0000-0000-0000CC010000}"/>
    <cellStyle name="Normal 2 2 3 3" xfId="459" xr:uid="{00000000-0005-0000-0000-0000CD010000}"/>
    <cellStyle name="Normal 2 2 3 3 10" xfId="460" xr:uid="{00000000-0005-0000-0000-0000CE010000}"/>
    <cellStyle name="Normal 2 2 3 3 11" xfId="461" xr:uid="{00000000-0005-0000-0000-0000CF010000}"/>
    <cellStyle name="Normal 2 2 3 3 11 2" xfId="462" xr:uid="{00000000-0005-0000-0000-0000D0010000}"/>
    <cellStyle name="Normal 2 2 3 3 11 3" xfId="463" xr:uid="{00000000-0005-0000-0000-0000D1010000}"/>
    <cellStyle name="Normal 2 2 3 3 12" xfId="464" xr:uid="{00000000-0005-0000-0000-0000D2010000}"/>
    <cellStyle name="Normal 2 2 3 3 12 2" xfId="465" xr:uid="{00000000-0005-0000-0000-0000D3010000}"/>
    <cellStyle name="Normal 2 2 3 3 12 3" xfId="466" xr:uid="{00000000-0005-0000-0000-0000D4010000}"/>
    <cellStyle name="Normal 2 2 3 3 13" xfId="467" xr:uid="{00000000-0005-0000-0000-0000D5010000}"/>
    <cellStyle name="Normal 2 2 3 3 13 2" xfId="468" xr:uid="{00000000-0005-0000-0000-0000D6010000}"/>
    <cellStyle name="Normal 2 2 3 3 13 2 2 2 2" xfId="469" xr:uid="{00000000-0005-0000-0000-0000D7010000}"/>
    <cellStyle name="Normal 2 2 3 3 13 2 2 2 2 2" xfId="470" xr:uid="{00000000-0005-0000-0000-0000D8010000}"/>
    <cellStyle name="Normal 2 2 3 3 13 2 2 2 2 3" xfId="471" xr:uid="{00000000-0005-0000-0000-0000D9010000}"/>
    <cellStyle name="Normal 2 2 3 3 13 2 2 2 2 4" xfId="472" xr:uid="{00000000-0005-0000-0000-0000DA010000}"/>
    <cellStyle name="Normal 2 2 3 3 13 3" xfId="473" xr:uid="{00000000-0005-0000-0000-0000DB010000}"/>
    <cellStyle name="Normal 2 2 3 3 13 4" xfId="474" xr:uid="{00000000-0005-0000-0000-0000DC010000}"/>
    <cellStyle name="Normal 2 2 3 3 14" xfId="475" xr:uid="{00000000-0005-0000-0000-0000DD010000}"/>
    <cellStyle name="Normal 2 2 3 3 14 2" xfId="476" xr:uid="{00000000-0005-0000-0000-0000DE010000}"/>
    <cellStyle name="Normal 2 2 3 3 14 2 2" xfId="477" xr:uid="{00000000-0005-0000-0000-0000DF010000}"/>
    <cellStyle name="Normal 2 2 3 3 14 2 3" xfId="478" xr:uid="{00000000-0005-0000-0000-0000E0010000}"/>
    <cellStyle name="Normal 2 2 3 3 14 2 4" xfId="479" xr:uid="{00000000-0005-0000-0000-0000E1010000}"/>
    <cellStyle name="Normal 2 2 3 3 14 3" xfId="480" xr:uid="{00000000-0005-0000-0000-0000E2010000}"/>
    <cellStyle name="Normal 2 2 3 3 14 4" xfId="481" xr:uid="{00000000-0005-0000-0000-0000E3010000}"/>
    <cellStyle name="Normal 2 2 3 3 14 4 2" xfId="482" xr:uid="{00000000-0005-0000-0000-0000E4010000}"/>
    <cellStyle name="Normal 2 2 3 3 15" xfId="483" xr:uid="{00000000-0005-0000-0000-0000E5010000}"/>
    <cellStyle name="Normal 2 2 3 3 16" xfId="484" xr:uid="{00000000-0005-0000-0000-0000E6010000}"/>
    <cellStyle name="Normal 2 2 3 3 16 2" xfId="485" xr:uid="{00000000-0005-0000-0000-0000E7010000}"/>
    <cellStyle name="Normal 2 2 3 3 2" xfId="486" xr:uid="{00000000-0005-0000-0000-0000E8010000}"/>
    <cellStyle name="Normal 2 2 3 3 2 10" xfId="487" xr:uid="{00000000-0005-0000-0000-0000E9010000}"/>
    <cellStyle name="Normal 2 2 3 3 2 10 2" xfId="488" xr:uid="{00000000-0005-0000-0000-0000EA010000}"/>
    <cellStyle name="Normal 2 2 3 3 2 10 3" xfId="489" xr:uid="{00000000-0005-0000-0000-0000EB010000}"/>
    <cellStyle name="Normal 2 2 3 3 2 11" xfId="490" xr:uid="{00000000-0005-0000-0000-0000EC010000}"/>
    <cellStyle name="Normal 2 2 3 3 2 12" xfId="491" xr:uid="{00000000-0005-0000-0000-0000ED010000}"/>
    <cellStyle name="Normal 2 2 3 3 2 12 2" xfId="492" xr:uid="{00000000-0005-0000-0000-0000EE010000}"/>
    <cellStyle name="Normal 2 2 3 3 2 2" xfId="493" xr:uid="{00000000-0005-0000-0000-0000EF010000}"/>
    <cellStyle name="Normal 2 2 3 3 2 2 2" xfId="494" xr:uid="{00000000-0005-0000-0000-0000F0010000}"/>
    <cellStyle name="Normal 2 2 3 3 2 2 2 2" xfId="495" xr:uid="{00000000-0005-0000-0000-0000F1010000}"/>
    <cellStyle name="Normal 2 2 3 3 2 2 2 2 2" xfId="496" xr:uid="{00000000-0005-0000-0000-0000F2010000}"/>
    <cellStyle name="Normal 2 2 3 3 2 2 2 2 3" xfId="497" xr:uid="{00000000-0005-0000-0000-0000F3010000}"/>
    <cellStyle name="Normal 2 2 3 3 2 2 2 3" xfId="498" xr:uid="{00000000-0005-0000-0000-0000F4010000}"/>
    <cellStyle name="Normal 2 2 3 3 2 2 2 4" xfId="499" xr:uid="{00000000-0005-0000-0000-0000F5010000}"/>
    <cellStyle name="Normal 2 2 3 3 2 2 3" xfId="500" xr:uid="{00000000-0005-0000-0000-0000F6010000}"/>
    <cellStyle name="Normal 2 2 3 3 2 2 3 2" xfId="501" xr:uid="{00000000-0005-0000-0000-0000F7010000}"/>
    <cellStyle name="Normal 2 2 3 3 2 2 3 3" xfId="502" xr:uid="{00000000-0005-0000-0000-0000F8010000}"/>
    <cellStyle name="Normal 2 2 3 3 2 2 4" xfId="503" xr:uid="{00000000-0005-0000-0000-0000F9010000}"/>
    <cellStyle name="Normal 2 2 3 3 2 2 5" xfId="504" xr:uid="{00000000-0005-0000-0000-0000FA010000}"/>
    <cellStyle name="Normal 2 2 3 3 2 3" xfId="505" xr:uid="{00000000-0005-0000-0000-0000FB010000}"/>
    <cellStyle name="Normal 2 2 3 3 2 3 2" xfId="506" xr:uid="{00000000-0005-0000-0000-0000FC010000}"/>
    <cellStyle name="Normal 2 2 3 3 2 3 2 2" xfId="507" xr:uid="{00000000-0005-0000-0000-0000FD010000}"/>
    <cellStyle name="Normal 2 2 3 3 2 3 2 3" xfId="508" xr:uid="{00000000-0005-0000-0000-0000FE010000}"/>
    <cellStyle name="Normal 2 2 3 3 2 3 3" xfId="509" xr:uid="{00000000-0005-0000-0000-0000FF010000}"/>
    <cellStyle name="Normal 2 2 3 3 2 3 4" xfId="510" xr:uid="{00000000-0005-0000-0000-000000020000}"/>
    <cellStyle name="Normal 2 2 3 3 2 4" xfId="511" xr:uid="{00000000-0005-0000-0000-000001020000}"/>
    <cellStyle name="Normal 2 2 3 3 2 4 2" xfId="512" xr:uid="{00000000-0005-0000-0000-000002020000}"/>
    <cellStyle name="Normal 2 2 3 3 2 4 2 2" xfId="513" xr:uid="{00000000-0005-0000-0000-000003020000}"/>
    <cellStyle name="Normal 2 2 3 3 2 4 2 3" xfId="514" xr:uid="{00000000-0005-0000-0000-000004020000}"/>
    <cellStyle name="Normal 2 2 3 3 2 4 3" xfId="515" xr:uid="{00000000-0005-0000-0000-000005020000}"/>
    <cellStyle name="Normal 2 2 3 3 2 4 4" xfId="516" xr:uid="{00000000-0005-0000-0000-000006020000}"/>
    <cellStyle name="Normal 2 2 3 3 2 5" xfId="517" xr:uid="{00000000-0005-0000-0000-000007020000}"/>
    <cellStyle name="Normal 2 2 3 3 2 5 2" xfId="518" xr:uid="{00000000-0005-0000-0000-000008020000}"/>
    <cellStyle name="Normal 2 2 3 3 2 5 3" xfId="519" xr:uid="{00000000-0005-0000-0000-000009020000}"/>
    <cellStyle name="Normal 2 2 3 3 2 6" xfId="520" xr:uid="{00000000-0005-0000-0000-00000A020000}"/>
    <cellStyle name="Normal 2 2 3 3 2 7" xfId="521" xr:uid="{00000000-0005-0000-0000-00000B020000}"/>
    <cellStyle name="Normal 2 2 3 3 2 8" xfId="522" xr:uid="{00000000-0005-0000-0000-00000C020000}"/>
    <cellStyle name="Normal 2 2 3 3 2 8 2" xfId="523" xr:uid="{00000000-0005-0000-0000-00000D020000}"/>
    <cellStyle name="Normal 2 2 3 3 2 8 3" xfId="524" xr:uid="{00000000-0005-0000-0000-00000E020000}"/>
    <cellStyle name="Normal 2 2 3 3 2 9" xfId="525" xr:uid="{00000000-0005-0000-0000-00000F020000}"/>
    <cellStyle name="Normal 2 2 3 3 2 9 2" xfId="526" xr:uid="{00000000-0005-0000-0000-000010020000}"/>
    <cellStyle name="Normal 2 2 3 3 2 9 3" xfId="527" xr:uid="{00000000-0005-0000-0000-000011020000}"/>
    <cellStyle name="Normal 2 2 3 3 2 9 4" xfId="528" xr:uid="{00000000-0005-0000-0000-000012020000}"/>
    <cellStyle name="Normal 2 2 3 3 3" xfId="529" xr:uid="{00000000-0005-0000-0000-000013020000}"/>
    <cellStyle name="Normal 2 2 3 3 3 2" xfId="530" xr:uid="{00000000-0005-0000-0000-000014020000}"/>
    <cellStyle name="Normal 2 2 3 3 3 2 2" xfId="531" xr:uid="{00000000-0005-0000-0000-000015020000}"/>
    <cellStyle name="Normal 2 2 3 3 3 2 2 2" xfId="532" xr:uid="{00000000-0005-0000-0000-000016020000}"/>
    <cellStyle name="Normal 2 2 3 3 3 2 2 3" xfId="533" xr:uid="{00000000-0005-0000-0000-000017020000}"/>
    <cellStyle name="Normal 2 2 3 3 3 2 3" xfId="534" xr:uid="{00000000-0005-0000-0000-000018020000}"/>
    <cellStyle name="Normal 2 2 3 3 3 2 4" xfId="535" xr:uid="{00000000-0005-0000-0000-000019020000}"/>
    <cellStyle name="Normal 2 2 3 3 3 3" xfId="536" xr:uid="{00000000-0005-0000-0000-00001A020000}"/>
    <cellStyle name="Normal 2 2 3 3 3 3 2" xfId="537" xr:uid="{00000000-0005-0000-0000-00001B020000}"/>
    <cellStyle name="Normal 2 2 3 3 3 3 3" xfId="538" xr:uid="{00000000-0005-0000-0000-00001C020000}"/>
    <cellStyle name="Normal 2 2 3 3 3 4" xfId="539" xr:uid="{00000000-0005-0000-0000-00001D020000}"/>
    <cellStyle name="Normal 2 2 3 3 3 5" xfId="540" xr:uid="{00000000-0005-0000-0000-00001E020000}"/>
    <cellStyle name="Normal 2 2 3 3 4" xfId="541" xr:uid="{00000000-0005-0000-0000-00001F020000}"/>
    <cellStyle name="Normal 2 2 3 3 4 2" xfId="542" xr:uid="{00000000-0005-0000-0000-000020020000}"/>
    <cellStyle name="Normal 2 2 3 3 4 2 2" xfId="543" xr:uid="{00000000-0005-0000-0000-000021020000}"/>
    <cellStyle name="Normal 2 2 3 3 4 2 3" xfId="544" xr:uid="{00000000-0005-0000-0000-000022020000}"/>
    <cellStyle name="Normal 2 2 3 3 4 3" xfId="545" xr:uid="{00000000-0005-0000-0000-000023020000}"/>
    <cellStyle name="Normal 2 2 3 3 4 4" xfId="546" xr:uid="{00000000-0005-0000-0000-000024020000}"/>
    <cellStyle name="Normal 2 2 3 3 5" xfId="547" xr:uid="{00000000-0005-0000-0000-000025020000}"/>
    <cellStyle name="Normal 2 2 3 3 5 2" xfId="548" xr:uid="{00000000-0005-0000-0000-000026020000}"/>
    <cellStyle name="Normal 2 2 3 3 5 2 2" xfId="549" xr:uid="{00000000-0005-0000-0000-000027020000}"/>
    <cellStyle name="Normal 2 2 3 3 5 2 3" xfId="550" xr:uid="{00000000-0005-0000-0000-000028020000}"/>
    <cellStyle name="Normal 2 2 3 3 5 3" xfId="551" xr:uid="{00000000-0005-0000-0000-000029020000}"/>
    <cellStyle name="Normal 2 2 3 3 5 4" xfId="552" xr:uid="{00000000-0005-0000-0000-00002A020000}"/>
    <cellStyle name="Normal 2 2 3 3 6" xfId="553" xr:uid="{00000000-0005-0000-0000-00002B020000}"/>
    <cellStyle name="Normal 2 2 3 3 6 2" xfId="554" xr:uid="{00000000-0005-0000-0000-00002C020000}"/>
    <cellStyle name="Normal 2 2 3 3 6 2 2" xfId="555" xr:uid="{00000000-0005-0000-0000-00002D020000}"/>
    <cellStyle name="Normal 2 2 3 3 6 2 3" xfId="556" xr:uid="{00000000-0005-0000-0000-00002E020000}"/>
    <cellStyle name="Normal 2 2 3 3 6 3" xfId="557" xr:uid="{00000000-0005-0000-0000-00002F020000}"/>
    <cellStyle name="Normal 2 2 3 3 6 4" xfId="558" xr:uid="{00000000-0005-0000-0000-000030020000}"/>
    <cellStyle name="Normal 2 2 3 3 7" xfId="559" xr:uid="{00000000-0005-0000-0000-000031020000}"/>
    <cellStyle name="Normal 2 2 3 3 7 2" xfId="560" xr:uid="{00000000-0005-0000-0000-000032020000}"/>
    <cellStyle name="Normal 2 2 3 3 7 3" xfId="561" xr:uid="{00000000-0005-0000-0000-000033020000}"/>
    <cellStyle name="Normal 2 2 3 3 8" xfId="562" xr:uid="{00000000-0005-0000-0000-000034020000}"/>
    <cellStyle name="Normal 2 2 3 3 9" xfId="563" xr:uid="{00000000-0005-0000-0000-000035020000}"/>
    <cellStyle name="Normal 2 2 3 4" xfId="564" xr:uid="{00000000-0005-0000-0000-000036020000}"/>
    <cellStyle name="Normal 2 2 3 4 2" xfId="565" xr:uid="{00000000-0005-0000-0000-000037020000}"/>
    <cellStyle name="Normal 2 2 3 4 2 2" xfId="566" xr:uid="{00000000-0005-0000-0000-000038020000}"/>
    <cellStyle name="Normal 2 2 3 4 2 2 2" xfId="567" xr:uid="{00000000-0005-0000-0000-000039020000}"/>
    <cellStyle name="Normal 2 2 3 4 2 2 3" xfId="568" xr:uid="{00000000-0005-0000-0000-00003A020000}"/>
    <cellStyle name="Normal 2 2 3 4 2 3" xfId="569" xr:uid="{00000000-0005-0000-0000-00003B020000}"/>
    <cellStyle name="Normal 2 2 3 4 2 4" xfId="570" xr:uid="{00000000-0005-0000-0000-00003C020000}"/>
    <cellStyle name="Normal 2 2 3 4 3" xfId="571" xr:uid="{00000000-0005-0000-0000-00003D020000}"/>
    <cellStyle name="Normal 2 2 3 4 3 2" xfId="572" xr:uid="{00000000-0005-0000-0000-00003E020000}"/>
    <cellStyle name="Normal 2 2 3 4 3 3" xfId="573" xr:uid="{00000000-0005-0000-0000-00003F020000}"/>
    <cellStyle name="Normal 2 2 3 4 4" xfId="574" xr:uid="{00000000-0005-0000-0000-000040020000}"/>
    <cellStyle name="Normal 2 2 3 4 5" xfId="575" xr:uid="{00000000-0005-0000-0000-000041020000}"/>
    <cellStyle name="Normal 2 2 3 5" xfId="576" xr:uid="{00000000-0005-0000-0000-000042020000}"/>
    <cellStyle name="Normal 2 2 3 5 2" xfId="577" xr:uid="{00000000-0005-0000-0000-000043020000}"/>
    <cellStyle name="Normal 2 2 3 5 2 2" xfId="578" xr:uid="{00000000-0005-0000-0000-000044020000}"/>
    <cellStyle name="Normal 2 2 3 5 2 3" xfId="579" xr:uid="{00000000-0005-0000-0000-000045020000}"/>
    <cellStyle name="Normal 2 2 3 5 3" xfId="580" xr:uid="{00000000-0005-0000-0000-000046020000}"/>
    <cellStyle name="Normal 2 2 3 5 4" xfId="581" xr:uid="{00000000-0005-0000-0000-000047020000}"/>
    <cellStyle name="Normal 2 2 3 6" xfId="582" xr:uid="{00000000-0005-0000-0000-000048020000}"/>
    <cellStyle name="Normal 2 2 3 6 2" xfId="583" xr:uid="{00000000-0005-0000-0000-000049020000}"/>
    <cellStyle name="Normal 2 2 3 6 2 2" xfId="584" xr:uid="{00000000-0005-0000-0000-00004A020000}"/>
    <cellStyle name="Normal 2 2 3 6 2 3" xfId="585" xr:uid="{00000000-0005-0000-0000-00004B020000}"/>
    <cellStyle name="Normal 2 2 3 6 3" xfId="586" xr:uid="{00000000-0005-0000-0000-00004C020000}"/>
    <cellStyle name="Normal 2 2 3 6 4" xfId="587" xr:uid="{00000000-0005-0000-0000-00004D020000}"/>
    <cellStyle name="Normal 2 2 3 7" xfId="588" xr:uid="{00000000-0005-0000-0000-00004E020000}"/>
    <cellStyle name="Normal 2 2 3 7 2" xfId="589" xr:uid="{00000000-0005-0000-0000-00004F020000}"/>
    <cellStyle name="Normal 2 2 3 7 3" xfId="590" xr:uid="{00000000-0005-0000-0000-000050020000}"/>
    <cellStyle name="Normal 2 2 3 8" xfId="591" xr:uid="{00000000-0005-0000-0000-000051020000}"/>
    <cellStyle name="Normal 2 2 3 9" xfId="592" xr:uid="{00000000-0005-0000-0000-000052020000}"/>
    <cellStyle name="Normal 2 2 4" xfId="593" xr:uid="{00000000-0005-0000-0000-000053020000}"/>
    <cellStyle name="Normal 2 2 4 2" xfId="594" xr:uid="{00000000-0005-0000-0000-000054020000}"/>
    <cellStyle name="Normal 2 2 4 2 2" xfId="595" xr:uid="{00000000-0005-0000-0000-000055020000}"/>
    <cellStyle name="Normal 2 2 4 2 2 2" xfId="596" xr:uid="{00000000-0005-0000-0000-000056020000}"/>
    <cellStyle name="Normal 2 2 4 2 2 2 2" xfId="597" xr:uid="{00000000-0005-0000-0000-000057020000}"/>
    <cellStyle name="Normal 2 2 4 2 2 2 2 2" xfId="598" xr:uid="{00000000-0005-0000-0000-000058020000}"/>
    <cellStyle name="Normal 2 2 4 2 2 2 2 3" xfId="599" xr:uid="{00000000-0005-0000-0000-000059020000}"/>
    <cellStyle name="Normal 2 2 4 2 2 2 3" xfId="600" xr:uid="{00000000-0005-0000-0000-00005A020000}"/>
    <cellStyle name="Normal 2 2 4 2 2 2 4" xfId="601" xr:uid="{00000000-0005-0000-0000-00005B020000}"/>
    <cellStyle name="Normal 2 2 4 2 2 3" xfId="602" xr:uid="{00000000-0005-0000-0000-00005C020000}"/>
    <cellStyle name="Normal 2 2 4 2 2 3 2" xfId="603" xr:uid="{00000000-0005-0000-0000-00005D020000}"/>
    <cellStyle name="Normal 2 2 4 2 2 3 3" xfId="604" xr:uid="{00000000-0005-0000-0000-00005E020000}"/>
    <cellStyle name="Normal 2 2 4 2 2 4" xfId="605" xr:uid="{00000000-0005-0000-0000-00005F020000}"/>
    <cellStyle name="Normal 2 2 4 2 2 5" xfId="606" xr:uid="{00000000-0005-0000-0000-000060020000}"/>
    <cellStyle name="Normal 2 2 4 2 3" xfId="607" xr:uid="{00000000-0005-0000-0000-000061020000}"/>
    <cellStyle name="Normal 2 2 4 2 3 2" xfId="608" xr:uid="{00000000-0005-0000-0000-000062020000}"/>
    <cellStyle name="Normal 2 2 4 2 3 2 2" xfId="609" xr:uid="{00000000-0005-0000-0000-000063020000}"/>
    <cellStyle name="Normal 2 2 4 2 3 2 3" xfId="610" xr:uid="{00000000-0005-0000-0000-000064020000}"/>
    <cellStyle name="Normal 2 2 4 2 3 3" xfId="611" xr:uid="{00000000-0005-0000-0000-000065020000}"/>
    <cellStyle name="Normal 2 2 4 2 3 4" xfId="612" xr:uid="{00000000-0005-0000-0000-000066020000}"/>
    <cellStyle name="Normal 2 2 4 2 4" xfId="613" xr:uid="{00000000-0005-0000-0000-000067020000}"/>
    <cellStyle name="Normal 2 2 4 2 4 2" xfId="614" xr:uid="{00000000-0005-0000-0000-000068020000}"/>
    <cellStyle name="Normal 2 2 4 2 4 2 2" xfId="615" xr:uid="{00000000-0005-0000-0000-000069020000}"/>
    <cellStyle name="Normal 2 2 4 2 4 2 3" xfId="616" xr:uid="{00000000-0005-0000-0000-00006A020000}"/>
    <cellStyle name="Normal 2 2 4 2 4 3" xfId="617" xr:uid="{00000000-0005-0000-0000-00006B020000}"/>
    <cellStyle name="Normal 2 2 4 2 4 4" xfId="618" xr:uid="{00000000-0005-0000-0000-00006C020000}"/>
    <cellStyle name="Normal 2 2 4 2 5" xfId="619" xr:uid="{00000000-0005-0000-0000-00006D020000}"/>
    <cellStyle name="Normal 2 2 4 2 5 2" xfId="620" xr:uid="{00000000-0005-0000-0000-00006E020000}"/>
    <cellStyle name="Normal 2 2 4 2 5 3" xfId="621" xr:uid="{00000000-0005-0000-0000-00006F020000}"/>
    <cellStyle name="Normal 2 2 4 2 6" xfId="622" xr:uid="{00000000-0005-0000-0000-000070020000}"/>
    <cellStyle name="Normal 2 2 4 2 7" xfId="623" xr:uid="{00000000-0005-0000-0000-000071020000}"/>
    <cellStyle name="Normal 2 2 4 3" xfId="624" xr:uid="{00000000-0005-0000-0000-000072020000}"/>
    <cellStyle name="Normal 2 2 4 3 2" xfId="625" xr:uid="{00000000-0005-0000-0000-000073020000}"/>
    <cellStyle name="Normal 2 2 4 3 2 2" xfId="626" xr:uid="{00000000-0005-0000-0000-000074020000}"/>
    <cellStyle name="Normal 2 2 4 3 2 2 2" xfId="627" xr:uid="{00000000-0005-0000-0000-000075020000}"/>
    <cellStyle name="Normal 2 2 4 3 2 2 3" xfId="628" xr:uid="{00000000-0005-0000-0000-000076020000}"/>
    <cellStyle name="Normal 2 2 4 3 2 3" xfId="629" xr:uid="{00000000-0005-0000-0000-000077020000}"/>
    <cellStyle name="Normal 2 2 4 3 2 4" xfId="630" xr:uid="{00000000-0005-0000-0000-000078020000}"/>
    <cellStyle name="Normal 2 2 4 3 3" xfId="631" xr:uid="{00000000-0005-0000-0000-000079020000}"/>
    <cellStyle name="Normal 2 2 4 3 3 2" xfId="632" xr:uid="{00000000-0005-0000-0000-00007A020000}"/>
    <cellStyle name="Normal 2 2 4 3 3 3" xfId="633" xr:uid="{00000000-0005-0000-0000-00007B020000}"/>
    <cellStyle name="Normal 2 2 4 3 4" xfId="634" xr:uid="{00000000-0005-0000-0000-00007C020000}"/>
    <cellStyle name="Normal 2 2 4 3 5" xfId="635" xr:uid="{00000000-0005-0000-0000-00007D020000}"/>
    <cellStyle name="Normal 2 2 4 4" xfId="636" xr:uid="{00000000-0005-0000-0000-00007E020000}"/>
    <cellStyle name="Normal 2 2 4 4 2" xfId="637" xr:uid="{00000000-0005-0000-0000-00007F020000}"/>
    <cellStyle name="Normal 2 2 4 4 2 2" xfId="638" xr:uid="{00000000-0005-0000-0000-000080020000}"/>
    <cellStyle name="Normal 2 2 4 4 2 3" xfId="639" xr:uid="{00000000-0005-0000-0000-000081020000}"/>
    <cellStyle name="Normal 2 2 4 4 3" xfId="640" xr:uid="{00000000-0005-0000-0000-000082020000}"/>
    <cellStyle name="Normal 2 2 4 4 4" xfId="641" xr:uid="{00000000-0005-0000-0000-000083020000}"/>
    <cellStyle name="Normal 2 2 4 5" xfId="642" xr:uid="{00000000-0005-0000-0000-000084020000}"/>
    <cellStyle name="Normal 2 2 4 5 2" xfId="643" xr:uid="{00000000-0005-0000-0000-000085020000}"/>
    <cellStyle name="Normal 2 2 4 5 2 2" xfId="644" xr:uid="{00000000-0005-0000-0000-000086020000}"/>
    <cellStyle name="Normal 2 2 4 5 2 3" xfId="645" xr:uid="{00000000-0005-0000-0000-000087020000}"/>
    <cellStyle name="Normal 2 2 4 5 3" xfId="646" xr:uid="{00000000-0005-0000-0000-000088020000}"/>
    <cellStyle name="Normal 2 2 4 5 4" xfId="647" xr:uid="{00000000-0005-0000-0000-000089020000}"/>
    <cellStyle name="Normal 2 2 4 6" xfId="648" xr:uid="{00000000-0005-0000-0000-00008A020000}"/>
    <cellStyle name="Normal 2 2 4 6 2" xfId="649" xr:uid="{00000000-0005-0000-0000-00008B020000}"/>
    <cellStyle name="Normal 2 2 4 6 3" xfId="650" xr:uid="{00000000-0005-0000-0000-00008C020000}"/>
    <cellStyle name="Normal 2 2 4 7" xfId="651" xr:uid="{00000000-0005-0000-0000-00008D020000}"/>
    <cellStyle name="Normal 2 2 4 8" xfId="652" xr:uid="{00000000-0005-0000-0000-00008E020000}"/>
    <cellStyle name="Normal 2 2 5" xfId="653" xr:uid="{00000000-0005-0000-0000-00008F020000}"/>
    <cellStyle name="Normal 2 2 5 2" xfId="654" xr:uid="{00000000-0005-0000-0000-000090020000}"/>
    <cellStyle name="Normal 2 2 5 2 2" xfId="655" xr:uid="{00000000-0005-0000-0000-000091020000}"/>
    <cellStyle name="Normal 2 2 5 2 2 2" xfId="656" xr:uid="{00000000-0005-0000-0000-000092020000}"/>
    <cellStyle name="Normal 2 2 5 2 2 3" xfId="657" xr:uid="{00000000-0005-0000-0000-000093020000}"/>
    <cellStyle name="Normal 2 2 5 2 3" xfId="658" xr:uid="{00000000-0005-0000-0000-000094020000}"/>
    <cellStyle name="Normal 2 2 5 2 4" xfId="659" xr:uid="{00000000-0005-0000-0000-000095020000}"/>
    <cellStyle name="Normal 2 2 5 3" xfId="660" xr:uid="{00000000-0005-0000-0000-000096020000}"/>
    <cellStyle name="Normal 2 2 5 3 2" xfId="661" xr:uid="{00000000-0005-0000-0000-000097020000}"/>
    <cellStyle name="Normal 2 2 5 3 3" xfId="662" xr:uid="{00000000-0005-0000-0000-000098020000}"/>
    <cellStyle name="Normal 2 2 5 4" xfId="663" xr:uid="{00000000-0005-0000-0000-000099020000}"/>
    <cellStyle name="Normal 2 2 5 5" xfId="664" xr:uid="{00000000-0005-0000-0000-00009A020000}"/>
    <cellStyle name="Normal 2 2 6" xfId="665" xr:uid="{00000000-0005-0000-0000-00009B020000}"/>
    <cellStyle name="Normal 2 2 6 2" xfId="666" xr:uid="{00000000-0005-0000-0000-00009C020000}"/>
    <cellStyle name="Normal 2 2 6 2 2" xfId="667" xr:uid="{00000000-0005-0000-0000-00009D020000}"/>
    <cellStyle name="Normal 2 2 6 2 3" xfId="668" xr:uid="{00000000-0005-0000-0000-00009E020000}"/>
    <cellStyle name="Normal 2 2 6 3" xfId="669" xr:uid="{00000000-0005-0000-0000-00009F020000}"/>
    <cellStyle name="Normal 2 2 6 4" xfId="670" xr:uid="{00000000-0005-0000-0000-0000A0020000}"/>
    <cellStyle name="Normal 2 2 7" xfId="671" xr:uid="{00000000-0005-0000-0000-0000A1020000}"/>
    <cellStyle name="Normal 2 2 7 2" xfId="672" xr:uid="{00000000-0005-0000-0000-0000A2020000}"/>
    <cellStyle name="Normal 2 2 7 2 2" xfId="673" xr:uid="{00000000-0005-0000-0000-0000A3020000}"/>
    <cellStyle name="Normal 2 2 7 2 3" xfId="674" xr:uid="{00000000-0005-0000-0000-0000A4020000}"/>
    <cellStyle name="Normal 2 2 7 3" xfId="675" xr:uid="{00000000-0005-0000-0000-0000A5020000}"/>
    <cellStyle name="Normal 2 2 7 4" xfId="676" xr:uid="{00000000-0005-0000-0000-0000A6020000}"/>
    <cellStyle name="Normal 2 2 8" xfId="677" xr:uid="{00000000-0005-0000-0000-0000A7020000}"/>
    <cellStyle name="Normal 2 2 8 2" xfId="678" xr:uid="{00000000-0005-0000-0000-0000A8020000}"/>
    <cellStyle name="Normal 2 2 8 2 2" xfId="679" xr:uid="{00000000-0005-0000-0000-0000A9020000}"/>
    <cellStyle name="Normal 2 2 8 2 3" xfId="680" xr:uid="{00000000-0005-0000-0000-0000AA020000}"/>
    <cellStyle name="Normal 2 2 8 3" xfId="681" xr:uid="{00000000-0005-0000-0000-0000AB020000}"/>
    <cellStyle name="Normal 2 2 8 4" xfId="682" xr:uid="{00000000-0005-0000-0000-0000AC020000}"/>
    <cellStyle name="Normal 2 2 8 5" xfId="683" xr:uid="{00000000-0005-0000-0000-0000AD020000}"/>
    <cellStyle name="Normal 2 2 8 5 2" xfId="684" xr:uid="{00000000-0005-0000-0000-0000AE020000}"/>
    <cellStyle name="Normal 2 2 8 5 2 2" xfId="685" xr:uid="{00000000-0005-0000-0000-0000AF020000}"/>
    <cellStyle name="Normal 2 2 8 5 2 3" xfId="686" xr:uid="{00000000-0005-0000-0000-0000B0020000}"/>
    <cellStyle name="Normal 2 2 8 5 2 3 2" xfId="687" xr:uid="{00000000-0005-0000-0000-0000B1020000}"/>
    <cellStyle name="Normal 2 2 8 5 3" xfId="688" xr:uid="{00000000-0005-0000-0000-0000B2020000}"/>
    <cellStyle name="Normal 2 2 8 5 4" xfId="689" xr:uid="{00000000-0005-0000-0000-0000B3020000}"/>
    <cellStyle name="Normal 2 2 8 5 4 2" xfId="690" xr:uid="{00000000-0005-0000-0000-0000B4020000}"/>
    <cellStyle name="Normal 2 2 8 6" xfId="691" xr:uid="{00000000-0005-0000-0000-0000B5020000}"/>
    <cellStyle name="Normal 2 2 9" xfId="692" xr:uid="{00000000-0005-0000-0000-0000B6020000}"/>
    <cellStyle name="Normal 2 2 9 2" xfId="693" xr:uid="{00000000-0005-0000-0000-0000B7020000}"/>
    <cellStyle name="Normal 2 2 9 3" xfId="694" xr:uid="{00000000-0005-0000-0000-0000B8020000}"/>
    <cellStyle name="Normal 2 3" xfId="695" xr:uid="{00000000-0005-0000-0000-0000B9020000}"/>
    <cellStyle name="Normal 2 3 2" xfId="696" xr:uid="{00000000-0005-0000-0000-0000BA020000}"/>
    <cellStyle name="Normal 2 4" xfId="697" xr:uid="{00000000-0005-0000-0000-0000BB020000}"/>
    <cellStyle name="Normal 28" xfId="698" xr:uid="{00000000-0005-0000-0000-0000BC020000}"/>
    <cellStyle name="Normal 3" xfId="699" xr:uid="{00000000-0005-0000-0000-0000BD020000}"/>
    <cellStyle name="Normal 3 2" xfId="700" xr:uid="{00000000-0005-0000-0000-0000BE020000}"/>
    <cellStyle name="Normal 3 3" xfId="701" xr:uid="{00000000-0005-0000-0000-0000BF020000}"/>
    <cellStyle name="Normal 32" xfId="702" xr:uid="{00000000-0005-0000-0000-0000C0020000}"/>
    <cellStyle name="Normal 4" xfId="703" xr:uid="{00000000-0005-0000-0000-0000C1020000}"/>
    <cellStyle name="Normal 4 2" xfId="704" xr:uid="{00000000-0005-0000-0000-0000C2020000}"/>
    <cellStyle name="Normal 4 2 2" xfId="705" xr:uid="{00000000-0005-0000-0000-0000C3020000}"/>
    <cellStyle name="Normal 4 3" xfId="706" xr:uid="{00000000-0005-0000-0000-0000C4020000}"/>
    <cellStyle name="Normal 5" xfId="707" xr:uid="{00000000-0005-0000-0000-0000C5020000}"/>
    <cellStyle name="Normal 5 2" xfId="708" xr:uid="{00000000-0005-0000-0000-0000C6020000}"/>
    <cellStyle name="Normal 5 3" xfId="709" xr:uid="{00000000-0005-0000-0000-0000C7020000}"/>
    <cellStyle name="Normal 6" xfId="710" xr:uid="{00000000-0005-0000-0000-0000C8020000}"/>
    <cellStyle name="Normal 7" xfId="711" xr:uid="{00000000-0005-0000-0000-0000C9020000}"/>
    <cellStyle name="Normal 8" xfId="1" xr:uid="{00000000-0005-0000-0000-0000CA020000}"/>
    <cellStyle name="Normal 9" xfId="712" xr:uid="{00000000-0005-0000-0000-0000CB020000}"/>
    <cellStyle name="Note 2" xfId="713" xr:uid="{00000000-0005-0000-0000-0000CC020000}"/>
    <cellStyle name="Note 2 2" xfId="714" xr:uid="{00000000-0005-0000-0000-0000CD020000}"/>
    <cellStyle name="Note 2 2 2" xfId="715" xr:uid="{00000000-0005-0000-0000-0000CE020000}"/>
    <cellStyle name="Note 2 2 3" xfId="716" xr:uid="{00000000-0005-0000-0000-0000CF020000}"/>
    <cellStyle name="Percent 2" xfId="718" xr:uid="{00000000-0005-0000-0000-0000D0020000}"/>
    <cellStyle name="Percent 2 2" xfId="719" xr:uid="{00000000-0005-0000-0000-0000D1020000}"/>
    <cellStyle name="Percent 3" xfId="720" xr:uid="{00000000-0005-0000-0000-0000D2020000}"/>
    <cellStyle name="Percent 4" xfId="717" xr:uid="{00000000-0005-0000-0000-0000D3020000}"/>
    <cellStyle name="Style 1" xfId="721" xr:uid="{00000000-0005-0000-0000-0000D4020000}"/>
    <cellStyle name="ملاحظة 2" xfId="722" xr:uid="{00000000-0005-0000-0000-0000D5020000}"/>
  </cellStyles>
  <dxfs count="25">
    <dxf>
      <font>
        <color rgb="FFFFFFFF"/>
        <name val="Tajawal"/>
      </font>
      <fill>
        <patternFill patternType="solid">
          <fgColor rgb="FF54565B"/>
        </patternFill>
      </fill>
    </dxf>
    <dxf>
      <font>
        <b/>
        <color rgb="FFFFFFFF"/>
        <name val="Tajawal"/>
      </font>
      <fill>
        <patternFill patternType="solid">
          <fgColor rgb="FF87BA26"/>
        </patternFill>
      </fill>
    </dxf>
    <dxf>
      <font>
        <b/>
        <color rgb="FFFFFFFF"/>
        <name val="Tajawal"/>
      </font>
      <fill>
        <patternFill patternType="solid">
          <fgColor rgb="FFC05728"/>
        </patternFill>
      </fill>
    </dxf>
    <dxf>
      <font>
        <b/>
        <color rgb="FFFFFFFF"/>
        <name val="Tajawal"/>
      </font>
      <fill>
        <patternFill patternType="solid">
          <fgColor rgb="FFC05728"/>
        </patternFill>
      </fill>
    </dxf>
    <dxf>
      <font>
        <b/>
        <color rgb="FFFFFFFF"/>
        <name val="Tajawal"/>
      </font>
      <fill>
        <patternFill patternType="solid">
          <fgColor rgb="FF87BA26"/>
        </patternFill>
      </fill>
    </dxf>
    <dxf>
      <fill>
        <patternFill patternType="solid">
          <fgColor rgb="FFFFF8E0"/>
        </patternFill>
      </fill>
    </dxf>
    <dxf>
      <fill>
        <patternFill patternType="solid">
          <fgColor rgb="FFFFF8E0"/>
        </patternFill>
      </fill>
    </dxf>
    <dxf>
      <font>
        <b/>
        <name val="Tajawal"/>
      </font>
      <fill>
        <patternFill patternType="solid">
          <fgColor rgb="FFFFC845"/>
        </patternFill>
      </fill>
    </dxf>
    <dxf>
      <font>
        <b/>
        <color rgb="FFFFFFFF"/>
        <name val="Tajawal"/>
      </font>
      <fill>
        <patternFill patternType="solid">
          <fgColor rgb="FFC05728"/>
        </patternFill>
      </fill>
    </dxf>
    <dxf>
      <font>
        <b/>
        <color rgb="FFFFFFFF"/>
        <name val="Tajawal"/>
      </font>
      <fill>
        <patternFill patternType="solid">
          <fgColor rgb="FF87BA26"/>
        </patternFill>
      </fill>
    </dxf>
    <dxf>
      <font>
        <b/>
        <name val="Tajawal"/>
      </font>
      <fill>
        <patternFill patternType="solid">
          <fgColor rgb="FFFFC845"/>
        </patternFill>
      </fill>
    </dxf>
    <dxf>
      <font>
        <b/>
        <color rgb="FFFFFFFF"/>
        <name val="Tajawal"/>
      </font>
      <fill>
        <patternFill patternType="solid">
          <fgColor rgb="FFC05728"/>
        </patternFill>
      </fill>
    </dxf>
    <dxf>
      <font>
        <b/>
        <color rgb="FFFFFFFF"/>
        <name val="Tajawal"/>
      </font>
      <fill>
        <patternFill patternType="solid">
          <fgColor rgb="FF87BA26"/>
        </patternFill>
      </fill>
    </dxf>
    <dxf>
      <font>
        <b/>
        <color rgb="FFFFFFFF"/>
        <name val="Tajawal"/>
      </font>
      <fill>
        <patternFill patternType="solid">
          <fgColor rgb="FFC05728"/>
        </patternFill>
      </fill>
    </dxf>
    <dxf>
      <font>
        <b/>
        <sz val="10"/>
        <color rgb="FFFFFFFF"/>
        <name val="Tajawal"/>
      </font>
      <fill>
        <patternFill patternType="solid">
          <fgColor rgb="FF54565B"/>
        </patternFill>
      </fill>
    </dxf>
    <dxf>
      <font>
        <b/>
        <sz val="10"/>
        <color rgb="FFFFFFFF"/>
        <name val="Tajawal"/>
      </font>
      <fill>
        <patternFill patternType="solid">
          <fgColor rgb="FFC05728"/>
        </patternFill>
      </fill>
    </dxf>
    <dxf>
      <font>
        <b/>
        <sz val="10"/>
        <color rgb="FFFFFFFF"/>
        <name val="Tajawal"/>
      </font>
      <fill>
        <patternFill patternType="solid">
          <fgColor rgb="FFC05728"/>
        </patternFill>
      </fill>
    </dxf>
    <dxf>
      <font>
        <b/>
        <sz val="10"/>
        <color rgb="FFFFFFFF"/>
        <name val="Tajawal"/>
      </font>
      <fill>
        <patternFill patternType="solid">
          <fgColor rgb="FF87BA26"/>
        </patternFill>
      </fill>
    </dxf>
    <dxf>
      <font>
        <b/>
        <sz val="10"/>
        <color rgb="FFFFFFFF"/>
        <name val="Tajawal"/>
      </font>
      <fill>
        <patternFill patternType="solid">
          <fgColor rgb="FFFFC845"/>
        </patternFill>
      </fill>
    </dxf>
    <dxf>
      <font>
        <b/>
        <sz val="10"/>
        <color rgb="FFFFFFFF"/>
        <name val="Tajawal"/>
      </font>
      <fill>
        <patternFill patternType="solid">
          <fgColor rgb="FFFB8C00"/>
        </patternFill>
      </fill>
    </dxf>
    <dxf>
      <font>
        <b/>
        <sz val="10"/>
        <color rgb="FFFFFFFF"/>
        <name val="Tajawal"/>
      </font>
      <fill>
        <patternFill patternType="solid">
          <fgColor rgb="FF1E88E5"/>
        </patternFill>
      </fill>
    </dxf>
    <dxf>
      <font>
        <b/>
        <sz val="10"/>
        <color rgb="FFFFFFFF"/>
        <name val="Tajawal"/>
      </font>
      <fill>
        <patternFill patternType="solid">
          <fgColor rgb="FF502C7C"/>
        </patternFill>
      </fill>
    </dxf>
    <dxf>
      <font>
        <b/>
        <sz val="10"/>
        <color rgb="FFFFFFFF"/>
        <name val="Tajawal"/>
      </font>
      <fill>
        <patternFill patternType="solid">
          <fgColor rgb="FFFFC845"/>
        </patternFill>
      </fill>
    </dxf>
    <dxf>
      <font>
        <b/>
        <sz val="10"/>
        <color rgb="FFFFFFFF"/>
        <name val="Tajawal"/>
      </font>
      <fill>
        <patternFill patternType="solid">
          <fgColor rgb="FF00A79D"/>
        </patternFill>
      </fill>
    </dxf>
    <dxf>
      <font>
        <b/>
        <sz val="10"/>
        <color rgb="FFFFFFFF"/>
        <name val="Tajawal"/>
      </font>
      <fill>
        <patternFill patternType="solid">
          <fgColor rgb="FF54565B"/>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openxmlformats.org/officeDocument/2006/relationships/hyperlink" Target="mailto:mahmoud.ragab@beeah.sa" TargetMode="External"/><Relationship Id="rId2" Type="http://schemas.openxmlformats.org/officeDocument/2006/relationships/hyperlink" Target="mailto:aaldera-contractor@momah.gov.sa" TargetMode="External"/><Relationship Id="rId1" Type="http://schemas.openxmlformats.org/officeDocument/2006/relationships/hyperlink" Target="mailto:halhablayn-Contractor@momah.gov.sa" TargetMode="External"/><Relationship Id="rId6" Type="http://schemas.openxmlformats.org/officeDocument/2006/relationships/printerSettings" Target="../printerSettings/printerSettings3.bin"/><Relationship Id="rId5" Type="http://schemas.openxmlformats.org/officeDocument/2006/relationships/hyperlink" Target="mailto:anaalghamdi-contractor@momah.gov.sa" TargetMode="External"/><Relationship Id="rId4" Type="http://schemas.openxmlformats.org/officeDocument/2006/relationships/hyperlink" Target="mailto:info@gdci.com.s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2"/>
  <sheetViews>
    <sheetView showGridLines="0" rightToLeft="1" tabSelected="1" topLeftCell="A46" workbookViewId="0">
      <selection activeCell="B45" sqref="B45:E45"/>
    </sheetView>
  </sheetViews>
  <sheetFormatPr defaultRowHeight="13.8"/>
  <cols>
    <col min="1" max="1" width="4" customWidth="1"/>
    <col min="2" max="2" width="32" customWidth="1"/>
    <col min="3" max="5" width="22" customWidth="1"/>
    <col min="6" max="6" width="10.59765625" bestFit="1" customWidth="1"/>
  </cols>
  <sheetData>
    <row r="1" spans="1:6" ht="31.95" customHeight="1">
      <c r="A1" s="83" t="s">
        <v>290</v>
      </c>
      <c r="B1" s="82"/>
      <c r="C1" s="82"/>
      <c r="D1" s="82"/>
      <c r="E1" s="82"/>
    </row>
    <row r="2" spans="1:6">
      <c r="A2" s="89" t="s">
        <v>0</v>
      </c>
      <c r="B2" s="82"/>
      <c r="C2" s="82"/>
      <c r="D2" s="82"/>
      <c r="E2" s="82"/>
    </row>
    <row r="4" spans="1:6" ht="24" customHeight="1">
      <c r="B4" s="90" t="s">
        <v>1</v>
      </c>
      <c r="C4" s="82"/>
      <c r="D4" s="82"/>
      <c r="E4" s="82"/>
    </row>
    <row r="5" spans="1:6" ht="22.2" customHeight="1">
      <c r="B5" s="44" t="s">
        <v>2</v>
      </c>
      <c r="C5" s="45" t="s">
        <v>3</v>
      </c>
      <c r="D5" s="46" t="s">
        <v>4</v>
      </c>
      <c r="E5" s="47" t="s">
        <v>5</v>
      </c>
      <c r="F5" s="48" t="s">
        <v>6</v>
      </c>
    </row>
    <row r="6" spans="1:6" ht="31.95" customHeight="1">
      <c r="B6" s="63">
        <f>العقد!I2</f>
        <v>65767202.569999993</v>
      </c>
      <c r="C6" s="49">
        <f>COUNTA('بنود العقد'!B2:B388)</f>
        <v>387</v>
      </c>
      <c r="D6" s="49">
        <f>COUNTIF(المطالبات!O3:O38,"معتمدة")</f>
        <v>21</v>
      </c>
      <c r="E6" s="50">
        <f>IFERROR(MIN(SUMIF(المطالبات!O3:O38,"معتمدة",المطالبات!M3:M38)/العقد!I2*100, 100), 0)</f>
        <v>98.994174161057671</v>
      </c>
      <c r="F6" s="50">
        <f>'أوامر التغيير'!B4</f>
        <v>9.2184907911311207</v>
      </c>
    </row>
    <row r="8" spans="1:6" ht="24" customHeight="1">
      <c r="B8" s="88" t="s">
        <v>7</v>
      </c>
      <c r="C8" s="82"/>
      <c r="D8" s="82"/>
      <c r="E8" s="82"/>
    </row>
    <row r="9" spans="1:6">
      <c r="B9" s="51" t="s">
        <v>8</v>
      </c>
      <c r="C9" s="87" t="str">
        <f>العقد!A2</f>
        <v>CMH_01-C01</v>
      </c>
      <c r="D9" s="85"/>
      <c r="E9" s="86"/>
    </row>
    <row r="10" spans="1:6">
      <c r="B10" s="51" t="s">
        <v>9</v>
      </c>
      <c r="C10" s="87" t="s">
        <v>297</v>
      </c>
      <c r="D10" s="85"/>
      <c r="E10" s="86"/>
    </row>
    <row r="11" spans="1:6">
      <c r="B11" s="51" t="s">
        <v>10</v>
      </c>
      <c r="C11" s="87" t="str">
        <f>العقد!D2</f>
        <v>إنشاءات</v>
      </c>
      <c r="D11" s="85"/>
      <c r="E11" s="86"/>
    </row>
    <row r="12" spans="1:6">
      <c r="B12" s="51" t="s">
        <v>11</v>
      </c>
      <c r="C12" s="87" t="s">
        <v>298</v>
      </c>
      <c r="D12" s="85"/>
      <c r="E12" s="86"/>
    </row>
    <row r="13" spans="1:6">
      <c r="B13" s="51" t="s">
        <v>2</v>
      </c>
      <c r="C13" s="91">
        <f>العقد!I2</f>
        <v>65767202.569999993</v>
      </c>
      <c r="D13" s="85"/>
      <c r="E13" s="86"/>
    </row>
    <row r="14" spans="1:6">
      <c r="B14" s="51" t="s">
        <v>12</v>
      </c>
      <c r="C14" s="99">
        <f>العقد!J2</f>
        <v>44873</v>
      </c>
      <c r="D14" s="100"/>
      <c r="E14" s="101"/>
    </row>
    <row r="15" spans="1:6">
      <c r="B15" s="51" t="s">
        <v>13</v>
      </c>
      <c r="C15" s="99">
        <f>العقد!K2</f>
        <v>45323</v>
      </c>
      <c r="D15" s="100"/>
      <c r="E15" s="101"/>
    </row>
    <row r="16" spans="1:6">
      <c r="B16" s="51" t="s">
        <v>14</v>
      </c>
      <c r="C16" s="87" t="str">
        <f>العقد!N2</f>
        <v>نشط</v>
      </c>
      <c r="D16" s="85"/>
      <c r="E16" s="86"/>
    </row>
    <row r="17" spans="2:5">
      <c r="B17" s="51" t="s">
        <v>15</v>
      </c>
      <c r="C17" s="91">
        <f>العقد!I2*0.1</f>
        <v>6576720.2569999993</v>
      </c>
      <c r="D17" s="85"/>
      <c r="E17" s="86"/>
    </row>
    <row r="19" spans="2:5" ht="24" customHeight="1">
      <c r="B19" s="88" t="s">
        <v>16</v>
      </c>
      <c r="C19" s="82"/>
      <c r="D19" s="82"/>
      <c r="E19" s="82"/>
    </row>
    <row r="20" spans="2:5">
      <c r="B20" s="52" t="s">
        <v>17</v>
      </c>
      <c r="C20" s="102" t="s">
        <v>18</v>
      </c>
      <c r="D20" s="85"/>
      <c r="E20" s="86"/>
    </row>
    <row r="21" spans="2:5">
      <c r="B21" s="53" t="str">
        <f>HYPERLINK("#'العقد'!A1","العقد")</f>
        <v>العقد</v>
      </c>
      <c r="C21" s="84" t="s">
        <v>19</v>
      </c>
      <c r="D21" s="85"/>
      <c r="E21" s="86"/>
    </row>
    <row r="22" spans="2:5">
      <c r="B22" s="54" t="str">
        <f>HYPERLINK("#'بنود العقد'!A1","بنود العقد")</f>
        <v>بنود العقد</v>
      </c>
      <c r="C22" s="92" t="s">
        <v>291</v>
      </c>
      <c r="D22" s="85"/>
      <c r="E22" s="86"/>
    </row>
    <row r="23" spans="2:5">
      <c r="B23" s="53" t="str">
        <f>HYPERLINK("#'المطالبات'!A1","المطالبات")</f>
        <v>المطالبات</v>
      </c>
      <c r="C23" s="84" t="s">
        <v>292</v>
      </c>
      <c r="D23" s="85"/>
      <c r="E23" s="86"/>
    </row>
    <row r="24" spans="2:5">
      <c r="B24" s="54" t="str">
        <f>HYPERLINK("#'بنود المطالبات'!A1","بنود المطالبات")</f>
        <v>بنود المطالبات</v>
      </c>
      <c r="C24" s="92" t="s">
        <v>293</v>
      </c>
      <c r="D24" s="85"/>
      <c r="E24" s="86"/>
    </row>
    <row r="25" spans="2:5">
      <c r="B25" s="53" t="str">
        <f>HYPERLINK("#'الملخص التراكمي'!A1","الملخص التراكمي")</f>
        <v>الملخص التراكمي</v>
      </c>
      <c r="C25" s="84" t="s">
        <v>20</v>
      </c>
      <c r="D25" s="85"/>
      <c r="E25" s="86"/>
    </row>
    <row r="26" spans="2:5">
      <c r="B26" s="54" t="str">
        <f>HYPERLINK("#'أوامر التغيير'!A1","أوامر التغيير")</f>
        <v>أوامر التغيير</v>
      </c>
      <c r="C26" s="92" t="s">
        <v>294</v>
      </c>
      <c r="D26" s="85"/>
      <c r="E26" s="86"/>
    </row>
    <row r="27" spans="2:5">
      <c r="B27" s="53" t="str">
        <f>HYPERLINK("#'بنود أوامر التغيير'!A1","بنود أوامر التغيير")</f>
        <v>بنود أوامر التغيير</v>
      </c>
      <c r="C27" s="84" t="s">
        <v>21</v>
      </c>
      <c r="D27" s="85"/>
      <c r="E27" s="86"/>
    </row>
    <row r="28" spans="2:5">
      <c r="B28" s="54" t="str">
        <f>HYPERLINK("#'سجل الحركة'!A1","سجل الحركة")</f>
        <v>سجل الحركة</v>
      </c>
      <c r="C28" s="92" t="s">
        <v>22</v>
      </c>
      <c r="D28" s="85"/>
      <c r="E28" s="86"/>
    </row>
    <row r="29" spans="2:5">
      <c r="B29" s="53" t="str">
        <f>HYPERLINK("#'المستخدمون'!A1","المستخدمون")</f>
        <v>المستخدمون</v>
      </c>
      <c r="C29" s="84" t="s">
        <v>23</v>
      </c>
      <c r="D29" s="85"/>
      <c r="E29" s="86"/>
    </row>
    <row r="30" spans="2:5">
      <c r="B30" s="54" t="str">
        <f>HYPERLINK("#'الجاهزية'!A1","الجاهزية")</f>
        <v>الجاهزية</v>
      </c>
      <c r="C30" s="92" t="s">
        <v>24</v>
      </c>
      <c r="D30" s="85"/>
      <c r="E30" s="86"/>
    </row>
    <row r="32" spans="2:5" ht="24" customHeight="1">
      <c r="B32" s="88" t="s">
        <v>25</v>
      </c>
      <c r="C32" s="82"/>
      <c r="D32" s="82"/>
      <c r="E32" s="82"/>
    </row>
    <row r="33" spans="2:5">
      <c r="B33" s="55"/>
      <c r="C33" s="94" t="s">
        <v>26</v>
      </c>
      <c r="D33" s="82"/>
      <c r="E33" s="82"/>
    </row>
    <row r="34" spans="2:5">
      <c r="B34" s="56"/>
      <c r="C34" s="94" t="s">
        <v>27</v>
      </c>
      <c r="D34" s="82"/>
      <c r="E34" s="82"/>
    </row>
    <row r="35" spans="2:5">
      <c r="B35" s="57"/>
      <c r="C35" s="94" t="s">
        <v>28</v>
      </c>
      <c r="D35" s="82"/>
      <c r="E35" s="82"/>
    </row>
    <row r="36" spans="2:5">
      <c r="B36" s="58"/>
      <c r="C36" s="94" t="s">
        <v>29</v>
      </c>
      <c r="D36" s="82"/>
      <c r="E36" s="82"/>
    </row>
    <row r="37" spans="2:5">
      <c r="B37" s="59"/>
      <c r="C37" s="94" t="s">
        <v>30</v>
      </c>
      <c r="D37" s="82"/>
      <c r="E37" s="82"/>
    </row>
    <row r="38" spans="2:5">
      <c r="B38" s="60"/>
      <c r="C38" s="94" t="s">
        <v>31</v>
      </c>
      <c r="D38" s="82"/>
      <c r="E38" s="82"/>
    </row>
    <row r="39" spans="2:5">
      <c r="B39" s="61"/>
      <c r="C39" s="94" t="s">
        <v>32</v>
      </c>
      <c r="D39" s="82"/>
      <c r="E39" s="82"/>
    </row>
    <row r="40" spans="2:5">
      <c r="B40" s="62"/>
      <c r="C40" s="94" t="s">
        <v>33</v>
      </c>
      <c r="D40" s="82"/>
      <c r="E40" s="82"/>
    </row>
    <row r="42" spans="2:5" ht="24" customHeight="1">
      <c r="B42" s="88" t="s">
        <v>34</v>
      </c>
      <c r="C42" s="82"/>
      <c r="D42" s="82"/>
      <c r="E42" s="82"/>
    </row>
    <row r="43" spans="2:5">
      <c r="B43" s="93" t="s">
        <v>35</v>
      </c>
      <c r="C43" s="82"/>
      <c r="D43" s="82"/>
      <c r="E43" s="82"/>
    </row>
    <row r="44" spans="2:5">
      <c r="B44" s="81" t="s">
        <v>36</v>
      </c>
      <c r="C44" s="82"/>
      <c r="D44" s="82"/>
      <c r="E44" s="82"/>
    </row>
    <row r="45" spans="2:5">
      <c r="B45" s="93" t="s">
        <v>37</v>
      </c>
      <c r="C45" s="82"/>
      <c r="D45" s="82"/>
      <c r="E45" s="82"/>
    </row>
    <row r="46" spans="2:5">
      <c r="B46" s="81" t="s">
        <v>38</v>
      </c>
      <c r="C46" s="82"/>
      <c r="D46" s="82"/>
      <c r="E46" s="82"/>
    </row>
    <row r="47" spans="2:5">
      <c r="B47" s="93" t="s">
        <v>39</v>
      </c>
      <c r="C47" s="82"/>
      <c r="D47" s="82"/>
      <c r="E47" s="82"/>
    </row>
    <row r="48" spans="2:5">
      <c r="B48" s="81" t="s">
        <v>40</v>
      </c>
      <c r="C48" s="82"/>
      <c r="D48" s="82"/>
      <c r="E48" s="82"/>
    </row>
    <row r="49" spans="2:5">
      <c r="B49" s="93" t="s">
        <v>41</v>
      </c>
      <c r="C49" s="82"/>
      <c r="D49" s="82"/>
      <c r="E49" s="82"/>
    </row>
    <row r="50" spans="2:5">
      <c r="B50" s="81" t="s">
        <v>42</v>
      </c>
      <c r="C50" s="82"/>
      <c r="D50" s="82"/>
      <c r="E50" s="82"/>
    </row>
    <row r="52" spans="2:5">
      <c r="B52" s="98" t="s">
        <v>43</v>
      </c>
      <c r="C52" s="82"/>
      <c r="D52" s="82"/>
      <c r="E52" s="82"/>
    </row>
    <row r="54" spans="2:5" ht="15.6">
      <c r="B54" s="97" t="s">
        <v>44</v>
      </c>
      <c r="C54" s="82"/>
      <c r="D54" s="82"/>
      <c r="E54" s="82"/>
    </row>
    <row r="55" spans="2:5">
      <c r="B55" s="96" t="s">
        <v>45</v>
      </c>
      <c r="C55" s="82"/>
      <c r="D55" s="82"/>
    </row>
    <row r="56" spans="2:5">
      <c r="B56" s="39" t="s">
        <v>46</v>
      </c>
      <c r="C56" s="40" t="s">
        <v>47</v>
      </c>
      <c r="D56" s="41" t="s">
        <v>48</v>
      </c>
    </row>
    <row r="57" spans="2:5">
      <c r="B57" s="39" t="s">
        <v>49</v>
      </c>
      <c r="C57" s="40" t="s">
        <v>50</v>
      </c>
      <c r="D57" s="41" t="s">
        <v>51</v>
      </c>
    </row>
    <row r="58" spans="2:5">
      <c r="B58" s="96" t="s">
        <v>52</v>
      </c>
      <c r="C58" s="82"/>
      <c r="D58" s="82"/>
    </row>
    <row r="59" spans="2:5">
      <c r="B59" s="39" t="s">
        <v>53</v>
      </c>
      <c r="C59" s="40" t="s">
        <v>54</v>
      </c>
      <c r="D59" s="41" t="s">
        <v>55</v>
      </c>
    </row>
    <row r="60" spans="2:5">
      <c r="B60" s="39" t="s">
        <v>56</v>
      </c>
      <c r="C60" s="40" t="s">
        <v>57</v>
      </c>
      <c r="D60" s="41" t="s">
        <v>58</v>
      </c>
    </row>
    <row r="61" spans="2:5">
      <c r="B61" s="39" t="s">
        <v>59</v>
      </c>
      <c r="C61" s="40" t="s">
        <v>60</v>
      </c>
      <c r="D61" s="41" t="s">
        <v>61</v>
      </c>
    </row>
    <row r="62" spans="2:5">
      <c r="B62" s="96" t="s">
        <v>62</v>
      </c>
      <c r="C62" s="82"/>
      <c r="D62" s="82"/>
    </row>
    <row r="63" spans="2:5">
      <c r="B63" s="39" t="s">
        <v>63</v>
      </c>
      <c r="C63" s="40" t="s">
        <v>64</v>
      </c>
      <c r="D63" s="41" t="s">
        <v>65</v>
      </c>
    </row>
    <row r="64" spans="2:5">
      <c r="B64" s="39" t="s">
        <v>66</v>
      </c>
      <c r="C64" s="40" t="s">
        <v>67</v>
      </c>
      <c r="D64" s="41" t="s">
        <v>68</v>
      </c>
    </row>
    <row r="65" spans="2:5">
      <c r="B65" s="96" t="s">
        <v>69</v>
      </c>
      <c r="C65" s="82"/>
      <c r="D65" s="82"/>
    </row>
    <row r="66" spans="2:5">
      <c r="B66" s="39" t="s">
        <v>70</v>
      </c>
      <c r="C66" s="40" t="s">
        <v>71</v>
      </c>
      <c r="D66" s="41" t="s">
        <v>72</v>
      </c>
    </row>
    <row r="67" spans="2:5">
      <c r="B67" s="96" t="s">
        <v>73</v>
      </c>
      <c r="C67" s="82"/>
      <c r="D67" s="82"/>
    </row>
    <row r="68" spans="2:5">
      <c r="B68" s="39" t="s">
        <v>74</v>
      </c>
      <c r="C68" s="40" t="s">
        <v>75</v>
      </c>
      <c r="D68" s="41" t="s">
        <v>76</v>
      </c>
    </row>
    <row r="69" spans="2:5">
      <c r="B69" s="39" t="s">
        <v>77</v>
      </c>
      <c r="C69" s="40" t="s">
        <v>78</v>
      </c>
      <c r="D69" s="41" t="s">
        <v>79</v>
      </c>
    </row>
    <row r="70" spans="2:5">
      <c r="B70" s="39" t="s">
        <v>80</v>
      </c>
      <c r="C70" s="40" t="s">
        <v>81</v>
      </c>
      <c r="D70" s="41" t="s">
        <v>82</v>
      </c>
    </row>
    <row r="71" spans="2:5">
      <c r="B71" s="39" t="s">
        <v>83</v>
      </c>
      <c r="C71" s="40" t="s">
        <v>84</v>
      </c>
      <c r="D71" s="41" t="s">
        <v>85</v>
      </c>
    </row>
    <row r="72" spans="2:5">
      <c r="B72" s="95" t="s">
        <v>86</v>
      </c>
      <c r="C72" s="82"/>
      <c r="D72" s="82"/>
      <c r="E72" s="82"/>
    </row>
  </sheetData>
  <mergeCells count="51">
    <mergeCell ref="C30:E30"/>
    <mergeCell ref="C34:E34"/>
    <mergeCell ref="B42:E42"/>
    <mergeCell ref="C14:E14"/>
    <mergeCell ref="C20:E20"/>
    <mergeCell ref="C25:E25"/>
    <mergeCell ref="C15:E15"/>
    <mergeCell ref="C17:E17"/>
    <mergeCell ref="C26:E26"/>
    <mergeCell ref="B19:E19"/>
    <mergeCell ref="C24:E24"/>
    <mergeCell ref="C35:E35"/>
    <mergeCell ref="C29:E29"/>
    <mergeCell ref="B72:E72"/>
    <mergeCell ref="B46:E46"/>
    <mergeCell ref="B55:D55"/>
    <mergeCell ref="C38:E38"/>
    <mergeCell ref="C28:E28"/>
    <mergeCell ref="B67:D67"/>
    <mergeCell ref="B62:D62"/>
    <mergeCell ref="B50:E50"/>
    <mergeCell ref="B49:E49"/>
    <mergeCell ref="B58:D58"/>
    <mergeCell ref="B54:E54"/>
    <mergeCell ref="B52:E52"/>
    <mergeCell ref="B65:D65"/>
    <mergeCell ref="B47:E47"/>
    <mergeCell ref="C33:E33"/>
    <mergeCell ref="B44:E44"/>
    <mergeCell ref="B45:E45"/>
    <mergeCell ref="C36:E36"/>
    <mergeCell ref="C40:E40"/>
    <mergeCell ref="B43:E43"/>
    <mergeCell ref="C39:E39"/>
    <mergeCell ref="C37:E37"/>
    <mergeCell ref="B48:E48"/>
    <mergeCell ref="A1:E1"/>
    <mergeCell ref="C21:E21"/>
    <mergeCell ref="C12:E12"/>
    <mergeCell ref="B32:E32"/>
    <mergeCell ref="A2:E2"/>
    <mergeCell ref="B8:E8"/>
    <mergeCell ref="C9:E9"/>
    <mergeCell ref="C11:E11"/>
    <mergeCell ref="C27:E27"/>
    <mergeCell ref="B4:E4"/>
    <mergeCell ref="C23:E23"/>
    <mergeCell ref="C10:E10"/>
    <mergeCell ref="C13:E13"/>
    <mergeCell ref="C16:E16"/>
    <mergeCell ref="C22:E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45859"/>
  </sheetPr>
  <dimension ref="A1:N3"/>
  <sheetViews>
    <sheetView rightToLeft="1" workbookViewId="0">
      <selection activeCell="A2" sqref="A2:C2"/>
    </sheetView>
  </sheetViews>
  <sheetFormatPr defaultRowHeight="13.8"/>
  <cols>
    <col min="1" max="1" width="14" customWidth="1"/>
    <col min="2" max="2" width="35" customWidth="1"/>
    <col min="3" max="3" width="18" customWidth="1"/>
    <col min="4" max="4" width="15" customWidth="1"/>
    <col min="5" max="5" width="30" customWidth="1"/>
    <col min="6" max="6" width="20" customWidth="1"/>
    <col min="7" max="7" width="12" customWidth="1"/>
    <col min="8" max="8" width="18" customWidth="1"/>
    <col min="9" max="9" width="22" customWidth="1"/>
    <col min="10" max="11" width="15" customWidth="1"/>
    <col min="12" max="12" width="13.59765625" customWidth="1"/>
    <col min="13" max="14" width="14" customWidth="1"/>
  </cols>
  <sheetData>
    <row r="1" spans="1:14" ht="34.950000000000003" customHeight="1">
      <c r="A1" s="3" t="s">
        <v>87</v>
      </c>
      <c r="B1" s="3" t="s">
        <v>9</v>
      </c>
      <c r="C1" s="3" t="s">
        <v>295</v>
      </c>
      <c r="D1" s="3" t="s">
        <v>10</v>
      </c>
      <c r="E1" s="3" t="s">
        <v>11</v>
      </c>
      <c r="F1" s="3" t="s">
        <v>88</v>
      </c>
      <c r="G1" s="3" t="s">
        <v>89</v>
      </c>
      <c r="H1" s="3" t="s">
        <v>90</v>
      </c>
      <c r="I1" s="3" t="s">
        <v>91</v>
      </c>
      <c r="J1" s="3" t="s">
        <v>12</v>
      </c>
      <c r="K1" s="3" t="s">
        <v>13</v>
      </c>
      <c r="L1" s="3" t="s">
        <v>92</v>
      </c>
      <c r="M1" s="3" t="s">
        <v>93</v>
      </c>
      <c r="N1" s="3" t="s">
        <v>14</v>
      </c>
    </row>
    <row r="2" spans="1:14" ht="30" customHeight="1">
      <c r="A2" s="4" t="s">
        <v>94</v>
      </c>
      <c r="B2" s="5" t="s">
        <v>297</v>
      </c>
      <c r="C2" s="67">
        <v>220339524310</v>
      </c>
      <c r="D2" s="6" t="s">
        <v>95</v>
      </c>
      <c r="E2" s="5" t="s">
        <v>298</v>
      </c>
      <c r="F2" s="7">
        <v>57188871.799999997</v>
      </c>
      <c r="G2" s="8">
        <v>15</v>
      </c>
      <c r="H2" s="9">
        <f>IF(F2&lt;&gt;"", F2*G2/100, "")</f>
        <v>8578330.7699999996</v>
      </c>
      <c r="I2" s="10">
        <f>IF(F2&lt;&gt;"", F2+H2, "")</f>
        <v>65767202.569999993</v>
      </c>
      <c r="J2" s="68">
        <v>44873</v>
      </c>
      <c r="K2" s="68">
        <v>45323</v>
      </c>
      <c r="L2" s="12">
        <f>IF(AND(J2&lt;&gt;"",K2&lt;&gt;""), DATEDIF(J2,K2,"M"), "")</f>
        <v>14</v>
      </c>
      <c r="M2" s="8">
        <v>10</v>
      </c>
      <c r="N2" s="8" t="s">
        <v>96</v>
      </c>
    </row>
    <row r="3" spans="1:14" ht="30" customHeight="1"/>
  </sheetData>
  <dataValidations count="1">
    <dataValidation type="list" allowBlank="1" promptTitle="نوع العقد" prompt="اختر نوع العقد من القائمة" sqref="D2" xr:uid="{00000000-0002-0000-0100-000000000000}">
      <formula1>"إنشاءات,توريد وتركيب,توريد,صيانة,تشغيل,استشارات,إشراف,تأهيل وترميم,تصميم,خدمات عامة,أخرى"</formula1>
    </dataValidation>
  </dataValidations>
  <pageMargins left="0.75" right="0.75" top="1" bottom="1" header="0.5" footer="0.5"/>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02C7C"/>
  </sheetPr>
  <dimension ref="A1:K391"/>
  <sheetViews>
    <sheetView rightToLeft="1" topLeftCell="A367" workbookViewId="0">
      <selection activeCell="E371" sqref="E371"/>
    </sheetView>
  </sheetViews>
  <sheetFormatPr defaultRowHeight="13.8"/>
  <cols>
    <col min="1" max="1" width="12" customWidth="1"/>
    <col min="2" max="2" width="45" customWidth="1"/>
    <col min="3" max="3" width="18" customWidth="1"/>
    <col min="4" max="4" width="12" customWidth="1"/>
    <col min="5" max="6" width="16" customWidth="1"/>
    <col min="7" max="7" width="18" customWidth="1"/>
    <col min="8" max="8" width="16" customWidth="1"/>
    <col min="9" max="9" width="22" customWidth="1"/>
    <col min="10" max="11" width="14" customWidth="1"/>
  </cols>
  <sheetData>
    <row r="1" spans="1:11" ht="34.950000000000003" customHeight="1">
      <c r="A1" s="3" t="s">
        <v>97</v>
      </c>
      <c r="B1" s="3" t="s">
        <v>98</v>
      </c>
      <c r="C1" s="31" t="s">
        <v>99</v>
      </c>
      <c r="D1" s="3" t="s">
        <v>100</v>
      </c>
      <c r="E1" s="3" t="s">
        <v>101</v>
      </c>
      <c r="F1" s="3" t="s">
        <v>102</v>
      </c>
      <c r="G1" s="3" t="s">
        <v>103</v>
      </c>
      <c r="H1" s="3" t="s">
        <v>104</v>
      </c>
      <c r="I1" s="31" t="s">
        <v>105</v>
      </c>
      <c r="J1" s="31" t="s">
        <v>106</v>
      </c>
      <c r="K1" s="31" t="s">
        <v>107</v>
      </c>
    </row>
    <row r="2" spans="1:11" ht="14.4">
      <c r="A2" s="13">
        <v>1</v>
      </c>
      <c r="B2" s="13" t="s">
        <v>108</v>
      </c>
      <c r="C2" s="13" t="s">
        <v>109</v>
      </c>
      <c r="D2" s="13" t="s">
        <v>110</v>
      </c>
      <c r="E2" s="14">
        <v>45000</v>
      </c>
      <c r="F2" s="14">
        <v>50</v>
      </c>
      <c r="G2" s="14">
        <v>2250000</v>
      </c>
      <c r="H2" s="13" t="s">
        <v>111</v>
      </c>
      <c r="I2" t="str">
        <f t="shared" ref="I2:I65" si="0">IF(AND(B2&lt;&gt;"", J2&lt;&gt;""), "CMH_01-" &amp; J2 &amp; "-" &amp; TEXT(A2, "000"), "")</f>
        <v>CMH_01-FF-001</v>
      </c>
      <c r="J2" t="str">
        <f>IFERROR(VLOOKUP(C2, مراجع!$A$3:$B$14, 2, FALSE), "")</f>
        <v>FF</v>
      </c>
      <c r="K2" t="s">
        <v>112</v>
      </c>
    </row>
    <row r="3" spans="1:11" ht="82.8">
      <c r="A3" s="12">
        <v>1</v>
      </c>
      <c r="B3" s="5" t="s">
        <v>299</v>
      </c>
      <c r="C3" s="6" t="s">
        <v>248</v>
      </c>
      <c r="D3" s="6" t="s">
        <v>683</v>
      </c>
      <c r="E3" s="7">
        <v>18</v>
      </c>
      <c r="F3" s="7">
        <v>17900</v>
      </c>
      <c r="G3" s="9">
        <f t="shared" ref="G3:G66" si="1">IF(AND(E3&lt;&gt;"",F3&lt;&gt;""), E3*F3, "")</f>
        <v>322200</v>
      </c>
      <c r="H3" s="6" t="s">
        <v>688</v>
      </c>
      <c r="I3" t="str">
        <f t="shared" si="0"/>
        <v>CMH_01-A-001</v>
      </c>
      <c r="J3" t="str">
        <f>IFERROR(VLOOKUP(C3, مراجع!$A$3:$B$14, 2, FALSE), "")</f>
        <v>A</v>
      </c>
      <c r="K3" s="36" t="s">
        <v>112</v>
      </c>
    </row>
    <row r="4" spans="1:11" ht="82.8">
      <c r="A4" s="12">
        <v>2</v>
      </c>
      <c r="B4" s="5" t="s">
        <v>300</v>
      </c>
      <c r="C4" s="6" t="s">
        <v>248</v>
      </c>
      <c r="D4" s="6" t="s">
        <v>683</v>
      </c>
      <c r="E4" s="7">
        <v>14.5</v>
      </c>
      <c r="F4" s="7">
        <v>10362</v>
      </c>
      <c r="G4" s="9">
        <f t="shared" si="1"/>
        <v>150249</v>
      </c>
      <c r="H4" s="6" t="s">
        <v>688</v>
      </c>
      <c r="I4" t="str">
        <f t="shared" si="0"/>
        <v>CMH_01-A-002</v>
      </c>
      <c r="J4" t="str">
        <f>IFERROR(VLOOKUP(C4, مراجع!$A$3:$B$14, 2, FALSE), "")</f>
        <v>A</v>
      </c>
      <c r="K4" s="36" t="s">
        <v>112</v>
      </c>
    </row>
    <row r="5" spans="1:11" ht="82.8">
      <c r="A5" s="12">
        <v>3</v>
      </c>
      <c r="B5" s="5" t="s">
        <v>301</v>
      </c>
      <c r="C5" s="6" t="s">
        <v>248</v>
      </c>
      <c r="D5" s="6" t="s">
        <v>683</v>
      </c>
      <c r="E5" s="7">
        <v>8.5</v>
      </c>
      <c r="F5" s="7">
        <v>18420</v>
      </c>
      <c r="G5" s="9">
        <f t="shared" si="1"/>
        <v>156570</v>
      </c>
      <c r="H5" s="6" t="s">
        <v>688</v>
      </c>
      <c r="I5" t="str">
        <f t="shared" si="0"/>
        <v>CMH_01-A-003</v>
      </c>
      <c r="J5" t="str">
        <f>IFERROR(VLOOKUP(C5, مراجع!$A$3:$B$14, 2, FALSE), "")</f>
        <v>A</v>
      </c>
      <c r="K5" s="36" t="s">
        <v>112</v>
      </c>
    </row>
    <row r="6" spans="1:11" ht="55.2">
      <c r="A6" s="12">
        <v>4</v>
      </c>
      <c r="B6" s="5" t="s">
        <v>302</v>
      </c>
      <c r="C6" s="6" t="s">
        <v>251</v>
      </c>
      <c r="D6" s="6" t="s">
        <v>684</v>
      </c>
      <c r="E6" s="7">
        <v>540</v>
      </c>
      <c r="F6" s="7">
        <v>6</v>
      </c>
      <c r="G6" s="9">
        <f t="shared" si="1"/>
        <v>3240</v>
      </c>
      <c r="H6" s="6" t="s">
        <v>688</v>
      </c>
      <c r="I6" t="str">
        <f t="shared" si="0"/>
        <v>CMH_01-C-004</v>
      </c>
      <c r="J6" t="str">
        <f>IFERROR(VLOOKUP(C6, مراجع!$A$3:$B$14, 2, FALSE), "")</f>
        <v>C</v>
      </c>
      <c r="K6" s="36" t="s">
        <v>112</v>
      </c>
    </row>
    <row r="7" spans="1:11" ht="41.4">
      <c r="A7" s="12">
        <v>5</v>
      </c>
      <c r="B7" s="5" t="s">
        <v>303</v>
      </c>
      <c r="C7" s="6" t="s">
        <v>251</v>
      </c>
      <c r="D7" s="6" t="s">
        <v>684</v>
      </c>
      <c r="E7" s="7">
        <v>366</v>
      </c>
      <c r="F7" s="7">
        <v>1345</v>
      </c>
      <c r="G7" s="9">
        <f t="shared" si="1"/>
        <v>492270</v>
      </c>
      <c r="H7" s="6" t="s">
        <v>688</v>
      </c>
      <c r="I7" t="str">
        <f t="shared" si="0"/>
        <v>CMH_01-C-005</v>
      </c>
      <c r="J7" t="str">
        <f>IFERROR(VLOOKUP(C7, مراجع!$A$3:$B$14, 2, FALSE), "")</f>
        <v>C</v>
      </c>
      <c r="K7" s="36" t="s">
        <v>112</v>
      </c>
    </row>
    <row r="8" spans="1:11" ht="207">
      <c r="A8" s="12">
        <v>6</v>
      </c>
      <c r="B8" s="5" t="s">
        <v>304</v>
      </c>
      <c r="C8" s="6" t="s">
        <v>248</v>
      </c>
      <c r="D8" s="6" t="s">
        <v>683</v>
      </c>
      <c r="E8" s="7">
        <v>150</v>
      </c>
      <c r="F8" s="7">
        <v>450</v>
      </c>
      <c r="G8" s="9">
        <f t="shared" si="1"/>
        <v>67500</v>
      </c>
      <c r="H8" s="6" t="s">
        <v>688</v>
      </c>
      <c r="I8" t="str">
        <f t="shared" si="0"/>
        <v>CMH_01-A-006</v>
      </c>
      <c r="J8" t="str">
        <f>IFERROR(VLOOKUP(C8, مراجع!$A$3:$B$14, 2, FALSE), "")</f>
        <v>A</v>
      </c>
      <c r="K8" s="36" t="s">
        <v>112</v>
      </c>
    </row>
    <row r="9" spans="1:11" ht="207">
      <c r="A9" s="12">
        <v>7</v>
      </c>
      <c r="B9" s="5" t="s">
        <v>305</v>
      </c>
      <c r="C9" s="6" t="s">
        <v>248</v>
      </c>
      <c r="D9" s="6" t="s">
        <v>683</v>
      </c>
      <c r="E9" s="7">
        <v>150</v>
      </c>
      <c r="F9" s="7">
        <v>76</v>
      </c>
      <c r="G9" s="9">
        <f t="shared" si="1"/>
        <v>11400</v>
      </c>
      <c r="H9" s="6" t="s">
        <v>688</v>
      </c>
      <c r="I9" t="str">
        <f t="shared" si="0"/>
        <v>CMH_01-A-007</v>
      </c>
      <c r="J9" t="str">
        <f>IFERROR(VLOOKUP(C9, مراجع!$A$3:$B$14, 2, FALSE), "")</f>
        <v>A</v>
      </c>
      <c r="K9" s="36" t="s">
        <v>112</v>
      </c>
    </row>
    <row r="10" spans="1:11" ht="69">
      <c r="A10" s="12">
        <v>8</v>
      </c>
      <c r="B10" s="5" t="s">
        <v>306</v>
      </c>
      <c r="C10" s="6" t="s">
        <v>248</v>
      </c>
      <c r="D10" s="6" t="s">
        <v>685</v>
      </c>
      <c r="E10" s="7">
        <v>540</v>
      </c>
      <c r="F10" s="7">
        <v>20</v>
      </c>
      <c r="G10" s="9">
        <f t="shared" si="1"/>
        <v>10800</v>
      </c>
      <c r="H10" s="6" t="s">
        <v>688</v>
      </c>
      <c r="I10" t="str">
        <f t="shared" si="0"/>
        <v>CMH_01-A-008</v>
      </c>
      <c r="J10" t="str">
        <f>IFERROR(VLOOKUP(C10, مراجع!$A$3:$B$14, 2, FALSE), "")</f>
        <v>A</v>
      </c>
      <c r="K10" s="36" t="s">
        <v>112</v>
      </c>
    </row>
    <row r="11" spans="1:11" ht="69">
      <c r="A11" s="12">
        <v>9</v>
      </c>
      <c r="B11" s="5" t="s">
        <v>307</v>
      </c>
      <c r="C11" s="6" t="s">
        <v>248</v>
      </c>
      <c r="D11" s="6" t="s">
        <v>685</v>
      </c>
      <c r="E11" s="7">
        <v>540</v>
      </c>
      <c r="F11" s="7">
        <v>20</v>
      </c>
      <c r="G11" s="9">
        <f t="shared" si="1"/>
        <v>10800</v>
      </c>
      <c r="H11" s="6" t="s">
        <v>688</v>
      </c>
      <c r="I11" t="str">
        <f t="shared" si="0"/>
        <v>CMH_01-A-009</v>
      </c>
      <c r="J11" t="str">
        <f>IFERROR(VLOOKUP(C11, مراجع!$A$3:$B$14, 2, FALSE), "")</f>
        <v>A</v>
      </c>
      <c r="K11" s="36" t="s">
        <v>112</v>
      </c>
    </row>
    <row r="12" spans="1:11" ht="41.4">
      <c r="A12" s="12">
        <v>10</v>
      </c>
      <c r="B12" s="5" t="s">
        <v>308</v>
      </c>
      <c r="C12" s="6" t="s">
        <v>248</v>
      </c>
      <c r="D12" s="6" t="s">
        <v>685</v>
      </c>
      <c r="E12" s="7">
        <v>42</v>
      </c>
      <c r="F12" s="7">
        <v>420</v>
      </c>
      <c r="G12" s="9">
        <f t="shared" si="1"/>
        <v>17640</v>
      </c>
      <c r="H12" s="6" t="s">
        <v>688</v>
      </c>
      <c r="I12" t="str">
        <f t="shared" si="0"/>
        <v>CMH_01-A-010</v>
      </c>
      <c r="J12" t="str">
        <f>IFERROR(VLOOKUP(C12, مراجع!$A$3:$B$14, 2, FALSE), "")</f>
        <v>A</v>
      </c>
      <c r="K12" s="36" t="s">
        <v>112</v>
      </c>
    </row>
    <row r="13" spans="1:11" ht="96.6">
      <c r="A13" s="12">
        <v>11</v>
      </c>
      <c r="B13" s="5" t="s">
        <v>309</v>
      </c>
      <c r="C13" s="6" t="s">
        <v>248</v>
      </c>
      <c r="D13" s="6" t="s">
        <v>685</v>
      </c>
      <c r="E13" s="7">
        <v>12000</v>
      </c>
      <c r="F13" s="7">
        <v>2</v>
      </c>
      <c r="G13" s="9">
        <f t="shared" si="1"/>
        <v>24000</v>
      </c>
      <c r="H13" s="6" t="s">
        <v>688</v>
      </c>
      <c r="I13" t="str">
        <f t="shared" si="0"/>
        <v>CMH_01-A-011</v>
      </c>
      <c r="J13" t="str">
        <f>IFERROR(VLOOKUP(C13, مراجع!$A$3:$B$14, 2, FALSE), "")</f>
        <v>A</v>
      </c>
      <c r="K13" s="36" t="s">
        <v>112</v>
      </c>
    </row>
    <row r="14" spans="1:11" ht="55.2">
      <c r="A14" s="12">
        <v>12</v>
      </c>
      <c r="B14" s="5" t="s">
        <v>310</v>
      </c>
      <c r="C14" s="6" t="s">
        <v>248</v>
      </c>
      <c r="D14" s="6" t="s">
        <v>683</v>
      </c>
      <c r="E14" s="7">
        <v>360</v>
      </c>
      <c r="F14" s="7">
        <v>27</v>
      </c>
      <c r="G14" s="9">
        <f t="shared" si="1"/>
        <v>9720</v>
      </c>
      <c r="H14" s="6" t="s">
        <v>688</v>
      </c>
      <c r="I14" t="str">
        <f t="shared" si="0"/>
        <v>CMH_01-A-012</v>
      </c>
      <c r="J14" t="str">
        <f>IFERROR(VLOOKUP(C14, مراجع!$A$3:$B$14, 2, FALSE), "")</f>
        <v>A</v>
      </c>
      <c r="K14" s="36" t="s">
        <v>112</v>
      </c>
    </row>
    <row r="15" spans="1:11" ht="55.2">
      <c r="A15" s="12">
        <v>13</v>
      </c>
      <c r="B15" s="5" t="s">
        <v>311</v>
      </c>
      <c r="C15" s="6" t="s">
        <v>248</v>
      </c>
      <c r="D15" s="6" t="s">
        <v>683</v>
      </c>
      <c r="E15" s="7">
        <v>360</v>
      </c>
      <c r="F15" s="7">
        <v>101</v>
      </c>
      <c r="G15" s="9">
        <f t="shared" si="1"/>
        <v>36360</v>
      </c>
      <c r="H15" s="6" t="s">
        <v>688</v>
      </c>
      <c r="I15" t="str">
        <f t="shared" si="0"/>
        <v>CMH_01-A-013</v>
      </c>
      <c r="J15" t="str">
        <f>IFERROR(VLOOKUP(C15, مراجع!$A$3:$B$14, 2, FALSE), "")</f>
        <v>A</v>
      </c>
      <c r="K15" s="36" t="s">
        <v>112</v>
      </c>
    </row>
    <row r="16" spans="1:11" ht="41.4">
      <c r="A16" s="12">
        <v>14</v>
      </c>
      <c r="B16" s="5" t="s">
        <v>312</v>
      </c>
      <c r="C16" s="6" t="s">
        <v>248</v>
      </c>
      <c r="D16" s="6" t="s">
        <v>110</v>
      </c>
      <c r="E16" s="7">
        <v>102</v>
      </c>
      <c r="F16" s="7">
        <v>1</v>
      </c>
      <c r="G16" s="9">
        <f t="shared" si="1"/>
        <v>102</v>
      </c>
      <c r="H16" s="6" t="s">
        <v>688</v>
      </c>
      <c r="I16" t="str">
        <f t="shared" si="0"/>
        <v>CMH_01-A-014</v>
      </c>
      <c r="J16" t="str">
        <f>IFERROR(VLOOKUP(C16, مراجع!$A$3:$B$14, 2, FALSE), "")</f>
        <v>A</v>
      </c>
      <c r="K16" s="36" t="s">
        <v>112</v>
      </c>
    </row>
    <row r="17" spans="1:11" ht="41.4">
      <c r="A17" s="12">
        <v>15</v>
      </c>
      <c r="B17" s="5" t="s">
        <v>313</v>
      </c>
      <c r="C17" s="6" t="s">
        <v>248</v>
      </c>
      <c r="D17" s="6" t="s">
        <v>110</v>
      </c>
      <c r="E17" s="7">
        <v>84</v>
      </c>
      <c r="F17" s="7">
        <v>1</v>
      </c>
      <c r="G17" s="9">
        <f t="shared" si="1"/>
        <v>84</v>
      </c>
      <c r="H17" s="6" t="s">
        <v>688</v>
      </c>
      <c r="I17" t="str">
        <f t="shared" si="0"/>
        <v>CMH_01-A-015</v>
      </c>
      <c r="J17" t="str">
        <f>IFERROR(VLOOKUP(C17, مراجع!$A$3:$B$14, 2, FALSE), "")</f>
        <v>A</v>
      </c>
      <c r="K17" s="36" t="s">
        <v>112</v>
      </c>
    </row>
    <row r="18" spans="1:11" ht="41.4">
      <c r="A18" s="12">
        <v>16</v>
      </c>
      <c r="B18" s="5" t="s">
        <v>314</v>
      </c>
      <c r="C18" s="6" t="s">
        <v>248</v>
      </c>
      <c r="D18" s="6" t="s">
        <v>110</v>
      </c>
      <c r="E18" s="7">
        <v>60</v>
      </c>
      <c r="F18" s="7">
        <v>4</v>
      </c>
      <c r="G18" s="9">
        <f t="shared" si="1"/>
        <v>240</v>
      </c>
      <c r="H18" s="6" t="s">
        <v>688</v>
      </c>
      <c r="I18" t="str">
        <f t="shared" si="0"/>
        <v>CMH_01-A-016</v>
      </c>
      <c r="J18" t="str">
        <f>IFERROR(VLOOKUP(C18, مراجع!$A$3:$B$14, 2, FALSE), "")</f>
        <v>A</v>
      </c>
      <c r="K18" s="36" t="s">
        <v>112</v>
      </c>
    </row>
    <row r="19" spans="1:11" ht="69">
      <c r="A19" s="12">
        <v>17</v>
      </c>
      <c r="B19" s="5" t="s">
        <v>315</v>
      </c>
      <c r="C19" s="6" t="s">
        <v>248</v>
      </c>
      <c r="D19" s="6" t="s">
        <v>110</v>
      </c>
      <c r="E19" s="7">
        <v>378</v>
      </c>
      <c r="F19" s="7">
        <v>1</v>
      </c>
      <c r="G19" s="9">
        <f t="shared" si="1"/>
        <v>378</v>
      </c>
      <c r="H19" s="6" t="s">
        <v>688</v>
      </c>
      <c r="I19" t="str">
        <f t="shared" si="0"/>
        <v>CMH_01-A-017</v>
      </c>
      <c r="J19" t="str">
        <f>IFERROR(VLOOKUP(C19, مراجع!$A$3:$B$14, 2, FALSE), "")</f>
        <v>A</v>
      </c>
      <c r="K19" s="36" t="s">
        <v>112</v>
      </c>
    </row>
    <row r="20" spans="1:11" ht="69">
      <c r="A20" s="12">
        <v>18</v>
      </c>
      <c r="B20" s="5" t="s">
        <v>316</v>
      </c>
      <c r="C20" s="6" t="s">
        <v>248</v>
      </c>
      <c r="D20" s="6" t="s">
        <v>110</v>
      </c>
      <c r="E20" s="7">
        <v>1200</v>
      </c>
      <c r="F20" s="7">
        <v>1</v>
      </c>
      <c r="G20" s="9">
        <f t="shared" si="1"/>
        <v>1200</v>
      </c>
      <c r="H20" s="6" t="s">
        <v>688</v>
      </c>
      <c r="I20" t="str">
        <f t="shared" si="0"/>
        <v>CMH_01-A-018</v>
      </c>
      <c r="J20" t="str">
        <f>IFERROR(VLOOKUP(C20, مراجع!$A$3:$B$14, 2, FALSE), "")</f>
        <v>A</v>
      </c>
      <c r="K20" s="36" t="s">
        <v>112</v>
      </c>
    </row>
    <row r="21" spans="1:11" ht="82.8">
      <c r="A21" s="12">
        <v>19</v>
      </c>
      <c r="B21" s="5" t="s">
        <v>317</v>
      </c>
      <c r="C21" s="6" t="s">
        <v>248</v>
      </c>
      <c r="D21" s="6" t="s">
        <v>110</v>
      </c>
      <c r="E21" s="7">
        <v>6000</v>
      </c>
      <c r="F21" s="7">
        <v>1</v>
      </c>
      <c r="G21" s="9">
        <f t="shared" si="1"/>
        <v>6000</v>
      </c>
      <c r="H21" s="6" t="s">
        <v>688</v>
      </c>
      <c r="I21" t="str">
        <f t="shared" si="0"/>
        <v>CMH_01-A-019</v>
      </c>
      <c r="J21" t="str">
        <f>IFERROR(VLOOKUP(C21, مراجع!$A$3:$B$14, 2, FALSE), "")</f>
        <v>A</v>
      </c>
      <c r="K21" s="36" t="s">
        <v>112</v>
      </c>
    </row>
    <row r="22" spans="1:11" ht="82.8">
      <c r="A22" s="12">
        <v>20</v>
      </c>
      <c r="B22" s="5" t="s">
        <v>318</v>
      </c>
      <c r="C22" s="6" t="s">
        <v>248</v>
      </c>
      <c r="D22" s="6" t="s">
        <v>110</v>
      </c>
      <c r="E22" s="7">
        <v>5400</v>
      </c>
      <c r="F22" s="7">
        <v>1</v>
      </c>
      <c r="G22" s="9">
        <f t="shared" si="1"/>
        <v>5400</v>
      </c>
      <c r="H22" s="6" t="s">
        <v>688</v>
      </c>
      <c r="I22" t="str">
        <f t="shared" si="0"/>
        <v>CMH_01-A-020</v>
      </c>
      <c r="J22" t="str">
        <f>IFERROR(VLOOKUP(C22, مراجع!$A$3:$B$14, 2, FALSE), "")</f>
        <v>A</v>
      </c>
      <c r="K22" s="36" t="s">
        <v>112</v>
      </c>
    </row>
    <row r="23" spans="1:11" ht="55.2">
      <c r="A23" s="12">
        <v>21</v>
      </c>
      <c r="B23" s="5" t="s">
        <v>319</v>
      </c>
      <c r="C23" s="6" t="s">
        <v>248</v>
      </c>
      <c r="D23" s="6" t="s">
        <v>110</v>
      </c>
      <c r="E23" s="7">
        <v>5100</v>
      </c>
      <c r="F23" s="7">
        <v>3</v>
      </c>
      <c r="G23" s="9">
        <f t="shared" si="1"/>
        <v>15300</v>
      </c>
      <c r="H23" s="6" t="s">
        <v>688</v>
      </c>
      <c r="I23" t="str">
        <f t="shared" si="0"/>
        <v>CMH_01-A-021</v>
      </c>
      <c r="J23" t="str">
        <f>IFERROR(VLOOKUP(C23, مراجع!$A$3:$B$14, 2, FALSE), "")</f>
        <v>A</v>
      </c>
      <c r="K23" s="36" t="s">
        <v>112</v>
      </c>
    </row>
    <row r="24" spans="1:11" ht="69">
      <c r="A24" s="12">
        <v>22</v>
      </c>
      <c r="B24" s="5" t="s">
        <v>320</v>
      </c>
      <c r="C24" s="6" t="s">
        <v>248</v>
      </c>
      <c r="D24" s="6" t="s">
        <v>685</v>
      </c>
      <c r="E24" s="7">
        <v>42</v>
      </c>
      <c r="F24" s="7">
        <v>4532</v>
      </c>
      <c r="G24" s="9">
        <f t="shared" si="1"/>
        <v>190344</v>
      </c>
      <c r="H24" s="6" t="s">
        <v>688</v>
      </c>
      <c r="I24" t="str">
        <f t="shared" si="0"/>
        <v>CMH_01-A-022</v>
      </c>
      <c r="J24" t="str">
        <f>IFERROR(VLOOKUP(C24, مراجع!$A$3:$B$14, 2, FALSE), "")</f>
        <v>A</v>
      </c>
      <c r="K24" s="36" t="s">
        <v>112</v>
      </c>
    </row>
    <row r="25" spans="1:11" ht="69">
      <c r="A25" s="12">
        <v>23</v>
      </c>
      <c r="B25" s="5" t="s">
        <v>321</v>
      </c>
      <c r="C25" s="6" t="s">
        <v>248</v>
      </c>
      <c r="D25" s="6" t="s">
        <v>685</v>
      </c>
      <c r="E25" s="7">
        <v>42</v>
      </c>
      <c r="F25" s="7">
        <v>700</v>
      </c>
      <c r="G25" s="9">
        <f t="shared" si="1"/>
        <v>29400</v>
      </c>
      <c r="H25" s="6" t="s">
        <v>688</v>
      </c>
      <c r="I25" t="str">
        <f t="shared" si="0"/>
        <v>CMH_01-A-023</v>
      </c>
      <c r="J25" t="str">
        <f>IFERROR(VLOOKUP(C25, مراجع!$A$3:$B$14, 2, FALSE), "")</f>
        <v>A</v>
      </c>
      <c r="K25" s="36" t="s">
        <v>112</v>
      </c>
    </row>
    <row r="26" spans="1:11" ht="69">
      <c r="A26" s="12">
        <v>24</v>
      </c>
      <c r="B26" s="5" t="s">
        <v>322</v>
      </c>
      <c r="C26" s="6" t="s">
        <v>248</v>
      </c>
      <c r="D26" s="6" t="s">
        <v>683</v>
      </c>
      <c r="E26" s="7">
        <v>714</v>
      </c>
      <c r="F26" s="7">
        <v>431</v>
      </c>
      <c r="G26" s="9">
        <f t="shared" si="1"/>
        <v>307734</v>
      </c>
      <c r="H26" s="6" t="s">
        <v>688</v>
      </c>
      <c r="I26" t="str">
        <f t="shared" si="0"/>
        <v>CMH_01-A-024</v>
      </c>
      <c r="J26" t="str">
        <f>IFERROR(VLOOKUP(C26, مراجع!$A$3:$B$14, 2, FALSE), "")</f>
        <v>A</v>
      </c>
      <c r="K26" s="36" t="s">
        <v>112</v>
      </c>
    </row>
    <row r="27" spans="1:11" ht="55.2">
      <c r="A27" s="12">
        <v>25</v>
      </c>
      <c r="B27" s="5" t="s">
        <v>323</v>
      </c>
      <c r="C27" s="6" t="s">
        <v>248</v>
      </c>
      <c r="D27" s="6" t="s">
        <v>110</v>
      </c>
      <c r="E27" s="7">
        <v>240</v>
      </c>
      <c r="F27" s="7">
        <v>248</v>
      </c>
      <c r="G27" s="9">
        <f t="shared" si="1"/>
        <v>59520</v>
      </c>
      <c r="H27" s="6" t="s">
        <v>688</v>
      </c>
      <c r="I27" t="str">
        <f t="shared" si="0"/>
        <v>CMH_01-A-025</v>
      </c>
      <c r="J27" t="str">
        <f>IFERROR(VLOOKUP(C27, مراجع!$A$3:$B$14, 2, FALSE), "")</f>
        <v>A</v>
      </c>
      <c r="K27" s="36" t="s">
        <v>112</v>
      </c>
    </row>
    <row r="28" spans="1:11" ht="110.4">
      <c r="A28" s="12">
        <v>26</v>
      </c>
      <c r="B28" s="5" t="s">
        <v>324</v>
      </c>
      <c r="C28" s="6" t="s">
        <v>248</v>
      </c>
      <c r="D28" s="6" t="s">
        <v>683</v>
      </c>
      <c r="E28" s="7">
        <v>528</v>
      </c>
      <c r="F28" s="7">
        <v>345</v>
      </c>
      <c r="G28" s="9">
        <f t="shared" si="1"/>
        <v>182160</v>
      </c>
      <c r="H28" s="6" t="s">
        <v>688</v>
      </c>
      <c r="I28" t="str">
        <f t="shared" si="0"/>
        <v>CMH_01-A-026</v>
      </c>
      <c r="J28" t="str">
        <f>IFERROR(VLOOKUP(C28, مراجع!$A$3:$B$14, 2, FALSE), "")</f>
        <v>A</v>
      </c>
      <c r="K28" s="36" t="s">
        <v>112</v>
      </c>
    </row>
    <row r="29" spans="1:11" ht="110.4">
      <c r="A29" s="12">
        <v>27</v>
      </c>
      <c r="B29" s="5" t="s">
        <v>325</v>
      </c>
      <c r="C29" s="6" t="s">
        <v>248</v>
      </c>
      <c r="D29" s="6" t="s">
        <v>683</v>
      </c>
      <c r="E29" s="7">
        <v>528</v>
      </c>
      <c r="F29" s="7">
        <v>331</v>
      </c>
      <c r="G29" s="9">
        <f t="shared" si="1"/>
        <v>174768</v>
      </c>
      <c r="H29" s="6" t="s">
        <v>688</v>
      </c>
      <c r="I29" t="str">
        <f t="shared" si="0"/>
        <v>CMH_01-A-027</v>
      </c>
      <c r="J29" t="str">
        <f>IFERROR(VLOOKUP(C29, مراجع!$A$3:$B$14, 2, FALSE), "")</f>
        <v>A</v>
      </c>
      <c r="K29" s="36" t="s">
        <v>112</v>
      </c>
    </row>
    <row r="30" spans="1:11" ht="110.4">
      <c r="A30" s="12">
        <v>28</v>
      </c>
      <c r="B30" s="5" t="s">
        <v>326</v>
      </c>
      <c r="C30" s="6" t="s">
        <v>248</v>
      </c>
      <c r="D30" s="6" t="s">
        <v>683</v>
      </c>
      <c r="E30" s="7">
        <v>528</v>
      </c>
      <c r="F30" s="7">
        <v>2517</v>
      </c>
      <c r="G30" s="9">
        <f t="shared" si="1"/>
        <v>1328976</v>
      </c>
      <c r="H30" s="6" t="s">
        <v>688</v>
      </c>
      <c r="I30" t="str">
        <f t="shared" si="0"/>
        <v>CMH_01-A-028</v>
      </c>
      <c r="J30" t="str">
        <f>IFERROR(VLOOKUP(C30, مراجع!$A$3:$B$14, 2, FALSE), "")</f>
        <v>A</v>
      </c>
      <c r="K30" s="36" t="s">
        <v>112</v>
      </c>
    </row>
    <row r="31" spans="1:11" ht="124.2">
      <c r="A31" s="12">
        <v>29</v>
      </c>
      <c r="B31" s="5" t="s">
        <v>327</v>
      </c>
      <c r="C31" s="6" t="s">
        <v>248</v>
      </c>
      <c r="D31" s="6" t="s">
        <v>683</v>
      </c>
      <c r="E31" s="7">
        <v>528</v>
      </c>
      <c r="F31" s="7">
        <v>846</v>
      </c>
      <c r="G31" s="9">
        <f t="shared" si="1"/>
        <v>446688</v>
      </c>
      <c r="H31" s="6" t="s">
        <v>688</v>
      </c>
      <c r="I31" t="str">
        <f t="shared" si="0"/>
        <v>CMH_01-A-029</v>
      </c>
      <c r="J31" t="str">
        <f>IFERROR(VLOOKUP(C31, مراجع!$A$3:$B$14, 2, FALSE), "")</f>
        <v>A</v>
      </c>
      <c r="K31" s="36" t="s">
        <v>112</v>
      </c>
    </row>
    <row r="32" spans="1:11" ht="124.2">
      <c r="A32" s="12">
        <v>30</v>
      </c>
      <c r="B32" s="5" t="s">
        <v>328</v>
      </c>
      <c r="C32" s="6" t="s">
        <v>248</v>
      </c>
      <c r="D32" s="6" t="s">
        <v>683</v>
      </c>
      <c r="E32" s="7">
        <v>570</v>
      </c>
      <c r="F32" s="7">
        <v>456</v>
      </c>
      <c r="G32" s="9">
        <f t="shared" si="1"/>
        <v>259920</v>
      </c>
      <c r="H32" s="6" t="s">
        <v>688</v>
      </c>
      <c r="I32" t="str">
        <f t="shared" si="0"/>
        <v>CMH_01-A-030</v>
      </c>
      <c r="J32" t="str">
        <f>IFERROR(VLOOKUP(C32, مراجع!$A$3:$B$14, 2, FALSE), "")</f>
        <v>A</v>
      </c>
      <c r="K32" s="36" t="s">
        <v>112</v>
      </c>
    </row>
    <row r="33" spans="1:11" ht="110.4">
      <c r="A33" s="12">
        <v>31</v>
      </c>
      <c r="B33" s="5" t="s">
        <v>329</v>
      </c>
      <c r="C33" s="6" t="s">
        <v>248</v>
      </c>
      <c r="D33" s="6" t="s">
        <v>683</v>
      </c>
      <c r="E33" s="7">
        <v>720</v>
      </c>
      <c r="F33" s="7">
        <v>53</v>
      </c>
      <c r="G33" s="9">
        <f t="shared" si="1"/>
        <v>38160</v>
      </c>
      <c r="H33" s="6" t="s">
        <v>688</v>
      </c>
      <c r="I33" t="str">
        <f t="shared" si="0"/>
        <v>CMH_01-A-031</v>
      </c>
      <c r="J33" t="str">
        <f>IFERROR(VLOOKUP(C33, مراجع!$A$3:$B$14, 2, FALSE), "")</f>
        <v>A</v>
      </c>
      <c r="K33" s="36" t="s">
        <v>112</v>
      </c>
    </row>
    <row r="34" spans="1:11" ht="82.8">
      <c r="A34" s="12">
        <v>32</v>
      </c>
      <c r="B34" s="5" t="s">
        <v>330</v>
      </c>
      <c r="C34" s="6" t="s">
        <v>248</v>
      </c>
      <c r="D34" s="6" t="s">
        <v>683</v>
      </c>
      <c r="E34" s="7">
        <v>468</v>
      </c>
      <c r="F34" s="7">
        <v>29</v>
      </c>
      <c r="G34" s="9">
        <f t="shared" si="1"/>
        <v>13572</v>
      </c>
      <c r="H34" s="6" t="s">
        <v>688</v>
      </c>
      <c r="I34" t="str">
        <f t="shared" si="0"/>
        <v>CMH_01-A-032</v>
      </c>
      <c r="J34" t="str">
        <f>IFERROR(VLOOKUP(C34, مراجع!$A$3:$B$14, 2, FALSE), "")</f>
        <v>A</v>
      </c>
      <c r="K34" s="36" t="s">
        <v>112</v>
      </c>
    </row>
    <row r="35" spans="1:11" ht="110.4">
      <c r="A35" s="12">
        <v>33</v>
      </c>
      <c r="B35" s="5" t="s">
        <v>331</v>
      </c>
      <c r="C35" s="6" t="s">
        <v>248</v>
      </c>
      <c r="D35" s="6" t="s">
        <v>683</v>
      </c>
      <c r="E35" s="7">
        <v>570</v>
      </c>
      <c r="F35" s="7">
        <v>118</v>
      </c>
      <c r="G35" s="9">
        <f t="shared" si="1"/>
        <v>67260</v>
      </c>
      <c r="H35" s="6" t="s">
        <v>688</v>
      </c>
      <c r="I35" t="str">
        <f t="shared" si="0"/>
        <v>CMH_01-A-033</v>
      </c>
      <c r="J35" t="str">
        <f>IFERROR(VLOOKUP(C35, مراجع!$A$3:$B$14, 2, FALSE), "")</f>
        <v>A</v>
      </c>
      <c r="K35" s="36" t="s">
        <v>112</v>
      </c>
    </row>
    <row r="36" spans="1:11" ht="96.6">
      <c r="A36" s="12">
        <v>34</v>
      </c>
      <c r="B36" s="5" t="s">
        <v>332</v>
      </c>
      <c r="C36" s="6" t="s">
        <v>248</v>
      </c>
      <c r="D36" s="6" t="s">
        <v>683</v>
      </c>
      <c r="E36" s="7">
        <v>870</v>
      </c>
      <c r="F36" s="7">
        <v>758</v>
      </c>
      <c r="G36" s="9">
        <f t="shared" si="1"/>
        <v>659460</v>
      </c>
      <c r="H36" s="6" t="s">
        <v>688</v>
      </c>
      <c r="I36" t="str">
        <f t="shared" si="0"/>
        <v>CMH_01-A-034</v>
      </c>
      <c r="J36" t="str">
        <f>IFERROR(VLOOKUP(C36, مراجع!$A$3:$B$14, 2, FALSE), "")</f>
        <v>A</v>
      </c>
      <c r="K36" s="36" t="s">
        <v>112</v>
      </c>
    </row>
    <row r="37" spans="1:11" ht="124.2">
      <c r="A37" s="12">
        <v>35</v>
      </c>
      <c r="B37" s="5" t="s">
        <v>333</v>
      </c>
      <c r="C37" s="6" t="s">
        <v>248</v>
      </c>
      <c r="D37" s="6" t="s">
        <v>683</v>
      </c>
      <c r="E37" s="7">
        <v>1080</v>
      </c>
      <c r="F37" s="7">
        <v>60</v>
      </c>
      <c r="G37" s="9">
        <f t="shared" si="1"/>
        <v>64800</v>
      </c>
      <c r="H37" s="6" t="s">
        <v>688</v>
      </c>
      <c r="I37" t="str">
        <f t="shared" si="0"/>
        <v>CMH_01-A-035</v>
      </c>
      <c r="J37" t="str">
        <f>IFERROR(VLOOKUP(C37, مراجع!$A$3:$B$14, 2, FALSE), "")</f>
        <v>A</v>
      </c>
      <c r="K37" s="36" t="s">
        <v>112</v>
      </c>
    </row>
    <row r="38" spans="1:11" ht="25.95" customHeight="1">
      <c r="A38" s="12">
        <v>36</v>
      </c>
      <c r="B38" s="5" t="s">
        <v>334</v>
      </c>
      <c r="C38" s="6" t="s">
        <v>248</v>
      </c>
      <c r="D38" s="6" t="s">
        <v>683</v>
      </c>
      <c r="E38" s="7">
        <v>960</v>
      </c>
      <c r="F38" s="7">
        <v>75</v>
      </c>
      <c r="G38" s="9">
        <f t="shared" si="1"/>
        <v>72000</v>
      </c>
      <c r="H38" s="6" t="s">
        <v>688</v>
      </c>
      <c r="I38" t="str">
        <f t="shared" si="0"/>
        <v>CMH_01-A-036</v>
      </c>
      <c r="J38" t="str">
        <f>IFERROR(VLOOKUP(C38, مراجع!$A$3:$B$14, 2, FALSE), "")</f>
        <v>A</v>
      </c>
      <c r="K38" s="36" t="s">
        <v>112</v>
      </c>
    </row>
    <row r="39" spans="1:11" ht="110.4">
      <c r="A39" s="12">
        <v>37</v>
      </c>
      <c r="B39" s="5" t="s">
        <v>335</v>
      </c>
      <c r="C39" s="6" t="s">
        <v>248</v>
      </c>
      <c r="D39" s="6" t="s">
        <v>683</v>
      </c>
      <c r="E39" s="7">
        <v>1080</v>
      </c>
      <c r="F39" s="7">
        <v>162</v>
      </c>
      <c r="G39" s="9">
        <f t="shared" si="1"/>
        <v>174960</v>
      </c>
      <c r="H39" s="6" t="s">
        <v>688</v>
      </c>
      <c r="I39" t="str">
        <f t="shared" si="0"/>
        <v>CMH_01-A-037</v>
      </c>
      <c r="J39" t="str">
        <f>IFERROR(VLOOKUP(C39, مراجع!$A$3:$B$14, 2, FALSE), "")</f>
        <v>A</v>
      </c>
      <c r="K39" s="36" t="s">
        <v>112</v>
      </c>
    </row>
    <row r="40" spans="1:11" ht="110.4">
      <c r="A40" s="12">
        <v>38</v>
      </c>
      <c r="B40" s="5" t="s">
        <v>336</v>
      </c>
      <c r="C40" s="6" t="s">
        <v>248</v>
      </c>
      <c r="D40" s="6" t="s">
        <v>683</v>
      </c>
      <c r="E40" s="7">
        <v>840</v>
      </c>
      <c r="F40" s="7">
        <v>684</v>
      </c>
      <c r="G40" s="9">
        <f t="shared" si="1"/>
        <v>574560</v>
      </c>
      <c r="H40" s="6" t="s">
        <v>688</v>
      </c>
      <c r="I40" t="str">
        <f t="shared" si="0"/>
        <v>CMH_01-A-038</v>
      </c>
      <c r="J40" t="str">
        <f>IFERROR(VLOOKUP(C40, مراجع!$A$3:$B$14, 2, FALSE), "")</f>
        <v>A</v>
      </c>
      <c r="K40" s="36" t="s">
        <v>112</v>
      </c>
    </row>
    <row r="41" spans="1:11" ht="124.2">
      <c r="A41" s="12">
        <v>39</v>
      </c>
      <c r="B41" s="5" t="s">
        <v>337</v>
      </c>
      <c r="C41" s="6" t="s">
        <v>248</v>
      </c>
      <c r="D41" s="6" t="s">
        <v>683</v>
      </c>
      <c r="E41" s="7">
        <v>780</v>
      </c>
      <c r="F41" s="7">
        <v>64</v>
      </c>
      <c r="G41" s="9">
        <f t="shared" si="1"/>
        <v>49920</v>
      </c>
      <c r="H41" s="6" t="s">
        <v>688</v>
      </c>
      <c r="I41" t="str">
        <f t="shared" si="0"/>
        <v>CMH_01-A-039</v>
      </c>
      <c r="J41" t="str">
        <f>IFERROR(VLOOKUP(C41, مراجع!$A$3:$B$14, 2, FALSE), "")</f>
        <v>A</v>
      </c>
      <c r="K41" s="36" t="s">
        <v>112</v>
      </c>
    </row>
    <row r="42" spans="1:11" ht="124.2">
      <c r="A42" s="12">
        <v>40</v>
      </c>
      <c r="B42" s="5" t="s">
        <v>338</v>
      </c>
      <c r="C42" s="6" t="s">
        <v>248</v>
      </c>
      <c r="D42" s="6" t="s">
        <v>683</v>
      </c>
      <c r="E42" s="7">
        <v>1440</v>
      </c>
      <c r="F42" s="7">
        <v>72</v>
      </c>
      <c r="G42" s="9">
        <f t="shared" si="1"/>
        <v>103680</v>
      </c>
      <c r="H42" s="6" t="s">
        <v>688</v>
      </c>
      <c r="I42" t="str">
        <f t="shared" si="0"/>
        <v>CMH_01-A-040</v>
      </c>
      <c r="J42" t="str">
        <f>IFERROR(VLOOKUP(C42, مراجع!$A$3:$B$14, 2, FALSE), "")</f>
        <v>A</v>
      </c>
      <c r="K42" s="36" t="s">
        <v>112</v>
      </c>
    </row>
    <row r="43" spans="1:11" ht="96.6">
      <c r="A43" s="12">
        <v>41</v>
      </c>
      <c r="B43" s="5" t="s">
        <v>339</v>
      </c>
      <c r="C43" s="6" t="s">
        <v>248</v>
      </c>
      <c r="D43" s="6" t="s">
        <v>683</v>
      </c>
      <c r="E43" s="7">
        <v>1440</v>
      </c>
      <c r="F43" s="7">
        <v>78</v>
      </c>
      <c r="G43" s="9">
        <f t="shared" si="1"/>
        <v>112320</v>
      </c>
      <c r="H43" s="6" t="s">
        <v>688</v>
      </c>
      <c r="I43" t="str">
        <f t="shared" si="0"/>
        <v>CMH_01-A-041</v>
      </c>
      <c r="J43" t="str">
        <f>IFERROR(VLOOKUP(C43, مراجع!$A$3:$B$14, 2, FALSE), "")</f>
        <v>A</v>
      </c>
      <c r="K43" s="36" t="s">
        <v>112</v>
      </c>
    </row>
    <row r="44" spans="1:11" ht="110.4">
      <c r="A44" s="12">
        <v>42</v>
      </c>
      <c r="B44" s="5" t="s">
        <v>340</v>
      </c>
      <c r="C44" s="6" t="s">
        <v>248</v>
      </c>
      <c r="D44" s="6" t="s">
        <v>683</v>
      </c>
      <c r="E44" s="7">
        <v>1200</v>
      </c>
      <c r="F44" s="7">
        <v>297</v>
      </c>
      <c r="G44" s="9">
        <f t="shared" si="1"/>
        <v>356400</v>
      </c>
      <c r="H44" s="6" t="s">
        <v>688</v>
      </c>
      <c r="I44" t="str">
        <f t="shared" si="0"/>
        <v>CMH_01-A-042</v>
      </c>
      <c r="J44" t="str">
        <f>IFERROR(VLOOKUP(C44, مراجع!$A$3:$B$14, 2, FALSE), "")</f>
        <v>A</v>
      </c>
      <c r="K44" s="36" t="s">
        <v>112</v>
      </c>
    </row>
    <row r="45" spans="1:11" ht="110.4">
      <c r="A45" s="12">
        <v>43</v>
      </c>
      <c r="B45" s="5" t="s">
        <v>341</v>
      </c>
      <c r="C45" s="6" t="s">
        <v>248</v>
      </c>
      <c r="D45" s="6" t="s">
        <v>683</v>
      </c>
      <c r="E45" s="7">
        <v>1440</v>
      </c>
      <c r="F45" s="7">
        <v>69</v>
      </c>
      <c r="G45" s="9">
        <f t="shared" si="1"/>
        <v>99360</v>
      </c>
      <c r="H45" s="6" t="s">
        <v>688</v>
      </c>
      <c r="I45" t="str">
        <f t="shared" si="0"/>
        <v>CMH_01-A-043</v>
      </c>
      <c r="J45" t="str">
        <f>IFERROR(VLOOKUP(C45, مراجع!$A$3:$B$14, 2, FALSE), "")</f>
        <v>A</v>
      </c>
      <c r="K45" s="36" t="s">
        <v>112</v>
      </c>
    </row>
    <row r="46" spans="1:11" ht="110.4">
      <c r="A46" s="12">
        <v>44</v>
      </c>
      <c r="B46" s="5" t="s">
        <v>342</v>
      </c>
      <c r="C46" s="6" t="s">
        <v>248</v>
      </c>
      <c r="D46" s="6" t="s">
        <v>683</v>
      </c>
      <c r="E46" s="7">
        <v>1440</v>
      </c>
      <c r="F46" s="7">
        <v>62</v>
      </c>
      <c r="G46" s="9">
        <f t="shared" si="1"/>
        <v>89280</v>
      </c>
      <c r="H46" s="6" t="s">
        <v>688</v>
      </c>
      <c r="I46" t="str">
        <f t="shared" si="0"/>
        <v>CMH_01-A-044</v>
      </c>
      <c r="J46" t="str">
        <f>IFERROR(VLOOKUP(C46, مراجع!$A$3:$B$14, 2, FALSE), "")</f>
        <v>A</v>
      </c>
      <c r="K46" s="36" t="s">
        <v>112</v>
      </c>
    </row>
    <row r="47" spans="1:11" ht="69">
      <c r="A47" s="12">
        <v>45</v>
      </c>
      <c r="B47" s="5" t="s">
        <v>343</v>
      </c>
      <c r="C47" s="6" t="s">
        <v>248</v>
      </c>
      <c r="D47" s="6" t="s">
        <v>683</v>
      </c>
      <c r="E47" s="7">
        <v>78</v>
      </c>
      <c r="F47" s="7">
        <v>1345</v>
      </c>
      <c r="G47" s="9">
        <f t="shared" si="1"/>
        <v>104910</v>
      </c>
      <c r="H47" s="6" t="s">
        <v>688</v>
      </c>
      <c r="I47" t="str">
        <f t="shared" si="0"/>
        <v>CMH_01-A-045</v>
      </c>
      <c r="J47" t="str">
        <f>IFERROR(VLOOKUP(C47, مراجع!$A$3:$B$14, 2, FALSE), "")</f>
        <v>A</v>
      </c>
      <c r="K47" s="36" t="s">
        <v>112</v>
      </c>
    </row>
    <row r="48" spans="1:11" ht="96.6">
      <c r="A48" s="12">
        <v>46</v>
      </c>
      <c r="B48" s="5" t="s">
        <v>344</v>
      </c>
      <c r="C48" s="6" t="s">
        <v>248</v>
      </c>
      <c r="D48" s="6" t="s">
        <v>110</v>
      </c>
      <c r="E48" s="7">
        <v>2580</v>
      </c>
      <c r="F48" s="7">
        <v>238</v>
      </c>
      <c r="G48" s="9">
        <f t="shared" si="1"/>
        <v>614040</v>
      </c>
      <c r="H48" s="6" t="s">
        <v>688</v>
      </c>
      <c r="I48" t="str">
        <f t="shared" si="0"/>
        <v>CMH_01-A-046</v>
      </c>
      <c r="J48" t="str">
        <f>IFERROR(VLOOKUP(C48, مراجع!$A$3:$B$14, 2, FALSE), "")</f>
        <v>A</v>
      </c>
      <c r="K48" s="36" t="s">
        <v>112</v>
      </c>
    </row>
    <row r="49" spans="1:11" ht="96.6">
      <c r="A49" s="12">
        <v>47</v>
      </c>
      <c r="B49" s="5" t="s">
        <v>345</v>
      </c>
      <c r="C49" s="6" t="s">
        <v>248</v>
      </c>
      <c r="D49" s="6" t="s">
        <v>110</v>
      </c>
      <c r="E49" s="7">
        <v>4020</v>
      </c>
      <c r="F49" s="7">
        <v>37</v>
      </c>
      <c r="G49" s="9">
        <f t="shared" si="1"/>
        <v>148740</v>
      </c>
      <c r="H49" s="6" t="s">
        <v>688</v>
      </c>
      <c r="I49" t="str">
        <f t="shared" si="0"/>
        <v>CMH_01-A-047</v>
      </c>
      <c r="J49" t="str">
        <f>IFERROR(VLOOKUP(C49, مراجع!$A$3:$B$14, 2, FALSE), "")</f>
        <v>A</v>
      </c>
      <c r="K49" s="36" t="s">
        <v>112</v>
      </c>
    </row>
    <row r="50" spans="1:11" ht="96.6">
      <c r="A50" s="12">
        <v>48</v>
      </c>
      <c r="B50" s="5" t="s">
        <v>346</v>
      </c>
      <c r="C50" s="6" t="s">
        <v>248</v>
      </c>
      <c r="D50" s="6" t="s">
        <v>110</v>
      </c>
      <c r="E50" s="7">
        <v>3600</v>
      </c>
      <c r="F50" s="7">
        <v>5</v>
      </c>
      <c r="G50" s="9">
        <f t="shared" si="1"/>
        <v>18000</v>
      </c>
      <c r="H50" s="6" t="s">
        <v>688</v>
      </c>
      <c r="I50" t="str">
        <f t="shared" si="0"/>
        <v>CMH_01-A-048</v>
      </c>
      <c r="J50" t="str">
        <f>IFERROR(VLOOKUP(C50, مراجع!$A$3:$B$14, 2, FALSE), "")</f>
        <v>A</v>
      </c>
      <c r="K50" s="36" t="s">
        <v>112</v>
      </c>
    </row>
    <row r="51" spans="1:11" ht="124.2">
      <c r="A51" s="12">
        <v>49</v>
      </c>
      <c r="B51" s="5" t="s">
        <v>347</v>
      </c>
      <c r="C51" s="6" t="s">
        <v>248</v>
      </c>
      <c r="D51" s="6" t="s">
        <v>110</v>
      </c>
      <c r="E51" s="7">
        <v>5280</v>
      </c>
      <c r="F51" s="7">
        <v>13</v>
      </c>
      <c r="G51" s="9">
        <f t="shared" si="1"/>
        <v>68640</v>
      </c>
      <c r="H51" s="6" t="s">
        <v>688</v>
      </c>
      <c r="I51" t="str">
        <f t="shared" si="0"/>
        <v>CMH_01-A-049</v>
      </c>
      <c r="J51" t="str">
        <f>IFERROR(VLOOKUP(C51, مراجع!$A$3:$B$14, 2, FALSE), "")</f>
        <v>A</v>
      </c>
      <c r="K51" s="36" t="s">
        <v>112</v>
      </c>
    </row>
    <row r="52" spans="1:11" ht="124.2">
      <c r="A52" s="12">
        <v>50</v>
      </c>
      <c r="B52" s="5" t="s">
        <v>348</v>
      </c>
      <c r="C52" s="6" t="s">
        <v>248</v>
      </c>
      <c r="D52" s="6" t="s">
        <v>110</v>
      </c>
      <c r="E52" s="7">
        <v>2400</v>
      </c>
      <c r="F52" s="7">
        <v>13</v>
      </c>
      <c r="G52" s="9">
        <f t="shared" si="1"/>
        <v>31200</v>
      </c>
      <c r="H52" s="6" t="s">
        <v>688</v>
      </c>
      <c r="I52" t="str">
        <f t="shared" si="0"/>
        <v>CMH_01-A-050</v>
      </c>
      <c r="J52" t="str">
        <f>IFERROR(VLOOKUP(C52, مراجع!$A$3:$B$14, 2, FALSE), "")</f>
        <v>A</v>
      </c>
      <c r="K52" s="36" t="s">
        <v>112</v>
      </c>
    </row>
    <row r="53" spans="1:11" ht="124.2">
      <c r="A53" s="12">
        <v>51</v>
      </c>
      <c r="B53" s="5" t="s">
        <v>349</v>
      </c>
      <c r="C53" s="6" t="s">
        <v>248</v>
      </c>
      <c r="D53" s="6" t="s">
        <v>110</v>
      </c>
      <c r="E53" s="7">
        <v>2400</v>
      </c>
      <c r="F53" s="7">
        <v>47</v>
      </c>
      <c r="G53" s="9">
        <f t="shared" si="1"/>
        <v>112800</v>
      </c>
      <c r="H53" s="6" t="s">
        <v>688</v>
      </c>
      <c r="I53" t="str">
        <f t="shared" si="0"/>
        <v>CMH_01-A-051</v>
      </c>
      <c r="J53" t="str">
        <f>IFERROR(VLOOKUP(C53, مراجع!$A$3:$B$14, 2, FALSE), "")</f>
        <v>A</v>
      </c>
      <c r="K53" s="36" t="s">
        <v>112</v>
      </c>
    </row>
    <row r="54" spans="1:11" ht="124.2">
      <c r="A54" s="12">
        <v>52</v>
      </c>
      <c r="B54" s="5" t="s">
        <v>350</v>
      </c>
      <c r="C54" s="6" t="s">
        <v>248</v>
      </c>
      <c r="D54" s="6" t="s">
        <v>110</v>
      </c>
      <c r="E54" s="7">
        <v>2400</v>
      </c>
      <c r="F54" s="7">
        <v>48</v>
      </c>
      <c r="G54" s="9">
        <f t="shared" si="1"/>
        <v>115200</v>
      </c>
      <c r="H54" s="6" t="s">
        <v>688</v>
      </c>
      <c r="I54" t="str">
        <f t="shared" si="0"/>
        <v>CMH_01-A-052</v>
      </c>
      <c r="J54" t="str">
        <f>IFERROR(VLOOKUP(C54, مراجع!$A$3:$B$14, 2, FALSE), "")</f>
        <v>A</v>
      </c>
      <c r="K54" s="36" t="s">
        <v>112</v>
      </c>
    </row>
    <row r="55" spans="1:11" ht="124.2">
      <c r="A55" s="12">
        <v>53</v>
      </c>
      <c r="B55" s="5" t="s">
        <v>351</v>
      </c>
      <c r="C55" s="6" t="s">
        <v>248</v>
      </c>
      <c r="D55" s="6" t="s">
        <v>110</v>
      </c>
      <c r="E55" s="7">
        <v>3600</v>
      </c>
      <c r="F55" s="7">
        <v>1</v>
      </c>
      <c r="G55" s="9">
        <f t="shared" si="1"/>
        <v>3600</v>
      </c>
      <c r="H55" s="6" t="s">
        <v>688</v>
      </c>
      <c r="I55" t="str">
        <f t="shared" si="0"/>
        <v>CMH_01-A-053</v>
      </c>
      <c r="J55" t="str">
        <f>IFERROR(VLOOKUP(C55, مراجع!$A$3:$B$14, 2, FALSE), "")</f>
        <v>A</v>
      </c>
      <c r="K55" s="36" t="s">
        <v>112</v>
      </c>
    </row>
    <row r="56" spans="1:11" ht="124.2">
      <c r="A56" s="12">
        <v>54</v>
      </c>
      <c r="B56" s="5" t="s">
        <v>352</v>
      </c>
      <c r="C56" s="6" t="s">
        <v>248</v>
      </c>
      <c r="D56" s="6" t="s">
        <v>110</v>
      </c>
      <c r="E56" s="7">
        <v>2640</v>
      </c>
      <c r="F56" s="7">
        <v>14</v>
      </c>
      <c r="G56" s="9">
        <f>IF(AND(E56&lt;&gt;"",F56&lt;&gt;""), E56*F56, "")</f>
        <v>36960</v>
      </c>
      <c r="H56" s="6" t="s">
        <v>688</v>
      </c>
      <c r="I56" t="str">
        <f t="shared" si="0"/>
        <v>CMH_01-A-054</v>
      </c>
      <c r="J56" t="str">
        <f>IFERROR(VLOOKUP(C56, مراجع!$A$3:$B$14, 2, FALSE), "")</f>
        <v>A</v>
      </c>
      <c r="K56" s="36" t="s">
        <v>112</v>
      </c>
    </row>
    <row r="57" spans="1:11" ht="138">
      <c r="A57" s="12">
        <v>55</v>
      </c>
      <c r="B57" s="5" t="s">
        <v>353</v>
      </c>
      <c r="C57" s="6" t="s">
        <v>248</v>
      </c>
      <c r="D57" s="6" t="s">
        <v>110</v>
      </c>
      <c r="E57" s="71">
        <v>2400</v>
      </c>
      <c r="F57" s="71">
        <v>14</v>
      </c>
      <c r="G57" s="9">
        <f t="shared" si="1"/>
        <v>33600</v>
      </c>
      <c r="H57" s="6" t="s">
        <v>688</v>
      </c>
      <c r="I57" t="str">
        <f t="shared" si="0"/>
        <v>CMH_01-A-055</v>
      </c>
      <c r="J57" t="str">
        <f>IFERROR(VLOOKUP(C57, مراجع!$A$3:$B$14, 2, FALSE), "")</f>
        <v>A</v>
      </c>
      <c r="K57" s="36" t="s">
        <v>112</v>
      </c>
    </row>
    <row r="58" spans="1:11" ht="124.2">
      <c r="A58" s="12">
        <v>56</v>
      </c>
      <c r="B58" s="5" t="s">
        <v>354</v>
      </c>
      <c r="C58" s="6" t="s">
        <v>248</v>
      </c>
      <c r="D58" s="6" t="s">
        <v>110</v>
      </c>
      <c r="E58" s="70">
        <v>2400</v>
      </c>
      <c r="F58" s="70">
        <v>32</v>
      </c>
      <c r="G58" s="9">
        <f t="shared" si="1"/>
        <v>76800</v>
      </c>
      <c r="H58" s="6" t="s">
        <v>688</v>
      </c>
      <c r="I58" t="str">
        <f t="shared" si="0"/>
        <v>CMH_01-A-056</v>
      </c>
      <c r="J58" t="str">
        <f>IFERROR(VLOOKUP(C58, مراجع!$A$3:$B$14, 2, FALSE), "")</f>
        <v>A</v>
      </c>
      <c r="K58" s="36" t="s">
        <v>112</v>
      </c>
    </row>
    <row r="59" spans="1:11" ht="124.2">
      <c r="A59" s="12">
        <v>57</v>
      </c>
      <c r="B59" s="5" t="s">
        <v>355</v>
      </c>
      <c r="C59" s="6" t="s">
        <v>248</v>
      </c>
      <c r="D59" s="6" t="s">
        <v>110</v>
      </c>
      <c r="E59" s="71">
        <v>2400</v>
      </c>
      <c r="F59" s="71">
        <v>1</v>
      </c>
      <c r="G59" s="9">
        <f t="shared" si="1"/>
        <v>2400</v>
      </c>
      <c r="H59" s="6" t="s">
        <v>688</v>
      </c>
      <c r="I59" t="str">
        <f t="shared" si="0"/>
        <v>CMH_01-A-057</v>
      </c>
      <c r="J59" t="str">
        <f>IFERROR(VLOOKUP(C59, مراجع!$A$3:$B$14, 2, FALSE), "")</f>
        <v>A</v>
      </c>
      <c r="K59" s="36" t="s">
        <v>112</v>
      </c>
    </row>
    <row r="60" spans="1:11" ht="124.2">
      <c r="A60" s="12">
        <v>58</v>
      </c>
      <c r="B60" s="5" t="s">
        <v>356</v>
      </c>
      <c r="C60" s="6" t="s">
        <v>248</v>
      </c>
      <c r="D60" s="6" t="s">
        <v>110</v>
      </c>
      <c r="E60" s="70">
        <v>2400</v>
      </c>
      <c r="F60" s="70">
        <v>1</v>
      </c>
      <c r="G60" s="9">
        <f>IF(AND(E60&lt;&gt;"",F60&lt;&gt;""), E60*F60, "")</f>
        <v>2400</v>
      </c>
      <c r="H60" s="6" t="s">
        <v>688</v>
      </c>
      <c r="I60" t="str">
        <f t="shared" si="0"/>
        <v>CMH_01-A-058</v>
      </c>
      <c r="J60" t="str">
        <f>IFERROR(VLOOKUP(C60, مراجع!$A$3:$B$14, 2, FALSE), "")</f>
        <v>A</v>
      </c>
      <c r="K60" s="36" t="s">
        <v>112</v>
      </c>
    </row>
    <row r="61" spans="1:11" ht="124.2">
      <c r="A61" s="12">
        <v>59</v>
      </c>
      <c r="B61" s="5" t="s">
        <v>357</v>
      </c>
      <c r="C61" s="6" t="s">
        <v>248</v>
      </c>
      <c r="D61" s="6" t="s">
        <v>110</v>
      </c>
      <c r="E61" s="71">
        <v>3600</v>
      </c>
      <c r="F61" s="71">
        <v>6</v>
      </c>
      <c r="G61" s="9">
        <f t="shared" si="1"/>
        <v>21600</v>
      </c>
      <c r="H61" s="6" t="s">
        <v>688</v>
      </c>
      <c r="I61" t="str">
        <f t="shared" si="0"/>
        <v>CMH_01-A-059</v>
      </c>
      <c r="J61" t="str">
        <f>IFERROR(VLOOKUP(C61, مراجع!$A$3:$B$14, 2, FALSE), "")</f>
        <v>A</v>
      </c>
      <c r="K61" s="36" t="s">
        <v>112</v>
      </c>
    </row>
    <row r="62" spans="1:11" ht="110.4">
      <c r="A62" s="12">
        <v>60</v>
      </c>
      <c r="B62" s="5" t="s">
        <v>358</v>
      </c>
      <c r="C62" s="6" t="s">
        <v>248</v>
      </c>
      <c r="D62" s="6" t="s">
        <v>110</v>
      </c>
      <c r="E62" s="69">
        <v>5700</v>
      </c>
      <c r="F62" s="70">
        <v>7</v>
      </c>
      <c r="G62" s="9">
        <f t="shared" si="1"/>
        <v>39900</v>
      </c>
      <c r="H62" s="6" t="s">
        <v>688</v>
      </c>
      <c r="I62" t="str">
        <f t="shared" si="0"/>
        <v>CMH_01-A-060</v>
      </c>
      <c r="J62" t="str">
        <f>IFERROR(VLOOKUP(C62, مراجع!$A$3:$B$14, 2, FALSE), "")</f>
        <v>A</v>
      </c>
      <c r="K62" s="36" t="s">
        <v>112</v>
      </c>
    </row>
    <row r="63" spans="1:11" ht="110.4">
      <c r="A63" s="12">
        <v>61</v>
      </c>
      <c r="B63" s="5" t="s">
        <v>359</v>
      </c>
      <c r="C63" s="6" t="s">
        <v>248</v>
      </c>
      <c r="D63" s="6" t="s">
        <v>110</v>
      </c>
      <c r="E63" s="69">
        <v>6000</v>
      </c>
      <c r="F63" s="71">
        <v>8</v>
      </c>
      <c r="G63" s="9">
        <f t="shared" si="1"/>
        <v>48000</v>
      </c>
      <c r="H63" s="6" t="s">
        <v>688</v>
      </c>
      <c r="I63" t="str">
        <f t="shared" si="0"/>
        <v>CMH_01-A-061</v>
      </c>
      <c r="J63" t="str">
        <f>IFERROR(VLOOKUP(C63, مراجع!$A$3:$B$14, 2, FALSE), "")</f>
        <v>A</v>
      </c>
      <c r="K63" s="36" t="s">
        <v>112</v>
      </c>
    </row>
    <row r="64" spans="1:11" ht="110.4">
      <c r="A64" s="12">
        <v>62</v>
      </c>
      <c r="B64" s="5" t="s">
        <v>360</v>
      </c>
      <c r="C64" s="6" t="s">
        <v>248</v>
      </c>
      <c r="D64" s="6" t="s">
        <v>110</v>
      </c>
      <c r="E64" s="70">
        <v>5400</v>
      </c>
      <c r="F64" s="70">
        <v>2</v>
      </c>
      <c r="G64" s="9">
        <f t="shared" si="1"/>
        <v>10800</v>
      </c>
      <c r="H64" s="6" t="s">
        <v>688</v>
      </c>
      <c r="I64" t="str">
        <f t="shared" si="0"/>
        <v>CMH_01-A-062</v>
      </c>
      <c r="J64" t="str">
        <f>IFERROR(VLOOKUP(C64, مراجع!$A$3:$B$14, 2, FALSE), "")</f>
        <v>A</v>
      </c>
      <c r="K64" s="36" t="s">
        <v>112</v>
      </c>
    </row>
    <row r="65" spans="1:11" ht="110.4">
      <c r="A65" s="12">
        <v>63</v>
      </c>
      <c r="B65" s="5" t="s">
        <v>361</v>
      </c>
      <c r="C65" s="6" t="s">
        <v>248</v>
      </c>
      <c r="D65" s="6" t="s">
        <v>110</v>
      </c>
      <c r="E65" s="71">
        <v>5400</v>
      </c>
      <c r="F65" s="71">
        <v>1</v>
      </c>
      <c r="G65" s="9">
        <f t="shared" si="1"/>
        <v>5400</v>
      </c>
      <c r="H65" s="6" t="s">
        <v>688</v>
      </c>
      <c r="I65" t="str">
        <f t="shared" si="0"/>
        <v>CMH_01-A-063</v>
      </c>
      <c r="J65" t="str">
        <f>IFERROR(VLOOKUP(C65, مراجع!$A$3:$B$14, 2, FALSE), "")</f>
        <v>A</v>
      </c>
      <c r="K65" s="36" t="s">
        <v>112</v>
      </c>
    </row>
    <row r="66" spans="1:11" ht="110.4">
      <c r="A66" s="12">
        <v>64</v>
      </c>
      <c r="B66" s="5" t="s">
        <v>362</v>
      </c>
      <c r="C66" s="6" t="s">
        <v>248</v>
      </c>
      <c r="D66" s="6" t="s">
        <v>110</v>
      </c>
      <c r="E66" s="69">
        <v>5400</v>
      </c>
      <c r="F66" s="69">
        <v>1</v>
      </c>
      <c r="G66" s="9">
        <f t="shared" si="1"/>
        <v>5400</v>
      </c>
      <c r="H66" s="6" t="s">
        <v>688</v>
      </c>
      <c r="I66" t="str">
        <f t="shared" ref="I66:I129" si="2">IF(AND(B66&lt;&gt;"", J66&lt;&gt;""), "CMH_01-" &amp; J66 &amp; "-" &amp; TEXT(A66, "000"), "")</f>
        <v>CMH_01-A-064</v>
      </c>
      <c r="J66" t="str">
        <f>IFERROR(VLOOKUP(C66, مراجع!$A$3:$B$14, 2, FALSE), "")</f>
        <v>A</v>
      </c>
      <c r="K66" s="36" t="s">
        <v>112</v>
      </c>
    </row>
    <row r="67" spans="1:11" ht="110.4">
      <c r="A67" s="12">
        <v>65</v>
      </c>
      <c r="B67" s="5" t="s">
        <v>363</v>
      </c>
      <c r="C67" s="6" t="s">
        <v>248</v>
      </c>
      <c r="D67" s="6" t="s">
        <v>110</v>
      </c>
      <c r="E67" s="69">
        <v>6420</v>
      </c>
      <c r="F67" s="70">
        <v>4</v>
      </c>
      <c r="G67" s="9">
        <f t="shared" ref="G67:G130" si="3">IF(AND(E67&lt;&gt;"",F67&lt;&gt;""), E67*F67, "")</f>
        <v>25680</v>
      </c>
      <c r="H67" s="6" t="s">
        <v>688</v>
      </c>
      <c r="I67" t="str">
        <f t="shared" si="2"/>
        <v>CMH_01-A-065</v>
      </c>
      <c r="J67" t="str">
        <f>IFERROR(VLOOKUP(C67, مراجع!$A$3:$B$14, 2, FALSE), "")</f>
        <v>A</v>
      </c>
      <c r="K67" s="36" t="s">
        <v>112</v>
      </c>
    </row>
    <row r="68" spans="1:11" ht="96.6">
      <c r="A68" s="12">
        <v>66</v>
      </c>
      <c r="B68" s="5" t="s">
        <v>364</v>
      </c>
      <c r="C68" s="6" t="s">
        <v>248</v>
      </c>
      <c r="D68" s="6" t="s">
        <v>686</v>
      </c>
      <c r="E68" s="69">
        <v>900</v>
      </c>
      <c r="F68" s="7">
        <v>4000</v>
      </c>
      <c r="G68" s="9">
        <f t="shared" si="3"/>
        <v>3600000</v>
      </c>
      <c r="H68" s="6" t="s">
        <v>688</v>
      </c>
      <c r="I68" t="str">
        <f t="shared" si="2"/>
        <v>CMH_01-A-066</v>
      </c>
      <c r="J68" t="str">
        <f>IFERROR(VLOOKUP(C68, مراجع!$A$3:$B$14, 2, FALSE), "")</f>
        <v>A</v>
      </c>
      <c r="K68" s="36" t="s">
        <v>112</v>
      </c>
    </row>
    <row r="69" spans="1:11" ht="110.4">
      <c r="A69" s="12">
        <v>67</v>
      </c>
      <c r="B69" s="5" t="s">
        <v>365</v>
      </c>
      <c r="C69" s="6" t="s">
        <v>248</v>
      </c>
      <c r="D69" s="6" t="s">
        <v>686</v>
      </c>
      <c r="E69" s="69">
        <v>3000</v>
      </c>
      <c r="F69" s="7">
        <v>58</v>
      </c>
      <c r="G69" s="9">
        <f t="shared" si="3"/>
        <v>174000</v>
      </c>
      <c r="H69" s="6" t="s">
        <v>688</v>
      </c>
      <c r="I69" t="str">
        <f t="shared" si="2"/>
        <v>CMH_01-A-067</v>
      </c>
      <c r="J69" t="str">
        <f>IFERROR(VLOOKUP(C69, مراجع!$A$3:$B$14, 2, FALSE), "")</f>
        <v>A</v>
      </c>
      <c r="K69" s="36" t="s">
        <v>112</v>
      </c>
    </row>
    <row r="70" spans="1:11" ht="110.4">
      <c r="A70" s="12">
        <v>68</v>
      </c>
      <c r="B70" s="5" t="s">
        <v>366</v>
      </c>
      <c r="C70" s="6" t="s">
        <v>248</v>
      </c>
      <c r="D70" s="6" t="s">
        <v>110</v>
      </c>
      <c r="E70" s="69">
        <v>3000</v>
      </c>
      <c r="F70" s="7">
        <v>1</v>
      </c>
      <c r="G70" s="9">
        <f t="shared" si="3"/>
        <v>3000</v>
      </c>
      <c r="H70" s="6" t="s">
        <v>688</v>
      </c>
      <c r="I70" t="str">
        <f t="shared" si="2"/>
        <v>CMH_01-A-068</v>
      </c>
      <c r="J70" t="str">
        <f>IFERROR(VLOOKUP(C70, مراجع!$A$3:$B$14, 2, FALSE), "")</f>
        <v>A</v>
      </c>
      <c r="K70" s="36" t="s">
        <v>112</v>
      </c>
    </row>
    <row r="71" spans="1:11" ht="69">
      <c r="A71" s="12">
        <v>69</v>
      </c>
      <c r="B71" s="5" t="s">
        <v>367</v>
      </c>
      <c r="C71" s="6" t="s">
        <v>248</v>
      </c>
      <c r="D71" s="6" t="s">
        <v>110</v>
      </c>
      <c r="E71" s="70">
        <v>540</v>
      </c>
      <c r="F71" s="7">
        <v>46</v>
      </c>
      <c r="G71" s="9">
        <f t="shared" si="3"/>
        <v>24840</v>
      </c>
      <c r="H71" s="6" t="s">
        <v>688</v>
      </c>
      <c r="I71" t="str">
        <f t="shared" si="2"/>
        <v>CMH_01-A-069</v>
      </c>
      <c r="J71" t="str">
        <f>IFERROR(VLOOKUP(C71, مراجع!$A$3:$B$14, 2, FALSE), "")</f>
        <v>A</v>
      </c>
      <c r="K71" s="36" t="s">
        <v>112</v>
      </c>
    </row>
    <row r="72" spans="1:11" ht="55.2">
      <c r="A72" s="12">
        <v>70</v>
      </c>
      <c r="B72" s="5" t="s">
        <v>368</v>
      </c>
      <c r="C72" s="6" t="s">
        <v>248</v>
      </c>
      <c r="D72" s="6" t="s">
        <v>110</v>
      </c>
      <c r="E72" s="7">
        <v>360</v>
      </c>
      <c r="F72" s="7">
        <v>52</v>
      </c>
      <c r="G72" s="9">
        <f t="shared" si="3"/>
        <v>18720</v>
      </c>
      <c r="H72" s="6" t="s">
        <v>688</v>
      </c>
      <c r="I72" t="str">
        <f t="shared" si="2"/>
        <v>CMH_01-A-070</v>
      </c>
      <c r="J72" t="str">
        <f>IFERROR(VLOOKUP(C72, مراجع!$A$3:$B$14, 2, FALSE), "")</f>
        <v>A</v>
      </c>
      <c r="K72" s="36" t="s">
        <v>112</v>
      </c>
    </row>
    <row r="73" spans="1:11" ht="55.2">
      <c r="A73" s="12">
        <v>71</v>
      </c>
      <c r="B73" s="5" t="s">
        <v>369</v>
      </c>
      <c r="C73" s="6" t="s">
        <v>248</v>
      </c>
      <c r="D73" s="6" t="s">
        <v>110</v>
      </c>
      <c r="E73" s="7">
        <v>360</v>
      </c>
      <c r="F73" s="7">
        <v>23</v>
      </c>
      <c r="G73" s="9">
        <f t="shared" si="3"/>
        <v>8280</v>
      </c>
      <c r="H73" s="6" t="s">
        <v>688</v>
      </c>
      <c r="I73" t="str">
        <f t="shared" si="2"/>
        <v>CMH_01-A-071</v>
      </c>
      <c r="J73" t="str">
        <f>IFERROR(VLOOKUP(C73, مراجع!$A$3:$B$14, 2, FALSE), "")</f>
        <v>A</v>
      </c>
      <c r="K73" s="36" t="s">
        <v>112</v>
      </c>
    </row>
    <row r="74" spans="1:11" ht="138">
      <c r="A74" s="12">
        <v>72</v>
      </c>
      <c r="B74" s="5" t="s">
        <v>370</v>
      </c>
      <c r="C74" s="6" t="s">
        <v>248</v>
      </c>
      <c r="D74" s="6" t="s">
        <v>686</v>
      </c>
      <c r="E74" s="7">
        <v>42</v>
      </c>
      <c r="F74" s="7">
        <v>758</v>
      </c>
      <c r="G74" s="9">
        <f t="shared" si="3"/>
        <v>31836</v>
      </c>
      <c r="H74" s="6" t="s">
        <v>688</v>
      </c>
      <c r="I74" t="str">
        <f t="shared" si="2"/>
        <v>CMH_01-A-072</v>
      </c>
      <c r="J74" t="str">
        <f>IFERROR(VLOOKUP(C74, مراجع!$A$3:$B$14, 2, FALSE), "")</f>
        <v>A</v>
      </c>
      <c r="K74" s="36" t="s">
        <v>112</v>
      </c>
    </row>
    <row r="75" spans="1:11" ht="69">
      <c r="A75" s="12">
        <v>73</v>
      </c>
      <c r="B75" s="5" t="s">
        <v>371</v>
      </c>
      <c r="C75" s="6" t="s">
        <v>248</v>
      </c>
      <c r="D75" s="6" t="s">
        <v>686</v>
      </c>
      <c r="E75" s="7">
        <v>180</v>
      </c>
      <c r="F75" s="71">
        <v>3507</v>
      </c>
      <c r="G75" s="9">
        <f t="shared" si="3"/>
        <v>631260</v>
      </c>
      <c r="H75" s="6" t="s">
        <v>688</v>
      </c>
      <c r="I75" t="str">
        <f t="shared" si="2"/>
        <v>CMH_01-A-073</v>
      </c>
      <c r="J75" t="str">
        <f>IFERROR(VLOOKUP(C75, مراجع!$A$3:$B$14, 2, FALSE), "")</f>
        <v>A</v>
      </c>
      <c r="K75" s="36" t="s">
        <v>112</v>
      </c>
    </row>
    <row r="76" spans="1:11" ht="69">
      <c r="A76" s="12">
        <v>74</v>
      </c>
      <c r="B76" s="5" t="s">
        <v>372</v>
      </c>
      <c r="C76" s="6" t="s">
        <v>248</v>
      </c>
      <c r="D76" s="6" t="s">
        <v>686</v>
      </c>
      <c r="E76" s="7">
        <v>180</v>
      </c>
      <c r="F76" s="69">
        <v>12526</v>
      </c>
      <c r="G76" s="9">
        <f t="shared" si="3"/>
        <v>2254680</v>
      </c>
      <c r="H76" s="6" t="s">
        <v>688</v>
      </c>
      <c r="I76" t="str">
        <f t="shared" si="2"/>
        <v>CMH_01-A-074</v>
      </c>
      <c r="J76" t="str">
        <f>IFERROR(VLOOKUP(C76, مراجع!$A$3:$B$14, 2, FALSE), "")</f>
        <v>A</v>
      </c>
      <c r="K76" s="36" t="s">
        <v>112</v>
      </c>
    </row>
    <row r="77" spans="1:11" ht="69">
      <c r="A77" s="12">
        <v>75</v>
      </c>
      <c r="B77" s="5" t="s">
        <v>373</v>
      </c>
      <c r="C77" s="6" t="s">
        <v>248</v>
      </c>
      <c r="D77" s="6" t="s">
        <v>686</v>
      </c>
      <c r="E77" s="7">
        <v>150</v>
      </c>
      <c r="F77" s="69">
        <v>24468</v>
      </c>
      <c r="G77" s="9">
        <f t="shared" si="3"/>
        <v>3670200</v>
      </c>
      <c r="H77" s="6" t="s">
        <v>688</v>
      </c>
      <c r="I77" t="str">
        <f t="shared" si="2"/>
        <v>CMH_01-A-075</v>
      </c>
      <c r="J77" t="str">
        <f>IFERROR(VLOOKUP(C77, مراجع!$A$3:$B$14, 2, FALSE), "")</f>
        <v>A</v>
      </c>
      <c r="K77" s="36" t="s">
        <v>112</v>
      </c>
    </row>
    <row r="78" spans="1:11" ht="82.8">
      <c r="A78" s="12">
        <v>76</v>
      </c>
      <c r="B78" s="5" t="s">
        <v>374</v>
      </c>
      <c r="C78" s="6" t="s">
        <v>248</v>
      </c>
      <c r="D78" s="6" t="s">
        <v>686</v>
      </c>
      <c r="E78" s="7">
        <v>150</v>
      </c>
      <c r="F78" s="69">
        <v>1091</v>
      </c>
      <c r="G78" s="9">
        <f t="shared" si="3"/>
        <v>163650</v>
      </c>
      <c r="H78" s="6" t="s">
        <v>688</v>
      </c>
      <c r="I78" t="str">
        <f t="shared" si="2"/>
        <v>CMH_01-A-076</v>
      </c>
      <c r="J78" t="str">
        <f>IFERROR(VLOOKUP(C78, مراجع!$A$3:$B$14, 2, FALSE), "")</f>
        <v>A</v>
      </c>
      <c r="K78" s="36" t="s">
        <v>112</v>
      </c>
    </row>
    <row r="79" spans="1:11" ht="41.4">
      <c r="A79" s="12">
        <v>77</v>
      </c>
      <c r="B79" s="5" t="s">
        <v>375</v>
      </c>
      <c r="C79" s="6" t="s">
        <v>248</v>
      </c>
      <c r="D79" s="6" t="s">
        <v>686</v>
      </c>
      <c r="E79" s="7">
        <v>150</v>
      </c>
      <c r="F79" s="69">
        <v>3323</v>
      </c>
      <c r="G79" s="9">
        <f t="shared" si="3"/>
        <v>498450</v>
      </c>
      <c r="H79" s="6" t="s">
        <v>688</v>
      </c>
      <c r="I79" t="str">
        <f t="shared" si="2"/>
        <v>CMH_01-A-077</v>
      </c>
      <c r="J79" t="str">
        <f>IFERROR(VLOOKUP(C79, مراجع!$A$3:$B$14, 2, FALSE), "")</f>
        <v>A</v>
      </c>
      <c r="K79" s="36" t="s">
        <v>112</v>
      </c>
    </row>
    <row r="80" spans="1:11" ht="69">
      <c r="A80" s="12">
        <v>78</v>
      </c>
      <c r="B80" s="5" t="s">
        <v>376</v>
      </c>
      <c r="C80" s="6" t="s">
        <v>248</v>
      </c>
      <c r="D80" s="6" t="s">
        <v>686</v>
      </c>
      <c r="E80" s="7">
        <v>150</v>
      </c>
      <c r="F80" s="69">
        <v>278</v>
      </c>
      <c r="G80" s="9">
        <f t="shared" si="3"/>
        <v>41700</v>
      </c>
      <c r="H80" s="6" t="s">
        <v>688</v>
      </c>
      <c r="I80" t="str">
        <f t="shared" si="2"/>
        <v>CMH_01-A-078</v>
      </c>
      <c r="J80" t="str">
        <f>IFERROR(VLOOKUP(C80, مراجع!$A$3:$B$14, 2, FALSE), "")</f>
        <v>A</v>
      </c>
      <c r="K80" s="36" t="s">
        <v>112</v>
      </c>
    </row>
    <row r="81" spans="1:11" ht="55.2">
      <c r="A81" s="12">
        <v>79</v>
      </c>
      <c r="B81" s="5" t="s">
        <v>377</v>
      </c>
      <c r="C81" s="6" t="s">
        <v>248</v>
      </c>
      <c r="D81" s="6" t="s">
        <v>686</v>
      </c>
      <c r="E81" s="7">
        <v>120</v>
      </c>
      <c r="F81" s="70">
        <v>140</v>
      </c>
      <c r="G81" s="9">
        <f t="shared" si="3"/>
        <v>16800</v>
      </c>
      <c r="H81" s="6" t="s">
        <v>688</v>
      </c>
      <c r="I81" t="str">
        <f t="shared" si="2"/>
        <v>CMH_01-A-079</v>
      </c>
      <c r="J81" t="str">
        <f>IFERROR(VLOOKUP(C81, مراجع!$A$3:$B$14, 2, FALSE), "")</f>
        <v>A</v>
      </c>
      <c r="K81" s="36" t="s">
        <v>112</v>
      </c>
    </row>
    <row r="82" spans="1:11" ht="41.4">
      <c r="A82" s="12">
        <v>80</v>
      </c>
      <c r="B82" s="5" t="s">
        <v>378</v>
      </c>
      <c r="C82" s="6" t="s">
        <v>248</v>
      </c>
      <c r="D82" s="6" t="s">
        <v>686</v>
      </c>
      <c r="E82" s="7">
        <v>120</v>
      </c>
      <c r="F82" s="7">
        <v>246</v>
      </c>
      <c r="G82" s="9">
        <f t="shared" si="3"/>
        <v>29520</v>
      </c>
      <c r="H82" s="6" t="s">
        <v>688</v>
      </c>
      <c r="I82" t="str">
        <f t="shared" si="2"/>
        <v>CMH_01-A-080</v>
      </c>
      <c r="J82" t="str">
        <f>IFERROR(VLOOKUP(C82, مراجع!$A$3:$B$14, 2, FALSE), "")</f>
        <v>A</v>
      </c>
      <c r="K82" s="36" t="s">
        <v>112</v>
      </c>
    </row>
    <row r="83" spans="1:11" ht="41.4">
      <c r="A83" s="12">
        <v>81</v>
      </c>
      <c r="B83" s="5" t="s">
        <v>379</v>
      </c>
      <c r="C83" s="6" t="s">
        <v>248</v>
      </c>
      <c r="D83" s="6" t="s">
        <v>686</v>
      </c>
      <c r="E83" s="7">
        <v>120</v>
      </c>
      <c r="F83" s="71">
        <v>1407</v>
      </c>
      <c r="G83" s="9">
        <f t="shared" si="3"/>
        <v>168840</v>
      </c>
      <c r="H83" s="6" t="s">
        <v>688</v>
      </c>
      <c r="I83" t="str">
        <f t="shared" si="2"/>
        <v>CMH_01-A-081</v>
      </c>
      <c r="J83" t="str">
        <f>IFERROR(VLOOKUP(C83, مراجع!$A$3:$B$14, 2, FALSE), "")</f>
        <v>A</v>
      </c>
      <c r="K83" s="36" t="s">
        <v>112</v>
      </c>
    </row>
    <row r="84" spans="1:11" ht="41.4">
      <c r="A84" s="12">
        <v>82</v>
      </c>
      <c r="B84" s="5" t="s">
        <v>380</v>
      </c>
      <c r="C84" s="6" t="s">
        <v>248</v>
      </c>
      <c r="D84" s="6" t="s">
        <v>686</v>
      </c>
      <c r="E84" s="7">
        <v>120</v>
      </c>
      <c r="F84" s="69">
        <v>735</v>
      </c>
      <c r="G84" s="9">
        <f t="shared" si="3"/>
        <v>88200</v>
      </c>
      <c r="H84" s="6" t="s">
        <v>688</v>
      </c>
      <c r="I84" t="str">
        <f t="shared" si="2"/>
        <v>CMH_01-A-082</v>
      </c>
      <c r="J84" t="str">
        <f>IFERROR(VLOOKUP(C84, مراجع!$A$3:$B$14, 2, FALSE), "")</f>
        <v>A</v>
      </c>
      <c r="K84" s="36" t="s">
        <v>112</v>
      </c>
    </row>
    <row r="85" spans="1:11" ht="55.2">
      <c r="A85" s="12">
        <v>83</v>
      </c>
      <c r="B85" s="5" t="s">
        <v>381</v>
      </c>
      <c r="C85" s="6" t="s">
        <v>248</v>
      </c>
      <c r="D85" s="6" t="s">
        <v>686</v>
      </c>
      <c r="E85" s="7">
        <v>120</v>
      </c>
      <c r="F85" s="69">
        <v>571</v>
      </c>
      <c r="G85" s="9">
        <f t="shared" si="3"/>
        <v>68520</v>
      </c>
      <c r="H85" s="6" t="s">
        <v>688</v>
      </c>
      <c r="I85" t="str">
        <f t="shared" si="2"/>
        <v>CMH_01-A-083</v>
      </c>
      <c r="J85" t="str">
        <f>IFERROR(VLOOKUP(C85, مراجع!$A$3:$B$14, 2, FALSE), "")</f>
        <v>A</v>
      </c>
      <c r="K85" s="36" t="s">
        <v>112</v>
      </c>
    </row>
    <row r="86" spans="1:11" ht="41.4">
      <c r="A86" s="12">
        <v>84</v>
      </c>
      <c r="B86" s="5" t="s">
        <v>382</v>
      </c>
      <c r="C86" s="6" t="s">
        <v>248</v>
      </c>
      <c r="D86" s="6" t="s">
        <v>686</v>
      </c>
      <c r="E86" s="7">
        <v>120</v>
      </c>
      <c r="F86" s="69">
        <v>791</v>
      </c>
      <c r="G86" s="9">
        <f t="shared" si="3"/>
        <v>94920</v>
      </c>
      <c r="H86" s="6" t="s">
        <v>688</v>
      </c>
      <c r="I86" t="str">
        <f t="shared" si="2"/>
        <v>CMH_01-A-084</v>
      </c>
      <c r="J86" t="str">
        <f>IFERROR(VLOOKUP(C86, مراجع!$A$3:$B$14, 2, FALSE), "")</f>
        <v>A</v>
      </c>
      <c r="K86" s="36" t="s">
        <v>112</v>
      </c>
    </row>
    <row r="87" spans="1:11" ht="41.4">
      <c r="A87" s="12">
        <v>85</v>
      </c>
      <c r="B87" s="5" t="s">
        <v>383</v>
      </c>
      <c r="C87" s="6" t="s">
        <v>248</v>
      </c>
      <c r="D87" s="6" t="s">
        <v>686</v>
      </c>
      <c r="E87" s="7">
        <v>96</v>
      </c>
      <c r="F87" s="69">
        <v>2648</v>
      </c>
      <c r="G87" s="9">
        <f t="shared" si="3"/>
        <v>254208</v>
      </c>
      <c r="H87" s="6" t="s">
        <v>688</v>
      </c>
      <c r="I87" t="str">
        <f t="shared" si="2"/>
        <v>CMH_01-A-085</v>
      </c>
      <c r="J87" t="str">
        <f>IFERROR(VLOOKUP(C87, مراجع!$A$3:$B$14, 2, FALSE), "")</f>
        <v>A</v>
      </c>
      <c r="K87" s="36" t="s">
        <v>112</v>
      </c>
    </row>
    <row r="88" spans="1:11" ht="55.2">
      <c r="A88" s="12">
        <v>86</v>
      </c>
      <c r="B88" s="5" t="s">
        <v>384</v>
      </c>
      <c r="C88" s="6" t="s">
        <v>248</v>
      </c>
      <c r="D88" s="6" t="s">
        <v>685</v>
      </c>
      <c r="E88" s="7">
        <v>120</v>
      </c>
      <c r="F88" s="69">
        <v>567</v>
      </c>
      <c r="G88" s="9">
        <f t="shared" si="3"/>
        <v>68040</v>
      </c>
      <c r="H88" s="6" t="s">
        <v>688</v>
      </c>
      <c r="I88" t="str">
        <f t="shared" si="2"/>
        <v>CMH_01-A-086</v>
      </c>
      <c r="J88" t="str">
        <f>IFERROR(VLOOKUP(C88, مراجع!$A$3:$B$14, 2, FALSE), "")</f>
        <v>A</v>
      </c>
      <c r="K88" s="36" t="s">
        <v>112</v>
      </c>
    </row>
    <row r="89" spans="1:11" ht="69">
      <c r="A89" s="12">
        <v>87</v>
      </c>
      <c r="B89" s="5" t="s">
        <v>385</v>
      </c>
      <c r="C89" s="6" t="s">
        <v>248</v>
      </c>
      <c r="D89" s="6" t="s">
        <v>686</v>
      </c>
      <c r="E89" s="7">
        <v>102</v>
      </c>
      <c r="F89" s="69">
        <v>60</v>
      </c>
      <c r="G89" s="9">
        <f t="shared" si="3"/>
        <v>6120</v>
      </c>
      <c r="H89" s="6" t="s">
        <v>688</v>
      </c>
      <c r="I89" t="str">
        <f t="shared" si="2"/>
        <v>CMH_01-A-087</v>
      </c>
      <c r="J89" t="str">
        <f>IFERROR(VLOOKUP(C89, مراجع!$A$3:$B$14, 2, FALSE), "")</f>
        <v>A</v>
      </c>
      <c r="K89" s="36" t="s">
        <v>112</v>
      </c>
    </row>
    <row r="90" spans="1:11" ht="27.6">
      <c r="A90" s="12">
        <v>88</v>
      </c>
      <c r="B90" s="5" t="s">
        <v>386</v>
      </c>
      <c r="C90" s="6" t="s">
        <v>248</v>
      </c>
      <c r="D90" s="6" t="s">
        <v>686</v>
      </c>
      <c r="E90" s="71">
        <v>222</v>
      </c>
      <c r="F90" s="69">
        <v>1933</v>
      </c>
      <c r="G90" s="9">
        <f t="shared" si="3"/>
        <v>429126</v>
      </c>
      <c r="H90" s="6" t="s">
        <v>688</v>
      </c>
      <c r="I90" t="str">
        <f t="shared" si="2"/>
        <v>CMH_01-A-088</v>
      </c>
      <c r="J90" t="str">
        <f>IFERROR(VLOOKUP(C90, مراجع!$A$3:$B$14, 2, FALSE), "")</f>
        <v>A</v>
      </c>
      <c r="K90" s="36" t="s">
        <v>112</v>
      </c>
    </row>
    <row r="91" spans="1:11" ht="27.6">
      <c r="A91" s="12">
        <v>89</v>
      </c>
      <c r="B91" s="5" t="s">
        <v>387</v>
      </c>
      <c r="C91" s="6" t="s">
        <v>248</v>
      </c>
      <c r="D91" s="6" t="s">
        <v>686</v>
      </c>
      <c r="E91" s="69">
        <v>222</v>
      </c>
      <c r="F91" s="69">
        <v>214</v>
      </c>
      <c r="G91" s="9">
        <f t="shared" si="3"/>
        <v>47508</v>
      </c>
      <c r="H91" s="6" t="s">
        <v>688</v>
      </c>
      <c r="I91" t="str">
        <f t="shared" si="2"/>
        <v>CMH_01-A-089</v>
      </c>
      <c r="J91" t="str">
        <f>IFERROR(VLOOKUP(C91, مراجع!$A$3:$B$14, 2, FALSE), "")</f>
        <v>A</v>
      </c>
      <c r="K91" s="36" t="s">
        <v>112</v>
      </c>
    </row>
    <row r="92" spans="1:11" ht="27.6">
      <c r="A92" s="12">
        <v>90</v>
      </c>
      <c r="B92" s="5" t="s">
        <v>388</v>
      </c>
      <c r="C92" s="6" t="s">
        <v>248</v>
      </c>
      <c r="D92" s="6" t="s">
        <v>686</v>
      </c>
      <c r="E92" s="69">
        <v>222</v>
      </c>
      <c r="F92" s="69">
        <v>213</v>
      </c>
      <c r="G92" s="9">
        <f t="shared" si="3"/>
        <v>47286</v>
      </c>
      <c r="H92" s="6" t="s">
        <v>688</v>
      </c>
      <c r="I92" t="str">
        <f t="shared" si="2"/>
        <v>CMH_01-A-090</v>
      </c>
      <c r="J92" t="str">
        <f>IFERROR(VLOOKUP(C92, مراجع!$A$3:$B$14, 2, FALSE), "")</f>
        <v>A</v>
      </c>
      <c r="K92" s="36" t="s">
        <v>112</v>
      </c>
    </row>
    <row r="93" spans="1:11" ht="27.6">
      <c r="A93" s="12">
        <v>91</v>
      </c>
      <c r="B93" s="5" t="s">
        <v>389</v>
      </c>
      <c r="C93" s="6" t="s">
        <v>248</v>
      </c>
      <c r="D93" s="6" t="s">
        <v>686</v>
      </c>
      <c r="E93" s="69">
        <v>222</v>
      </c>
      <c r="F93" s="69">
        <v>100</v>
      </c>
      <c r="G93" s="9">
        <f t="shared" si="3"/>
        <v>22200</v>
      </c>
      <c r="H93" s="6" t="s">
        <v>688</v>
      </c>
      <c r="I93" t="str">
        <f t="shared" si="2"/>
        <v>CMH_01-A-091</v>
      </c>
      <c r="J93" t="str">
        <f>IFERROR(VLOOKUP(C93, مراجع!$A$3:$B$14, 2, FALSE), "")</f>
        <v>A</v>
      </c>
      <c r="K93" s="36" t="s">
        <v>112</v>
      </c>
    </row>
    <row r="94" spans="1:11" ht="27.6">
      <c r="A94" s="12">
        <v>92</v>
      </c>
      <c r="B94" s="5" t="s">
        <v>390</v>
      </c>
      <c r="C94" s="6" t="s">
        <v>248</v>
      </c>
      <c r="D94" s="6" t="s">
        <v>686</v>
      </c>
      <c r="E94" s="69">
        <v>222</v>
      </c>
      <c r="F94" s="69">
        <v>750</v>
      </c>
      <c r="G94" s="9">
        <f t="shared" si="3"/>
        <v>166500</v>
      </c>
      <c r="H94" s="6" t="s">
        <v>688</v>
      </c>
      <c r="I94" t="str">
        <f t="shared" si="2"/>
        <v>CMH_01-A-092</v>
      </c>
      <c r="J94" t="str">
        <f>IFERROR(VLOOKUP(C94, مراجع!$A$3:$B$14, 2, FALSE), "")</f>
        <v>A</v>
      </c>
      <c r="K94" s="36" t="s">
        <v>112</v>
      </c>
    </row>
    <row r="95" spans="1:11" ht="27.6">
      <c r="A95" s="12">
        <v>93</v>
      </c>
      <c r="B95" s="5" t="s">
        <v>391</v>
      </c>
      <c r="C95" s="6" t="s">
        <v>248</v>
      </c>
      <c r="D95" s="6" t="s">
        <v>686</v>
      </c>
      <c r="E95" s="69">
        <v>222</v>
      </c>
      <c r="F95" s="69">
        <v>12</v>
      </c>
      <c r="G95" s="9">
        <f t="shared" si="3"/>
        <v>2664</v>
      </c>
      <c r="H95" s="6" t="s">
        <v>688</v>
      </c>
      <c r="I95" t="str">
        <f t="shared" si="2"/>
        <v>CMH_01-A-093</v>
      </c>
      <c r="J95" t="str">
        <f>IFERROR(VLOOKUP(C95, مراجع!$A$3:$B$14, 2, FALSE), "")</f>
        <v>A</v>
      </c>
      <c r="K95" s="36" t="s">
        <v>112</v>
      </c>
    </row>
    <row r="96" spans="1:11" ht="27.6">
      <c r="A96" s="12">
        <v>94</v>
      </c>
      <c r="B96" s="5" t="s">
        <v>392</v>
      </c>
      <c r="C96" s="6" t="s">
        <v>248</v>
      </c>
      <c r="D96" s="6" t="s">
        <v>110</v>
      </c>
      <c r="E96" s="69">
        <v>222</v>
      </c>
      <c r="F96" s="69">
        <v>16</v>
      </c>
      <c r="G96" s="9">
        <f t="shared" si="3"/>
        <v>3552</v>
      </c>
      <c r="H96" s="6" t="s">
        <v>688</v>
      </c>
      <c r="I96" t="str">
        <f t="shared" si="2"/>
        <v>CMH_01-A-094</v>
      </c>
      <c r="J96" t="str">
        <f>IFERROR(VLOOKUP(C96, مراجع!$A$3:$B$14, 2, FALSE), "")</f>
        <v>A</v>
      </c>
      <c r="K96" s="36" t="s">
        <v>112</v>
      </c>
    </row>
    <row r="97" spans="1:11" ht="82.8">
      <c r="A97" s="12">
        <v>95</v>
      </c>
      <c r="B97" s="5" t="s">
        <v>393</v>
      </c>
      <c r="C97" s="6" t="s">
        <v>248</v>
      </c>
      <c r="D97" s="6" t="s">
        <v>686</v>
      </c>
      <c r="E97" s="70">
        <v>42</v>
      </c>
      <c r="F97" s="69">
        <v>4800</v>
      </c>
      <c r="G97" s="9">
        <f t="shared" si="3"/>
        <v>201600</v>
      </c>
      <c r="H97" s="6" t="s">
        <v>688</v>
      </c>
      <c r="I97" t="str">
        <f t="shared" si="2"/>
        <v>CMH_01-A-095</v>
      </c>
      <c r="J97" t="str">
        <f>IFERROR(VLOOKUP(C97, مراجع!$A$3:$B$14, 2, FALSE), "")</f>
        <v>A</v>
      </c>
      <c r="K97" s="36" t="s">
        <v>112</v>
      </c>
    </row>
    <row r="98" spans="1:11" ht="69">
      <c r="A98" s="12">
        <v>96</v>
      </c>
      <c r="B98" s="5" t="s">
        <v>394</v>
      </c>
      <c r="C98" s="6" t="s">
        <v>248</v>
      </c>
      <c r="D98" s="6" t="s">
        <v>685</v>
      </c>
      <c r="E98" s="7">
        <v>42</v>
      </c>
      <c r="F98" s="69">
        <v>300</v>
      </c>
      <c r="G98" s="9">
        <f t="shared" si="3"/>
        <v>12600</v>
      </c>
      <c r="H98" s="6" t="s">
        <v>688</v>
      </c>
      <c r="I98" t="str">
        <f t="shared" si="2"/>
        <v>CMH_01-A-096</v>
      </c>
      <c r="J98" t="str">
        <f>IFERROR(VLOOKUP(C98, مراجع!$A$3:$B$14, 2, FALSE), "")</f>
        <v>A</v>
      </c>
      <c r="K98" s="36" t="s">
        <v>112</v>
      </c>
    </row>
    <row r="99" spans="1:11" ht="27.6">
      <c r="A99" s="12">
        <v>97</v>
      </c>
      <c r="B99" s="5" t="s">
        <v>395</v>
      </c>
      <c r="C99" s="6" t="s">
        <v>248</v>
      </c>
      <c r="D99" s="6" t="s">
        <v>686</v>
      </c>
      <c r="E99" s="7">
        <v>300</v>
      </c>
      <c r="F99" s="70">
        <v>101</v>
      </c>
      <c r="G99" s="9">
        <f t="shared" si="3"/>
        <v>30300</v>
      </c>
      <c r="H99" s="6" t="s">
        <v>688</v>
      </c>
      <c r="I99" t="str">
        <f t="shared" si="2"/>
        <v>CMH_01-A-097</v>
      </c>
      <c r="J99" t="str">
        <f>IFERROR(VLOOKUP(C99, مراجع!$A$3:$B$14, 2, FALSE), "")</f>
        <v>A</v>
      </c>
      <c r="K99" s="36" t="s">
        <v>112</v>
      </c>
    </row>
    <row r="100" spans="1:11" ht="27.6">
      <c r="A100" s="12">
        <v>98</v>
      </c>
      <c r="B100" s="5" t="s">
        <v>396</v>
      </c>
      <c r="C100" s="6" t="s">
        <v>248</v>
      </c>
      <c r="D100" s="6" t="s">
        <v>686</v>
      </c>
      <c r="E100" s="7">
        <v>300</v>
      </c>
      <c r="F100" s="71">
        <v>43</v>
      </c>
      <c r="G100" s="9">
        <f t="shared" si="3"/>
        <v>12900</v>
      </c>
      <c r="H100" s="6" t="s">
        <v>688</v>
      </c>
      <c r="I100" t="str">
        <f t="shared" si="2"/>
        <v>CMH_01-A-098</v>
      </c>
      <c r="J100" t="str">
        <f>IFERROR(VLOOKUP(C100, مراجع!$A$3:$B$14, 2, FALSE), "")</f>
        <v>A</v>
      </c>
      <c r="K100" s="36" t="s">
        <v>112</v>
      </c>
    </row>
    <row r="101" spans="1:11" ht="27.6">
      <c r="A101" s="12">
        <v>99</v>
      </c>
      <c r="B101" s="5" t="s">
        <v>397</v>
      </c>
      <c r="C101" s="6" t="s">
        <v>248</v>
      </c>
      <c r="D101" s="6" t="s">
        <v>686</v>
      </c>
      <c r="E101" s="7">
        <v>300</v>
      </c>
      <c r="F101" s="69">
        <v>43</v>
      </c>
      <c r="G101" s="9">
        <f t="shared" si="3"/>
        <v>12900</v>
      </c>
      <c r="H101" s="6" t="s">
        <v>688</v>
      </c>
      <c r="I101" t="str">
        <f t="shared" si="2"/>
        <v>CMH_01-A-099</v>
      </c>
      <c r="J101" t="str">
        <f>IFERROR(VLOOKUP(C101, مراجع!$A$3:$B$14, 2, FALSE), "")</f>
        <v>A</v>
      </c>
      <c r="K101" s="36" t="s">
        <v>112</v>
      </c>
    </row>
    <row r="102" spans="1:11" ht="41.4">
      <c r="A102" s="12">
        <v>100</v>
      </c>
      <c r="B102" s="5" t="s">
        <v>398</v>
      </c>
      <c r="C102" s="6" t="s">
        <v>248</v>
      </c>
      <c r="D102" s="6" t="s">
        <v>686</v>
      </c>
      <c r="E102" s="7">
        <v>60</v>
      </c>
      <c r="F102" s="69">
        <v>6000</v>
      </c>
      <c r="G102" s="9">
        <f t="shared" si="3"/>
        <v>360000</v>
      </c>
      <c r="H102" s="6" t="s">
        <v>688</v>
      </c>
      <c r="I102" t="str">
        <f t="shared" si="2"/>
        <v>CMH_01-A-100</v>
      </c>
      <c r="J102" t="str">
        <f>IFERROR(VLOOKUP(C102, مراجع!$A$3:$B$14, 2, FALSE), "")</f>
        <v>A</v>
      </c>
      <c r="K102" s="36" t="s">
        <v>112</v>
      </c>
    </row>
    <row r="103" spans="1:11" ht="41.4">
      <c r="A103" s="12">
        <v>101</v>
      </c>
      <c r="B103" s="5" t="s">
        <v>399</v>
      </c>
      <c r="C103" s="6" t="s">
        <v>248</v>
      </c>
      <c r="D103" s="6" t="s">
        <v>685</v>
      </c>
      <c r="E103" s="7">
        <v>90</v>
      </c>
      <c r="F103" s="70">
        <v>400</v>
      </c>
      <c r="G103" s="9">
        <f t="shared" si="3"/>
        <v>36000</v>
      </c>
      <c r="H103" s="6" t="s">
        <v>688</v>
      </c>
      <c r="I103" t="str">
        <f t="shared" si="2"/>
        <v>CMH_01-A-101</v>
      </c>
      <c r="J103" t="str">
        <f>IFERROR(VLOOKUP(C103, مراجع!$A$3:$B$14, 2, FALSE), "")</f>
        <v>A</v>
      </c>
      <c r="K103" s="36" t="s">
        <v>112</v>
      </c>
    </row>
    <row r="104" spans="1:11" ht="69">
      <c r="A104" s="12">
        <v>102</v>
      </c>
      <c r="B104" s="5" t="s">
        <v>400</v>
      </c>
      <c r="C104" s="6" t="s">
        <v>248</v>
      </c>
      <c r="D104" s="6" t="s">
        <v>686</v>
      </c>
      <c r="E104" s="7">
        <v>90</v>
      </c>
      <c r="F104" s="71">
        <v>4800</v>
      </c>
      <c r="G104" s="9">
        <f t="shared" si="3"/>
        <v>432000</v>
      </c>
      <c r="H104" s="6" t="s">
        <v>688</v>
      </c>
      <c r="I104" t="str">
        <f t="shared" si="2"/>
        <v>CMH_01-A-102</v>
      </c>
      <c r="J104" t="str">
        <f>IFERROR(VLOOKUP(C104, مراجع!$A$3:$B$14, 2, FALSE), "")</f>
        <v>A</v>
      </c>
      <c r="K104" s="36" t="s">
        <v>112</v>
      </c>
    </row>
    <row r="105" spans="1:11" ht="69">
      <c r="A105" s="12">
        <v>103</v>
      </c>
      <c r="B105" s="5" t="s">
        <v>401</v>
      </c>
      <c r="C105" s="6" t="s">
        <v>248</v>
      </c>
      <c r="D105" s="6" t="s">
        <v>685</v>
      </c>
      <c r="E105" s="7">
        <v>90</v>
      </c>
      <c r="F105" s="70">
        <v>300</v>
      </c>
      <c r="G105" s="9">
        <f t="shared" si="3"/>
        <v>27000</v>
      </c>
      <c r="H105" s="6" t="s">
        <v>688</v>
      </c>
      <c r="I105" t="str">
        <f t="shared" si="2"/>
        <v>CMH_01-A-103</v>
      </c>
      <c r="J105" t="str">
        <f>IFERROR(VLOOKUP(C105, مراجع!$A$3:$B$14, 2, FALSE), "")</f>
        <v>A</v>
      </c>
      <c r="K105" s="36" t="s">
        <v>112</v>
      </c>
    </row>
    <row r="106" spans="1:11" ht="41.4">
      <c r="A106" s="12">
        <v>104</v>
      </c>
      <c r="B106" s="5" t="s">
        <v>402</v>
      </c>
      <c r="C106" s="6" t="s">
        <v>248</v>
      </c>
      <c r="D106" s="6" t="s">
        <v>686</v>
      </c>
      <c r="E106" s="7">
        <v>156</v>
      </c>
      <c r="F106" s="71">
        <v>3600</v>
      </c>
      <c r="G106" s="9">
        <f t="shared" si="3"/>
        <v>561600</v>
      </c>
      <c r="H106" s="6" t="s">
        <v>688</v>
      </c>
      <c r="I106" t="str">
        <f t="shared" si="2"/>
        <v>CMH_01-A-104</v>
      </c>
      <c r="J106" t="str">
        <f>IFERROR(VLOOKUP(C106, مراجع!$A$3:$B$14, 2, FALSE), "")</f>
        <v>A</v>
      </c>
      <c r="K106" s="36" t="s">
        <v>112</v>
      </c>
    </row>
    <row r="107" spans="1:11" ht="27.6">
      <c r="A107" s="12">
        <v>105</v>
      </c>
      <c r="B107" s="5" t="s">
        <v>403</v>
      </c>
      <c r="C107" s="6" t="s">
        <v>248</v>
      </c>
      <c r="D107" s="6" t="s">
        <v>686</v>
      </c>
      <c r="E107" s="7">
        <v>156</v>
      </c>
      <c r="F107" s="69">
        <v>6705</v>
      </c>
      <c r="G107" s="9">
        <f t="shared" si="3"/>
        <v>1045980</v>
      </c>
      <c r="H107" s="6" t="s">
        <v>688</v>
      </c>
      <c r="I107" t="str">
        <f t="shared" si="2"/>
        <v>CMH_01-A-105</v>
      </c>
      <c r="J107" t="str">
        <f>IFERROR(VLOOKUP(C107, مراجع!$A$3:$B$14, 2, FALSE), "")</f>
        <v>A</v>
      </c>
      <c r="K107" s="36" t="s">
        <v>112</v>
      </c>
    </row>
    <row r="108" spans="1:11" ht="27.6">
      <c r="A108" s="12">
        <v>106</v>
      </c>
      <c r="B108" s="5" t="s">
        <v>404</v>
      </c>
      <c r="C108" s="6" t="s">
        <v>248</v>
      </c>
      <c r="D108" s="6" t="s">
        <v>686</v>
      </c>
      <c r="E108" s="7">
        <v>156</v>
      </c>
      <c r="F108" s="69">
        <v>1213</v>
      </c>
      <c r="G108" s="9">
        <f t="shared" si="3"/>
        <v>189228</v>
      </c>
      <c r="H108" s="6" t="s">
        <v>688</v>
      </c>
      <c r="I108" t="str">
        <f t="shared" si="2"/>
        <v>CMH_01-A-106</v>
      </c>
      <c r="J108" t="str">
        <f>IFERROR(VLOOKUP(C108, مراجع!$A$3:$B$14, 2, FALSE), "")</f>
        <v>A</v>
      </c>
      <c r="K108" s="36" t="s">
        <v>112</v>
      </c>
    </row>
    <row r="109" spans="1:11" ht="41.4">
      <c r="A109" s="12">
        <v>107</v>
      </c>
      <c r="B109" s="5" t="s">
        <v>405</v>
      </c>
      <c r="C109" s="6" t="s">
        <v>248</v>
      </c>
      <c r="D109" s="6" t="s">
        <v>686</v>
      </c>
      <c r="E109" s="7">
        <v>15.6</v>
      </c>
      <c r="F109" s="69">
        <v>543</v>
      </c>
      <c r="G109" s="9">
        <f t="shared" si="3"/>
        <v>8470.7999999999993</v>
      </c>
      <c r="H109" s="6" t="s">
        <v>688</v>
      </c>
      <c r="I109" t="str">
        <f t="shared" si="2"/>
        <v>CMH_01-A-107</v>
      </c>
      <c r="J109" t="str">
        <f>IFERROR(VLOOKUP(C109, مراجع!$A$3:$B$14, 2, FALSE), "")</f>
        <v>A</v>
      </c>
      <c r="K109" s="36" t="s">
        <v>112</v>
      </c>
    </row>
    <row r="110" spans="1:11" ht="27.6">
      <c r="A110" s="12">
        <v>108</v>
      </c>
      <c r="B110" s="5" t="s">
        <v>406</v>
      </c>
      <c r="C110" s="6" t="s">
        <v>248</v>
      </c>
      <c r="D110" s="6" t="s">
        <v>686</v>
      </c>
      <c r="E110" s="7">
        <v>156</v>
      </c>
      <c r="F110" s="69">
        <v>735</v>
      </c>
      <c r="G110" s="9">
        <f t="shared" si="3"/>
        <v>114660</v>
      </c>
      <c r="H110" s="6" t="s">
        <v>688</v>
      </c>
      <c r="I110" t="str">
        <f t="shared" si="2"/>
        <v>CMH_01-A-108</v>
      </c>
      <c r="J110" t="str">
        <f>IFERROR(VLOOKUP(C110, مراجع!$A$3:$B$14, 2, FALSE), "")</f>
        <v>A</v>
      </c>
      <c r="K110" s="36" t="s">
        <v>112</v>
      </c>
    </row>
    <row r="111" spans="1:11" ht="27.6">
      <c r="A111" s="12">
        <v>109</v>
      </c>
      <c r="B111" s="5" t="s">
        <v>407</v>
      </c>
      <c r="C111" s="6" t="s">
        <v>248</v>
      </c>
      <c r="D111" s="6" t="s">
        <v>686</v>
      </c>
      <c r="E111" s="7">
        <v>156</v>
      </c>
      <c r="F111" s="69">
        <v>109</v>
      </c>
      <c r="G111" s="9">
        <f t="shared" si="3"/>
        <v>17004</v>
      </c>
      <c r="H111" s="6" t="s">
        <v>688</v>
      </c>
      <c r="I111" t="str">
        <f t="shared" si="2"/>
        <v>CMH_01-A-109</v>
      </c>
      <c r="J111" t="str">
        <f>IFERROR(VLOOKUP(C111, مراجع!$A$3:$B$14, 2, FALSE), "")</f>
        <v>A</v>
      </c>
      <c r="K111" s="36" t="s">
        <v>112</v>
      </c>
    </row>
    <row r="112" spans="1:11" ht="27.6">
      <c r="A112" s="12">
        <v>110</v>
      </c>
      <c r="B112" s="5" t="s">
        <v>408</v>
      </c>
      <c r="C112" s="6" t="s">
        <v>248</v>
      </c>
      <c r="D112" s="6" t="s">
        <v>686</v>
      </c>
      <c r="E112" s="7">
        <v>156</v>
      </c>
      <c r="F112" s="69">
        <v>2140</v>
      </c>
      <c r="G112" s="9">
        <f t="shared" si="3"/>
        <v>333840</v>
      </c>
      <c r="H112" s="6" t="s">
        <v>688</v>
      </c>
      <c r="I112" t="str">
        <f t="shared" si="2"/>
        <v>CMH_01-A-110</v>
      </c>
      <c r="J112" t="str">
        <f>IFERROR(VLOOKUP(C112, مراجع!$A$3:$B$14, 2, FALSE), "")</f>
        <v>A</v>
      </c>
      <c r="K112" s="36" t="s">
        <v>112</v>
      </c>
    </row>
    <row r="113" spans="1:11" ht="27.6">
      <c r="A113" s="12">
        <v>111</v>
      </c>
      <c r="B113" s="5" t="s">
        <v>409</v>
      </c>
      <c r="C113" s="6" t="s">
        <v>248</v>
      </c>
      <c r="D113" s="6" t="s">
        <v>686</v>
      </c>
      <c r="E113" s="7">
        <v>156</v>
      </c>
      <c r="F113" s="69">
        <v>303</v>
      </c>
      <c r="G113" s="9">
        <f t="shared" si="3"/>
        <v>47268</v>
      </c>
      <c r="H113" s="6" t="s">
        <v>688</v>
      </c>
      <c r="I113" t="str">
        <f t="shared" si="2"/>
        <v>CMH_01-A-111</v>
      </c>
      <c r="J113" t="str">
        <f>IFERROR(VLOOKUP(C113, مراجع!$A$3:$B$14, 2, FALSE), "")</f>
        <v>A</v>
      </c>
      <c r="K113" s="36" t="s">
        <v>112</v>
      </c>
    </row>
    <row r="114" spans="1:11" ht="41.4">
      <c r="A114" s="12">
        <v>112</v>
      </c>
      <c r="B114" s="5" t="s">
        <v>410</v>
      </c>
      <c r="C114" s="6" t="s">
        <v>248</v>
      </c>
      <c r="D114" s="6" t="s">
        <v>686</v>
      </c>
      <c r="E114" s="7">
        <v>156</v>
      </c>
      <c r="F114" s="69">
        <v>1550</v>
      </c>
      <c r="G114" s="9">
        <f t="shared" si="3"/>
        <v>241800</v>
      </c>
      <c r="H114" s="6" t="s">
        <v>688</v>
      </c>
      <c r="I114" t="str">
        <f t="shared" si="2"/>
        <v>CMH_01-A-112</v>
      </c>
      <c r="J114" t="str">
        <f>IFERROR(VLOOKUP(C114, مراجع!$A$3:$B$14, 2, FALSE), "")</f>
        <v>A</v>
      </c>
      <c r="K114" s="36" t="s">
        <v>112</v>
      </c>
    </row>
    <row r="115" spans="1:11" ht="27.6">
      <c r="A115" s="12">
        <v>113</v>
      </c>
      <c r="B115" s="5" t="s">
        <v>411</v>
      </c>
      <c r="C115" s="6" t="s">
        <v>248</v>
      </c>
      <c r="D115" s="6" t="s">
        <v>686</v>
      </c>
      <c r="E115" s="7">
        <v>156</v>
      </c>
      <c r="F115" s="70">
        <v>129</v>
      </c>
      <c r="G115" s="9">
        <f t="shared" si="3"/>
        <v>20124</v>
      </c>
      <c r="H115" s="6" t="s">
        <v>688</v>
      </c>
      <c r="I115" t="str">
        <f t="shared" si="2"/>
        <v>CMH_01-A-113</v>
      </c>
      <c r="J115" t="str">
        <f>IFERROR(VLOOKUP(C115, مراجع!$A$3:$B$14, 2, FALSE), "")</f>
        <v>A</v>
      </c>
      <c r="K115" s="36" t="s">
        <v>112</v>
      </c>
    </row>
    <row r="116" spans="1:11" ht="41.4">
      <c r="A116" s="12">
        <v>114</v>
      </c>
      <c r="B116" s="5" t="s">
        <v>412</v>
      </c>
      <c r="C116" s="6" t="s">
        <v>248</v>
      </c>
      <c r="D116" s="6" t="s">
        <v>686</v>
      </c>
      <c r="E116" s="7">
        <v>228</v>
      </c>
      <c r="F116" s="71">
        <v>85</v>
      </c>
      <c r="G116" s="9">
        <f t="shared" si="3"/>
        <v>19380</v>
      </c>
      <c r="H116" s="6" t="s">
        <v>688</v>
      </c>
      <c r="I116" t="str">
        <f t="shared" si="2"/>
        <v>CMH_01-A-114</v>
      </c>
      <c r="J116" t="str">
        <f>IFERROR(VLOOKUP(C116, مراجع!$A$3:$B$14, 2, FALSE), "")</f>
        <v>A</v>
      </c>
      <c r="K116" s="36" t="s">
        <v>112</v>
      </c>
    </row>
    <row r="117" spans="1:11" ht="27.6">
      <c r="A117" s="12">
        <v>115</v>
      </c>
      <c r="B117" s="5" t="s">
        <v>413</v>
      </c>
      <c r="C117" s="6" t="s">
        <v>248</v>
      </c>
      <c r="D117" s="6" t="s">
        <v>686</v>
      </c>
      <c r="E117" s="7">
        <v>216</v>
      </c>
      <c r="F117" s="69">
        <v>174</v>
      </c>
      <c r="G117" s="9">
        <f t="shared" si="3"/>
        <v>37584</v>
      </c>
      <c r="H117" s="6" t="s">
        <v>688</v>
      </c>
      <c r="I117" t="str">
        <f t="shared" si="2"/>
        <v>CMH_01-A-115</v>
      </c>
      <c r="J117" t="str">
        <f>IFERROR(VLOOKUP(C117, مراجع!$A$3:$B$14, 2, FALSE), "")</f>
        <v>A</v>
      </c>
      <c r="K117" s="36" t="s">
        <v>112</v>
      </c>
    </row>
    <row r="118" spans="1:11" ht="41.4">
      <c r="A118" s="12">
        <v>116</v>
      </c>
      <c r="B118" s="5" t="s">
        <v>414</v>
      </c>
      <c r="C118" s="6" t="s">
        <v>248</v>
      </c>
      <c r="D118" s="6" t="s">
        <v>686</v>
      </c>
      <c r="E118" s="7">
        <v>228</v>
      </c>
      <c r="F118" s="69">
        <v>215</v>
      </c>
      <c r="G118" s="9">
        <f t="shared" si="3"/>
        <v>49020</v>
      </c>
      <c r="H118" s="6" t="s">
        <v>688</v>
      </c>
      <c r="I118" t="str">
        <f t="shared" si="2"/>
        <v>CMH_01-A-116</v>
      </c>
      <c r="J118" t="str">
        <f>IFERROR(VLOOKUP(C118, مراجع!$A$3:$B$14, 2, FALSE), "")</f>
        <v>A</v>
      </c>
      <c r="K118" s="36" t="s">
        <v>112</v>
      </c>
    </row>
    <row r="119" spans="1:11" ht="41.4">
      <c r="A119" s="12">
        <v>117</v>
      </c>
      <c r="B119" s="5" t="s">
        <v>415</v>
      </c>
      <c r="C119" s="6" t="s">
        <v>248</v>
      </c>
      <c r="D119" s="6" t="s">
        <v>686</v>
      </c>
      <c r="E119" s="7">
        <v>156</v>
      </c>
      <c r="F119" s="69">
        <v>37</v>
      </c>
      <c r="G119" s="9">
        <f t="shared" si="3"/>
        <v>5772</v>
      </c>
      <c r="H119" s="6" t="s">
        <v>688</v>
      </c>
      <c r="I119" t="str">
        <f t="shared" si="2"/>
        <v>CMH_01-A-117</v>
      </c>
      <c r="J119" t="str">
        <f>IFERROR(VLOOKUP(C119, مراجع!$A$3:$B$14, 2, FALSE), "")</f>
        <v>A</v>
      </c>
      <c r="K119" s="36" t="s">
        <v>112</v>
      </c>
    </row>
    <row r="120" spans="1:11" ht="41.4">
      <c r="A120" s="12">
        <v>118</v>
      </c>
      <c r="B120" s="5" t="s">
        <v>416</v>
      </c>
      <c r="C120" s="6" t="s">
        <v>248</v>
      </c>
      <c r="D120" s="6" t="s">
        <v>686</v>
      </c>
      <c r="E120" s="7">
        <v>228</v>
      </c>
      <c r="F120" s="69">
        <v>203</v>
      </c>
      <c r="G120" s="9">
        <f t="shared" si="3"/>
        <v>46284</v>
      </c>
      <c r="H120" s="6" t="s">
        <v>688</v>
      </c>
      <c r="I120" t="str">
        <f t="shared" si="2"/>
        <v>CMH_01-A-118</v>
      </c>
      <c r="J120" t="str">
        <f>IFERROR(VLOOKUP(C120, مراجع!$A$3:$B$14, 2, FALSE), "")</f>
        <v>A</v>
      </c>
      <c r="K120" s="36" t="s">
        <v>112</v>
      </c>
    </row>
    <row r="121" spans="1:11" ht="41.4">
      <c r="A121" s="12">
        <v>119</v>
      </c>
      <c r="B121" s="5" t="s">
        <v>417</v>
      </c>
      <c r="C121" s="6" t="s">
        <v>248</v>
      </c>
      <c r="D121" s="6" t="s">
        <v>686</v>
      </c>
      <c r="E121" s="7">
        <v>156</v>
      </c>
      <c r="F121" s="69">
        <v>18</v>
      </c>
      <c r="G121" s="9">
        <f t="shared" si="3"/>
        <v>2808</v>
      </c>
      <c r="H121" s="6" t="s">
        <v>688</v>
      </c>
      <c r="I121" t="str">
        <f t="shared" si="2"/>
        <v>CMH_01-A-119</v>
      </c>
      <c r="J121" t="str">
        <f>IFERROR(VLOOKUP(C121, مراجع!$A$3:$B$14, 2, FALSE), "")</f>
        <v>A</v>
      </c>
      <c r="K121" s="36" t="s">
        <v>112</v>
      </c>
    </row>
    <row r="122" spans="1:11">
      <c r="A122" s="12">
        <v>120</v>
      </c>
      <c r="B122" s="5" t="s">
        <v>418</v>
      </c>
      <c r="C122" s="6" t="s">
        <v>248</v>
      </c>
      <c r="D122" s="6" t="s">
        <v>686</v>
      </c>
      <c r="E122" s="71">
        <v>156</v>
      </c>
      <c r="F122" s="69">
        <v>178</v>
      </c>
      <c r="G122" s="9">
        <f t="shared" si="3"/>
        <v>27768</v>
      </c>
      <c r="H122" s="6" t="s">
        <v>688</v>
      </c>
      <c r="I122" t="str">
        <f t="shared" si="2"/>
        <v>CMH_01-A-120</v>
      </c>
      <c r="J122" t="str">
        <f>IFERROR(VLOOKUP(C122, مراجع!$A$3:$B$14, 2, FALSE), "")</f>
        <v>A</v>
      </c>
      <c r="K122" s="36" t="s">
        <v>112</v>
      </c>
    </row>
    <row r="123" spans="1:11" ht="41.4">
      <c r="A123" s="12">
        <v>121</v>
      </c>
      <c r="B123" s="5" t="s">
        <v>419</v>
      </c>
      <c r="C123" s="6" t="s">
        <v>248</v>
      </c>
      <c r="D123" s="6" t="s">
        <v>686</v>
      </c>
      <c r="E123" s="69">
        <v>72</v>
      </c>
      <c r="F123" s="69">
        <v>110</v>
      </c>
      <c r="G123" s="9">
        <f t="shared" si="3"/>
        <v>7920</v>
      </c>
      <c r="H123" s="6" t="s">
        <v>688</v>
      </c>
      <c r="I123" t="str">
        <f t="shared" si="2"/>
        <v>CMH_01-A-121</v>
      </c>
      <c r="J123" t="str">
        <f>IFERROR(VLOOKUP(C123, مراجع!$A$3:$B$14, 2, FALSE), "")</f>
        <v>A</v>
      </c>
      <c r="K123" s="36" t="s">
        <v>112</v>
      </c>
    </row>
    <row r="124" spans="1:11" ht="55.2">
      <c r="A124" s="12">
        <v>122</v>
      </c>
      <c r="B124" s="5" t="s">
        <v>420</v>
      </c>
      <c r="C124" s="6" t="s">
        <v>248</v>
      </c>
      <c r="D124" s="6" t="s">
        <v>686</v>
      </c>
      <c r="E124" s="69">
        <v>72</v>
      </c>
      <c r="F124" s="69">
        <v>160</v>
      </c>
      <c r="G124" s="9">
        <f t="shared" si="3"/>
        <v>11520</v>
      </c>
      <c r="H124" s="6" t="s">
        <v>688</v>
      </c>
      <c r="I124" t="str">
        <f t="shared" si="2"/>
        <v>CMH_01-A-122</v>
      </c>
      <c r="J124" t="str">
        <f>IFERROR(VLOOKUP(C124, مراجع!$A$3:$B$14, 2, FALSE), "")</f>
        <v>A</v>
      </c>
      <c r="K124" s="36" t="s">
        <v>112</v>
      </c>
    </row>
    <row r="125" spans="1:11" ht="27.6">
      <c r="A125" s="12">
        <v>123</v>
      </c>
      <c r="B125" s="5" t="s">
        <v>421</v>
      </c>
      <c r="C125" s="6" t="s">
        <v>248</v>
      </c>
      <c r="D125" s="6" t="s">
        <v>686</v>
      </c>
      <c r="E125" s="69">
        <v>120</v>
      </c>
      <c r="F125" s="69">
        <v>170</v>
      </c>
      <c r="G125" s="9">
        <f t="shared" si="3"/>
        <v>20400</v>
      </c>
      <c r="H125" s="6" t="s">
        <v>688</v>
      </c>
      <c r="I125" t="str">
        <f t="shared" si="2"/>
        <v>CMH_01-A-123</v>
      </c>
      <c r="J125" t="str">
        <f>IFERROR(VLOOKUP(C125, مراجع!$A$3:$B$14, 2, FALSE), "")</f>
        <v>A</v>
      </c>
      <c r="K125" s="36" t="s">
        <v>112</v>
      </c>
    </row>
    <row r="126" spans="1:11" ht="41.4">
      <c r="A126" s="12">
        <v>124</v>
      </c>
      <c r="B126" s="5" t="s">
        <v>422</v>
      </c>
      <c r="C126" s="6" t="s">
        <v>248</v>
      </c>
      <c r="D126" s="6" t="s">
        <v>686</v>
      </c>
      <c r="E126" s="69">
        <v>180</v>
      </c>
      <c r="F126" s="69">
        <v>118</v>
      </c>
      <c r="G126" s="9">
        <f t="shared" si="3"/>
        <v>21240</v>
      </c>
      <c r="H126" s="6" t="s">
        <v>688</v>
      </c>
      <c r="I126" t="str">
        <f t="shared" si="2"/>
        <v>CMH_01-A-124</v>
      </c>
      <c r="J126" t="str">
        <f>IFERROR(VLOOKUP(C126, مراجع!$A$3:$B$14, 2, FALSE), "")</f>
        <v>A</v>
      </c>
      <c r="K126" s="36" t="s">
        <v>112</v>
      </c>
    </row>
    <row r="127" spans="1:11">
      <c r="A127" s="12">
        <v>125</v>
      </c>
      <c r="B127" s="5" t="s">
        <v>423</v>
      </c>
      <c r="C127" s="6" t="s">
        <v>248</v>
      </c>
      <c r="D127" s="6" t="s">
        <v>686</v>
      </c>
      <c r="E127" s="69">
        <v>25.2</v>
      </c>
      <c r="F127" s="69">
        <v>12700</v>
      </c>
      <c r="G127" s="9">
        <f t="shared" si="3"/>
        <v>320040</v>
      </c>
      <c r="H127" s="6" t="s">
        <v>688</v>
      </c>
      <c r="I127" t="str">
        <f t="shared" si="2"/>
        <v>CMH_01-A-125</v>
      </c>
      <c r="J127" t="str">
        <f>IFERROR(VLOOKUP(C127, مراجع!$A$3:$B$14, 2, FALSE), "")</f>
        <v>A</v>
      </c>
      <c r="K127" s="36" t="s">
        <v>112</v>
      </c>
    </row>
    <row r="128" spans="1:11" ht="27.6">
      <c r="A128" s="12">
        <v>126</v>
      </c>
      <c r="B128" s="5" t="s">
        <v>424</v>
      </c>
      <c r="C128" s="6" t="s">
        <v>248</v>
      </c>
      <c r="D128" s="6" t="s">
        <v>686</v>
      </c>
      <c r="E128" s="69">
        <v>30</v>
      </c>
      <c r="F128" s="69">
        <v>2288</v>
      </c>
      <c r="G128" s="9">
        <f t="shared" si="3"/>
        <v>68640</v>
      </c>
      <c r="H128" s="6" t="s">
        <v>688</v>
      </c>
      <c r="I128" t="str">
        <f t="shared" si="2"/>
        <v>CMH_01-A-126</v>
      </c>
      <c r="J128" t="str">
        <f>IFERROR(VLOOKUP(C128, مراجع!$A$3:$B$14, 2, FALSE), "")</f>
        <v>A</v>
      </c>
      <c r="K128" s="36" t="s">
        <v>112</v>
      </c>
    </row>
    <row r="129" spans="1:11">
      <c r="A129" s="12">
        <v>127</v>
      </c>
      <c r="B129" s="5" t="s">
        <v>425</v>
      </c>
      <c r="C129" s="6" t="s">
        <v>248</v>
      </c>
      <c r="D129" s="6" t="s">
        <v>686</v>
      </c>
      <c r="E129" s="69">
        <v>30</v>
      </c>
      <c r="F129" s="69">
        <v>6173</v>
      </c>
      <c r="G129" s="9">
        <f t="shared" si="3"/>
        <v>185190</v>
      </c>
      <c r="H129" s="6" t="s">
        <v>688</v>
      </c>
      <c r="I129" t="str">
        <f t="shared" si="2"/>
        <v>CMH_01-A-127</v>
      </c>
      <c r="J129" t="str">
        <f>IFERROR(VLOOKUP(C129, مراجع!$A$3:$B$14, 2, FALSE), "")</f>
        <v>A</v>
      </c>
      <c r="K129" s="36" t="s">
        <v>112</v>
      </c>
    </row>
    <row r="130" spans="1:11" ht="27.6">
      <c r="A130" s="12">
        <v>128</v>
      </c>
      <c r="B130" s="5" t="s">
        <v>426</v>
      </c>
      <c r="C130" s="6" t="s">
        <v>248</v>
      </c>
      <c r="D130" s="6" t="s">
        <v>686</v>
      </c>
      <c r="E130" s="70">
        <v>30</v>
      </c>
      <c r="F130" s="69">
        <v>2088</v>
      </c>
      <c r="G130" s="9">
        <f t="shared" si="3"/>
        <v>62640</v>
      </c>
      <c r="H130" s="6" t="s">
        <v>688</v>
      </c>
      <c r="I130" t="str">
        <f t="shared" ref="I130:I193" si="4">IF(AND(B130&lt;&gt;"", J130&lt;&gt;""), "CMH_01-" &amp; J130 &amp; "-" &amp; TEXT(A130, "000"), "")</f>
        <v>CMH_01-A-128</v>
      </c>
      <c r="J130" t="str">
        <f>IFERROR(VLOOKUP(C130, مراجع!$A$3:$B$14, 2, FALSE), "")</f>
        <v>A</v>
      </c>
      <c r="K130" s="36" t="s">
        <v>112</v>
      </c>
    </row>
    <row r="131" spans="1:11" ht="27.6">
      <c r="A131" s="12">
        <v>129</v>
      </c>
      <c r="B131" s="5" t="s">
        <v>427</v>
      </c>
      <c r="C131" s="6" t="s">
        <v>248</v>
      </c>
      <c r="D131" s="6" t="s">
        <v>686</v>
      </c>
      <c r="E131" s="71">
        <v>30</v>
      </c>
      <c r="F131" s="69">
        <v>174</v>
      </c>
      <c r="G131" s="9">
        <f t="shared" ref="G131:G194" si="5">IF(AND(E131&lt;&gt;"",F131&lt;&gt;""), E131*F131, "")</f>
        <v>5220</v>
      </c>
      <c r="H131" s="6" t="s">
        <v>688</v>
      </c>
      <c r="I131" t="str">
        <f t="shared" si="4"/>
        <v>CMH_01-A-129</v>
      </c>
      <c r="J131" t="str">
        <f>IFERROR(VLOOKUP(C131, مراجع!$A$3:$B$14, 2, FALSE), "")</f>
        <v>A</v>
      </c>
      <c r="K131" s="36" t="s">
        <v>112</v>
      </c>
    </row>
    <row r="132" spans="1:11" ht="27.6">
      <c r="A132" s="12">
        <v>130</v>
      </c>
      <c r="B132" s="5" t="s">
        <v>428</v>
      </c>
      <c r="C132" s="6" t="s">
        <v>248</v>
      </c>
      <c r="D132" s="6" t="s">
        <v>686</v>
      </c>
      <c r="E132" s="69">
        <v>24</v>
      </c>
      <c r="F132" s="69">
        <v>30</v>
      </c>
      <c r="G132" s="9">
        <f t="shared" si="5"/>
        <v>720</v>
      </c>
      <c r="H132" s="6" t="s">
        <v>688</v>
      </c>
      <c r="I132" t="str">
        <f t="shared" si="4"/>
        <v>CMH_01-A-130</v>
      </c>
      <c r="J132" t="str">
        <f>IFERROR(VLOOKUP(C132, مراجع!$A$3:$B$14, 2, FALSE), "")</f>
        <v>A</v>
      </c>
      <c r="K132" s="36" t="s">
        <v>112</v>
      </c>
    </row>
    <row r="133" spans="1:11" ht="27.6">
      <c r="A133" s="12">
        <v>131</v>
      </c>
      <c r="B133" s="5" t="s">
        <v>429</v>
      </c>
      <c r="C133" s="6" t="s">
        <v>248</v>
      </c>
      <c r="D133" s="6" t="s">
        <v>686</v>
      </c>
      <c r="E133" s="69">
        <v>24</v>
      </c>
      <c r="F133" s="69">
        <v>23</v>
      </c>
      <c r="G133" s="9">
        <f t="shared" si="5"/>
        <v>552</v>
      </c>
      <c r="H133" s="6" t="s">
        <v>688</v>
      </c>
      <c r="I133" t="str">
        <f t="shared" si="4"/>
        <v>CMH_01-A-131</v>
      </c>
      <c r="J133" t="str">
        <f>IFERROR(VLOOKUP(C133, مراجع!$A$3:$B$14, 2, FALSE), "")</f>
        <v>A</v>
      </c>
      <c r="K133" s="36" t="s">
        <v>112</v>
      </c>
    </row>
    <row r="134" spans="1:11" ht="27.6">
      <c r="A134" s="12">
        <v>132</v>
      </c>
      <c r="B134" s="5" t="s">
        <v>430</v>
      </c>
      <c r="C134" s="6" t="s">
        <v>248</v>
      </c>
      <c r="D134" s="6" t="s">
        <v>686</v>
      </c>
      <c r="E134" s="69">
        <v>24</v>
      </c>
      <c r="F134" s="69">
        <v>32</v>
      </c>
      <c r="G134" s="9">
        <f t="shared" si="5"/>
        <v>768</v>
      </c>
      <c r="H134" s="6" t="s">
        <v>688</v>
      </c>
      <c r="I134" t="str">
        <f t="shared" si="4"/>
        <v>CMH_01-A-132</v>
      </c>
      <c r="J134" t="str">
        <f>IFERROR(VLOOKUP(C134, مراجع!$A$3:$B$14, 2, FALSE), "")</f>
        <v>A</v>
      </c>
      <c r="K134" s="36" t="s">
        <v>112</v>
      </c>
    </row>
    <row r="135" spans="1:11" ht="55.2">
      <c r="A135" s="12">
        <v>133</v>
      </c>
      <c r="B135" s="5" t="s">
        <v>431</v>
      </c>
      <c r="C135" s="6" t="s">
        <v>248</v>
      </c>
      <c r="D135" s="6" t="s">
        <v>686</v>
      </c>
      <c r="E135" s="69">
        <v>24</v>
      </c>
      <c r="F135" s="69">
        <v>25559</v>
      </c>
      <c r="G135" s="9">
        <f t="shared" si="5"/>
        <v>613416</v>
      </c>
      <c r="H135" s="6" t="s">
        <v>688</v>
      </c>
      <c r="I135" t="str">
        <f t="shared" si="4"/>
        <v>CMH_01-A-133</v>
      </c>
      <c r="J135" t="str">
        <f>IFERROR(VLOOKUP(C135, مراجع!$A$3:$B$14, 2, FALSE), "")</f>
        <v>A</v>
      </c>
      <c r="K135" s="36" t="s">
        <v>112</v>
      </c>
    </row>
    <row r="136" spans="1:11" ht="55.2">
      <c r="A136" s="12">
        <v>134</v>
      </c>
      <c r="B136" s="5" t="s">
        <v>432</v>
      </c>
      <c r="C136" s="6" t="s">
        <v>248</v>
      </c>
      <c r="D136" s="6" t="s">
        <v>686</v>
      </c>
      <c r="E136" s="69">
        <v>24</v>
      </c>
      <c r="F136" s="69">
        <v>9</v>
      </c>
      <c r="G136" s="9">
        <f t="shared" si="5"/>
        <v>216</v>
      </c>
      <c r="H136" s="6" t="s">
        <v>688</v>
      </c>
      <c r="I136" t="str">
        <f t="shared" si="4"/>
        <v>CMH_01-A-134</v>
      </c>
      <c r="J136" t="str">
        <f>IFERROR(VLOOKUP(C136, مراجع!$A$3:$B$14, 2, FALSE), "")</f>
        <v>A</v>
      </c>
      <c r="K136" s="36" t="s">
        <v>112</v>
      </c>
    </row>
    <row r="137" spans="1:11" ht="55.2">
      <c r="A137" s="12">
        <v>135</v>
      </c>
      <c r="B137" s="5" t="s">
        <v>433</v>
      </c>
      <c r="C137" s="6" t="s">
        <v>248</v>
      </c>
      <c r="D137" s="6" t="s">
        <v>686</v>
      </c>
      <c r="E137" s="69">
        <v>24</v>
      </c>
      <c r="F137" s="69">
        <v>3</v>
      </c>
      <c r="G137" s="9">
        <f t="shared" si="5"/>
        <v>72</v>
      </c>
      <c r="H137" s="6" t="s">
        <v>688</v>
      </c>
      <c r="I137" t="str">
        <f t="shared" si="4"/>
        <v>CMH_01-A-135</v>
      </c>
      <c r="J137" t="str">
        <f>IFERROR(VLOOKUP(C137, مراجع!$A$3:$B$14, 2, FALSE), "")</f>
        <v>A</v>
      </c>
      <c r="K137" s="36" t="s">
        <v>112</v>
      </c>
    </row>
    <row r="138" spans="1:11" ht="55.2">
      <c r="A138" s="12">
        <v>136</v>
      </c>
      <c r="B138" s="5" t="s">
        <v>434</v>
      </c>
      <c r="C138" s="6" t="s">
        <v>248</v>
      </c>
      <c r="D138" s="6" t="s">
        <v>686</v>
      </c>
      <c r="E138" s="7">
        <v>20</v>
      </c>
      <c r="F138" s="69">
        <v>4</v>
      </c>
      <c r="G138" s="9">
        <f t="shared" si="5"/>
        <v>80</v>
      </c>
      <c r="H138" s="6" t="s">
        <v>688</v>
      </c>
      <c r="I138" t="str">
        <f t="shared" si="4"/>
        <v>CMH_01-A-136</v>
      </c>
      <c r="J138" t="str">
        <f>IFERROR(VLOOKUP(C138, مراجع!$A$3:$B$14, 2, FALSE), "")</f>
        <v>A</v>
      </c>
      <c r="K138" s="36" t="s">
        <v>112</v>
      </c>
    </row>
    <row r="139" spans="1:11" ht="96.6">
      <c r="A139" s="12">
        <v>137</v>
      </c>
      <c r="B139" s="5" t="s">
        <v>435</v>
      </c>
      <c r="C139" s="6" t="s">
        <v>248</v>
      </c>
      <c r="D139" s="6" t="s">
        <v>686</v>
      </c>
      <c r="E139" s="7">
        <v>30</v>
      </c>
      <c r="F139" s="69">
        <v>9442</v>
      </c>
      <c r="G139" s="9">
        <f t="shared" si="5"/>
        <v>283260</v>
      </c>
      <c r="H139" s="6" t="s">
        <v>688</v>
      </c>
      <c r="I139" t="str">
        <f t="shared" si="4"/>
        <v>CMH_01-A-137</v>
      </c>
      <c r="J139" t="str">
        <f>IFERROR(VLOOKUP(C139, مراجع!$A$3:$B$14, 2, FALSE), "")</f>
        <v>A</v>
      </c>
      <c r="K139" s="36" t="s">
        <v>112</v>
      </c>
    </row>
    <row r="140" spans="1:11" ht="96.6">
      <c r="A140" s="12">
        <v>138</v>
      </c>
      <c r="B140" s="5" t="s">
        <v>436</v>
      </c>
      <c r="C140" s="6" t="s">
        <v>248</v>
      </c>
      <c r="D140" s="6" t="s">
        <v>686</v>
      </c>
      <c r="E140" s="7">
        <v>30</v>
      </c>
      <c r="F140" s="69">
        <v>835</v>
      </c>
      <c r="G140" s="9">
        <f t="shared" si="5"/>
        <v>25050</v>
      </c>
      <c r="H140" s="6" t="s">
        <v>688</v>
      </c>
      <c r="I140" t="str">
        <f t="shared" si="4"/>
        <v>CMH_01-A-138</v>
      </c>
      <c r="J140" t="str">
        <f>IFERROR(VLOOKUP(C140, مراجع!$A$3:$B$14, 2, FALSE), "")</f>
        <v>A</v>
      </c>
      <c r="K140" s="36" t="s">
        <v>112</v>
      </c>
    </row>
    <row r="141" spans="1:11" ht="96.6">
      <c r="A141" s="12">
        <v>139</v>
      </c>
      <c r="B141" s="5" t="s">
        <v>437</v>
      </c>
      <c r="C141" s="6" t="s">
        <v>248</v>
      </c>
      <c r="D141" s="6" t="s">
        <v>686</v>
      </c>
      <c r="E141" s="7">
        <v>30</v>
      </c>
      <c r="F141" s="69">
        <v>680</v>
      </c>
      <c r="G141" s="9">
        <f t="shared" si="5"/>
        <v>20400</v>
      </c>
      <c r="H141" s="6" t="s">
        <v>688</v>
      </c>
      <c r="I141" t="str">
        <f t="shared" si="4"/>
        <v>CMH_01-A-139</v>
      </c>
      <c r="J141" t="str">
        <f>IFERROR(VLOOKUP(C141, مراجع!$A$3:$B$14, 2, FALSE), "")</f>
        <v>A</v>
      </c>
      <c r="K141" s="36" t="s">
        <v>112</v>
      </c>
    </row>
    <row r="142" spans="1:11" ht="69">
      <c r="A142" s="12">
        <v>140</v>
      </c>
      <c r="B142" s="5" t="s">
        <v>438</v>
      </c>
      <c r="C142" s="6" t="s">
        <v>248</v>
      </c>
      <c r="D142" s="6" t="s">
        <v>686</v>
      </c>
      <c r="E142" s="7">
        <v>72</v>
      </c>
      <c r="F142" s="70">
        <v>758</v>
      </c>
      <c r="G142" s="9">
        <f t="shared" si="5"/>
        <v>54576</v>
      </c>
      <c r="H142" s="6" t="s">
        <v>688</v>
      </c>
      <c r="I142" t="str">
        <f t="shared" si="4"/>
        <v>CMH_01-A-140</v>
      </c>
      <c r="J142" t="str">
        <f>IFERROR(VLOOKUP(C142, مراجع!$A$3:$B$14, 2, FALSE), "")</f>
        <v>A</v>
      </c>
      <c r="K142" s="36" t="s">
        <v>112</v>
      </c>
    </row>
    <row r="143" spans="1:11" ht="25.95" customHeight="1">
      <c r="A143" s="12">
        <v>141</v>
      </c>
      <c r="B143" s="5" t="s">
        <v>439</v>
      </c>
      <c r="C143" s="6" t="s">
        <v>248</v>
      </c>
      <c r="D143" s="6" t="s">
        <v>110</v>
      </c>
      <c r="E143" s="71">
        <v>990</v>
      </c>
      <c r="F143" s="71">
        <v>47</v>
      </c>
      <c r="G143" s="9">
        <f t="shared" si="5"/>
        <v>46530</v>
      </c>
      <c r="H143" s="6" t="s">
        <v>688</v>
      </c>
      <c r="I143" t="str">
        <f t="shared" si="4"/>
        <v>CMH_01-A-141</v>
      </c>
      <c r="J143" t="str">
        <f>IFERROR(VLOOKUP(C143, مراجع!$A$3:$B$14, 2, FALSE), "")</f>
        <v>A</v>
      </c>
      <c r="K143" s="36" t="s">
        <v>112</v>
      </c>
    </row>
    <row r="144" spans="1:11" ht="25.95" customHeight="1">
      <c r="A144" s="12">
        <v>142</v>
      </c>
      <c r="B144" s="5" t="s">
        <v>440</v>
      </c>
      <c r="C144" s="6" t="s">
        <v>248</v>
      </c>
      <c r="D144" s="6" t="s">
        <v>110</v>
      </c>
      <c r="E144" s="70">
        <v>900</v>
      </c>
      <c r="F144" s="69">
        <v>47</v>
      </c>
      <c r="G144" s="9">
        <f t="shared" si="5"/>
        <v>42300</v>
      </c>
      <c r="H144" s="6" t="s">
        <v>688</v>
      </c>
      <c r="I144" t="str">
        <f t="shared" si="4"/>
        <v>CMH_01-A-142</v>
      </c>
      <c r="J144" t="str">
        <f>IFERROR(VLOOKUP(C144, مراجع!$A$3:$B$14, 2, FALSE), "")</f>
        <v>A</v>
      </c>
      <c r="K144" s="36" t="s">
        <v>112</v>
      </c>
    </row>
    <row r="145" spans="1:11" ht="25.95" customHeight="1">
      <c r="A145" s="12">
        <v>143</v>
      </c>
      <c r="B145" s="5" t="s">
        <v>441</v>
      </c>
      <c r="C145" s="6" t="s">
        <v>248</v>
      </c>
      <c r="D145" s="6" t="s">
        <v>110</v>
      </c>
      <c r="E145" s="71">
        <v>192</v>
      </c>
      <c r="F145" s="69">
        <v>115</v>
      </c>
      <c r="G145" s="9">
        <f t="shared" si="5"/>
        <v>22080</v>
      </c>
      <c r="H145" s="6" t="s">
        <v>688</v>
      </c>
      <c r="I145" t="str">
        <f t="shared" si="4"/>
        <v>CMH_01-A-143</v>
      </c>
      <c r="J145" t="str">
        <f>IFERROR(VLOOKUP(C145, مراجع!$A$3:$B$14, 2, FALSE), "")</f>
        <v>A</v>
      </c>
      <c r="K145" s="36" t="s">
        <v>112</v>
      </c>
    </row>
    <row r="146" spans="1:11" ht="25.95" customHeight="1">
      <c r="A146" s="12">
        <v>144</v>
      </c>
      <c r="B146" s="5" t="s">
        <v>442</v>
      </c>
      <c r="C146" s="6" t="s">
        <v>248</v>
      </c>
      <c r="D146" s="6" t="s">
        <v>110</v>
      </c>
      <c r="E146" s="70">
        <v>192</v>
      </c>
      <c r="F146" s="70">
        <v>138</v>
      </c>
      <c r="G146" s="9">
        <f t="shared" si="5"/>
        <v>26496</v>
      </c>
      <c r="H146" s="6" t="s">
        <v>688</v>
      </c>
      <c r="I146" t="str">
        <f t="shared" si="4"/>
        <v>CMH_01-A-144</v>
      </c>
      <c r="J146" t="str">
        <f>IFERROR(VLOOKUP(C146, مراجع!$A$3:$B$14, 2, FALSE), "")</f>
        <v>A</v>
      </c>
      <c r="K146" s="36" t="s">
        <v>112</v>
      </c>
    </row>
    <row r="147" spans="1:11">
      <c r="A147" s="12">
        <v>145</v>
      </c>
      <c r="B147" s="5" t="s">
        <v>443</v>
      </c>
      <c r="C147" s="6" t="s">
        <v>248</v>
      </c>
      <c r="D147" s="6" t="s">
        <v>110</v>
      </c>
      <c r="E147" s="71">
        <v>720</v>
      </c>
      <c r="F147" s="71">
        <v>23</v>
      </c>
      <c r="G147" s="9">
        <f t="shared" si="5"/>
        <v>16560</v>
      </c>
      <c r="H147" s="6" t="s">
        <v>688</v>
      </c>
      <c r="I147" t="str">
        <f t="shared" si="4"/>
        <v>CMH_01-A-145</v>
      </c>
      <c r="J147" t="str">
        <f>IFERROR(VLOOKUP(C147, مراجع!$A$3:$B$14, 2, FALSE), "")</f>
        <v>A</v>
      </c>
      <c r="K147" s="36" t="s">
        <v>112</v>
      </c>
    </row>
    <row r="148" spans="1:11">
      <c r="A148" s="12">
        <v>146</v>
      </c>
      <c r="B148" s="5" t="s">
        <v>444</v>
      </c>
      <c r="C148" s="6" t="s">
        <v>248</v>
      </c>
      <c r="D148" s="6" t="s">
        <v>110</v>
      </c>
      <c r="E148" s="70">
        <v>840</v>
      </c>
      <c r="F148" s="70">
        <v>23</v>
      </c>
      <c r="G148" s="9">
        <f t="shared" si="5"/>
        <v>19320</v>
      </c>
      <c r="H148" s="6" t="s">
        <v>688</v>
      </c>
      <c r="I148" t="str">
        <f t="shared" si="4"/>
        <v>CMH_01-A-146</v>
      </c>
      <c r="J148" t="str">
        <f>IFERROR(VLOOKUP(C148, مراجع!$A$3:$B$14, 2, FALSE), "")</f>
        <v>A</v>
      </c>
      <c r="K148" s="36" t="s">
        <v>112</v>
      </c>
    </row>
    <row r="149" spans="1:11" ht="41.4">
      <c r="A149" s="12">
        <v>147</v>
      </c>
      <c r="B149" s="5" t="s">
        <v>445</v>
      </c>
      <c r="C149" s="6" t="s">
        <v>248</v>
      </c>
      <c r="D149" s="6" t="s">
        <v>110</v>
      </c>
      <c r="E149" s="71">
        <v>9000</v>
      </c>
      <c r="F149" s="71">
        <v>1</v>
      </c>
      <c r="G149" s="9">
        <f t="shared" si="5"/>
        <v>9000</v>
      </c>
      <c r="H149" s="6" t="s">
        <v>688</v>
      </c>
      <c r="I149" t="str">
        <f t="shared" si="4"/>
        <v>CMH_01-A-147</v>
      </c>
      <c r="J149" t="str">
        <f>IFERROR(VLOOKUP(C149, مراجع!$A$3:$B$14, 2, FALSE), "")</f>
        <v>A</v>
      </c>
      <c r="K149" s="36" t="s">
        <v>112</v>
      </c>
    </row>
    <row r="150" spans="1:11" ht="41.4">
      <c r="A150" s="12">
        <v>148</v>
      </c>
      <c r="B150" s="5" t="s">
        <v>446</v>
      </c>
      <c r="C150" s="6" t="s">
        <v>248</v>
      </c>
      <c r="D150" s="6" t="s">
        <v>110</v>
      </c>
      <c r="E150" s="70">
        <v>6000</v>
      </c>
      <c r="F150" s="70">
        <v>20</v>
      </c>
      <c r="G150" s="9">
        <f t="shared" si="5"/>
        <v>120000</v>
      </c>
      <c r="H150" s="6" t="s">
        <v>688</v>
      </c>
      <c r="I150" t="str">
        <f t="shared" si="4"/>
        <v>CMH_01-A-148</v>
      </c>
      <c r="J150" t="str">
        <f>IFERROR(VLOOKUP(C150, مراجع!$A$3:$B$14, 2, FALSE), "")</f>
        <v>A</v>
      </c>
      <c r="K150" s="36" t="s">
        <v>112</v>
      </c>
    </row>
    <row r="151" spans="1:11" ht="41.4">
      <c r="A151" s="12">
        <v>149</v>
      </c>
      <c r="B151" s="5" t="s">
        <v>447</v>
      </c>
      <c r="C151" s="6" t="s">
        <v>248</v>
      </c>
      <c r="D151" s="6" t="s">
        <v>110</v>
      </c>
      <c r="E151" s="71">
        <v>3000</v>
      </c>
      <c r="F151" s="71">
        <v>32</v>
      </c>
      <c r="G151" s="9">
        <f t="shared" si="5"/>
        <v>96000</v>
      </c>
      <c r="H151" s="6" t="s">
        <v>688</v>
      </c>
      <c r="I151" t="str">
        <f t="shared" si="4"/>
        <v>CMH_01-A-149</v>
      </c>
      <c r="J151" t="str">
        <f>IFERROR(VLOOKUP(C151, مراجع!$A$3:$B$14, 2, FALSE), "")</f>
        <v>A</v>
      </c>
      <c r="K151" s="36" t="s">
        <v>112</v>
      </c>
    </row>
    <row r="152" spans="1:11" ht="41.4">
      <c r="A152" s="12">
        <v>150</v>
      </c>
      <c r="B152" s="5" t="s">
        <v>448</v>
      </c>
      <c r="C152" s="6" t="s">
        <v>248</v>
      </c>
      <c r="D152" s="6" t="s">
        <v>110</v>
      </c>
      <c r="E152" s="70">
        <v>1200</v>
      </c>
      <c r="F152" s="70">
        <v>1</v>
      </c>
      <c r="G152" s="9">
        <f t="shared" si="5"/>
        <v>1200</v>
      </c>
      <c r="H152" s="6" t="s">
        <v>688</v>
      </c>
      <c r="I152" t="str">
        <f t="shared" si="4"/>
        <v>CMH_01-A-150</v>
      </c>
      <c r="J152" t="str">
        <f>IFERROR(VLOOKUP(C152, مراجع!$A$3:$B$14, 2, FALSE), "")</f>
        <v>A</v>
      </c>
      <c r="K152" s="36" t="s">
        <v>112</v>
      </c>
    </row>
    <row r="153" spans="1:11" ht="41.4">
      <c r="A153" s="12">
        <v>151</v>
      </c>
      <c r="B153" s="5" t="s">
        <v>449</v>
      </c>
      <c r="C153" s="6" t="s">
        <v>248</v>
      </c>
      <c r="D153" s="6" t="s">
        <v>110</v>
      </c>
      <c r="E153" s="71">
        <v>1200</v>
      </c>
      <c r="F153" s="71">
        <v>75</v>
      </c>
      <c r="G153" s="9">
        <f t="shared" si="5"/>
        <v>90000</v>
      </c>
      <c r="H153" s="6" t="s">
        <v>688</v>
      </c>
      <c r="I153" t="str">
        <f t="shared" si="4"/>
        <v>CMH_01-A-151</v>
      </c>
      <c r="J153" t="str">
        <f>IFERROR(VLOOKUP(C153, مراجع!$A$3:$B$14, 2, FALSE), "")</f>
        <v>A</v>
      </c>
      <c r="K153" s="36" t="s">
        <v>112</v>
      </c>
    </row>
    <row r="154" spans="1:11" ht="41.4">
      <c r="A154" s="12">
        <v>152</v>
      </c>
      <c r="B154" s="5" t="s">
        <v>450</v>
      </c>
      <c r="C154" s="6" t="s">
        <v>248</v>
      </c>
      <c r="D154" s="6" t="s">
        <v>110</v>
      </c>
      <c r="E154" s="70">
        <v>1200</v>
      </c>
      <c r="F154" s="70">
        <v>92</v>
      </c>
      <c r="G154" s="9">
        <f t="shared" si="5"/>
        <v>110400</v>
      </c>
      <c r="H154" s="6" t="s">
        <v>688</v>
      </c>
      <c r="I154" t="str">
        <f t="shared" si="4"/>
        <v>CMH_01-A-152</v>
      </c>
      <c r="J154" t="str">
        <f>IFERROR(VLOOKUP(C154, مراجع!$A$3:$B$14, 2, FALSE), "")</f>
        <v>A</v>
      </c>
      <c r="K154" s="36" t="s">
        <v>112</v>
      </c>
    </row>
    <row r="155" spans="1:11" ht="110.4">
      <c r="A155" s="12">
        <v>153</v>
      </c>
      <c r="B155" s="5" t="s">
        <v>451</v>
      </c>
      <c r="C155" s="6" t="s">
        <v>248</v>
      </c>
      <c r="D155" s="6" t="s">
        <v>110</v>
      </c>
      <c r="E155" s="71">
        <v>1800</v>
      </c>
      <c r="F155" s="71">
        <v>32</v>
      </c>
      <c r="G155" s="9">
        <f t="shared" si="5"/>
        <v>57600</v>
      </c>
      <c r="H155" s="6" t="s">
        <v>688</v>
      </c>
      <c r="I155" t="str">
        <f t="shared" si="4"/>
        <v>CMH_01-A-153</v>
      </c>
      <c r="J155" t="str">
        <f>IFERROR(VLOOKUP(C155, مراجع!$A$3:$B$14, 2, FALSE), "")</f>
        <v>A</v>
      </c>
      <c r="K155" s="36" t="s">
        <v>112</v>
      </c>
    </row>
    <row r="156" spans="1:11" ht="110.4">
      <c r="A156" s="12">
        <v>154</v>
      </c>
      <c r="B156" s="5" t="s">
        <v>452</v>
      </c>
      <c r="C156" s="6" t="s">
        <v>248</v>
      </c>
      <c r="D156" s="6" t="s">
        <v>110</v>
      </c>
      <c r="E156" s="70">
        <v>1800</v>
      </c>
      <c r="F156" s="69">
        <v>20</v>
      </c>
      <c r="G156" s="9">
        <f t="shared" si="5"/>
        <v>36000</v>
      </c>
      <c r="H156" s="6" t="s">
        <v>688</v>
      </c>
      <c r="I156" t="str">
        <f t="shared" si="4"/>
        <v>CMH_01-A-154</v>
      </c>
      <c r="J156" t="str">
        <f>IFERROR(VLOOKUP(C156, مراجع!$A$3:$B$14, 2, FALSE), "")</f>
        <v>A</v>
      </c>
      <c r="K156" s="36" t="s">
        <v>112</v>
      </c>
    </row>
    <row r="157" spans="1:11" ht="110.4">
      <c r="A157" s="12">
        <v>155</v>
      </c>
      <c r="B157" s="5" t="s">
        <v>453</v>
      </c>
      <c r="C157" s="6" t="s">
        <v>248</v>
      </c>
      <c r="D157" s="6" t="s">
        <v>110</v>
      </c>
      <c r="E157" s="71">
        <v>1200</v>
      </c>
      <c r="F157" s="69">
        <v>22</v>
      </c>
      <c r="G157" s="9">
        <f t="shared" si="5"/>
        <v>26400</v>
      </c>
      <c r="H157" s="6" t="s">
        <v>688</v>
      </c>
      <c r="I157" t="str">
        <f t="shared" si="4"/>
        <v>CMH_01-A-155</v>
      </c>
      <c r="J157" t="str">
        <f>IFERROR(VLOOKUP(C157, مراجع!$A$3:$B$14, 2, FALSE), "")</f>
        <v>A</v>
      </c>
      <c r="K157" s="36" t="s">
        <v>112</v>
      </c>
    </row>
    <row r="158" spans="1:11" ht="110.4">
      <c r="A158" s="12">
        <v>156</v>
      </c>
      <c r="B158" s="5" t="s">
        <v>454</v>
      </c>
      <c r="C158" s="6" t="s">
        <v>248</v>
      </c>
      <c r="D158" s="6" t="s">
        <v>110</v>
      </c>
      <c r="E158" s="70">
        <v>6000</v>
      </c>
      <c r="F158" s="69">
        <v>23</v>
      </c>
      <c r="G158" s="9">
        <f t="shared" si="5"/>
        <v>138000</v>
      </c>
      <c r="H158" s="6" t="s">
        <v>688</v>
      </c>
      <c r="I158" t="str">
        <f t="shared" si="4"/>
        <v>CMH_01-A-156</v>
      </c>
      <c r="J158" t="str">
        <f>IFERROR(VLOOKUP(C158, مراجع!$A$3:$B$14, 2, FALSE), "")</f>
        <v>A</v>
      </c>
      <c r="K158" s="36" t="s">
        <v>112</v>
      </c>
    </row>
    <row r="159" spans="1:11" ht="110.4">
      <c r="A159" s="12">
        <v>157</v>
      </c>
      <c r="B159" s="5" t="s">
        <v>455</v>
      </c>
      <c r="C159" s="6" t="s">
        <v>248</v>
      </c>
      <c r="D159" s="6" t="s">
        <v>110</v>
      </c>
      <c r="E159" s="71">
        <v>6000</v>
      </c>
      <c r="F159" s="69">
        <v>1</v>
      </c>
      <c r="G159" s="9">
        <f t="shared" si="5"/>
        <v>6000</v>
      </c>
      <c r="H159" s="6" t="s">
        <v>688</v>
      </c>
      <c r="I159" t="str">
        <f t="shared" si="4"/>
        <v>CMH_01-A-157</v>
      </c>
      <c r="J159" t="str">
        <f>IFERROR(VLOOKUP(C159, مراجع!$A$3:$B$14, 2, FALSE), "")</f>
        <v>A</v>
      </c>
      <c r="K159" s="36" t="s">
        <v>112</v>
      </c>
    </row>
    <row r="160" spans="1:11" ht="110.4">
      <c r="A160" s="12">
        <v>158</v>
      </c>
      <c r="B160" s="5" t="s">
        <v>456</v>
      </c>
      <c r="C160" s="6" t="s">
        <v>248</v>
      </c>
      <c r="D160" s="6" t="s">
        <v>110</v>
      </c>
      <c r="E160" s="69">
        <v>3000</v>
      </c>
      <c r="F160" s="69">
        <v>4</v>
      </c>
      <c r="G160" s="9">
        <f t="shared" si="5"/>
        <v>12000</v>
      </c>
      <c r="H160" s="6" t="s">
        <v>688</v>
      </c>
      <c r="I160" t="str">
        <f t="shared" si="4"/>
        <v>CMH_01-A-158</v>
      </c>
      <c r="J160" t="str">
        <f>IFERROR(VLOOKUP(C160, مراجع!$A$3:$B$14, 2, FALSE), "")</f>
        <v>A</v>
      </c>
      <c r="K160" s="36" t="s">
        <v>112</v>
      </c>
    </row>
    <row r="161" spans="1:11" ht="110.4">
      <c r="A161" s="12">
        <v>159</v>
      </c>
      <c r="B161" s="5" t="s">
        <v>457</v>
      </c>
      <c r="C161" s="6" t="s">
        <v>248</v>
      </c>
      <c r="D161" s="6" t="s">
        <v>110</v>
      </c>
      <c r="E161" s="70">
        <v>1800</v>
      </c>
      <c r="F161" s="69">
        <v>1</v>
      </c>
      <c r="G161" s="9">
        <f t="shared" si="5"/>
        <v>1800</v>
      </c>
      <c r="H161" s="6" t="s">
        <v>688</v>
      </c>
      <c r="I161" t="str">
        <f t="shared" si="4"/>
        <v>CMH_01-A-159</v>
      </c>
      <c r="J161" t="str">
        <f>IFERROR(VLOOKUP(C161, مراجع!$A$3:$B$14, 2, FALSE), "")</f>
        <v>A</v>
      </c>
      <c r="K161" s="36" t="s">
        <v>112</v>
      </c>
    </row>
    <row r="162" spans="1:11" ht="82.8">
      <c r="A162" s="12">
        <v>160</v>
      </c>
      <c r="B162" s="5" t="s">
        <v>458</v>
      </c>
      <c r="C162" s="6" t="s">
        <v>248</v>
      </c>
      <c r="D162" s="6" t="s">
        <v>110</v>
      </c>
      <c r="E162" s="71">
        <v>1800</v>
      </c>
      <c r="F162" s="69">
        <v>32</v>
      </c>
      <c r="G162" s="9">
        <f t="shared" si="5"/>
        <v>57600</v>
      </c>
      <c r="H162" s="6" t="s">
        <v>688</v>
      </c>
      <c r="I162" t="str">
        <f t="shared" si="4"/>
        <v>CMH_01-A-160</v>
      </c>
      <c r="J162" t="str">
        <f>IFERROR(VLOOKUP(C162, مراجع!$A$3:$B$14, 2, FALSE), "")</f>
        <v>A</v>
      </c>
      <c r="K162" s="36" t="s">
        <v>112</v>
      </c>
    </row>
    <row r="163" spans="1:11" ht="82.8">
      <c r="A163" s="12">
        <v>161</v>
      </c>
      <c r="B163" s="5" t="s">
        <v>459</v>
      </c>
      <c r="C163" s="6" t="s">
        <v>248</v>
      </c>
      <c r="D163" s="6" t="s">
        <v>110</v>
      </c>
      <c r="E163" s="69">
        <v>1800</v>
      </c>
      <c r="F163" s="69">
        <v>20</v>
      </c>
      <c r="G163" s="9">
        <f t="shared" si="5"/>
        <v>36000</v>
      </c>
      <c r="H163" s="6" t="s">
        <v>688</v>
      </c>
      <c r="I163" t="str">
        <f t="shared" si="4"/>
        <v>CMH_01-A-161</v>
      </c>
      <c r="J163" t="str">
        <f>IFERROR(VLOOKUP(C163, مراجع!$A$3:$B$14, 2, FALSE), "")</f>
        <v>A</v>
      </c>
      <c r="K163" s="36" t="s">
        <v>112</v>
      </c>
    </row>
    <row r="164" spans="1:11" ht="82.8">
      <c r="A164" s="12">
        <v>162</v>
      </c>
      <c r="B164" s="5" t="s">
        <v>460</v>
      </c>
      <c r="C164" s="6" t="s">
        <v>248</v>
      </c>
      <c r="D164" s="6" t="s">
        <v>110</v>
      </c>
      <c r="E164" s="70">
        <v>1800</v>
      </c>
      <c r="F164" s="69">
        <v>22</v>
      </c>
      <c r="G164" s="9">
        <f t="shared" si="5"/>
        <v>39600</v>
      </c>
      <c r="H164" s="6" t="s">
        <v>688</v>
      </c>
      <c r="I164" t="str">
        <f t="shared" si="4"/>
        <v>CMH_01-A-162</v>
      </c>
      <c r="J164" t="str">
        <f>IFERROR(VLOOKUP(C164, مراجع!$A$3:$B$14, 2, FALSE), "")</f>
        <v>A</v>
      </c>
      <c r="K164" s="36" t="s">
        <v>112</v>
      </c>
    </row>
    <row r="165" spans="1:11" ht="82.8">
      <c r="A165" s="12">
        <v>163</v>
      </c>
      <c r="B165" s="5" t="s">
        <v>461</v>
      </c>
      <c r="C165" s="6" t="s">
        <v>248</v>
      </c>
      <c r="D165" s="6" t="s">
        <v>110</v>
      </c>
      <c r="E165" s="71">
        <v>6000</v>
      </c>
      <c r="F165" s="69">
        <v>23</v>
      </c>
      <c r="G165" s="9">
        <f t="shared" si="5"/>
        <v>138000</v>
      </c>
      <c r="H165" s="6" t="s">
        <v>688</v>
      </c>
      <c r="I165" t="str">
        <f t="shared" si="4"/>
        <v>CMH_01-A-163</v>
      </c>
      <c r="J165" t="str">
        <f>IFERROR(VLOOKUP(C165, مراجع!$A$3:$B$14, 2, FALSE), "")</f>
        <v>A</v>
      </c>
      <c r="K165" s="36" t="s">
        <v>112</v>
      </c>
    </row>
    <row r="166" spans="1:11" ht="82.8">
      <c r="A166" s="12">
        <v>164</v>
      </c>
      <c r="B166" s="5" t="s">
        <v>462</v>
      </c>
      <c r="C166" s="6" t="s">
        <v>248</v>
      </c>
      <c r="D166" s="6" t="s">
        <v>110</v>
      </c>
      <c r="E166" s="69">
        <v>2100</v>
      </c>
      <c r="F166" s="69">
        <v>1</v>
      </c>
      <c r="G166" s="9">
        <f t="shared" si="5"/>
        <v>2100</v>
      </c>
      <c r="H166" s="6" t="s">
        <v>688</v>
      </c>
      <c r="I166" t="str">
        <f t="shared" si="4"/>
        <v>CMH_01-A-164</v>
      </c>
      <c r="J166" t="str">
        <f>IFERROR(VLOOKUP(C166, مراجع!$A$3:$B$14, 2, FALSE), "")</f>
        <v>A</v>
      </c>
      <c r="K166" s="36" t="s">
        <v>112</v>
      </c>
    </row>
    <row r="167" spans="1:11" ht="82.8">
      <c r="A167" s="12">
        <v>165</v>
      </c>
      <c r="B167" s="5" t="s">
        <v>463</v>
      </c>
      <c r="C167" s="6" t="s">
        <v>248</v>
      </c>
      <c r="D167" s="6" t="s">
        <v>110</v>
      </c>
      <c r="E167" s="69">
        <v>3000</v>
      </c>
      <c r="F167" s="69">
        <v>4</v>
      </c>
      <c r="G167" s="9">
        <f t="shared" si="5"/>
        <v>12000</v>
      </c>
      <c r="H167" s="6" t="s">
        <v>688</v>
      </c>
      <c r="I167" t="str">
        <f t="shared" si="4"/>
        <v>CMH_01-A-165</v>
      </c>
      <c r="J167" t="str">
        <f>IFERROR(VLOOKUP(C167, مراجع!$A$3:$B$14, 2, FALSE), "")</f>
        <v>A</v>
      </c>
      <c r="K167" s="36" t="s">
        <v>112</v>
      </c>
    </row>
    <row r="168" spans="1:11" ht="82.8">
      <c r="A168" s="12">
        <v>166</v>
      </c>
      <c r="B168" s="5" t="s">
        <v>464</v>
      </c>
      <c r="C168" s="6" t="s">
        <v>248</v>
      </c>
      <c r="D168" s="6" t="s">
        <v>110</v>
      </c>
      <c r="E168" s="69">
        <v>2400</v>
      </c>
      <c r="F168" s="69">
        <v>1</v>
      </c>
      <c r="G168" s="9">
        <f t="shared" si="5"/>
        <v>2400</v>
      </c>
      <c r="H168" s="6" t="s">
        <v>688</v>
      </c>
      <c r="I168" t="str">
        <f t="shared" si="4"/>
        <v>CMH_01-A-166</v>
      </c>
      <c r="J168" t="str">
        <f>IFERROR(VLOOKUP(C168, مراجع!$A$3:$B$14, 2, FALSE), "")</f>
        <v>A</v>
      </c>
      <c r="K168" s="36" t="s">
        <v>112</v>
      </c>
    </row>
    <row r="169" spans="1:11" ht="41.4">
      <c r="A169" s="12">
        <v>167</v>
      </c>
      <c r="B169" s="5" t="s">
        <v>465</v>
      </c>
      <c r="C169" s="6" t="s">
        <v>248</v>
      </c>
      <c r="D169" s="6" t="s">
        <v>110</v>
      </c>
      <c r="E169" s="69">
        <v>9000</v>
      </c>
      <c r="F169" s="69">
        <v>1</v>
      </c>
      <c r="G169" s="9">
        <f t="shared" si="5"/>
        <v>9000</v>
      </c>
      <c r="H169" s="6" t="s">
        <v>688</v>
      </c>
      <c r="I169" t="str">
        <f t="shared" si="4"/>
        <v>CMH_01-A-167</v>
      </c>
      <c r="J169" t="str">
        <f>IFERROR(VLOOKUP(C169, مراجع!$A$3:$B$14, 2, FALSE), "")</f>
        <v>A</v>
      </c>
      <c r="K169" s="36" t="s">
        <v>112</v>
      </c>
    </row>
    <row r="170" spans="1:11" ht="41.4">
      <c r="A170" s="12">
        <v>168</v>
      </c>
      <c r="B170" s="5" t="s">
        <v>466</v>
      </c>
      <c r="C170" s="6" t="s">
        <v>248</v>
      </c>
      <c r="D170" s="6" t="s">
        <v>110</v>
      </c>
      <c r="E170" s="69">
        <v>7200</v>
      </c>
      <c r="F170" s="69">
        <v>1</v>
      </c>
      <c r="G170" s="9">
        <f t="shared" si="5"/>
        <v>7200</v>
      </c>
      <c r="H170" s="6" t="s">
        <v>688</v>
      </c>
      <c r="I170" t="str">
        <f t="shared" si="4"/>
        <v>CMH_01-A-168</v>
      </c>
      <c r="J170" t="str">
        <f>IFERROR(VLOOKUP(C170, مراجع!$A$3:$B$14, 2, FALSE), "")</f>
        <v>A</v>
      </c>
      <c r="K170" s="36" t="s">
        <v>112</v>
      </c>
    </row>
    <row r="171" spans="1:11" ht="69">
      <c r="A171" s="12">
        <v>169</v>
      </c>
      <c r="B171" s="5" t="s">
        <v>467</v>
      </c>
      <c r="C171" s="6" t="s">
        <v>248</v>
      </c>
      <c r="D171" s="6" t="s">
        <v>110</v>
      </c>
      <c r="E171" s="69">
        <v>258</v>
      </c>
      <c r="F171" s="69">
        <v>22</v>
      </c>
      <c r="G171" s="9">
        <f t="shared" si="5"/>
        <v>5676</v>
      </c>
      <c r="H171" s="6" t="s">
        <v>688</v>
      </c>
      <c r="I171" t="str">
        <f t="shared" si="4"/>
        <v>CMH_01-A-169</v>
      </c>
      <c r="J171" t="str">
        <f>IFERROR(VLOOKUP(C171, مراجع!$A$3:$B$14, 2, FALSE), "")</f>
        <v>A</v>
      </c>
      <c r="K171" s="36" t="s">
        <v>112</v>
      </c>
    </row>
    <row r="172" spans="1:11" ht="69">
      <c r="A172" s="12">
        <v>170</v>
      </c>
      <c r="B172" s="5" t="s">
        <v>468</v>
      </c>
      <c r="C172" s="6" t="s">
        <v>248</v>
      </c>
      <c r="D172" s="6" t="s">
        <v>110</v>
      </c>
      <c r="E172" s="69">
        <v>258</v>
      </c>
      <c r="F172" s="69">
        <v>190</v>
      </c>
      <c r="G172" s="9">
        <f t="shared" si="5"/>
        <v>49020</v>
      </c>
      <c r="H172" s="6" t="s">
        <v>688</v>
      </c>
      <c r="I172" t="str">
        <f t="shared" si="4"/>
        <v>CMH_01-A-170</v>
      </c>
      <c r="J172" t="str">
        <f>IFERROR(VLOOKUP(C172, مراجع!$A$3:$B$14, 2, FALSE), "")</f>
        <v>A</v>
      </c>
      <c r="K172" s="36" t="s">
        <v>112</v>
      </c>
    </row>
    <row r="173" spans="1:11" ht="69">
      <c r="A173" s="12">
        <v>171</v>
      </c>
      <c r="B173" s="5" t="s">
        <v>469</v>
      </c>
      <c r="C173" s="6" t="s">
        <v>248</v>
      </c>
      <c r="D173" s="6" t="s">
        <v>110</v>
      </c>
      <c r="E173" s="69">
        <v>258</v>
      </c>
      <c r="F173" s="69">
        <v>36</v>
      </c>
      <c r="G173" s="9">
        <f t="shared" si="5"/>
        <v>9288</v>
      </c>
      <c r="H173" s="6" t="s">
        <v>688</v>
      </c>
      <c r="I173" t="str">
        <f t="shared" si="4"/>
        <v>CMH_01-A-171</v>
      </c>
      <c r="J173" t="str">
        <f>IFERROR(VLOOKUP(C173, مراجع!$A$3:$B$14, 2, FALSE), "")</f>
        <v>A</v>
      </c>
      <c r="K173" s="36" t="s">
        <v>112</v>
      </c>
    </row>
    <row r="174" spans="1:11" ht="69">
      <c r="A174" s="12">
        <v>172</v>
      </c>
      <c r="B174" s="5" t="s">
        <v>470</v>
      </c>
      <c r="C174" s="6" t="s">
        <v>248</v>
      </c>
      <c r="D174" s="6" t="s">
        <v>110</v>
      </c>
      <c r="E174" s="70">
        <v>258</v>
      </c>
      <c r="F174" s="70">
        <v>46</v>
      </c>
      <c r="G174" s="9">
        <f t="shared" si="5"/>
        <v>11868</v>
      </c>
      <c r="H174" s="6" t="s">
        <v>688</v>
      </c>
      <c r="I174" t="str">
        <f t="shared" si="4"/>
        <v>CMH_01-A-172</v>
      </c>
      <c r="J174" t="str">
        <f>IFERROR(VLOOKUP(C174, مراجع!$A$3:$B$14, 2, FALSE), "")</f>
        <v>A</v>
      </c>
      <c r="K174" s="36" t="s">
        <v>112</v>
      </c>
    </row>
    <row r="175" spans="1:11" ht="69">
      <c r="A175" s="12">
        <v>173</v>
      </c>
      <c r="B175" s="5" t="s">
        <v>471</v>
      </c>
      <c r="C175" s="6" t="s">
        <v>248</v>
      </c>
      <c r="D175" s="6" t="s">
        <v>110</v>
      </c>
      <c r="E175" s="71">
        <v>258</v>
      </c>
      <c r="F175" s="71">
        <v>30</v>
      </c>
      <c r="G175" s="9">
        <f t="shared" si="5"/>
        <v>7740</v>
      </c>
      <c r="H175" s="6" t="s">
        <v>688</v>
      </c>
      <c r="I175" t="str">
        <f t="shared" si="4"/>
        <v>CMH_01-A-173</v>
      </c>
      <c r="J175" t="str">
        <f>IFERROR(VLOOKUP(C175, مراجع!$A$3:$B$14, 2, FALSE), "")</f>
        <v>A</v>
      </c>
      <c r="K175" s="36" t="s">
        <v>112</v>
      </c>
    </row>
    <row r="176" spans="1:11" ht="69">
      <c r="A176" s="12">
        <v>174</v>
      </c>
      <c r="B176" s="5" t="s">
        <v>472</v>
      </c>
      <c r="C176" s="6" t="s">
        <v>248</v>
      </c>
      <c r="D176" s="6" t="s">
        <v>110</v>
      </c>
      <c r="E176" s="69">
        <v>138</v>
      </c>
      <c r="F176" s="69">
        <v>30</v>
      </c>
      <c r="G176" s="9">
        <f t="shared" si="5"/>
        <v>4140</v>
      </c>
      <c r="H176" s="6" t="s">
        <v>688</v>
      </c>
      <c r="I176" t="str">
        <f t="shared" si="4"/>
        <v>CMH_01-A-174</v>
      </c>
      <c r="J176" t="str">
        <f>IFERROR(VLOOKUP(C176, مراجع!$A$3:$B$14, 2, FALSE), "")</f>
        <v>A</v>
      </c>
      <c r="K176" s="36" t="s">
        <v>112</v>
      </c>
    </row>
    <row r="177" spans="1:11" ht="96.6">
      <c r="A177" s="12">
        <v>175</v>
      </c>
      <c r="B177" s="5" t="s">
        <v>473</v>
      </c>
      <c r="C177" s="6" t="s">
        <v>248</v>
      </c>
      <c r="D177" s="6" t="s">
        <v>686</v>
      </c>
      <c r="E177" s="69">
        <v>780</v>
      </c>
      <c r="F177" s="69">
        <v>611</v>
      </c>
      <c r="G177" s="9">
        <f t="shared" si="5"/>
        <v>476580</v>
      </c>
      <c r="H177" s="6" t="s">
        <v>688</v>
      </c>
      <c r="I177" t="str">
        <f t="shared" si="4"/>
        <v>CMH_01-A-175</v>
      </c>
      <c r="J177" t="str">
        <f>IFERROR(VLOOKUP(C177, مراجع!$A$3:$B$14, 2, FALSE), "")</f>
        <v>A</v>
      </c>
      <c r="K177" s="36" t="s">
        <v>112</v>
      </c>
    </row>
    <row r="178" spans="1:11" ht="110.4">
      <c r="A178" s="12">
        <v>176</v>
      </c>
      <c r="B178" s="5" t="s">
        <v>474</v>
      </c>
      <c r="C178" s="6" t="s">
        <v>253</v>
      </c>
      <c r="D178" s="6" t="s">
        <v>685</v>
      </c>
      <c r="E178" s="69">
        <v>66</v>
      </c>
      <c r="F178" s="69">
        <v>532</v>
      </c>
      <c r="G178" s="9">
        <f t="shared" si="5"/>
        <v>35112</v>
      </c>
      <c r="H178" s="6" t="s">
        <v>688</v>
      </c>
      <c r="I178" t="str">
        <f t="shared" si="4"/>
        <v>CMH_01-ME-176</v>
      </c>
      <c r="J178" t="str">
        <f>IFERROR(VLOOKUP(C178, مراجع!$A$3:$B$14, 2, FALSE), "")</f>
        <v>ME</v>
      </c>
      <c r="K178" s="36" t="s">
        <v>112</v>
      </c>
    </row>
    <row r="179" spans="1:11" ht="110.4">
      <c r="A179" s="12">
        <v>177</v>
      </c>
      <c r="B179" s="5" t="s">
        <v>475</v>
      </c>
      <c r="C179" s="6" t="s">
        <v>253</v>
      </c>
      <c r="D179" s="6" t="s">
        <v>685</v>
      </c>
      <c r="E179" s="69">
        <v>70.8</v>
      </c>
      <c r="F179" s="69">
        <v>221</v>
      </c>
      <c r="G179" s="9">
        <f t="shared" si="5"/>
        <v>15646.8</v>
      </c>
      <c r="H179" s="6" t="s">
        <v>688</v>
      </c>
      <c r="I179" t="str">
        <f t="shared" si="4"/>
        <v>CMH_01-ME-177</v>
      </c>
      <c r="J179" t="str">
        <f>IFERROR(VLOOKUP(C179, مراجع!$A$3:$B$14, 2, FALSE), "")</f>
        <v>ME</v>
      </c>
      <c r="K179" s="36" t="s">
        <v>112</v>
      </c>
    </row>
    <row r="180" spans="1:11" ht="110.4">
      <c r="A180" s="12">
        <v>178</v>
      </c>
      <c r="B180" s="5" t="s">
        <v>476</v>
      </c>
      <c r="C180" s="6" t="s">
        <v>253</v>
      </c>
      <c r="D180" s="6" t="s">
        <v>685</v>
      </c>
      <c r="E180" s="69">
        <v>102</v>
      </c>
      <c r="F180" s="69">
        <v>207</v>
      </c>
      <c r="G180" s="9">
        <f t="shared" si="5"/>
        <v>21114</v>
      </c>
      <c r="H180" s="6" t="s">
        <v>688</v>
      </c>
      <c r="I180" t="str">
        <f t="shared" si="4"/>
        <v>CMH_01-ME-178</v>
      </c>
      <c r="J180" t="str">
        <f>IFERROR(VLOOKUP(C180, مراجع!$A$3:$B$14, 2, FALSE), "")</f>
        <v>ME</v>
      </c>
      <c r="K180" s="36" t="s">
        <v>112</v>
      </c>
    </row>
    <row r="181" spans="1:11" ht="110.4">
      <c r="A181" s="12">
        <v>179</v>
      </c>
      <c r="B181" s="5" t="s">
        <v>477</v>
      </c>
      <c r="C181" s="6" t="s">
        <v>253</v>
      </c>
      <c r="D181" s="6" t="s">
        <v>685</v>
      </c>
      <c r="E181" s="69">
        <v>85.2</v>
      </c>
      <c r="F181" s="69">
        <v>103</v>
      </c>
      <c r="G181" s="9">
        <f t="shared" si="5"/>
        <v>8775.6</v>
      </c>
      <c r="H181" s="6" t="s">
        <v>688</v>
      </c>
      <c r="I181" t="str">
        <f t="shared" si="4"/>
        <v>CMH_01-ME-179</v>
      </c>
      <c r="J181" t="str">
        <f>IFERROR(VLOOKUP(C181, مراجع!$A$3:$B$14, 2, FALSE), "")</f>
        <v>ME</v>
      </c>
      <c r="K181" s="36" t="s">
        <v>112</v>
      </c>
    </row>
    <row r="182" spans="1:11" ht="110.4">
      <c r="A182" s="12">
        <v>180</v>
      </c>
      <c r="B182" s="5" t="s">
        <v>478</v>
      </c>
      <c r="C182" s="6" t="s">
        <v>253</v>
      </c>
      <c r="D182" s="6" t="s">
        <v>685</v>
      </c>
      <c r="E182" s="70">
        <v>94.8</v>
      </c>
      <c r="F182" s="70">
        <v>218</v>
      </c>
      <c r="G182" s="9">
        <f t="shared" si="5"/>
        <v>20666.399999999998</v>
      </c>
      <c r="H182" s="6" t="s">
        <v>688</v>
      </c>
      <c r="I182" t="str">
        <f t="shared" si="4"/>
        <v>CMH_01-ME-180</v>
      </c>
      <c r="J182" t="str">
        <f>IFERROR(VLOOKUP(C182, مراجع!$A$3:$B$14, 2, FALSE), "")</f>
        <v>ME</v>
      </c>
      <c r="K182" s="36" t="s">
        <v>112</v>
      </c>
    </row>
    <row r="183" spans="1:11" ht="110.4">
      <c r="A183" s="12">
        <v>181</v>
      </c>
      <c r="B183" s="5" t="s">
        <v>479</v>
      </c>
      <c r="C183" s="6" t="s">
        <v>253</v>
      </c>
      <c r="D183" s="6" t="s">
        <v>685</v>
      </c>
      <c r="E183" s="71">
        <v>70.8</v>
      </c>
      <c r="F183" s="71">
        <v>150</v>
      </c>
      <c r="G183" s="9">
        <f t="shared" si="5"/>
        <v>10620</v>
      </c>
      <c r="H183" s="6" t="s">
        <v>688</v>
      </c>
      <c r="I183" t="str">
        <f t="shared" si="4"/>
        <v>CMH_01-ME-181</v>
      </c>
      <c r="J183" t="str">
        <f>IFERROR(VLOOKUP(C183, مراجع!$A$3:$B$14, 2, FALSE), "")</f>
        <v>ME</v>
      </c>
      <c r="K183" s="36" t="s">
        <v>112</v>
      </c>
    </row>
    <row r="184" spans="1:11" ht="110.4">
      <c r="A184" s="12">
        <v>182</v>
      </c>
      <c r="B184" s="5" t="s">
        <v>480</v>
      </c>
      <c r="C184" s="6" t="s">
        <v>253</v>
      </c>
      <c r="D184" s="6" t="s">
        <v>685</v>
      </c>
      <c r="E184" s="69">
        <v>75.599999999999994</v>
      </c>
      <c r="F184" s="69">
        <v>100</v>
      </c>
      <c r="G184" s="9">
        <f t="shared" si="5"/>
        <v>7559.9999999999991</v>
      </c>
      <c r="H184" s="6" t="s">
        <v>688</v>
      </c>
      <c r="I184" t="str">
        <f t="shared" si="4"/>
        <v>CMH_01-ME-182</v>
      </c>
      <c r="J184" t="str">
        <f>IFERROR(VLOOKUP(C184, مراجع!$A$3:$B$14, 2, FALSE), "")</f>
        <v>ME</v>
      </c>
      <c r="K184" s="36" t="s">
        <v>112</v>
      </c>
    </row>
    <row r="185" spans="1:11" ht="69">
      <c r="A185" s="12">
        <v>183</v>
      </c>
      <c r="B185" s="5" t="s">
        <v>481</v>
      </c>
      <c r="C185" s="6" t="s">
        <v>253</v>
      </c>
      <c r="D185" s="6" t="s">
        <v>110</v>
      </c>
      <c r="E185" s="69">
        <v>672</v>
      </c>
      <c r="F185" s="69">
        <v>77</v>
      </c>
      <c r="G185" s="9">
        <f t="shared" si="5"/>
        <v>51744</v>
      </c>
      <c r="H185" s="6" t="s">
        <v>688</v>
      </c>
      <c r="I185" t="str">
        <f t="shared" si="4"/>
        <v>CMH_01-ME-183</v>
      </c>
      <c r="J185" t="str">
        <f>IFERROR(VLOOKUP(C185, مراجع!$A$3:$B$14, 2, FALSE), "")</f>
        <v>ME</v>
      </c>
      <c r="K185" s="36" t="s">
        <v>112</v>
      </c>
    </row>
    <row r="186" spans="1:11" ht="69">
      <c r="A186" s="12">
        <v>184</v>
      </c>
      <c r="B186" s="5" t="s">
        <v>482</v>
      </c>
      <c r="C186" s="6" t="s">
        <v>253</v>
      </c>
      <c r="D186" s="6" t="s">
        <v>110</v>
      </c>
      <c r="E186" s="69">
        <v>816</v>
      </c>
      <c r="F186" s="69">
        <v>24</v>
      </c>
      <c r="G186" s="9">
        <f t="shared" si="5"/>
        <v>19584</v>
      </c>
      <c r="H186" s="6" t="s">
        <v>688</v>
      </c>
      <c r="I186" t="str">
        <f t="shared" si="4"/>
        <v>CMH_01-ME-184</v>
      </c>
      <c r="J186" t="str">
        <f>IFERROR(VLOOKUP(C186, مراجع!$A$3:$B$14, 2, FALSE), "")</f>
        <v>ME</v>
      </c>
      <c r="K186" s="36" t="s">
        <v>112</v>
      </c>
    </row>
    <row r="187" spans="1:11" ht="55.2">
      <c r="A187" s="12">
        <v>185</v>
      </c>
      <c r="B187" s="5" t="s">
        <v>483</v>
      </c>
      <c r="C187" s="6" t="s">
        <v>257</v>
      </c>
      <c r="D187" s="6" t="s">
        <v>685</v>
      </c>
      <c r="E187" s="69">
        <v>75.599999999999994</v>
      </c>
      <c r="F187" s="69">
        <v>426</v>
      </c>
      <c r="G187" s="9">
        <f t="shared" si="5"/>
        <v>32205.599999999999</v>
      </c>
      <c r="H187" s="6" t="s">
        <v>688</v>
      </c>
      <c r="I187" t="str">
        <f t="shared" si="4"/>
        <v>CMH_01-PL-185</v>
      </c>
      <c r="J187" t="str">
        <f>IFERROR(VLOOKUP(C187, مراجع!$A$3:$B$14, 2, FALSE), "")</f>
        <v>PL</v>
      </c>
      <c r="K187" s="36" t="s">
        <v>112</v>
      </c>
    </row>
    <row r="188" spans="1:11" ht="55.2">
      <c r="A188" s="12">
        <v>186</v>
      </c>
      <c r="B188" s="5" t="s">
        <v>484</v>
      </c>
      <c r="C188" s="6" t="s">
        <v>257</v>
      </c>
      <c r="D188" s="6" t="s">
        <v>685</v>
      </c>
      <c r="E188" s="70">
        <v>91.2</v>
      </c>
      <c r="F188" s="70">
        <v>934</v>
      </c>
      <c r="G188" s="9">
        <f t="shared" si="5"/>
        <v>85180.800000000003</v>
      </c>
      <c r="H188" s="6" t="s">
        <v>688</v>
      </c>
      <c r="I188" t="str">
        <f t="shared" si="4"/>
        <v>CMH_01-PL-186</v>
      </c>
      <c r="J188" t="str">
        <f>IFERROR(VLOOKUP(C188, مراجع!$A$3:$B$14, 2, FALSE), "")</f>
        <v>PL</v>
      </c>
      <c r="K188" s="36" t="s">
        <v>112</v>
      </c>
    </row>
    <row r="189" spans="1:11" ht="55.2">
      <c r="A189" s="12">
        <v>187</v>
      </c>
      <c r="B189" s="5" t="s">
        <v>485</v>
      </c>
      <c r="C189" s="6" t="s">
        <v>257</v>
      </c>
      <c r="D189" s="6" t="s">
        <v>685</v>
      </c>
      <c r="E189" s="71">
        <v>102</v>
      </c>
      <c r="F189" s="71">
        <v>961</v>
      </c>
      <c r="G189" s="9">
        <f t="shared" si="5"/>
        <v>98022</v>
      </c>
      <c r="H189" s="6" t="s">
        <v>688</v>
      </c>
      <c r="I189" t="str">
        <f t="shared" si="4"/>
        <v>CMH_01-PL-187</v>
      </c>
      <c r="J189" t="str">
        <f>IFERROR(VLOOKUP(C189, مراجع!$A$3:$B$14, 2, FALSE), "")</f>
        <v>PL</v>
      </c>
      <c r="K189" s="36" t="s">
        <v>112</v>
      </c>
    </row>
    <row r="190" spans="1:11" ht="27.6">
      <c r="A190" s="12">
        <v>188</v>
      </c>
      <c r="B190" s="5" t="s">
        <v>486</v>
      </c>
      <c r="C190" s="6" t="s">
        <v>257</v>
      </c>
      <c r="D190" s="6" t="s">
        <v>110</v>
      </c>
      <c r="E190" s="69">
        <v>300</v>
      </c>
      <c r="F190" s="69">
        <v>161</v>
      </c>
      <c r="G190" s="9">
        <f t="shared" si="5"/>
        <v>48300</v>
      </c>
      <c r="H190" s="6" t="s">
        <v>688</v>
      </c>
      <c r="I190" t="str">
        <f t="shared" si="4"/>
        <v>CMH_01-PL-188</v>
      </c>
      <c r="J190" t="str">
        <f>IFERROR(VLOOKUP(C190, مراجع!$A$3:$B$14, 2, FALSE), "")</f>
        <v>PL</v>
      </c>
      <c r="K190" s="36" t="s">
        <v>112</v>
      </c>
    </row>
    <row r="191" spans="1:11" ht="41.4">
      <c r="A191" s="12">
        <v>189</v>
      </c>
      <c r="B191" s="5" t="s">
        <v>487</v>
      </c>
      <c r="C191" s="6" t="s">
        <v>257</v>
      </c>
      <c r="D191" s="6" t="s">
        <v>110</v>
      </c>
      <c r="E191" s="69">
        <v>300</v>
      </c>
      <c r="F191" s="69">
        <v>20</v>
      </c>
      <c r="G191" s="9">
        <f t="shared" si="5"/>
        <v>6000</v>
      </c>
      <c r="H191" s="6" t="s">
        <v>688</v>
      </c>
      <c r="I191" t="str">
        <f t="shared" si="4"/>
        <v>CMH_01-PL-189</v>
      </c>
      <c r="J191" t="str">
        <f>IFERROR(VLOOKUP(C191, مراجع!$A$3:$B$14, 2, FALSE), "")</f>
        <v>PL</v>
      </c>
      <c r="K191" s="36" t="s">
        <v>112</v>
      </c>
    </row>
    <row r="192" spans="1:11" ht="82.8">
      <c r="A192" s="12">
        <v>190</v>
      </c>
      <c r="B192" s="5" t="s">
        <v>488</v>
      </c>
      <c r="C192" s="6" t="s">
        <v>257</v>
      </c>
      <c r="D192" s="6" t="s">
        <v>110</v>
      </c>
      <c r="E192" s="69">
        <v>2640</v>
      </c>
      <c r="F192" s="69">
        <v>68</v>
      </c>
      <c r="G192" s="9">
        <f t="shared" si="5"/>
        <v>179520</v>
      </c>
      <c r="H192" s="6" t="s">
        <v>688</v>
      </c>
      <c r="I192" t="str">
        <f t="shared" si="4"/>
        <v>CMH_01-PL-190</v>
      </c>
      <c r="J192" t="str">
        <f>IFERROR(VLOOKUP(C192, مراجع!$A$3:$B$14, 2, FALSE), "")</f>
        <v>PL</v>
      </c>
      <c r="K192" s="36" t="s">
        <v>112</v>
      </c>
    </row>
    <row r="193" spans="1:11" ht="69">
      <c r="A193" s="12">
        <v>191</v>
      </c>
      <c r="B193" s="5" t="s">
        <v>489</v>
      </c>
      <c r="C193" s="6" t="s">
        <v>257</v>
      </c>
      <c r="D193" s="6" t="s">
        <v>110</v>
      </c>
      <c r="E193" s="69">
        <v>1920</v>
      </c>
      <c r="F193" s="69">
        <v>48</v>
      </c>
      <c r="G193" s="9">
        <f t="shared" si="5"/>
        <v>92160</v>
      </c>
      <c r="H193" s="6" t="s">
        <v>688</v>
      </c>
      <c r="I193" t="str">
        <f t="shared" si="4"/>
        <v>CMH_01-PL-191</v>
      </c>
      <c r="J193" t="str">
        <f>IFERROR(VLOOKUP(C193, مراجع!$A$3:$B$14, 2, FALSE), "")</f>
        <v>PL</v>
      </c>
      <c r="K193" s="36" t="s">
        <v>112</v>
      </c>
    </row>
    <row r="194" spans="1:11" ht="69">
      <c r="A194" s="12">
        <v>192</v>
      </c>
      <c r="B194" s="5" t="s">
        <v>490</v>
      </c>
      <c r="C194" s="6" t="s">
        <v>257</v>
      </c>
      <c r="D194" s="6" t="s">
        <v>110</v>
      </c>
      <c r="E194" s="69">
        <v>3000</v>
      </c>
      <c r="F194" s="69">
        <v>16</v>
      </c>
      <c r="G194" s="9">
        <f t="shared" si="5"/>
        <v>48000</v>
      </c>
      <c r="H194" s="6" t="s">
        <v>688</v>
      </c>
      <c r="I194" t="str">
        <f t="shared" ref="I194:I257" si="6">IF(AND(B194&lt;&gt;"", J194&lt;&gt;""), "CMH_01-" &amp; J194 &amp; "-" &amp; TEXT(A194, "000"), "")</f>
        <v>CMH_01-PL-192</v>
      </c>
      <c r="J194" t="str">
        <f>IFERROR(VLOOKUP(C194, مراجع!$A$3:$B$14, 2, FALSE), "")</f>
        <v>PL</v>
      </c>
      <c r="K194" s="36" t="s">
        <v>112</v>
      </c>
    </row>
    <row r="195" spans="1:11" ht="69">
      <c r="A195" s="12">
        <v>193</v>
      </c>
      <c r="B195" s="5" t="s">
        <v>491</v>
      </c>
      <c r="C195" s="6" t="s">
        <v>257</v>
      </c>
      <c r="D195" s="6" t="s">
        <v>110</v>
      </c>
      <c r="E195" s="69">
        <v>2220</v>
      </c>
      <c r="F195" s="69">
        <v>92</v>
      </c>
      <c r="G195" s="9">
        <f t="shared" ref="G195:G258" si="7">IF(AND(E195&lt;&gt;"",F195&lt;&gt;""), E195*F195, "")</f>
        <v>204240</v>
      </c>
      <c r="H195" s="6" t="s">
        <v>688</v>
      </c>
      <c r="I195" t="str">
        <f t="shared" si="6"/>
        <v>CMH_01-PL-193</v>
      </c>
      <c r="J195" t="str">
        <f>IFERROR(VLOOKUP(C195, مراجع!$A$3:$B$14, 2, FALSE), "")</f>
        <v>PL</v>
      </c>
      <c r="K195" s="36" t="s">
        <v>112</v>
      </c>
    </row>
    <row r="196" spans="1:11" ht="96.6">
      <c r="A196" s="12">
        <v>194</v>
      </c>
      <c r="B196" s="5" t="s">
        <v>492</v>
      </c>
      <c r="C196" s="6" t="s">
        <v>257</v>
      </c>
      <c r="D196" s="6" t="s">
        <v>110</v>
      </c>
      <c r="E196" s="70">
        <v>2040</v>
      </c>
      <c r="F196" s="70">
        <v>113</v>
      </c>
      <c r="G196" s="9">
        <f t="shared" si="7"/>
        <v>230520</v>
      </c>
      <c r="H196" s="6" t="s">
        <v>688</v>
      </c>
      <c r="I196" t="str">
        <f t="shared" si="6"/>
        <v>CMH_01-PL-194</v>
      </c>
      <c r="J196" t="str">
        <f>IFERROR(VLOOKUP(C196, مراجع!$A$3:$B$14, 2, FALSE), "")</f>
        <v>PL</v>
      </c>
      <c r="K196" s="36" t="s">
        <v>112</v>
      </c>
    </row>
    <row r="197" spans="1:11" ht="96.6">
      <c r="A197" s="12">
        <v>195</v>
      </c>
      <c r="B197" s="5" t="s">
        <v>493</v>
      </c>
      <c r="C197" s="6" t="s">
        <v>257</v>
      </c>
      <c r="D197" s="6" t="s">
        <v>110</v>
      </c>
      <c r="E197" s="71">
        <v>2760</v>
      </c>
      <c r="F197" s="71">
        <v>55</v>
      </c>
      <c r="G197" s="9">
        <f t="shared" si="7"/>
        <v>151800</v>
      </c>
      <c r="H197" s="6" t="s">
        <v>688</v>
      </c>
      <c r="I197" t="str">
        <f t="shared" si="6"/>
        <v>CMH_01-PL-195</v>
      </c>
      <c r="J197" t="str">
        <f>IFERROR(VLOOKUP(C197, مراجع!$A$3:$B$14, 2, FALSE), "")</f>
        <v>PL</v>
      </c>
      <c r="K197" s="36" t="s">
        <v>112</v>
      </c>
    </row>
    <row r="198" spans="1:11" ht="82.8">
      <c r="A198" s="12">
        <v>196</v>
      </c>
      <c r="B198" s="5" t="s">
        <v>494</v>
      </c>
      <c r="C198" s="6" t="s">
        <v>257</v>
      </c>
      <c r="D198" s="6" t="s">
        <v>110</v>
      </c>
      <c r="E198" s="69">
        <v>2160</v>
      </c>
      <c r="F198" s="69">
        <v>23</v>
      </c>
      <c r="G198" s="9">
        <f t="shared" si="7"/>
        <v>49680</v>
      </c>
      <c r="H198" s="6" t="s">
        <v>688</v>
      </c>
      <c r="I198" t="str">
        <f t="shared" si="6"/>
        <v>CMH_01-PL-196</v>
      </c>
      <c r="J198" t="str">
        <f>IFERROR(VLOOKUP(C198, مراجع!$A$3:$B$14, 2, FALSE), "")</f>
        <v>PL</v>
      </c>
      <c r="K198" s="36" t="s">
        <v>112</v>
      </c>
    </row>
    <row r="199" spans="1:11" ht="69">
      <c r="A199" s="12">
        <v>197</v>
      </c>
      <c r="B199" s="5" t="s">
        <v>495</v>
      </c>
      <c r="C199" s="6" t="s">
        <v>257</v>
      </c>
      <c r="D199" s="6" t="s">
        <v>110</v>
      </c>
      <c r="E199" s="69">
        <v>180</v>
      </c>
      <c r="F199" s="69">
        <v>191</v>
      </c>
      <c r="G199" s="9">
        <f t="shared" si="7"/>
        <v>34380</v>
      </c>
      <c r="H199" s="6" t="s">
        <v>688</v>
      </c>
      <c r="I199" t="str">
        <f t="shared" si="6"/>
        <v>CMH_01-PL-197</v>
      </c>
      <c r="J199" t="str">
        <f>IFERROR(VLOOKUP(C199, مراجع!$A$3:$B$14, 2, FALSE), "")</f>
        <v>PL</v>
      </c>
      <c r="K199" s="36" t="s">
        <v>112</v>
      </c>
    </row>
    <row r="200" spans="1:11" ht="69">
      <c r="A200" s="12">
        <v>198</v>
      </c>
      <c r="B200" s="5" t="s">
        <v>496</v>
      </c>
      <c r="C200" s="6" t="s">
        <v>257</v>
      </c>
      <c r="D200" s="6" t="s">
        <v>110</v>
      </c>
      <c r="E200" s="69">
        <v>1080</v>
      </c>
      <c r="F200" s="69">
        <v>208</v>
      </c>
      <c r="G200" s="9">
        <f t="shared" si="7"/>
        <v>224640</v>
      </c>
      <c r="H200" s="6" t="s">
        <v>688</v>
      </c>
      <c r="I200" t="str">
        <f t="shared" si="6"/>
        <v>CMH_01-PL-198</v>
      </c>
      <c r="J200" t="str">
        <f>IFERROR(VLOOKUP(C200, مراجع!$A$3:$B$14, 2, FALSE), "")</f>
        <v>PL</v>
      </c>
      <c r="K200" s="36" t="s">
        <v>112</v>
      </c>
    </row>
    <row r="201" spans="1:11" ht="151.80000000000001">
      <c r="A201" s="12">
        <v>199</v>
      </c>
      <c r="B201" s="5" t="s">
        <v>497</v>
      </c>
      <c r="C201" s="6" t="s">
        <v>253</v>
      </c>
      <c r="D201" s="6" t="s">
        <v>685</v>
      </c>
      <c r="E201" s="69">
        <v>108</v>
      </c>
      <c r="F201" s="69">
        <v>3900</v>
      </c>
      <c r="G201" s="9">
        <f t="shared" si="7"/>
        <v>421200</v>
      </c>
      <c r="H201" s="6" t="s">
        <v>688</v>
      </c>
      <c r="I201" t="str">
        <f t="shared" si="6"/>
        <v>CMH_01-ME-199</v>
      </c>
      <c r="J201" t="str">
        <f>IFERROR(VLOOKUP(C201, مراجع!$A$3:$B$14, 2, FALSE), "")</f>
        <v>ME</v>
      </c>
      <c r="K201" s="36" t="s">
        <v>112</v>
      </c>
    </row>
    <row r="202" spans="1:11" ht="151.80000000000001">
      <c r="A202" s="12">
        <v>200</v>
      </c>
      <c r="B202" s="5" t="s">
        <v>499</v>
      </c>
      <c r="C202" s="6" t="s">
        <v>253</v>
      </c>
      <c r="D202" s="6" t="s">
        <v>685</v>
      </c>
      <c r="E202" s="69">
        <v>138</v>
      </c>
      <c r="F202" s="69">
        <v>323</v>
      </c>
      <c r="G202" s="9">
        <f t="shared" si="7"/>
        <v>44574</v>
      </c>
      <c r="H202" s="6" t="s">
        <v>688</v>
      </c>
      <c r="I202" t="str">
        <f t="shared" si="6"/>
        <v>CMH_01-ME-200</v>
      </c>
      <c r="J202" t="str">
        <f>IFERROR(VLOOKUP(C202, مراجع!$A$3:$B$14, 2, FALSE), "")</f>
        <v>ME</v>
      </c>
      <c r="K202" s="36" t="s">
        <v>112</v>
      </c>
    </row>
    <row r="203" spans="1:11" ht="151.80000000000001">
      <c r="A203" s="12">
        <v>201</v>
      </c>
      <c r="B203" s="5" t="s">
        <v>500</v>
      </c>
      <c r="C203" s="6" t="s">
        <v>253</v>
      </c>
      <c r="D203" s="6" t="s">
        <v>685</v>
      </c>
      <c r="E203" s="69">
        <v>192</v>
      </c>
      <c r="F203" s="69">
        <v>660</v>
      </c>
      <c r="G203" s="9">
        <f t="shared" si="7"/>
        <v>126720</v>
      </c>
      <c r="H203" s="6" t="s">
        <v>688</v>
      </c>
      <c r="I203" t="str">
        <f t="shared" si="6"/>
        <v>CMH_01-ME-201</v>
      </c>
      <c r="J203" t="str">
        <f>IFERROR(VLOOKUP(C203, مراجع!$A$3:$B$14, 2, FALSE), "")</f>
        <v>ME</v>
      </c>
      <c r="K203" s="36" t="s">
        <v>112</v>
      </c>
    </row>
    <row r="204" spans="1:11" ht="151.80000000000001">
      <c r="A204" s="12">
        <v>202</v>
      </c>
      <c r="B204" s="5" t="s">
        <v>498</v>
      </c>
      <c r="C204" s="6" t="s">
        <v>253</v>
      </c>
      <c r="D204" s="6" t="s">
        <v>685</v>
      </c>
      <c r="E204" s="69">
        <v>222</v>
      </c>
      <c r="F204" s="69">
        <v>600</v>
      </c>
      <c r="G204" s="9">
        <f t="shared" si="7"/>
        <v>133200</v>
      </c>
      <c r="H204" s="6" t="s">
        <v>688</v>
      </c>
      <c r="I204" t="str">
        <f t="shared" si="6"/>
        <v>CMH_01-ME-202</v>
      </c>
      <c r="J204" t="str">
        <f>IFERROR(VLOOKUP(C204, مراجع!$A$3:$B$14, 2, FALSE), "")</f>
        <v>ME</v>
      </c>
      <c r="K204" s="36" t="s">
        <v>112</v>
      </c>
    </row>
    <row r="205" spans="1:11" ht="151.80000000000001">
      <c r="A205" s="12">
        <v>203</v>
      </c>
      <c r="B205" s="5" t="s">
        <v>501</v>
      </c>
      <c r="C205" s="6" t="s">
        <v>253</v>
      </c>
      <c r="D205" s="6" t="s">
        <v>685</v>
      </c>
      <c r="E205" s="69">
        <v>240</v>
      </c>
      <c r="F205" s="69">
        <v>646</v>
      </c>
      <c r="G205" s="9">
        <f t="shared" si="7"/>
        <v>155040</v>
      </c>
      <c r="H205" s="6" t="s">
        <v>688</v>
      </c>
      <c r="I205" t="str">
        <f t="shared" si="6"/>
        <v>CMH_01-ME-203</v>
      </c>
      <c r="J205" t="str">
        <f>IFERROR(VLOOKUP(C205, مراجع!$A$3:$B$14, 2, FALSE), "")</f>
        <v>ME</v>
      </c>
      <c r="K205" s="36" t="s">
        <v>112</v>
      </c>
    </row>
    <row r="206" spans="1:11" ht="151.80000000000001">
      <c r="A206" s="12">
        <v>204</v>
      </c>
      <c r="B206" s="5" t="s">
        <v>502</v>
      </c>
      <c r="C206" s="6" t="s">
        <v>253</v>
      </c>
      <c r="D206" s="6" t="s">
        <v>685</v>
      </c>
      <c r="E206" s="69">
        <v>288</v>
      </c>
      <c r="F206" s="69">
        <v>110</v>
      </c>
      <c r="G206" s="9">
        <f t="shared" si="7"/>
        <v>31680</v>
      </c>
      <c r="H206" s="6" t="s">
        <v>688</v>
      </c>
      <c r="I206" t="str">
        <f t="shared" si="6"/>
        <v>CMH_01-ME-204</v>
      </c>
      <c r="J206" t="str">
        <f>IFERROR(VLOOKUP(C206, مراجع!$A$3:$B$14, 2, FALSE), "")</f>
        <v>ME</v>
      </c>
      <c r="K206" s="36" t="s">
        <v>112</v>
      </c>
    </row>
    <row r="207" spans="1:11" ht="151.80000000000001">
      <c r="A207" s="12">
        <v>205</v>
      </c>
      <c r="B207" s="5" t="s">
        <v>503</v>
      </c>
      <c r="C207" s="6" t="s">
        <v>253</v>
      </c>
      <c r="D207" s="6" t="s">
        <v>685</v>
      </c>
      <c r="E207" s="69">
        <v>324</v>
      </c>
      <c r="F207" s="69">
        <v>314</v>
      </c>
      <c r="G207" s="9">
        <f t="shared" si="7"/>
        <v>101736</v>
      </c>
      <c r="H207" s="6" t="s">
        <v>688</v>
      </c>
      <c r="I207" t="str">
        <f t="shared" si="6"/>
        <v>CMH_01-ME-205</v>
      </c>
      <c r="J207" t="str">
        <f>IFERROR(VLOOKUP(C207, مراجع!$A$3:$B$14, 2, FALSE), "")</f>
        <v>ME</v>
      </c>
      <c r="K207" s="36" t="s">
        <v>112</v>
      </c>
    </row>
    <row r="208" spans="1:11" ht="165.6">
      <c r="A208" s="12">
        <v>206</v>
      </c>
      <c r="B208" s="5" t="s">
        <v>504</v>
      </c>
      <c r="C208" s="6" t="s">
        <v>253</v>
      </c>
      <c r="D208" s="6" t="s">
        <v>685</v>
      </c>
      <c r="E208" s="69">
        <v>360</v>
      </c>
      <c r="F208" s="69">
        <v>200</v>
      </c>
      <c r="G208" s="9">
        <f t="shared" si="7"/>
        <v>72000</v>
      </c>
      <c r="H208" s="6" t="s">
        <v>688</v>
      </c>
      <c r="I208" t="str">
        <f t="shared" si="6"/>
        <v>CMH_01-ME-206</v>
      </c>
      <c r="J208" t="str">
        <f>IFERROR(VLOOKUP(C208, مراجع!$A$3:$B$14, 2, FALSE), "")</f>
        <v>ME</v>
      </c>
      <c r="K208" s="36" t="s">
        <v>112</v>
      </c>
    </row>
    <row r="209" spans="1:11" ht="151.80000000000001">
      <c r="A209" s="12">
        <v>207</v>
      </c>
      <c r="B209" s="5" t="s">
        <v>497</v>
      </c>
      <c r="C209" s="6" t="s">
        <v>253</v>
      </c>
      <c r="D209" s="6" t="s">
        <v>685</v>
      </c>
      <c r="E209" s="69">
        <v>108</v>
      </c>
      <c r="F209" s="69">
        <v>1938</v>
      </c>
      <c r="G209" s="9">
        <f t="shared" si="7"/>
        <v>209304</v>
      </c>
      <c r="H209" s="6" t="s">
        <v>688</v>
      </c>
      <c r="I209" t="str">
        <f t="shared" si="6"/>
        <v>CMH_01-ME-207</v>
      </c>
      <c r="J209" t="str">
        <f>IFERROR(VLOOKUP(C209, مراجع!$A$3:$B$14, 2, FALSE), "")</f>
        <v>ME</v>
      </c>
      <c r="K209" s="36" t="s">
        <v>112</v>
      </c>
    </row>
    <row r="210" spans="1:11" ht="151.80000000000001">
      <c r="A210" s="12">
        <v>208</v>
      </c>
      <c r="B210" s="5" t="s">
        <v>505</v>
      </c>
      <c r="C210" s="6" t="s">
        <v>253</v>
      </c>
      <c r="D210" s="6" t="s">
        <v>685</v>
      </c>
      <c r="E210" s="69">
        <v>138</v>
      </c>
      <c r="F210" s="69">
        <v>100</v>
      </c>
      <c r="G210" s="9">
        <f t="shared" si="7"/>
        <v>13800</v>
      </c>
      <c r="H210" s="6" t="s">
        <v>688</v>
      </c>
      <c r="I210" t="str">
        <f t="shared" si="6"/>
        <v>CMH_01-ME-208</v>
      </c>
      <c r="J210" t="str">
        <f>IFERROR(VLOOKUP(C210, مراجع!$A$3:$B$14, 2, FALSE), "")</f>
        <v>ME</v>
      </c>
      <c r="K210" s="36" t="s">
        <v>112</v>
      </c>
    </row>
    <row r="211" spans="1:11" ht="151.80000000000001">
      <c r="A211" s="12">
        <v>209</v>
      </c>
      <c r="B211" s="5" t="s">
        <v>506</v>
      </c>
      <c r="C211" s="6" t="s">
        <v>253</v>
      </c>
      <c r="D211" s="6" t="s">
        <v>685</v>
      </c>
      <c r="E211" s="69">
        <v>192</v>
      </c>
      <c r="F211" s="69">
        <v>397</v>
      </c>
      <c r="G211" s="9">
        <f t="shared" si="7"/>
        <v>76224</v>
      </c>
      <c r="H211" s="6" t="s">
        <v>688</v>
      </c>
      <c r="I211" t="str">
        <f t="shared" si="6"/>
        <v>CMH_01-ME-209</v>
      </c>
      <c r="J211" t="str">
        <f>IFERROR(VLOOKUP(C211, مراجع!$A$3:$B$14, 2, FALSE), "")</f>
        <v>ME</v>
      </c>
      <c r="K211" s="36" t="s">
        <v>112</v>
      </c>
    </row>
    <row r="212" spans="1:11" ht="151.80000000000001">
      <c r="A212" s="12">
        <v>210</v>
      </c>
      <c r="B212" s="5" t="s">
        <v>507</v>
      </c>
      <c r="C212" s="6" t="s">
        <v>253</v>
      </c>
      <c r="D212" s="6" t="s">
        <v>685</v>
      </c>
      <c r="E212" s="69">
        <v>222</v>
      </c>
      <c r="F212" s="69">
        <v>111</v>
      </c>
      <c r="G212" s="9">
        <f t="shared" si="7"/>
        <v>24642</v>
      </c>
      <c r="H212" s="6" t="s">
        <v>688</v>
      </c>
      <c r="I212" t="str">
        <f t="shared" si="6"/>
        <v>CMH_01-ME-210</v>
      </c>
      <c r="J212" t="str">
        <f>IFERROR(VLOOKUP(C212, مراجع!$A$3:$B$14, 2, FALSE), "")</f>
        <v>ME</v>
      </c>
      <c r="K212" s="36" t="s">
        <v>112</v>
      </c>
    </row>
    <row r="213" spans="1:11" ht="151.80000000000001">
      <c r="A213" s="12">
        <v>211</v>
      </c>
      <c r="B213" s="5" t="s">
        <v>508</v>
      </c>
      <c r="C213" s="6" t="s">
        <v>253</v>
      </c>
      <c r="D213" s="6" t="s">
        <v>685</v>
      </c>
      <c r="E213" s="69">
        <v>240</v>
      </c>
      <c r="F213" s="69">
        <v>100</v>
      </c>
      <c r="G213" s="9">
        <f t="shared" si="7"/>
        <v>24000</v>
      </c>
      <c r="H213" s="6" t="s">
        <v>688</v>
      </c>
      <c r="I213" t="str">
        <f t="shared" si="6"/>
        <v>CMH_01-ME-211</v>
      </c>
      <c r="J213" t="str">
        <f>IFERROR(VLOOKUP(C213, مراجع!$A$3:$B$14, 2, FALSE), "")</f>
        <v>ME</v>
      </c>
      <c r="K213" s="36" t="s">
        <v>112</v>
      </c>
    </row>
    <row r="214" spans="1:11" ht="151.80000000000001">
      <c r="A214" s="12">
        <v>212</v>
      </c>
      <c r="B214" s="5" t="s">
        <v>509</v>
      </c>
      <c r="C214" s="6" t="s">
        <v>253</v>
      </c>
      <c r="D214" s="6" t="s">
        <v>685</v>
      </c>
      <c r="E214" s="69">
        <v>288</v>
      </c>
      <c r="F214" s="69">
        <v>50</v>
      </c>
      <c r="G214" s="9">
        <f t="shared" si="7"/>
        <v>14400</v>
      </c>
      <c r="H214" s="6" t="s">
        <v>688</v>
      </c>
      <c r="I214" t="str">
        <f t="shared" si="6"/>
        <v>CMH_01-ME-212</v>
      </c>
      <c r="J214" t="str">
        <f>IFERROR(VLOOKUP(C214, مراجع!$A$3:$B$14, 2, FALSE), "")</f>
        <v>ME</v>
      </c>
      <c r="K214" s="36" t="s">
        <v>112</v>
      </c>
    </row>
    <row r="215" spans="1:11" ht="96.6">
      <c r="A215" s="12">
        <v>213</v>
      </c>
      <c r="B215" s="5" t="s">
        <v>510</v>
      </c>
      <c r="C215" s="6" t="s">
        <v>253</v>
      </c>
      <c r="D215" s="6" t="s">
        <v>685</v>
      </c>
      <c r="E215" s="69">
        <v>324</v>
      </c>
      <c r="F215" s="69">
        <v>40</v>
      </c>
      <c r="G215" s="9">
        <f t="shared" si="7"/>
        <v>12960</v>
      </c>
      <c r="H215" s="6" t="s">
        <v>688</v>
      </c>
      <c r="I215" t="str">
        <f t="shared" si="6"/>
        <v>CMH_01-ME-213</v>
      </c>
      <c r="J215" t="str">
        <f>IFERROR(VLOOKUP(C215, مراجع!$A$3:$B$14, 2, FALSE), "")</f>
        <v>ME</v>
      </c>
      <c r="K215" s="36" t="s">
        <v>112</v>
      </c>
    </row>
    <row r="216" spans="1:11" ht="41.4">
      <c r="A216" s="12">
        <v>214</v>
      </c>
      <c r="B216" s="5" t="s">
        <v>511</v>
      </c>
      <c r="C216" s="6" t="s">
        <v>253</v>
      </c>
      <c r="D216" s="6" t="s">
        <v>110</v>
      </c>
      <c r="E216" s="69">
        <v>66</v>
      </c>
      <c r="F216" s="69">
        <v>1048</v>
      </c>
      <c r="G216" s="9">
        <f t="shared" si="7"/>
        <v>69168</v>
      </c>
      <c r="H216" s="6" t="s">
        <v>688</v>
      </c>
      <c r="I216" t="str">
        <f t="shared" si="6"/>
        <v>CMH_01-ME-214</v>
      </c>
      <c r="J216" t="str">
        <f>IFERROR(VLOOKUP(C216, مراجع!$A$3:$B$14, 2, FALSE), "")</f>
        <v>ME</v>
      </c>
      <c r="K216" s="36" t="s">
        <v>112</v>
      </c>
    </row>
    <row r="217" spans="1:11" ht="41.4">
      <c r="A217" s="12">
        <v>215</v>
      </c>
      <c r="B217" s="5" t="s">
        <v>512</v>
      </c>
      <c r="C217" s="6" t="s">
        <v>253</v>
      </c>
      <c r="D217" s="6" t="s">
        <v>110</v>
      </c>
      <c r="E217" s="69">
        <v>90</v>
      </c>
      <c r="F217" s="69">
        <v>1000</v>
      </c>
      <c r="G217" s="9">
        <f t="shared" si="7"/>
        <v>90000</v>
      </c>
      <c r="H217" s="6" t="s">
        <v>688</v>
      </c>
      <c r="I217" t="str">
        <f t="shared" si="6"/>
        <v>CMH_01-ME-215</v>
      </c>
      <c r="J217" t="str">
        <f>IFERROR(VLOOKUP(C217, مراجع!$A$3:$B$14, 2, FALSE), "")</f>
        <v>ME</v>
      </c>
      <c r="K217" s="36" t="s">
        <v>112</v>
      </c>
    </row>
    <row r="218" spans="1:11" ht="41.4">
      <c r="A218" s="12">
        <v>216</v>
      </c>
      <c r="B218" s="5" t="s">
        <v>513</v>
      </c>
      <c r="C218" s="6" t="s">
        <v>253</v>
      </c>
      <c r="D218" s="6" t="s">
        <v>110</v>
      </c>
      <c r="E218" s="69">
        <v>90</v>
      </c>
      <c r="F218" s="69">
        <v>508</v>
      </c>
      <c r="G218" s="9">
        <f t="shared" si="7"/>
        <v>45720</v>
      </c>
      <c r="H218" s="6" t="s">
        <v>688</v>
      </c>
      <c r="I218" t="str">
        <f t="shared" si="6"/>
        <v>CMH_01-ME-216</v>
      </c>
      <c r="J218" t="str">
        <f>IFERROR(VLOOKUP(C218, مراجع!$A$3:$B$14, 2, FALSE), "")</f>
        <v>ME</v>
      </c>
      <c r="K218" s="36" t="s">
        <v>112</v>
      </c>
    </row>
    <row r="219" spans="1:11" ht="27.6">
      <c r="A219" s="12">
        <v>217</v>
      </c>
      <c r="B219" s="5" t="s">
        <v>514</v>
      </c>
      <c r="C219" s="6" t="s">
        <v>253</v>
      </c>
      <c r="D219" s="6" t="s">
        <v>110</v>
      </c>
      <c r="E219" s="69">
        <v>180</v>
      </c>
      <c r="F219" s="69">
        <v>48</v>
      </c>
      <c r="G219" s="9">
        <f t="shared" si="7"/>
        <v>8640</v>
      </c>
      <c r="H219" s="6" t="s">
        <v>688</v>
      </c>
      <c r="I219" t="str">
        <f t="shared" si="6"/>
        <v>CMH_01-ME-217</v>
      </c>
      <c r="J219" t="str">
        <f>IFERROR(VLOOKUP(C219, مراجع!$A$3:$B$14, 2, FALSE), "")</f>
        <v>ME</v>
      </c>
      <c r="K219" s="36" t="s">
        <v>112</v>
      </c>
    </row>
    <row r="220" spans="1:11" ht="41.4">
      <c r="A220" s="12">
        <v>218</v>
      </c>
      <c r="B220" s="5" t="s">
        <v>515</v>
      </c>
      <c r="C220" s="6" t="s">
        <v>253</v>
      </c>
      <c r="D220" s="6" t="s">
        <v>110</v>
      </c>
      <c r="E220" s="70">
        <v>54000</v>
      </c>
      <c r="F220" s="70">
        <v>36</v>
      </c>
      <c r="G220" s="9">
        <f t="shared" si="7"/>
        <v>1944000</v>
      </c>
      <c r="H220" s="6" t="s">
        <v>688</v>
      </c>
      <c r="I220" t="str">
        <f t="shared" si="6"/>
        <v>CMH_01-ME-218</v>
      </c>
      <c r="J220" t="str">
        <f>IFERROR(VLOOKUP(C220, مراجع!$A$3:$B$14, 2, FALSE), "")</f>
        <v>ME</v>
      </c>
      <c r="K220" s="36" t="s">
        <v>112</v>
      </c>
    </row>
    <row r="221" spans="1:11" ht="41.4">
      <c r="A221" s="12">
        <v>219</v>
      </c>
      <c r="B221" s="5" t="s">
        <v>516</v>
      </c>
      <c r="C221" s="6" t="s">
        <v>253</v>
      </c>
      <c r="D221" s="6" t="s">
        <v>110</v>
      </c>
      <c r="E221" s="71">
        <v>4800</v>
      </c>
      <c r="F221" s="71">
        <v>30</v>
      </c>
      <c r="G221" s="9">
        <f t="shared" si="7"/>
        <v>144000</v>
      </c>
      <c r="H221" s="6" t="s">
        <v>688</v>
      </c>
      <c r="I221" t="str">
        <f t="shared" si="6"/>
        <v>CMH_01-ME-219</v>
      </c>
      <c r="J221" t="str">
        <f>IFERROR(VLOOKUP(C221, مراجع!$A$3:$B$14, 2, FALSE), "")</f>
        <v>ME</v>
      </c>
      <c r="K221" s="36" t="s">
        <v>112</v>
      </c>
    </row>
    <row r="222" spans="1:11">
      <c r="A222" s="12">
        <v>220</v>
      </c>
      <c r="B222" s="5" t="s">
        <v>517</v>
      </c>
      <c r="C222" s="6" t="s">
        <v>253</v>
      </c>
      <c r="D222" s="6" t="s">
        <v>110</v>
      </c>
      <c r="E222" s="69">
        <v>420</v>
      </c>
      <c r="F222" s="69">
        <v>5</v>
      </c>
      <c r="G222" s="9">
        <f t="shared" si="7"/>
        <v>2100</v>
      </c>
      <c r="H222" s="6" t="s">
        <v>688</v>
      </c>
      <c r="I222" t="str">
        <f t="shared" si="6"/>
        <v>CMH_01-ME-220</v>
      </c>
      <c r="J222" t="str">
        <f>IFERROR(VLOOKUP(C222, مراجع!$A$3:$B$14, 2, FALSE), "")</f>
        <v>ME</v>
      </c>
      <c r="K222" s="36" t="s">
        <v>112</v>
      </c>
    </row>
    <row r="223" spans="1:11" ht="69">
      <c r="A223" s="12">
        <v>221</v>
      </c>
      <c r="B223" s="5" t="s">
        <v>518</v>
      </c>
      <c r="C223" s="6" t="s">
        <v>255</v>
      </c>
      <c r="D223" s="6" t="s">
        <v>110</v>
      </c>
      <c r="E223" s="69">
        <v>6600</v>
      </c>
      <c r="F223" s="69">
        <v>9</v>
      </c>
      <c r="G223" s="9">
        <f t="shared" si="7"/>
        <v>59400</v>
      </c>
      <c r="H223" s="6" t="s">
        <v>688</v>
      </c>
      <c r="I223" t="str">
        <f t="shared" si="6"/>
        <v>CMH_01-HV-221</v>
      </c>
      <c r="J223" t="str">
        <f>IFERROR(VLOOKUP(C223, مراجع!$A$3:$B$14, 2, FALSE), "")</f>
        <v>HV</v>
      </c>
      <c r="K223" s="36" t="s">
        <v>112</v>
      </c>
    </row>
    <row r="224" spans="1:11" ht="69">
      <c r="A224" s="12">
        <v>222</v>
      </c>
      <c r="B224" s="5" t="s">
        <v>519</v>
      </c>
      <c r="C224" s="6" t="s">
        <v>255</v>
      </c>
      <c r="D224" s="6" t="s">
        <v>110</v>
      </c>
      <c r="E224" s="70">
        <v>6960</v>
      </c>
      <c r="F224" s="70">
        <v>127</v>
      </c>
      <c r="G224" s="9">
        <f t="shared" si="7"/>
        <v>883920</v>
      </c>
      <c r="H224" s="6" t="s">
        <v>688</v>
      </c>
      <c r="I224" t="str">
        <f t="shared" si="6"/>
        <v>CMH_01-HV-222</v>
      </c>
      <c r="J224" t="str">
        <f>IFERROR(VLOOKUP(C224, مراجع!$A$3:$B$14, 2, FALSE), "")</f>
        <v>HV</v>
      </c>
      <c r="K224" s="36" t="s">
        <v>112</v>
      </c>
    </row>
    <row r="225" spans="1:11" ht="69">
      <c r="A225" s="12">
        <v>223</v>
      </c>
      <c r="B225" s="5" t="s">
        <v>520</v>
      </c>
      <c r="C225" s="6" t="s">
        <v>255</v>
      </c>
      <c r="D225" s="6" t="s">
        <v>110</v>
      </c>
      <c r="E225" s="71">
        <v>7200</v>
      </c>
      <c r="F225" s="71">
        <v>51</v>
      </c>
      <c r="G225" s="9">
        <f t="shared" si="7"/>
        <v>367200</v>
      </c>
      <c r="H225" s="6" t="s">
        <v>688</v>
      </c>
      <c r="I225" t="str">
        <f t="shared" si="6"/>
        <v>CMH_01-HV-223</v>
      </c>
      <c r="J225" t="str">
        <f>IFERROR(VLOOKUP(C225, مراجع!$A$3:$B$14, 2, FALSE), "")</f>
        <v>HV</v>
      </c>
      <c r="K225" s="36" t="s">
        <v>112</v>
      </c>
    </row>
    <row r="226" spans="1:11" ht="69">
      <c r="A226" s="12">
        <v>224</v>
      </c>
      <c r="B226" s="5" t="s">
        <v>521</v>
      </c>
      <c r="C226" s="6" t="s">
        <v>255</v>
      </c>
      <c r="D226" s="6" t="s">
        <v>110</v>
      </c>
      <c r="E226" s="69">
        <v>7200</v>
      </c>
      <c r="F226" s="69">
        <v>24</v>
      </c>
      <c r="G226" s="9">
        <f t="shared" si="7"/>
        <v>172800</v>
      </c>
      <c r="H226" s="6" t="s">
        <v>688</v>
      </c>
      <c r="I226" t="str">
        <f t="shared" si="6"/>
        <v>CMH_01-HV-224</v>
      </c>
      <c r="J226" t="str">
        <f>IFERROR(VLOOKUP(C226, مراجع!$A$3:$B$14, 2, FALSE), "")</f>
        <v>HV</v>
      </c>
      <c r="K226" s="36" t="s">
        <v>112</v>
      </c>
    </row>
    <row r="227" spans="1:11" ht="69">
      <c r="A227" s="12">
        <v>225</v>
      </c>
      <c r="B227" s="5" t="s">
        <v>522</v>
      </c>
      <c r="C227" s="6" t="s">
        <v>255</v>
      </c>
      <c r="D227" s="6" t="s">
        <v>110</v>
      </c>
      <c r="E227" s="69">
        <v>9000</v>
      </c>
      <c r="F227" s="69">
        <v>44</v>
      </c>
      <c r="G227" s="9">
        <f t="shared" si="7"/>
        <v>396000</v>
      </c>
      <c r="H227" s="6" t="s">
        <v>688</v>
      </c>
      <c r="I227" t="str">
        <f t="shared" si="6"/>
        <v>CMH_01-HV-225</v>
      </c>
      <c r="J227" t="str">
        <f>IFERROR(VLOOKUP(C227, مراجع!$A$3:$B$14, 2, FALSE), "")</f>
        <v>HV</v>
      </c>
      <c r="K227" s="36" t="s">
        <v>112</v>
      </c>
    </row>
    <row r="228" spans="1:11" ht="69">
      <c r="A228" s="12">
        <v>226</v>
      </c>
      <c r="B228" s="5" t="s">
        <v>523</v>
      </c>
      <c r="C228" s="6" t="s">
        <v>255</v>
      </c>
      <c r="D228" s="6" t="s">
        <v>110</v>
      </c>
      <c r="E228" s="69">
        <v>10200</v>
      </c>
      <c r="F228" s="69">
        <v>49</v>
      </c>
      <c r="G228" s="9">
        <f t="shared" si="7"/>
        <v>499800</v>
      </c>
      <c r="H228" s="6" t="s">
        <v>688</v>
      </c>
      <c r="I228" t="str">
        <f t="shared" si="6"/>
        <v>CMH_01-HV-226</v>
      </c>
      <c r="J228" t="str">
        <f>IFERROR(VLOOKUP(C228, مراجع!$A$3:$B$14, 2, FALSE), "")</f>
        <v>HV</v>
      </c>
      <c r="K228" s="36" t="s">
        <v>112</v>
      </c>
    </row>
    <row r="229" spans="1:11" ht="69">
      <c r="A229" s="12">
        <v>227</v>
      </c>
      <c r="B229" s="5" t="s">
        <v>524</v>
      </c>
      <c r="C229" s="6" t="s">
        <v>255</v>
      </c>
      <c r="D229" s="6" t="s">
        <v>110</v>
      </c>
      <c r="E229" s="70">
        <v>10800</v>
      </c>
      <c r="F229" s="70">
        <v>24</v>
      </c>
      <c r="G229" s="9">
        <f t="shared" si="7"/>
        <v>259200</v>
      </c>
      <c r="H229" s="6" t="s">
        <v>688</v>
      </c>
      <c r="I229" t="str">
        <f t="shared" si="6"/>
        <v>CMH_01-HV-227</v>
      </c>
      <c r="J229" t="str">
        <f>IFERROR(VLOOKUP(C229, مراجع!$A$3:$B$14, 2, FALSE), "")</f>
        <v>HV</v>
      </c>
      <c r="K229" s="36" t="s">
        <v>112</v>
      </c>
    </row>
    <row r="230" spans="1:11" ht="55.2">
      <c r="A230" s="12">
        <v>228</v>
      </c>
      <c r="B230" s="5" t="s">
        <v>525</v>
      </c>
      <c r="C230" s="6" t="s">
        <v>255</v>
      </c>
      <c r="D230" s="6" t="s">
        <v>110</v>
      </c>
      <c r="E230" s="71">
        <v>1800</v>
      </c>
      <c r="F230" s="71">
        <v>100</v>
      </c>
      <c r="G230" s="9">
        <f t="shared" si="7"/>
        <v>180000</v>
      </c>
      <c r="H230" s="6" t="s">
        <v>688</v>
      </c>
      <c r="I230" t="str">
        <f t="shared" si="6"/>
        <v>CMH_01-HV-228</v>
      </c>
      <c r="J230" t="str">
        <f>IFERROR(VLOOKUP(C230, مراجع!$A$3:$B$14, 2, FALSE), "")</f>
        <v>HV</v>
      </c>
      <c r="K230" s="36" t="s">
        <v>112</v>
      </c>
    </row>
    <row r="231" spans="1:11" ht="124.2">
      <c r="A231" s="12">
        <v>229</v>
      </c>
      <c r="B231" s="5" t="s">
        <v>526</v>
      </c>
      <c r="C231" s="6" t="s">
        <v>255</v>
      </c>
      <c r="D231" s="6" t="s">
        <v>685</v>
      </c>
      <c r="E231" s="70">
        <v>264</v>
      </c>
      <c r="F231" s="70">
        <v>2000</v>
      </c>
      <c r="G231" s="9">
        <f t="shared" si="7"/>
        <v>528000</v>
      </c>
      <c r="H231" s="6" t="s">
        <v>688</v>
      </c>
      <c r="I231" t="str">
        <f t="shared" si="6"/>
        <v>CMH_01-HV-229</v>
      </c>
      <c r="J231" t="str">
        <f>IFERROR(VLOOKUP(C231, مراجع!$A$3:$B$14, 2, FALSE), "")</f>
        <v>HV</v>
      </c>
      <c r="K231" s="36" t="s">
        <v>112</v>
      </c>
    </row>
    <row r="232" spans="1:11" ht="124.2">
      <c r="A232" s="12">
        <v>230</v>
      </c>
      <c r="B232" s="5" t="s">
        <v>527</v>
      </c>
      <c r="C232" s="6" t="s">
        <v>255</v>
      </c>
      <c r="D232" s="6" t="s">
        <v>685</v>
      </c>
      <c r="E232" s="71">
        <v>300</v>
      </c>
      <c r="F232" s="71">
        <v>7000</v>
      </c>
      <c r="G232" s="9">
        <f t="shared" si="7"/>
        <v>2100000</v>
      </c>
      <c r="H232" s="6" t="s">
        <v>688</v>
      </c>
      <c r="I232" t="str">
        <f t="shared" si="6"/>
        <v>CMH_01-HV-230</v>
      </c>
      <c r="J232" t="str">
        <f>IFERROR(VLOOKUP(C232, مراجع!$A$3:$B$14, 2, FALSE), "")</f>
        <v>HV</v>
      </c>
      <c r="K232" s="36" t="s">
        <v>112</v>
      </c>
    </row>
    <row r="233" spans="1:11" ht="82.8">
      <c r="A233" s="12">
        <v>231</v>
      </c>
      <c r="B233" s="5" t="s">
        <v>528</v>
      </c>
      <c r="C233" s="6" t="s">
        <v>255</v>
      </c>
      <c r="D233" s="6" t="s">
        <v>685</v>
      </c>
      <c r="E233" s="69">
        <v>480</v>
      </c>
      <c r="F233" s="69">
        <v>1925</v>
      </c>
      <c r="G233" s="9">
        <f t="shared" si="7"/>
        <v>924000</v>
      </c>
      <c r="H233" s="6" t="s">
        <v>688</v>
      </c>
      <c r="I233" t="str">
        <f t="shared" si="6"/>
        <v>CMH_01-HV-231</v>
      </c>
      <c r="J233" t="str">
        <f>IFERROR(VLOOKUP(C233, مراجع!$A$3:$B$14, 2, FALSE), "")</f>
        <v>HV</v>
      </c>
      <c r="K233" s="36" t="s">
        <v>112</v>
      </c>
    </row>
    <row r="234" spans="1:11" ht="55.2">
      <c r="A234" s="12">
        <v>232</v>
      </c>
      <c r="B234" s="5" t="s">
        <v>529</v>
      </c>
      <c r="C234" s="6" t="s">
        <v>255</v>
      </c>
      <c r="D234" s="6" t="s">
        <v>685</v>
      </c>
      <c r="E234" s="69">
        <v>480</v>
      </c>
      <c r="F234" s="69">
        <v>1925</v>
      </c>
      <c r="G234" s="9">
        <f t="shared" si="7"/>
        <v>924000</v>
      </c>
      <c r="H234" s="6" t="s">
        <v>688</v>
      </c>
      <c r="I234" t="str">
        <f t="shared" si="6"/>
        <v>CMH_01-HV-232</v>
      </c>
      <c r="J234" t="str">
        <f>IFERROR(VLOOKUP(C234, مراجع!$A$3:$B$14, 2, FALSE), "")</f>
        <v>HV</v>
      </c>
      <c r="K234" s="36" t="s">
        <v>112</v>
      </c>
    </row>
    <row r="235" spans="1:11" ht="41.4">
      <c r="A235" s="12">
        <v>233</v>
      </c>
      <c r="B235" s="5" t="s">
        <v>530</v>
      </c>
      <c r="C235" s="6" t="s">
        <v>255</v>
      </c>
      <c r="D235" s="6" t="s">
        <v>110</v>
      </c>
      <c r="E235" s="69">
        <v>456</v>
      </c>
      <c r="F235" s="69">
        <v>724</v>
      </c>
      <c r="G235" s="9">
        <f t="shared" si="7"/>
        <v>330144</v>
      </c>
      <c r="H235" s="6" t="s">
        <v>688</v>
      </c>
      <c r="I235" t="str">
        <f t="shared" si="6"/>
        <v>CMH_01-HV-233</v>
      </c>
      <c r="J235" t="str">
        <f>IFERROR(VLOOKUP(C235, مراجع!$A$3:$B$14, 2, FALSE), "")</f>
        <v>HV</v>
      </c>
      <c r="K235" s="36" t="s">
        <v>112</v>
      </c>
    </row>
    <row r="236" spans="1:11" ht="41.4">
      <c r="A236" s="12">
        <v>234</v>
      </c>
      <c r="B236" s="5" t="s">
        <v>531</v>
      </c>
      <c r="C236" s="6" t="s">
        <v>255</v>
      </c>
      <c r="D236" s="6" t="s">
        <v>110</v>
      </c>
      <c r="E236" s="69">
        <v>264</v>
      </c>
      <c r="F236" s="69">
        <v>724</v>
      </c>
      <c r="G236" s="9">
        <f t="shared" si="7"/>
        <v>191136</v>
      </c>
      <c r="H236" s="6" t="s">
        <v>688</v>
      </c>
      <c r="I236" t="str">
        <f t="shared" si="6"/>
        <v>CMH_01-HV-234</v>
      </c>
      <c r="J236" t="str">
        <f>IFERROR(VLOOKUP(C236, مراجع!$A$3:$B$14, 2, FALSE), "")</f>
        <v>HV</v>
      </c>
      <c r="K236" s="36" t="s">
        <v>112</v>
      </c>
    </row>
    <row r="237" spans="1:11" ht="41.4">
      <c r="A237" s="12">
        <v>235</v>
      </c>
      <c r="B237" s="5" t="s">
        <v>532</v>
      </c>
      <c r="C237" s="6" t="s">
        <v>255</v>
      </c>
      <c r="D237" s="6" t="s">
        <v>110</v>
      </c>
      <c r="E237" s="69">
        <v>210</v>
      </c>
      <c r="F237" s="69">
        <v>102</v>
      </c>
      <c r="G237" s="9">
        <f t="shared" si="7"/>
        <v>21420</v>
      </c>
      <c r="H237" s="6" t="s">
        <v>688</v>
      </c>
      <c r="I237" t="str">
        <f t="shared" si="6"/>
        <v>CMH_01-HV-235</v>
      </c>
      <c r="J237" t="str">
        <f>IFERROR(VLOOKUP(C237, مراجع!$A$3:$B$14, 2, FALSE), "")</f>
        <v>HV</v>
      </c>
      <c r="K237" s="36" t="s">
        <v>112</v>
      </c>
    </row>
    <row r="238" spans="1:11" ht="69">
      <c r="A238" s="12">
        <v>236</v>
      </c>
      <c r="B238" s="5" t="s">
        <v>533</v>
      </c>
      <c r="C238" s="6" t="s">
        <v>255</v>
      </c>
      <c r="D238" s="6" t="s">
        <v>685</v>
      </c>
      <c r="E238" s="69">
        <v>45.6</v>
      </c>
      <c r="F238" s="69">
        <v>240</v>
      </c>
      <c r="G238" s="9">
        <f t="shared" si="7"/>
        <v>10944</v>
      </c>
      <c r="H238" s="6" t="s">
        <v>688</v>
      </c>
      <c r="I238" t="str">
        <f t="shared" si="6"/>
        <v>CMH_01-HV-236</v>
      </c>
      <c r="J238" t="str">
        <f>IFERROR(VLOOKUP(C238, مراجع!$A$3:$B$14, 2, FALSE), "")</f>
        <v>HV</v>
      </c>
      <c r="K238" s="36" t="s">
        <v>112</v>
      </c>
    </row>
    <row r="239" spans="1:11" ht="69">
      <c r="A239" s="12">
        <v>237</v>
      </c>
      <c r="B239" s="5" t="s">
        <v>534</v>
      </c>
      <c r="C239" s="6" t="s">
        <v>255</v>
      </c>
      <c r="D239" s="6" t="s">
        <v>685</v>
      </c>
      <c r="E239" s="69">
        <v>54</v>
      </c>
      <c r="F239" s="69">
        <v>2964</v>
      </c>
      <c r="G239" s="9">
        <f t="shared" si="7"/>
        <v>160056</v>
      </c>
      <c r="H239" s="6" t="s">
        <v>688</v>
      </c>
      <c r="I239" t="str">
        <f t="shared" si="6"/>
        <v>CMH_01-HV-237</v>
      </c>
      <c r="J239" t="str">
        <f>IFERROR(VLOOKUP(C239, مراجع!$A$3:$B$14, 2, FALSE), "")</f>
        <v>HV</v>
      </c>
      <c r="K239" s="36" t="s">
        <v>112</v>
      </c>
    </row>
    <row r="240" spans="1:11" ht="69">
      <c r="A240" s="12">
        <v>238</v>
      </c>
      <c r="B240" s="5" t="s">
        <v>535</v>
      </c>
      <c r="C240" s="6" t="s">
        <v>255</v>
      </c>
      <c r="D240" s="6" t="s">
        <v>685</v>
      </c>
      <c r="E240" s="69">
        <v>66</v>
      </c>
      <c r="F240" s="70">
        <v>60</v>
      </c>
      <c r="G240" s="9">
        <f t="shared" si="7"/>
        <v>3960</v>
      </c>
      <c r="H240" s="6" t="s">
        <v>688</v>
      </c>
      <c r="I240" t="str">
        <f t="shared" si="6"/>
        <v>CMH_01-HV-238</v>
      </c>
      <c r="J240" t="str">
        <f>IFERROR(VLOOKUP(C240, مراجع!$A$3:$B$14, 2, FALSE), "")</f>
        <v>HV</v>
      </c>
      <c r="K240" s="36" t="s">
        <v>112</v>
      </c>
    </row>
    <row r="241" spans="1:11" ht="55.2">
      <c r="A241" s="12">
        <v>239</v>
      </c>
      <c r="B241" s="5" t="s">
        <v>536</v>
      </c>
      <c r="C241" s="6" t="s">
        <v>255</v>
      </c>
      <c r="D241" s="6" t="s">
        <v>110</v>
      </c>
      <c r="E241" s="69">
        <v>18000</v>
      </c>
      <c r="F241" s="71">
        <v>1</v>
      </c>
      <c r="G241" s="9">
        <f t="shared" si="7"/>
        <v>18000</v>
      </c>
      <c r="H241" s="6" t="s">
        <v>688</v>
      </c>
      <c r="I241" t="str">
        <f t="shared" si="6"/>
        <v>CMH_01-HV-239</v>
      </c>
      <c r="J241" t="str">
        <f>IFERROR(VLOOKUP(C241, مراجع!$A$3:$B$14, 2, FALSE), "")</f>
        <v>HV</v>
      </c>
      <c r="K241" s="36" t="s">
        <v>112</v>
      </c>
    </row>
    <row r="242" spans="1:11" ht="55.2">
      <c r="A242" s="12">
        <v>240</v>
      </c>
      <c r="B242" s="5" t="s">
        <v>537</v>
      </c>
      <c r="C242" s="6" t="s">
        <v>255</v>
      </c>
      <c r="D242" s="6" t="s">
        <v>110</v>
      </c>
      <c r="E242" s="69">
        <v>24000</v>
      </c>
      <c r="F242" s="70">
        <v>1</v>
      </c>
      <c r="G242" s="9">
        <f t="shared" si="7"/>
        <v>24000</v>
      </c>
      <c r="H242" s="6" t="s">
        <v>688</v>
      </c>
      <c r="I242" t="str">
        <f t="shared" si="6"/>
        <v>CMH_01-HV-240</v>
      </c>
      <c r="J242" t="str">
        <f>IFERROR(VLOOKUP(C242, مراجع!$A$3:$B$14, 2, FALSE), "")</f>
        <v>HV</v>
      </c>
      <c r="K242" s="36" t="s">
        <v>112</v>
      </c>
    </row>
    <row r="243" spans="1:11" ht="55.2">
      <c r="A243" s="12">
        <v>241</v>
      </c>
      <c r="B243" s="5" t="s">
        <v>538</v>
      </c>
      <c r="C243" s="6" t="s">
        <v>255</v>
      </c>
      <c r="D243" s="6" t="s">
        <v>110</v>
      </c>
      <c r="E243" s="69">
        <v>30000</v>
      </c>
      <c r="F243" s="71">
        <v>2</v>
      </c>
      <c r="G243" s="9">
        <f t="shared" si="7"/>
        <v>60000</v>
      </c>
      <c r="H243" s="6" t="s">
        <v>688</v>
      </c>
      <c r="I243" t="str">
        <f t="shared" si="6"/>
        <v>CMH_01-HV-241</v>
      </c>
      <c r="J243" t="str">
        <f>IFERROR(VLOOKUP(C243, مراجع!$A$3:$B$14, 2, FALSE), "")</f>
        <v>HV</v>
      </c>
      <c r="K243" s="36" t="s">
        <v>112</v>
      </c>
    </row>
    <row r="244" spans="1:11" ht="82.8">
      <c r="A244" s="12">
        <v>242</v>
      </c>
      <c r="B244" s="5" t="s">
        <v>539</v>
      </c>
      <c r="C244" s="6" t="s">
        <v>255</v>
      </c>
      <c r="D244" s="6" t="s">
        <v>110</v>
      </c>
      <c r="E244" s="70">
        <v>216000</v>
      </c>
      <c r="F244" s="70">
        <v>1</v>
      </c>
      <c r="G244" s="9">
        <f t="shared" si="7"/>
        <v>216000</v>
      </c>
      <c r="H244" s="6" t="s">
        <v>688</v>
      </c>
      <c r="I244" t="str">
        <f t="shared" si="6"/>
        <v>CMH_01-HV-242</v>
      </c>
      <c r="J244" t="str">
        <f>IFERROR(VLOOKUP(C244, مراجع!$A$3:$B$14, 2, FALSE), "")</f>
        <v>HV</v>
      </c>
      <c r="K244" s="36" t="s">
        <v>112</v>
      </c>
    </row>
    <row r="245" spans="1:11" ht="331.2">
      <c r="A245" s="12">
        <v>243</v>
      </c>
      <c r="B245" s="5" t="s">
        <v>540</v>
      </c>
      <c r="C245" s="6" t="s">
        <v>258</v>
      </c>
      <c r="D245" s="6" t="s">
        <v>110</v>
      </c>
      <c r="E245" s="71">
        <v>2520000</v>
      </c>
      <c r="F245" s="71">
        <v>1</v>
      </c>
      <c r="G245" s="9">
        <f t="shared" si="7"/>
        <v>2520000</v>
      </c>
      <c r="H245" s="6" t="s">
        <v>688</v>
      </c>
      <c r="I245" t="str">
        <f t="shared" si="6"/>
        <v>CMH_01-EE-243</v>
      </c>
      <c r="J245" t="str">
        <f>IFERROR(VLOOKUP(C245, مراجع!$A$3:$B$14, 2, FALSE), "")</f>
        <v>EE</v>
      </c>
      <c r="K245" s="36" t="s">
        <v>112</v>
      </c>
    </row>
    <row r="246" spans="1:11" ht="69">
      <c r="A246" s="12">
        <v>244</v>
      </c>
      <c r="B246" s="5" t="s">
        <v>541</v>
      </c>
      <c r="C246" s="6" t="s">
        <v>258</v>
      </c>
      <c r="D246" s="6" t="s">
        <v>110</v>
      </c>
      <c r="E246" s="69">
        <v>9600</v>
      </c>
      <c r="F246" s="70">
        <v>6</v>
      </c>
      <c r="G246" s="9">
        <f t="shared" si="7"/>
        <v>57600</v>
      </c>
      <c r="H246" s="6" t="s">
        <v>688</v>
      </c>
      <c r="I246" t="str">
        <f t="shared" si="6"/>
        <v>CMH_01-EE-244</v>
      </c>
      <c r="J246" t="str">
        <f>IFERROR(VLOOKUP(C246, مراجع!$A$3:$B$14, 2, FALSE), "")</f>
        <v>EE</v>
      </c>
      <c r="K246" s="36" t="s">
        <v>112</v>
      </c>
    </row>
    <row r="247" spans="1:11" ht="69">
      <c r="A247" s="12">
        <v>245</v>
      </c>
      <c r="B247" s="5" t="s">
        <v>542</v>
      </c>
      <c r="C247" s="6" t="s">
        <v>258</v>
      </c>
      <c r="D247" s="6" t="s">
        <v>110</v>
      </c>
      <c r="E247" s="69">
        <v>9600</v>
      </c>
      <c r="F247" s="7">
        <v>6</v>
      </c>
      <c r="G247" s="9">
        <f t="shared" si="7"/>
        <v>57600</v>
      </c>
      <c r="H247" s="6" t="s">
        <v>688</v>
      </c>
      <c r="I247" t="str">
        <f t="shared" si="6"/>
        <v>CMH_01-EE-245</v>
      </c>
      <c r="J247" t="str">
        <f>IFERROR(VLOOKUP(C247, مراجع!$A$3:$B$14, 2, FALSE), "")</f>
        <v>EE</v>
      </c>
      <c r="K247" s="36" t="s">
        <v>112</v>
      </c>
    </row>
    <row r="248" spans="1:11" ht="69">
      <c r="A248" s="12">
        <v>246</v>
      </c>
      <c r="B248" s="5" t="s">
        <v>543</v>
      </c>
      <c r="C248" s="6" t="s">
        <v>258</v>
      </c>
      <c r="D248" s="6" t="s">
        <v>110</v>
      </c>
      <c r="E248" s="69">
        <v>9600</v>
      </c>
      <c r="F248" s="7">
        <v>6</v>
      </c>
      <c r="G248" s="9">
        <f t="shared" si="7"/>
        <v>57600</v>
      </c>
      <c r="H248" s="6" t="s">
        <v>688</v>
      </c>
      <c r="I248" t="str">
        <f t="shared" si="6"/>
        <v>CMH_01-EE-246</v>
      </c>
      <c r="J248" t="str">
        <f>IFERROR(VLOOKUP(C248, مراجع!$A$3:$B$14, 2, FALSE), "")</f>
        <v>EE</v>
      </c>
      <c r="K248" s="36" t="s">
        <v>112</v>
      </c>
    </row>
    <row r="249" spans="1:11" ht="69">
      <c r="A249" s="12">
        <v>247</v>
      </c>
      <c r="B249" s="5" t="s">
        <v>544</v>
      </c>
      <c r="C249" s="6" t="s">
        <v>258</v>
      </c>
      <c r="D249" s="6" t="s">
        <v>110</v>
      </c>
      <c r="E249" s="69">
        <v>9600</v>
      </c>
      <c r="F249" s="71">
        <v>6</v>
      </c>
      <c r="G249" s="9">
        <f t="shared" si="7"/>
        <v>57600</v>
      </c>
      <c r="H249" s="6" t="s">
        <v>688</v>
      </c>
      <c r="I249" t="str">
        <f t="shared" si="6"/>
        <v>CMH_01-EE-247</v>
      </c>
      <c r="J249" t="str">
        <f>IFERROR(VLOOKUP(C249, مراجع!$A$3:$B$14, 2, FALSE), "")</f>
        <v>EE</v>
      </c>
      <c r="K249" s="36" t="s">
        <v>112</v>
      </c>
    </row>
    <row r="250" spans="1:11" ht="96.6">
      <c r="A250" s="12">
        <v>248</v>
      </c>
      <c r="B250" s="5" t="s">
        <v>545</v>
      </c>
      <c r="C250" s="6" t="s">
        <v>258</v>
      </c>
      <c r="D250" s="6" t="s">
        <v>110</v>
      </c>
      <c r="E250" s="69">
        <v>216</v>
      </c>
      <c r="F250" s="69">
        <v>282</v>
      </c>
      <c r="G250" s="9">
        <f t="shared" si="7"/>
        <v>60912</v>
      </c>
      <c r="H250" s="6" t="s">
        <v>688</v>
      </c>
      <c r="I250" t="str">
        <f t="shared" si="6"/>
        <v>CMH_01-EE-248</v>
      </c>
      <c r="J250" t="str">
        <f>IFERROR(VLOOKUP(C250, مراجع!$A$3:$B$14, 2, FALSE), "")</f>
        <v>EE</v>
      </c>
      <c r="K250" s="36" t="s">
        <v>112</v>
      </c>
    </row>
    <row r="251" spans="1:11" ht="96.6">
      <c r="A251" s="12">
        <v>249</v>
      </c>
      <c r="B251" s="5" t="s">
        <v>546</v>
      </c>
      <c r="C251" s="6" t="s">
        <v>258</v>
      </c>
      <c r="D251" s="6" t="s">
        <v>110</v>
      </c>
      <c r="E251" s="69">
        <v>216</v>
      </c>
      <c r="F251" s="70">
        <v>126</v>
      </c>
      <c r="G251" s="9">
        <f t="shared" si="7"/>
        <v>27216</v>
      </c>
      <c r="H251" s="6" t="s">
        <v>688</v>
      </c>
      <c r="I251" t="str">
        <f t="shared" si="6"/>
        <v>CMH_01-EE-249</v>
      </c>
      <c r="J251" t="str">
        <f>IFERROR(VLOOKUP(C251, مراجع!$A$3:$B$14, 2, FALSE), "")</f>
        <v>EE</v>
      </c>
      <c r="K251" s="36" t="s">
        <v>112</v>
      </c>
    </row>
    <row r="252" spans="1:11" ht="96.6">
      <c r="A252" s="12">
        <v>250</v>
      </c>
      <c r="B252" s="5" t="s">
        <v>547</v>
      </c>
      <c r="C252" s="6" t="s">
        <v>258</v>
      </c>
      <c r="D252" s="6" t="s">
        <v>110</v>
      </c>
      <c r="E252" s="69">
        <v>420</v>
      </c>
      <c r="F252" s="71">
        <v>120</v>
      </c>
      <c r="G252" s="9">
        <f t="shared" si="7"/>
        <v>50400</v>
      </c>
      <c r="H252" s="6" t="s">
        <v>688</v>
      </c>
      <c r="I252" t="str">
        <f t="shared" si="6"/>
        <v>CMH_01-EE-250</v>
      </c>
      <c r="J252" t="str">
        <f>IFERROR(VLOOKUP(C252, مراجع!$A$3:$B$14, 2, FALSE), "")</f>
        <v>EE</v>
      </c>
      <c r="K252" s="36" t="s">
        <v>112</v>
      </c>
    </row>
    <row r="253" spans="1:11" ht="110.4">
      <c r="A253" s="12">
        <v>251</v>
      </c>
      <c r="B253" s="5" t="s">
        <v>548</v>
      </c>
      <c r="C253" s="6" t="s">
        <v>258</v>
      </c>
      <c r="D253" s="6" t="s">
        <v>110</v>
      </c>
      <c r="E253" s="69">
        <v>504</v>
      </c>
      <c r="F253" s="69">
        <v>50</v>
      </c>
      <c r="G253" s="9">
        <f t="shared" si="7"/>
        <v>25200</v>
      </c>
      <c r="H253" s="6" t="s">
        <v>688</v>
      </c>
      <c r="I253" t="str">
        <f t="shared" si="6"/>
        <v>CMH_01-EE-251</v>
      </c>
      <c r="J253" t="str">
        <f>IFERROR(VLOOKUP(C253, مراجع!$A$3:$B$14, 2, FALSE), "")</f>
        <v>EE</v>
      </c>
      <c r="K253" s="36" t="s">
        <v>112</v>
      </c>
    </row>
    <row r="254" spans="1:11" ht="124.2">
      <c r="A254" s="12">
        <v>252</v>
      </c>
      <c r="B254" s="5" t="s">
        <v>549</v>
      </c>
      <c r="C254" s="6" t="s">
        <v>258</v>
      </c>
      <c r="D254" s="6" t="s">
        <v>110</v>
      </c>
      <c r="E254" s="69">
        <v>384</v>
      </c>
      <c r="F254" s="69">
        <v>32</v>
      </c>
      <c r="G254" s="9">
        <f t="shared" si="7"/>
        <v>12288</v>
      </c>
      <c r="H254" s="6" t="s">
        <v>688</v>
      </c>
      <c r="I254" t="str">
        <f t="shared" si="6"/>
        <v>CMH_01-EE-252</v>
      </c>
      <c r="J254" t="str">
        <f>IFERROR(VLOOKUP(C254, مراجع!$A$3:$B$14, 2, FALSE), "")</f>
        <v>EE</v>
      </c>
      <c r="K254" s="36" t="s">
        <v>112</v>
      </c>
    </row>
    <row r="255" spans="1:11" ht="110.4">
      <c r="A255" s="12">
        <v>253</v>
      </c>
      <c r="B255" s="5" t="s">
        <v>550</v>
      </c>
      <c r="C255" s="6" t="s">
        <v>258</v>
      </c>
      <c r="D255" s="6" t="s">
        <v>110</v>
      </c>
      <c r="E255" s="69">
        <v>264</v>
      </c>
      <c r="F255" s="69">
        <v>72</v>
      </c>
      <c r="G255" s="9">
        <f t="shared" si="7"/>
        <v>19008</v>
      </c>
      <c r="H255" s="6" t="s">
        <v>688</v>
      </c>
      <c r="I255" t="str">
        <f t="shared" si="6"/>
        <v>CMH_01-EE-253</v>
      </c>
      <c r="J255" t="str">
        <f>IFERROR(VLOOKUP(C255, مراجع!$A$3:$B$14, 2, FALSE), "")</f>
        <v>EE</v>
      </c>
      <c r="K255" s="36" t="s">
        <v>112</v>
      </c>
    </row>
    <row r="256" spans="1:11" ht="110.4">
      <c r="A256" s="12">
        <v>254</v>
      </c>
      <c r="B256" s="5" t="s">
        <v>551</v>
      </c>
      <c r="C256" s="6" t="s">
        <v>258</v>
      </c>
      <c r="D256" s="6" t="s">
        <v>110</v>
      </c>
      <c r="E256" s="69">
        <v>2160</v>
      </c>
      <c r="F256" s="69">
        <v>286</v>
      </c>
      <c r="G256" s="9">
        <f t="shared" si="7"/>
        <v>617760</v>
      </c>
      <c r="H256" s="6" t="s">
        <v>688</v>
      </c>
      <c r="I256" t="str">
        <f t="shared" si="6"/>
        <v>CMH_01-EE-254</v>
      </c>
      <c r="J256" t="str">
        <f>IFERROR(VLOOKUP(C256, مراجع!$A$3:$B$14, 2, FALSE), "")</f>
        <v>EE</v>
      </c>
      <c r="K256" s="36" t="s">
        <v>112</v>
      </c>
    </row>
    <row r="257" spans="1:11" ht="110.4">
      <c r="A257" s="12">
        <v>255</v>
      </c>
      <c r="B257" s="5" t="s">
        <v>552</v>
      </c>
      <c r="C257" s="6" t="s">
        <v>258</v>
      </c>
      <c r="D257" s="6" t="s">
        <v>110</v>
      </c>
      <c r="E257" s="69">
        <v>1800</v>
      </c>
      <c r="F257" s="69">
        <v>20</v>
      </c>
      <c r="G257" s="9">
        <f t="shared" si="7"/>
        <v>36000</v>
      </c>
      <c r="H257" s="6" t="s">
        <v>688</v>
      </c>
      <c r="I257" t="str">
        <f t="shared" si="6"/>
        <v>CMH_01-EE-255</v>
      </c>
      <c r="J257" t="str">
        <f>IFERROR(VLOOKUP(C257, مراجع!$A$3:$B$14, 2, FALSE), "")</f>
        <v>EE</v>
      </c>
      <c r="K257" s="36" t="s">
        <v>112</v>
      </c>
    </row>
    <row r="258" spans="1:11" ht="110.4">
      <c r="A258" s="12">
        <v>256</v>
      </c>
      <c r="B258" s="5" t="s">
        <v>553</v>
      </c>
      <c r="C258" s="6" t="s">
        <v>258</v>
      </c>
      <c r="D258" s="6" t="s">
        <v>110</v>
      </c>
      <c r="E258" s="69">
        <v>720</v>
      </c>
      <c r="F258" s="69">
        <v>141</v>
      </c>
      <c r="G258" s="9">
        <f t="shared" si="7"/>
        <v>101520</v>
      </c>
      <c r="H258" s="6" t="s">
        <v>688</v>
      </c>
      <c r="I258" t="str">
        <f t="shared" ref="I258:I321" si="8">IF(AND(B258&lt;&gt;"", J258&lt;&gt;""), "CMH_01-" &amp; J258 &amp; "-" &amp; TEXT(A258, "000"), "")</f>
        <v>CMH_01-EE-256</v>
      </c>
      <c r="J258" t="str">
        <f>IFERROR(VLOOKUP(C258, مراجع!$A$3:$B$14, 2, FALSE), "")</f>
        <v>EE</v>
      </c>
      <c r="K258" s="36" t="s">
        <v>112</v>
      </c>
    </row>
    <row r="259" spans="1:11" ht="110.4">
      <c r="A259" s="12">
        <v>257</v>
      </c>
      <c r="B259" s="5" t="s">
        <v>554</v>
      </c>
      <c r="C259" s="6" t="s">
        <v>258</v>
      </c>
      <c r="D259" s="6" t="s">
        <v>110</v>
      </c>
      <c r="E259" s="69">
        <v>960</v>
      </c>
      <c r="F259" s="69">
        <v>4</v>
      </c>
      <c r="G259" s="9">
        <f t="shared" ref="G259:G322" si="9">IF(AND(E259&lt;&gt;"",F259&lt;&gt;""), E259*F259, "")</f>
        <v>3840</v>
      </c>
      <c r="H259" s="6" t="s">
        <v>688</v>
      </c>
      <c r="I259" t="str">
        <f t="shared" si="8"/>
        <v>CMH_01-EE-257</v>
      </c>
      <c r="J259" t="str">
        <f>IFERROR(VLOOKUP(C259, مراجع!$A$3:$B$14, 2, FALSE), "")</f>
        <v>EE</v>
      </c>
      <c r="K259" s="36" t="s">
        <v>112</v>
      </c>
    </row>
    <row r="260" spans="1:11" ht="110.4">
      <c r="A260" s="12">
        <v>258</v>
      </c>
      <c r="B260" s="5" t="s">
        <v>555</v>
      </c>
      <c r="C260" s="6" t="s">
        <v>258</v>
      </c>
      <c r="D260" s="6" t="s">
        <v>110</v>
      </c>
      <c r="E260" s="69">
        <v>600</v>
      </c>
      <c r="F260" s="69">
        <v>119</v>
      </c>
      <c r="G260" s="9">
        <f t="shared" si="9"/>
        <v>71400</v>
      </c>
      <c r="H260" s="6" t="s">
        <v>688</v>
      </c>
      <c r="I260" t="str">
        <f t="shared" si="8"/>
        <v>CMH_01-EE-258</v>
      </c>
      <c r="J260" t="str">
        <f>IFERROR(VLOOKUP(C260, مراجع!$A$3:$B$14, 2, FALSE), "")</f>
        <v>EE</v>
      </c>
      <c r="K260" s="36" t="s">
        <v>112</v>
      </c>
    </row>
    <row r="261" spans="1:11" ht="110.4">
      <c r="A261" s="12">
        <v>259</v>
      </c>
      <c r="B261" s="5" t="s">
        <v>556</v>
      </c>
      <c r="C261" s="6" t="s">
        <v>258</v>
      </c>
      <c r="D261" s="6" t="s">
        <v>110</v>
      </c>
      <c r="E261" s="69">
        <v>840</v>
      </c>
      <c r="F261" s="69">
        <v>75</v>
      </c>
      <c r="G261" s="9">
        <f t="shared" si="9"/>
        <v>63000</v>
      </c>
      <c r="H261" s="6" t="s">
        <v>688</v>
      </c>
      <c r="I261" t="str">
        <f t="shared" si="8"/>
        <v>CMH_01-EE-259</v>
      </c>
      <c r="J261" t="str">
        <f>IFERROR(VLOOKUP(C261, مراجع!$A$3:$B$14, 2, FALSE), "")</f>
        <v>EE</v>
      </c>
      <c r="K261" s="36" t="s">
        <v>112</v>
      </c>
    </row>
    <row r="262" spans="1:11" ht="110.4">
      <c r="A262" s="12">
        <v>260</v>
      </c>
      <c r="B262" s="5" t="s">
        <v>557</v>
      </c>
      <c r="C262" s="6" t="s">
        <v>258</v>
      </c>
      <c r="D262" s="6" t="s">
        <v>110</v>
      </c>
      <c r="E262" s="69">
        <v>1440</v>
      </c>
      <c r="F262" s="69">
        <v>324</v>
      </c>
      <c r="G262" s="9">
        <f t="shared" si="9"/>
        <v>466560</v>
      </c>
      <c r="H262" s="6" t="s">
        <v>688</v>
      </c>
      <c r="I262" t="str">
        <f t="shared" si="8"/>
        <v>CMH_01-EE-260</v>
      </c>
      <c r="J262" t="str">
        <f>IFERROR(VLOOKUP(C262, مراجع!$A$3:$B$14, 2, FALSE), "")</f>
        <v>EE</v>
      </c>
      <c r="K262" s="36" t="s">
        <v>112</v>
      </c>
    </row>
    <row r="263" spans="1:11" ht="82.8">
      <c r="A263" s="12">
        <v>261</v>
      </c>
      <c r="B263" s="5" t="s">
        <v>558</v>
      </c>
      <c r="C263" s="6" t="s">
        <v>258</v>
      </c>
      <c r="D263" s="6" t="s">
        <v>110</v>
      </c>
      <c r="E263" s="69">
        <v>384</v>
      </c>
      <c r="F263" s="69">
        <v>445</v>
      </c>
      <c r="G263" s="9">
        <f t="shared" si="9"/>
        <v>170880</v>
      </c>
      <c r="H263" s="6" t="s">
        <v>688</v>
      </c>
      <c r="I263" t="str">
        <f t="shared" si="8"/>
        <v>CMH_01-EE-261</v>
      </c>
      <c r="J263" t="str">
        <f>IFERROR(VLOOKUP(C263, مراجع!$A$3:$B$14, 2, FALSE), "")</f>
        <v>EE</v>
      </c>
      <c r="K263" s="36" t="s">
        <v>112</v>
      </c>
    </row>
    <row r="264" spans="1:11" ht="124.2">
      <c r="A264" s="12">
        <v>262</v>
      </c>
      <c r="B264" s="5" t="s">
        <v>559</v>
      </c>
      <c r="C264" s="6" t="s">
        <v>258</v>
      </c>
      <c r="D264" s="6" t="s">
        <v>110</v>
      </c>
      <c r="E264" s="70">
        <v>348</v>
      </c>
      <c r="F264" s="70">
        <v>530</v>
      </c>
      <c r="G264" s="9">
        <f t="shared" si="9"/>
        <v>184440</v>
      </c>
      <c r="H264" s="6" t="s">
        <v>688</v>
      </c>
      <c r="I264" t="str">
        <f t="shared" si="8"/>
        <v>CMH_01-EE-262</v>
      </c>
      <c r="J264" t="str">
        <f>IFERROR(VLOOKUP(C264, مراجع!$A$3:$B$14, 2, FALSE), "")</f>
        <v>EE</v>
      </c>
      <c r="K264" s="36" t="s">
        <v>112</v>
      </c>
    </row>
    <row r="265" spans="1:11" ht="124.2">
      <c r="A265" s="12">
        <v>263</v>
      </c>
      <c r="B265" s="5" t="s">
        <v>560</v>
      </c>
      <c r="C265" s="6" t="s">
        <v>258</v>
      </c>
      <c r="D265" s="6" t="s">
        <v>110</v>
      </c>
      <c r="E265" s="71">
        <v>660</v>
      </c>
      <c r="F265" s="71">
        <v>241</v>
      </c>
      <c r="G265" s="9">
        <f t="shared" si="9"/>
        <v>159060</v>
      </c>
      <c r="H265" s="6" t="s">
        <v>688</v>
      </c>
      <c r="I265" t="str">
        <f t="shared" si="8"/>
        <v>CMH_01-EE-263</v>
      </c>
      <c r="J265" t="str">
        <f>IFERROR(VLOOKUP(C265, مراجع!$A$3:$B$14, 2, FALSE), "")</f>
        <v>EE</v>
      </c>
      <c r="K265" s="36" t="s">
        <v>112</v>
      </c>
    </row>
    <row r="266" spans="1:11" ht="124.2">
      <c r="A266" s="12">
        <v>264</v>
      </c>
      <c r="B266" s="5" t="s">
        <v>561</v>
      </c>
      <c r="C266" s="6" t="s">
        <v>258</v>
      </c>
      <c r="D266" s="6" t="s">
        <v>110</v>
      </c>
      <c r="E266" s="69">
        <v>1044</v>
      </c>
      <c r="F266" s="69">
        <v>1113</v>
      </c>
      <c r="G266" s="9">
        <f t="shared" si="9"/>
        <v>1161972</v>
      </c>
      <c r="H266" s="6" t="s">
        <v>688</v>
      </c>
      <c r="I266" t="str">
        <f t="shared" si="8"/>
        <v>CMH_01-EE-264</v>
      </c>
      <c r="J266" t="str">
        <f>IFERROR(VLOOKUP(C266, مراجع!$A$3:$B$14, 2, FALSE), "")</f>
        <v>EE</v>
      </c>
      <c r="K266" s="36" t="s">
        <v>112</v>
      </c>
    </row>
    <row r="267" spans="1:11" ht="124.2">
      <c r="A267" s="12">
        <v>265</v>
      </c>
      <c r="B267" s="5" t="s">
        <v>562</v>
      </c>
      <c r="C267" s="6" t="s">
        <v>258</v>
      </c>
      <c r="D267" s="6" t="s">
        <v>110</v>
      </c>
      <c r="E267" s="69">
        <v>1044</v>
      </c>
      <c r="F267" s="70">
        <v>8</v>
      </c>
      <c r="G267" s="9">
        <f t="shared" si="9"/>
        <v>8352</v>
      </c>
      <c r="H267" s="6" t="s">
        <v>688</v>
      </c>
      <c r="I267" t="str">
        <f t="shared" si="8"/>
        <v>CMH_01-EE-265</v>
      </c>
      <c r="J267" t="str">
        <f>IFERROR(VLOOKUP(C267, مراجع!$A$3:$B$14, 2, FALSE), "")</f>
        <v>EE</v>
      </c>
      <c r="K267" s="36" t="s">
        <v>112</v>
      </c>
    </row>
    <row r="268" spans="1:11" ht="124.2">
      <c r="A268" s="12">
        <v>266</v>
      </c>
      <c r="B268" s="5" t="s">
        <v>563</v>
      </c>
      <c r="C268" s="6" t="s">
        <v>258</v>
      </c>
      <c r="D268" s="6" t="s">
        <v>110</v>
      </c>
      <c r="E268" s="69">
        <v>1044</v>
      </c>
      <c r="F268" s="71">
        <v>1</v>
      </c>
      <c r="G268" s="9">
        <f t="shared" si="9"/>
        <v>1044</v>
      </c>
      <c r="H268" s="6" t="s">
        <v>688</v>
      </c>
      <c r="I268" t="str">
        <f t="shared" si="8"/>
        <v>CMH_01-EE-266</v>
      </c>
      <c r="J268" t="str">
        <f>IFERROR(VLOOKUP(C268, مراجع!$A$3:$B$14, 2, FALSE), "")</f>
        <v>EE</v>
      </c>
      <c r="K268" s="36" t="s">
        <v>112</v>
      </c>
    </row>
    <row r="269" spans="1:11" ht="124.2">
      <c r="A269" s="12">
        <v>267</v>
      </c>
      <c r="B269" s="5" t="s">
        <v>564</v>
      </c>
      <c r="C269" s="6" t="s">
        <v>258</v>
      </c>
      <c r="D269" s="6" t="s">
        <v>110</v>
      </c>
      <c r="E269" s="69">
        <v>1044</v>
      </c>
      <c r="F269" s="69">
        <v>4</v>
      </c>
      <c r="G269" s="9">
        <f t="shared" si="9"/>
        <v>4176</v>
      </c>
      <c r="H269" s="6" t="s">
        <v>688</v>
      </c>
      <c r="I269" t="str">
        <f t="shared" si="8"/>
        <v>CMH_01-EE-267</v>
      </c>
      <c r="J269" t="str">
        <f>IFERROR(VLOOKUP(C269, مراجع!$A$3:$B$14, 2, FALSE), "")</f>
        <v>EE</v>
      </c>
      <c r="K269" s="36" t="s">
        <v>112</v>
      </c>
    </row>
    <row r="270" spans="1:11" ht="124.2">
      <c r="A270" s="12">
        <v>268</v>
      </c>
      <c r="B270" s="5" t="s">
        <v>565</v>
      </c>
      <c r="C270" s="6" t="s">
        <v>258</v>
      </c>
      <c r="D270" s="6" t="s">
        <v>110</v>
      </c>
      <c r="E270" s="69">
        <v>1044</v>
      </c>
      <c r="F270" s="70">
        <v>1</v>
      </c>
      <c r="G270" s="9">
        <f t="shared" si="9"/>
        <v>1044</v>
      </c>
      <c r="H270" s="6" t="s">
        <v>688</v>
      </c>
      <c r="I270" t="str">
        <f t="shared" si="8"/>
        <v>CMH_01-EE-268</v>
      </c>
      <c r="J270" t="str">
        <f>IFERROR(VLOOKUP(C270, مراجع!$A$3:$B$14, 2, FALSE), "")</f>
        <v>EE</v>
      </c>
      <c r="K270" s="36" t="s">
        <v>112</v>
      </c>
    </row>
    <row r="271" spans="1:11" ht="124.2">
      <c r="A271" s="12">
        <v>269</v>
      </c>
      <c r="B271" s="5" t="s">
        <v>566</v>
      </c>
      <c r="C271" s="6" t="s">
        <v>258</v>
      </c>
      <c r="D271" s="6" t="s">
        <v>110</v>
      </c>
      <c r="E271" s="69">
        <v>1044</v>
      </c>
      <c r="F271" s="71">
        <v>2</v>
      </c>
      <c r="G271" s="9">
        <f t="shared" si="9"/>
        <v>2088</v>
      </c>
      <c r="H271" s="6" t="s">
        <v>688</v>
      </c>
      <c r="I271" t="str">
        <f t="shared" si="8"/>
        <v>CMH_01-EE-269</v>
      </c>
      <c r="J271" t="str">
        <f>IFERROR(VLOOKUP(C271, مراجع!$A$3:$B$14, 2, FALSE), "")</f>
        <v>EE</v>
      </c>
      <c r="K271" s="36" t="s">
        <v>112</v>
      </c>
    </row>
    <row r="272" spans="1:11" ht="124.2">
      <c r="A272" s="12">
        <v>270</v>
      </c>
      <c r="B272" s="5" t="s">
        <v>567</v>
      </c>
      <c r="C272" s="6" t="s">
        <v>258</v>
      </c>
      <c r="D272" s="6" t="s">
        <v>110</v>
      </c>
      <c r="E272" s="69">
        <v>1044</v>
      </c>
      <c r="F272" s="69">
        <v>12</v>
      </c>
      <c r="G272" s="9">
        <f t="shared" si="9"/>
        <v>12528</v>
      </c>
      <c r="H272" s="6" t="s">
        <v>688</v>
      </c>
      <c r="I272" t="str">
        <f t="shared" si="8"/>
        <v>CMH_01-EE-270</v>
      </c>
      <c r="J272" t="str">
        <f>IFERROR(VLOOKUP(C272, مراجع!$A$3:$B$14, 2, FALSE), "")</f>
        <v>EE</v>
      </c>
      <c r="K272" s="36" t="s">
        <v>112</v>
      </c>
    </row>
    <row r="273" spans="1:11" ht="124.2">
      <c r="A273" s="12">
        <v>271</v>
      </c>
      <c r="B273" s="5" t="s">
        <v>568</v>
      </c>
      <c r="C273" s="6" t="s">
        <v>258</v>
      </c>
      <c r="D273" s="6" t="s">
        <v>110</v>
      </c>
      <c r="E273" s="69">
        <v>1044</v>
      </c>
      <c r="F273" s="70">
        <v>4</v>
      </c>
      <c r="G273" s="9">
        <f t="shared" si="9"/>
        <v>4176</v>
      </c>
      <c r="H273" s="6" t="s">
        <v>688</v>
      </c>
      <c r="I273" t="str">
        <f t="shared" si="8"/>
        <v>CMH_01-EE-271</v>
      </c>
      <c r="J273" t="str">
        <f>IFERROR(VLOOKUP(C273, مراجع!$A$3:$B$14, 2, FALSE), "")</f>
        <v>EE</v>
      </c>
      <c r="K273" s="36" t="s">
        <v>112</v>
      </c>
    </row>
    <row r="274" spans="1:11" ht="124.2">
      <c r="A274" s="12">
        <v>272</v>
      </c>
      <c r="B274" s="5" t="s">
        <v>569</v>
      </c>
      <c r="C274" s="6" t="s">
        <v>258</v>
      </c>
      <c r="D274" s="6" t="s">
        <v>110</v>
      </c>
      <c r="E274" s="7">
        <v>720</v>
      </c>
      <c r="F274" s="7">
        <v>343</v>
      </c>
      <c r="G274" s="9">
        <f t="shared" si="9"/>
        <v>246960</v>
      </c>
      <c r="H274" s="6" t="s">
        <v>688</v>
      </c>
      <c r="I274" t="str">
        <f t="shared" si="8"/>
        <v>CMH_01-EE-272</v>
      </c>
      <c r="J274" t="str">
        <f>IFERROR(VLOOKUP(C274, مراجع!$A$3:$B$14, 2, FALSE), "")</f>
        <v>EE</v>
      </c>
      <c r="K274" s="36" t="s">
        <v>112</v>
      </c>
    </row>
    <row r="275" spans="1:11" ht="124.2">
      <c r="A275" s="12">
        <v>273</v>
      </c>
      <c r="B275" s="5" t="s">
        <v>570</v>
      </c>
      <c r="C275" s="6" t="s">
        <v>258</v>
      </c>
      <c r="D275" s="6" t="s">
        <v>110</v>
      </c>
      <c r="E275" s="71">
        <v>780</v>
      </c>
      <c r="F275" s="71">
        <v>54</v>
      </c>
      <c r="G275" s="9">
        <f t="shared" si="9"/>
        <v>42120</v>
      </c>
      <c r="H275" s="6" t="s">
        <v>688</v>
      </c>
      <c r="I275" t="str">
        <f t="shared" si="8"/>
        <v>CMH_01-EE-273</v>
      </c>
      <c r="J275" t="str">
        <f>IFERROR(VLOOKUP(C275, مراجع!$A$3:$B$14, 2, FALSE), "")</f>
        <v>EE</v>
      </c>
      <c r="K275" s="36" t="s">
        <v>112</v>
      </c>
    </row>
    <row r="276" spans="1:11" ht="124.2">
      <c r="A276" s="12">
        <v>274</v>
      </c>
      <c r="B276" s="5" t="s">
        <v>571</v>
      </c>
      <c r="C276" s="6" t="s">
        <v>258</v>
      </c>
      <c r="D276" s="6" t="s">
        <v>110</v>
      </c>
      <c r="E276" s="69">
        <v>1128</v>
      </c>
      <c r="F276" s="69">
        <v>172</v>
      </c>
      <c r="G276" s="9">
        <f t="shared" si="9"/>
        <v>194016</v>
      </c>
      <c r="H276" s="6" t="s">
        <v>688</v>
      </c>
      <c r="I276" t="str">
        <f t="shared" si="8"/>
        <v>CMH_01-EE-274</v>
      </c>
      <c r="J276" t="str">
        <f>IFERROR(VLOOKUP(C276, مراجع!$A$3:$B$14, 2, FALSE), "")</f>
        <v>EE</v>
      </c>
      <c r="K276" s="36" t="s">
        <v>112</v>
      </c>
    </row>
    <row r="277" spans="1:11" ht="124.2">
      <c r="A277" s="12">
        <v>275</v>
      </c>
      <c r="B277" s="5" t="s">
        <v>572</v>
      </c>
      <c r="C277" s="6" t="s">
        <v>258</v>
      </c>
      <c r="D277" s="6" t="s">
        <v>110</v>
      </c>
      <c r="E277" s="70">
        <v>420</v>
      </c>
      <c r="F277" s="70">
        <v>1422</v>
      </c>
      <c r="G277" s="9">
        <f t="shared" si="9"/>
        <v>597240</v>
      </c>
      <c r="H277" s="6" t="s">
        <v>688</v>
      </c>
      <c r="I277" t="str">
        <f t="shared" si="8"/>
        <v>CMH_01-EE-275</v>
      </c>
      <c r="J277" t="str">
        <f>IFERROR(VLOOKUP(C277, مراجع!$A$3:$B$14, 2, FALSE), "")</f>
        <v>EE</v>
      </c>
      <c r="K277" s="36" t="s">
        <v>112</v>
      </c>
    </row>
    <row r="278" spans="1:11" ht="124.2">
      <c r="A278" s="12">
        <v>276</v>
      </c>
      <c r="B278" s="5" t="s">
        <v>573</v>
      </c>
      <c r="C278" s="6" t="s">
        <v>258</v>
      </c>
      <c r="D278" s="6" t="s">
        <v>110</v>
      </c>
      <c r="E278" s="71">
        <v>444</v>
      </c>
      <c r="F278" s="71">
        <v>1062</v>
      </c>
      <c r="G278" s="9">
        <f t="shared" si="9"/>
        <v>471528</v>
      </c>
      <c r="H278" s="6" t="s">
        <v>688</v>
      </c>
      <c r="I278" t="str">
        <f t="shared" si="8"/>
        <v>CMH_01-EE-276</v>
      </c>
      <c r="J278" t="str">
        <f>IFERROR(VLOOKUP(C278, مراجع!$A$3:$B$14, 2, FALSE), "")</f>
        <v>EE</v>
      </c>
      <c r="K278" s="36" t="s">
        <v>112</v>
      </c>
    </row>
    <row r="279" spans="1:11" ht="124.2">
      <c r="A279" s="12">
        <v>277</v>
      </c>
      <c r="B279" s="5" t="s">
        <v>574</v>
      </c>
      <c r="C279" s="6" t="s">
        <v>258</v>
      </c>
      <c r="D279" s="6" t="s">
        <v>110</v>
      </c>
      <c r="E279" s="69">
        <v>300</v>
      </c>
      <c r="F279" s="69">
        <v>284</v>
      </c>
      <c r="G279" s="9">
        <f t="shared" si="9"/>
        <v>85200</v>
      </c>
      <c r="H279" s="6" t="s">
        <v>688</v>
      </c>
      <c r="I279" t="str">
        <f t="shared" si="8"/>
        <v>CMH_01-EE-277</v>
      </c>
      <c r="J279" t="str">
        <f>IFERROR(VLOOKUP(C279, مراجع!$A$3:$B$14, 2, FALSE), "")</f>
        <v>EE</v>
      </c>
      <c r="K279" s="36" t="s">
        <v>112</v>
      </c>
    </row>
    <row r="280" spans="1:11" ht="124.2">
      <c r="A280" s="12">
        <v>278</v>
      </c>
      <c r="B280" s="5" t="s">
        <v>575</v>
      </c>
      <c r="C280" s="6" t="s">
        <v>258</v>
      </c>
      <c r="D280" s="6" t="s">
        <v>110</v>
      </c>
      <c r="E280" s="69">
        <v>438</v>
      </c>
      <c r="F280" s="69">
        <v>149</v>
      </c>
      <c r="G280" s="9">
        <f t="shared" si="9"/>
        <v>65262</v>
      </c>
      <c r="H280" s="6" t="s">
        <v>688</v>
      </c>
      <c r="I280" t="str">
        <f t="shared" si="8"/>
        <v>CMH_01-EE-278</v>
      </c>
      <c r="J280" t="str">
        <f>IFERROR(VLOOKUP(C280, مراجع!$A$3:$B$14, 2, FALSE), "")</f>
        <v>EE</v>
      </c>
      <c r="K280" s="36" t="s">
        <v>112</v>
      </c>
    </row>
    <row r="281" spans="1:11" ht="124.2">
      <c r="A281" s="12">
        <v>279</v>
      </c>
      <c r="B281" s="5" t="s">
        <v>576</v>
      </c>
      <c r="C281" s="6" t="s">
        <v>258</v>
      </c>
      <c r="D281" s="6" t="s">
        <v>110</v>
      </c>
      <c r="E281" s="69">
        <v>288</v>
      </c>
      <c r="F281" s="69">
        <v>158</v>
      </c>
      <c r="G281" s="9">
        <f t="shared" si="9"/>
        <v>45504</v>
      </c>
      <c r="H281" s="6" t="s">
        <v>688</v>
      </c>
      <c r="I281" t="str">
        <f t="shared" si="8"/>
        <v>CMH_01-EE-279</v>
      </c>
      <c r="J281" t="str">
        <f>IFERROR(VLOOKUP(C281, مراجع!$A$3:$B$14, 2, FALSE), "")</f>
        <v>EE</v>
      </c>
      <c r="K281" s="36" t="s">
        <v>112</v>
      </c>
    </row>
    <row r="282" spans="1:11" ht="124.2">
      <c r="A282" s="12">
        <v>280</v>
      </c>
      <c r="B282" s="5" t="s">
        <v>577</v>
      </c>
      <c r="C282" s="6" t="s">
        <v>258</v>
      </c>
      <c r="D282" s="6" t="s">
        <v>110</v>
      </c>
      <c r="E282" s="69">
        <v>336</v>
      </c>
      <c r="F282" s="69">
        <v>27</v>
      </c>
      <c r="G282" s="9">
        <f t="shared" si="9"/>
        <v>9072</v>
      </c>
      <c r="H282" s="6" t="s">
        <v>688</v>
      </c>
      <c r="I282" t="str">
        <f t="shared" si="8"/>
        <v>CMH_01-EE-280</v>
      </c>
      <c r="J282" t="str">
        <f>IFERROR(VLOOKUP(C282, مراجع!$A$3:$B$14, 2, FALSE), "")</f>
        <v>EE</v>
      </c>
      <c r="K282" s="36" t="s">
        <v>112</v>
      </c>
    </row>
    <row r="283" spans="1:11" ht="124.2">
      <c r="A283" s="12">
        <v>281</v>
      </c>
      <c r="B283" s="5" t="s">
        <v>578</v>
      </c>
      <c r="C283" s="6" t="s">
        <v>258</v>
      </c>
      <c r="D283" s="6" t="s">
        <v>110</v>
      </c>
      <c r="E283" s="69">
        <v>936</v>
      </c>
      <c r="F283" s="69">
        <v>56</v>
      </c>
      <c r="G283" s="9">
        <f t="shared" si="9"/>
        <v>52416</v>
      </c>
      <c r="H283" s="6" t="s">
        <v>688</v>
      </c>
      <c r="I283" t="str">
        <f t="shared" si="8"/>
        <v>CMH_01-EE-281</v>
      </c>
      <c r="J283" t="str">
        <f>IFERROR(VLOOKUP(C283, مراجع!$A$3:$B$14, 2, FALSE), "")</f>
        <v>EE</v>
      </c>
      <c r="K283" s="36" t="s">
        <v>112</v>
      </c>
    </row>
    <row r="284" spans="1:11" ht="124.2">
      <c r="A284" s="12">
        <v>282</v>
      </c>
      <c r="B284" s="5" t="s">
        <v>579</v>
      </c>
      <c r="C284" s="6" t="s">
        <v>258</v>
      </c>
      <c r="D284" s="6" t="s">
        <v>110</v>
      </c>
      <c r="E284" s="69">
        <v>936</v>
      </c>
      <c r="F284" s="69">
        <v>20</v>
      </c>
      <c r="G284" s="9">
        <f t="shared" si="9"/>
        <v>18720</v>
      </c>
      <c r="H284" s="6" t="s">
        <v>688</v>
      </c>
      <c r="I284" t="str">
        <f t="shared" si="8"/>
        <v>CMH_01-EE-282</v>
      </c>
      <c r="J284" t="str">
        <f>IFERROR(VLOOKUP(C284, مراجع!$A$3:$B$14, 2, FALSE), "")</f>
        <v>EE</v>
      </c>
      <c r="K284" s="36" t="s">
        <v>112</v>
      </c>
    </row>
    <row r="285" spans="1:11" ht="124.2">
      <c r="A285" s="12">
        <v>283</v>
      </c>
      <c r="B285" s="5" t="s">
        <v>580</v>
      </c>
      <c r="C285" s="6" t="s">
        <v>258</v>
      </c>
      <c r="D285" s="6" t="s">
        <v>110</v>
      </c>
      <c r="E285" s="69">
        <v>288</v>
      </c>
      <c r="F285" s="69">
        <v>179</v>
      </c>
      <c r="G285" s="9">
        <f t="shared" si="9"/>
        <v>51552</v>
      </c>
      <c r="H285" s="6" t="s">
        <v>688</v>
      </c>
      <c r="I285" t="str">
        <f t="shared" si="8"/>
        <v>CMH_01-EE-283</v>
      </c>
      <c r="J285" t="str">
        <f>IFERROR(VLOOKUP(C285, مراجع!$A$3:$B$14, 2, FALSE), "")</f>
        <v>EE</v>
      </c>
      <c r="K285" s="36" t="s">
        <v>112</v>
      </c>
    </row>
    <row r="286" spans="1:11" ht="124.2">
      <c r="A286" s="12">
        <v>284</v>
      </c>
      <c r="B286" s="5" t="s">
        <v>581</v>
      </c>
      <c r="C286" s="6" t="s">
        <v>258</v>
      </c>
      <c r="D286" s="6" t="s">
        <v>110</v>
      </c>
      <c r="E286" s="69">
        <v>5400</v>
      </c>
      <c r="F286" s="69">
        <v>6</v>
      </c>
      <c r="G286" s="9">
        <f t="shared" si="9"/>
        <v>32400</v>
      </c>
      <c r="H286" s="6" t="s">
        <v>688</v>
      </c>
      <c r="I286" t="str">
        <f t="shared" si="8"/>
        <v>CMH_01-EE-284</v>
      </c>
      <c r="J286" t="str">
        <f>IFERROR(VLOOKUP(C286, مراجع!$A$3:$B$14, 2, FALSE), "")</f>
        <v>EE</v>
      </c>
      <c r="K286" s="36" t="s">
        <v>112</v>
      </c>
    </row>
    <row r="287" spans="1:11" ht="124.2">
      <c r="A287" s="12">
        <v>285</v>
      </c>
      <c r="B287" s="5" t="s">
        <v>582</v>
      </c>
      <c r="C287" s="6" t="s">
        <v>258</v>
      </c>
      <c r="D287" s="6" t="s">
        <v>110</v>
      </c>
      <c r="E287" s="69">
        <v>540</v>
      </c>
      <c r="F287" s="69">
        <v>12</v>
      </c>
      <c r="G287" s="9">
        <f t="shared" si="9"/>
        <v>6480</v>
      </c>
      <c r="H287" s="6" t="s">
        <v>688</v>
      </c>
      <c r="I287" t="str">
        <f t="shared" si="8"/>
        <v>CMH_01-EE-285</v>
      </c>
      <c r="J287" t="str">
        <f>IFERROR(VLOOKUP(C287, مراجع!$A$3:$B$14, 2, FALSE), "")</f>
        <v>EE</v>
      </c>
      <c r="K287" s="36" t="s">
        <v>112</v>
      </c>
    </row>
    <row r="288" spans="1:11" ht="124.2">
      <c r="A288" s="12">
        <v>286</v>
      </c>
      <c r="B288" s="5" t="s">
        <v>583</v>
      </c>
      <c r="C288" s="6" t="s">
        <v>258</v>
      </c>
      <c r="D288" s="6" t="s">
        <v>110</v>
      </c>
      <c r="E288" s="69">
        <v>504</v>
      </c>
      <c r="F288" s="69">
        <v>186</v>
      </c>
      <c r="G288" s="9">
        <f t="shared" si="9"/>
        <v>93744</v>
      </c>
      <c r="H288" s="6" t="s">
        <v>688</v>
      </c>
      <c r="I288" t="str">
        <f t="shared" si="8"/>
        <v>CMH_01-EE-286</v>
      </c>
      <c r="J288" t="str">
        <f>IFERROR(VLOOKUP(C288, مراجع!$A$3:$B$14, 2, FALSE), "")</f>
        <v>EE</v>
      </c>
      <c r="K288" s="36" t="s">
        <v>112</v>
      </c>
    </row>
    <row r="289" spans="1:11" ht="124.2">
      <c r="A289" s="12">
        <v>287</v>
      </c>
      <c r="B289" s="5" t="s">
        <v>584</v>
      </c>
      <c r="C289" s="6" t="s">
        <v>258</v>
      </c>
      <c r="D289" s="6" t="s">
        <v>110</v>
      </c>
      <c r="E289" s="69">
        <v>744</v>
      </c>
      <c r="F289" s="69">
        <v>260</v>
      </c>
      <c r="G289" s="9">
        <f t="shared" si="9"/>
        <v>193440</v>
      </c>
      <c r="H289" s="6" t="s">
        <v>688</v>
      </c>
      <c r="I289" t="str">
        <f t="shared" si="8"/>
        <v>CMH_01-EE-287</v>
      </c>
      <c r="J289" t="str">
        <f>IFERROR(VLOOKUP(C289, مراجع!$A$3:$B$14, 2, FALSE), "")</f>
        <v>EE</v>
      </c>
      <c r="K289" s="36" t="s">
        <v>112</v>
      </c>
    </row>
    <row r="290" spans="1:11" ht="124.2">
      <c r="A290" s="12">
        <v>288</v>
      </c>
      <c r="B290" s="5" t="s">
        <v>585</v>
      </c>
      <c r="C290" s="6" t="s">
        <v>258</v>
      </c>
      <c r="D290" s="6" t="s">
        <v>685</v>
      </c>
      <c r="E290" s="69">
        <v>170.4</v>
      </c>
      <c r="F290" s="69">
        <v>5772</v>
      </c>
      <c r="G290" s="9">
        <f t="shared" si="9"/>
        <v>983548.8</v>
      </c>
      <c r="H290" s="6" t="s">
        <v>688</v>
      </c>
      <c r="I290" t="str">
        <f t="shared" si="8"/>
        <v>CMH_01-EE-288</v>
      </c>
      <c r="J290" t="str">
        <f>IFERROR(VLOOKUP(C290, مراجع!$A$3:$B$14, 2, FALSE), "")</f>
        <v>EE</v>
      </c>
      <c r="K290" s="36" t="s">
        <v>112</v>
      </c>
    </row>
    <row r="291" spans="1:11" ht="124.2">
      <c r="A291" s="12">
        <v>289</v>
      </c>
      <c r="B291" s="5" t="s">
        <v>586</v>
      </c>
      <c r="C291" s="6" t="s">
        <v>258</v>
      </c>
      <c r="D291" s="6" t="s">
        <v>110</v>
      </c>
      <c r="E291" s="69">
        <v>13800</v>
      </c>
      <c r="F291" s="69">
        <v>14</v>
      </c>
      <c r="G291" s="9">
        <f t="shared" si="9"/>
        <v>193200</v>
      </c>
      <c r="H291" s="6" t="s">
        <v>688</v>
      </c>
      <c r="I291" t="str">
        <f t="shared" si="8"/>
        <v>CMH_01-EE-289</v>
      </c>
      <c r="J291" t="str">
        <f>IFERROR(VLOOKUP(C291, مراجع!$A$3:$B$14, 2, FALSE), "")</f>
        <v>EE</v>
      </c>
      <c r="K291" s="36" t="s">
        <v>112</v>
      </c>
    </row>
    <row r="292" spans="1:11" ht="124.2">
      <c r="A292" s="12">
        <v>290</v>
      </c>
      <c r="B292" s="5" t="s">
        <v>587</v>
      </c>
      <c r="C292" s="6" t="s">
        <v>258</v>
      </c>
      <c r="D292" s="6" t="s">
        <v>110</v>
      </c>
      <c r="E292" s="69">
        <v>900</v>
      </c>
      <c r="F292" s="69">
        <v>237</v>
      </c>
      <c r="G292" s="9">
        <f t="shared" si="9"/>
        <v>213300</v>
      </c>
      <c r="H292" s="6" t="s">
        <v>688</v>
      </c>
      <c r="I292" t="str">
        <f t="shared" si="8"/>
        <v>CMH_01-EE-290</v>
      </c>
      <c r="J292" t="str">
        <f>IFERROR(VLOOKUP(C292, مراجع!$A$3:$B$14, 2, FALSE), "")</f>
        <v>EE</v>
      </c>
      <c r="K292" s="36" t="s">
        <v>112</v>
      </c>
    </row>
    <row r="293" spans="1:11" ht="124.2">
      <c r="A293" s="12">
        <v>291</v>
      </c>
      <c r="B293" s="5" t="s">
        <v>588</v>
      </c>
      <c r="C293" s="6" t="s">
        <v>258</v>
      </c>
      <c r="D293" s="6" t="s">
        <v>110</v>
      </c>
      <c r="E293" s="69">
        <v>1104</v>
      </c>
      <c r="F293" s="69">
        <v>132</v>
      </c>
      <c r="G293" s="9">
        <f t="shared" si="9"/>
        <v>145728</v>
      </c>
      <c r="H293" s="6" t="s">
        <v>688</v>
      </c>
      <c r="I293" t="str">
        <f t="shared" si="8"/>
        <v>CMH_01-EE-291</v>
      </c>
      <c r="J293" t="str">
        <f>IFERROR(VLOOKUP(C293, مراجع!$A$3:$B$14, 2, FALSE), "")</f>
        <v>EE</v>
      </c>
      <c r="K293" s="36" t="s">
        <v>112</v>
      </c>
    </row>
    <row r="294" spans="1:11" ht="124.2">
      <c r="A294" s="12">
        <v>292</v>
      </c>
      <c r="B294" s="5" t="s">
        <v>589</v>
      </c>
      <c r="C294" s="6" t="s">
        <v>258</v>
      </c>
      <c r="D294" s="6" t="s">
        <v>685</v>
      </c>
      <c r="E294" s="69">
        <v>174</v>
      </c>
      <c r="F294" s="69">
        <v>263</v>
      </c>
      <c r="G294" s="9">
        <f t="shared" si="9"/>
        <v>45762</v>
      </c>
      <c r="H294" s="6" t="s">
        <v>688</v>
      </c>
      <c r="I294" t="str">
        <f t="shared" si="8"/>
        <v>CMH_01-EE-292</v>
      </c>
      <c r="J294" t="str">
        <f>IFERROR(VLOOKUP(C294, مراجع!$A$3:$B$14, 2, FALSE), "")</f>
        <v>EE</v>
      </c>
      <c r="K294" s="36" t="s">
        <v>112</v>
      </c>
    </row>
    <row r="295" spans="1:11" ht="124.2">
      <c r="A295" s="12">
        <v>293</v>
      </c>
      <c r="B295" s="5" t="s">
        <v>590</v>
      </c>
      <c r="C295" s="6" t="s">
        <v>258</v>
      </c>
      <c r="D295" s="6" t="s">
        <v>685</v>
      </c>
      <c r="E295" s="69">
        <v>174</v>
      </c>
      <c r="F295" s="70">
        <v>25</v>
      </c>
      <c r="G295" s="9">
        <f t="shared" si="9"/>
        <v>4350</v>
      </c>
      <c r="H295" s="6" t="s">
        <v>688</v>
      </c>
      <c r="I295" t="str">
        <f t="shared" si="8"/>
        <v>CMH_01-EE-293</v>
      </c>
      <c r="J295" t="str">
        <f>IFERROR(VLOOKUP(C295, مراجع!$A$3:$B$14, 2, FALSE), "")</f>
        <v>EE</v>
      </c>
      <c r="K295" s="36" t="s">
        <v>112</v>
      </c>
    </row>
    <row r="296" spans="1:11" ht="124.2">
      <c r="A296" s="12">
        <v>294</v>
      </c>
      <c r="B296" s="5" t="s">
        <v>591</v>
      </c>
      <c r="C296" s="6" t="s">
        <v>258</v>
      </c>
      <c r="D296" s="6" t="s">
        <v>110</v>
      </c>
      <c r="E296" s="69">
        <v>174</v>
      </c>
      <c r="F296" s="71">
        <v>2</v>
      </c>
      <c r="G296" s="9">
        <f t="shared" si="9"/>
        <v>348</v>
      </c>
      <c r="H296" s="6" t="s">
        <v>688</v>
      </c>
      <c r="I296" t="str">
        <f t="shared" si="8"/>
        <v>CMH_01-EE-294</v>
      </c>
      <c r="J296" t="str">
        <f>IFERROR(VLOOKUP(C296, مراجع!$A$3:$B$14, 2, FALSE), "")</f>
        <v>EE</v>
      </c>
      <c r="K296" s="36" t="s">
        <v>112</v>
      </c>
    </row>
    <row r="297" spans="1:11" ht="124.2">
      <c r="A297" s="12">
        <v>295</v>
      </c>
      <c r="B297" s="5" t="s">
        <v>592</v>
      </c>
      <c r="C297" s="6" t="s">
        <v>258</v>
      </c>
      <c r="D297" s="6" t="s">
        <v>110</v>
      </c>
      <c r="E297" s="69">
        <v>360</v>
      </c>
      <c r="F297" s="69">
        <v>430</v>
      </c>
      <c r="G297" s="9">
        <f t="shared" si="9"/>
        <v>154800</v>
      </c>
      <c r="H297" s="6" t="s">
        <v>688</v>
      </c>
      <c r="I297" t="str">
        <f t="shared" si="8"/>
        <v>CMH_01-EE-295</v>
      </c>
      <c r="J297" t="str">
        <f>IFERROR(VLOOKUP(C297, مراجع!$A$3:$B$14, 2, FALSE), "")</f>
        <v>EE</v>
      </c>
      <c r="K297" s="36" t="s">
        <v>112</v>
      </c>
    </row>
    <row r="298" spans="1:11" ht="124.2">
      <c r="A298" s="12">
        <v>296</v>
      </c>
      <c r="B298" s="5" t="s">
        <v>583</v>
      </c>
      <c r="C298" s="6" t="s">
        <v>258</v>
      </c>
      <c r="D298" s="6" t="s">
        <v>110</v>
      </c>
      <c r="E298" s="69">
        <v>504</v>
      </c>
      <c r="F298" s="70">
        <v>248</v>
      </c>
      <c r="G298" s="9">
        <f t="shared" si="9"/>
        <v>124992</v>
      </c>
      <c r="H298" s="6" t="s">
        <v>688</v>
      </c>
      <c r="I298" t="str">
        <f t="shared" si="8"/>
        <v>CMH_01-EE-296</v>
      </c>
      <c r="J298" t="str">
        <f>IFERROR(VLOOKUP(C298, مراجع!$A$3:$B$14, 2, FALSE), "")</f>
        <v>EE</v>
      </c>
      <c r="K298" s="36" t="s">
        <v>112</v>
      </c>
    </row>
    <row r="299" spans="1:11" ht="124.2">
      <c r="A299" s="12">
        <v>297</v>
      </c>
      <c r="B299" s="5" t="s">
        <v>593</v>
      </c>
      <c r="C299" s="6" t="s">
        <v>258</v>
      </c>
      <c r="D299" s="6" t="s">
        <v>110</v>
      </c>
      <c r="E299" s="69">
        <v>420</v>
      </c>
      <c r="F299" s="71">
        <v>260</v>
      </c>
      <c r="G299" s="9">
        <f t="shared" si="9"/>
        <v>109200</v>
      </c>
      <c r="H299" s="6" t="s">
        <v>688</v>
      </c>
      <c r="I299" t="str">
        <f t="shared" si="8"/>
        <v>CMH_01-EE-297</v>
      </c>
      <c r="J299" t="str">
        <f>IFERROR(VLOOKUP(C299, مراجع!$A$3:$B$14, 2, FALSE), "")</f>
        <v>EE</v>
      </c>
      <c r="K299" s="36" t="s">
        <v>112</v>
      </c>
    </row>
    <row r="300" spans="1:11" ht="124.2">
      <c r="A300" s="12">
        <v>298</v>
      </c>
      <c r="B300" s="5" t="s">
        <v>594</v>
      </c>
      <c r="C300" s="6" t="s">
        <v>258</v>
      </c>
      <c r="D300" s="6" t="s">
        <v>110</v>
      </c>
      <c r="E300" s="69">
        <v>420</v>
      </c>
      <c r="F300" s="69">
        <v>75</v>
      </c>
      <c r="G300" s="9">
        <f t="shared" si="9"/>
        <v>31500</v>
      </c>
      <c r="H300" s="6" t="s">
        <v>688</v>
      </c>
      <c r="I300" t="str">
        <f t="shared" si="8"/>
        <v>CMH_01-EE-298</v>
      </c>
      <c r="J300" t="str">
        <f>IFERROR(VLOOKUP(C300, مراجع!$A$3:$B$14, 2, FALSE), "")</f>
        <v>EE</v>
      </c>
      <c r="K300" s="36" t="s">
        <v>112</v>
      </c>
    </row>
    <row r="301" spans="1:11" ht="124.2">
      <c r="A301" s="12">
        <v>299</v>
      </c>
      <c r="B301" s="5" t="s">
        <v>595</v>
      </c>
      <c r="C301" s="6" t="s">
        <v>258</v>
      </c>
      <c r="D301" s="6" t="s">
        <v>110</v>
      </c>
      <c r="E301" s="69">
        <v>744</v>
      </c>
      <c r="F301" s="70">
        <v>1146</v>
      </c>
      <c r="G301" s="9">
        <f t="shared" si="9"/>
        <v>852624</v>
      </c>
      <c r="H301" s="6" t="s">
        <v>688</v>
      </c>
      <c r="I301" t="str">
        <f t="shared" si="8"/>
        <v>CMH_01-EE-299</v>
      </c>
      <c r="J301" t="str">
        <f>IFERROR(VLOOKUP(C301, مراجع!$A$3:$B$14, 2, FALSE), "")</f>
        <v>EE</v>
      </c>
      <c r="K301" s="36" t="s">
        <v>112</v>
      </c>
    </row>
    <row r="302" spans="1:11" ht="124.2">
      <c r="A302" s="12">
        <v>300</v>
      </c>
      <c r="B302" s="5" t="s">
        <v>596</v>
      </c>
      <c r="C302" s="6" t="s">
        <v>258</v>
      </c>
      <c r="D302" s="6" t="s">
        <v>110</v>
      </c>
      <c r="E302" s="69">
        <v>14400</v>
      </c>
      <c r="F302" s="71">
        <v>4</v>
      </c>
      <c r="G302" s="9">
        <f t="shared" si="9"/>
        <v>57600</v>
      </c>
      <c r="H302" s="6" t="s">
        <v>688</v>
      </c>
      <c r="I302" t="str">
        <f t="shared" si="8"/>
        <v>CMH_01-EE-300</v>
      </c>
      <c r="J302" t="str">
        <f>IFERROR(VLOOKUP(C302, مراجع!$A$3:$B$14, 2, FALSE), "")</f>
        <v>EE</v>
      </c>
      <c r="K302" s="36" t="s">
        <v>112</v>
      </c>
    </row>
    <row r="303" spans="1:11" ht="124.2">
      <c r="A303" s="12">
        <v>301</v>
      </c>
      <c r="B303" s="5" t="s">
        <v>597</v>
      </c>
      <c r="C303" s="6" t="s">
        <v>258</v>
      </c>
      <c r="D303" s="6" t="s">
        <v>110</v>
      </c>
      <c r="E303" s="69">
        <v>4200</v>
      </c>
      <c r="F303" s="69">
        <v>6</v>
      </c>
      <c r="G303" s="9">
        <f t="shared" si="9"/>
        <v>25200</v>
      </c>
      <c r="H303" s="6" t="s">
        <v>688</v>
      </c>
      <c r="I303" t="str">
        <f t="shared" si="8"/>
        <v>CMH_01-EE-301</v>
      </c>
      <c r="J303" t="str">
        <f>IFERROR(VLOOKUP(C303, مراجع!$A$3:$B$14, 2, FALSE), "")</f>
        <v>EE</v>
      </c>
      <c r="K303" s="36" t="s">
        <v>112</v>
      </c>
    </row>
    <row r="304" spans="1:11" ht="124.2">
      <c r="A304" s="12">
        <v>302</v>
      </c>
      <c r="B304" s="5" t="s">
        <v>598</v>
      </c>
      <c r="C304" s="6" t="s">
        <v>258</v>
      </c>
      <c r="D304" s="6" t="s">
        <v>110</v>
      </c>
      <c r="E304" s="69">
        <v>18000</v>
      </c>
      <c r="F304" s="70">
        <v>3</v>
      </c>
      <c r="G304" s="9">
        <f t="shared" si="9"/>
        <v>54000</v>
      </c>
      <c r="H304" s="6" t="s">
        <v>688</v>
      </c>
      <c r="I304" t="str">
        <f t="shared" si="8"/>
        <v>CMH_01-EE-302</v>
      </c>
      <c r="J304" t="str">
        <f>IFERROR(VLOOKUP(C304, مراجع!$A$3:$B$14, 2, FALSE), "")</f>
        <v>EE</v>
      </c>
      <c r="K304" s="36" t="s">
        <v>112</v>
      </c>
    </row>
    <row r="305" spans="1:11" ht="96.6">
      <c r="A305" s="12">
        <v>303</v>
      </c>
      <c r="B305" s="5" t="s">
        <v>599</v>
      </c>
      <c r="C305" s="6" t="s">
        <v>258</v>
      </c>
      <c r="D305" s="6" t="s">
        <v>110</v>
      </c>
      <c r="E305" s="70">
        <v>216</v>
      </c>
      <c r="F305" s="7">
        <v>226</v>
      </c>
      <c r="G305" s="9">
        <f t="shared" si="9"/>
        <v>48816</v>
      </c>
      <c r="H305" s="6" t="s">
        <v>688</v>
      </c>
      <c r="I305" t="str">
        <f t="shared" si="8"/>
        <v>CMH_01-EE-303</v>
      </c>
      <c r="J305" t="str">
        <f>IFERROR(VLOOKUP(C305, مراجع!$A$3:$B$14, 2, FALSE), "")</f>
        <v>EE</v>
      </c>
      <c r="K305" s="36" t="s">
        <v>112</v>
      </c>
    </row>
    <row r="306" spans="1:11" ht="96.6">
      <c r="A306" s="12">
        <v>304</v>
      </c>
      <c r="B306" s="5" t="s">
        <v>600</v>
      </c>
      <c r="C306" s="6" t="s">
        <v>258</v>
      </c>
      <c r="D306" s="6" t="s">
        <v>110</v>
      </c>
      <c r="E306" s="71">
        <v>216</v>
      </c>
      <c r="F306" s="7">
        <v>490</v>
      </c>
      <c r="G306" s="9">
        <f t="shared" si="9"/>
        <v>105840</v>
      </c>
      <c r="H306" s="6" t="s">
        <v>688</v>
      </c>
      <c r="I306" t="str">
        <f t="shared" si="8"/>
        <v>CMH_01-EE-304</v>
      </c>
      <c r="J306" t="str">
        <f>IFERROR(VLOOKUP(C306, مراجع!$A$3:$B$14, 2, FALSE), "")</f>
        <v>EE</v>
      </c>
      <c r="K306" s="36" t="s">
        <v>112</v>
      </c>
    </row>
    <row r="307" spans="1:11" ht="96.6">
      <c r="A307" s="12">
        <v>305</v>
      </c>
      <c r="B307" s="5" t="s">
        <v>601</v>
      </c>
      <c r="C307" s="6" t="s">
        <v>258</v>
      </c>
      <c r="D307" s="6" t="s">
        <v>110</v>
      </c>
      <c r="E307" s="69">
        <v>120</v>
      </c>
      <c r="F307" s="7">
        <v>108</v>
      </c>
      <c r="G307" s="9">
        <f t="shared" si="9"/>
        <v>12960</v>
      </c>
      <c r="H307" s="6" t="s">
        <v>688</v>
      </c>
      <c r="I307" t="str">
        <f t="shared" si="8"/>
        <v>CMH_01-EE-305</v>
      </c>
      <c r="J307" t="str">
        <f>IFERROR(VLOOKUP(C307, مراجع!$A$3:$B$14, 2, FALSE), "")</f>
        <v>EE</v>
      </c>
      <c r="K307" s="36" t="s">
        <v>112</v>
      </c>
    </row>
    <row r="308" spans="1:11" ht="96.6">
      <c r="A308" s="12">
        <v>306</v>
      </c>
      <c r="B308" s="5" t="s">
        <v>602</v>
      </c>
      <c r="C308" s="6" t="s">
        <v>258</v>
      </c>
      <c r="D308" s="6" t="s">
        <v>110</v>
      </c>
      <c r="E308" s="70">
        <v>216</v>
      </c>
      <c r="F308" s="7">
        <v>66</v>
      </c>
      <c r="G308" s="9">
        <f t="shared" si="9"/>
        <v>14256</v>
      </c>
      <c r="H308" s="6" t="s">
        <v>688</v>
      </c>
      <c r="I308" t="str">
        <f t="shared" si="8"/>
        <v>CMH_01-EE-306</v>
      </c>
      <c r="J308" t="str">
        <f>IFERROR(VLOOKUP(C308, مراجع!$A$3:$B$14, 2, FALSE), "")</f>
        <v>EE</v>
      </c>
      <c r="K308" s="36" t="s">
        <v>112</v>
      </c>
    </row>
    <row r="309" spans="1:11" ht="41.4">
      <c r="A309" s="12">
        <v>307</v>
      </c>
      <c r="B309" s="5" t="s">
        <v>603</v>
      </c>
      <c r="C309" s="6" t="s">
        <v>258</v>
      </c>
      <c r="D309" s="6" t="s">
        <v>110</v>
      </c>
      <c r="E309" s="71">
        <v>300</v>
      </c>
      <c r="F309" s="7">
        <v>77</v>
      </c>
      <c r="G309" s="9">
        <f t="shared" si="9"/>
        <v>23100</v>
      </c>
      <c r="H309" s="6" t="s">
        <v>688</v>
      </c>
      <c r="I309" t="str">
        <f t="shared" si="8"/>
        <v>CMH_01-EE-307</v>
      </c>
      <c r="J309" t="str">
        <f>IFERROR(VLOOKUP(C309, مراجع!$A$3:$B$14, 2, FALSE), "")</f>
        <v>EE</v>
      </c>
      <c r="K309" s="36" t="s">
        <v>112</v>
      </c>
    </row>
    <row r="310" spans="1:11" ht="151.80000000000001">
      <c r="A310" s="12">
        <v>308</v>
      </c>
      <c r="B310" s="5" t="s">
        <v>604</v>
      </c>
      <c r="C310" s="6" t="s">
        <v>258</v>
      </c>
      <c r="D310" s="6" t="s">
        <v>110</v>
      </c>
      <c r="E310" s="69">
        <v>28800</v>
      </c>
      <c r="F310" s="7">
        <v>1</v>
      </c>
      <c r="G310" s="9">
        <f t="shared" si="9"/>
        <v>28800</v>
      </c>
      <c r="H310" s="6" t="s">
        <v>688</v>
      </c>
      <c r="I310" t="str">
        <f t="shared" si="8"/>
        <v>CMH_01-EE-308</v>
      </c>
      <c r="J310" t="str">
        <f>IFERROR(VLOOKUP(C310, مراجع!$A$3:$B$14, 2, FALSE), "")</f>
        <v>EE</v>
      </c>
      <c r="K310" s="36" t="s">
        <v>112</v>
      </c>
    </row>
    <row r="311" spans="1:11" ht="27.6">
      <c r="A311" s="12">
        <v>309</v>
      </c>
      <c r="B311" s="5" t="s">
        <v>605</v>
      </c>
      <c r="C311" s="6" t="s">
        <v>258</v>
      </c>
      <c r="D311" s="6" t="s">
        <v>110</v>
      </c>
      <c r="E311" s="69">
        <v>276</v>
      </c>
      <c r="F311" s="7">
        <v>715</v>
      </c>
      <c r="G311" s="9">
        <f t="shared" si="9"/>
        <v>197340</v>
      </c>
      <c r="H311" s="6" t="s">
        <v>688</v>
      </c>
      <c r="I311" t="str">
        <f t="shared" si="8"/>
        <v>CMH_01-EE-309</v>
      </c>
      <c r="J311" t="str">
        <f>IFERROR(VLOOKUP(C311, مراجع!$A$3:$B$14, 2, FALSE), "")</f>
        <v>EE</v>
      </c>
      <c r="K311" s="36" t="s">
        <v>112</v>
      </c>
    </row>
    <row r="312" spans="1:11" ht="27.6">
      <c r="A312" s="12">
        <v>310</v>
      </c>
      <c r="B312" s="5" t="s">
        <v>606</v>
      </c>
      <c r="C312" s="6" t="s">
        <v>258</v>
      </c>
      <c r="D312" s="6" t="s">
        <v>110</v>
      </c>
      <c r="E312" s="69">
        <v>300</v>
      </c>
      <c r="F312" s="7">
        <v>13</v>
      </c>
      <c r="G312" s="9">
        <f t="shared" si="9"/>
        <v>3900</v>
      </c>
      <c r="H312" s="6" t="s">
        <v>688</v>
      </c>
      <c r="I312" t="str">
        <f t="shared" si="8"/>
        <v>CMH_01-EE-310</v>
      </c>
      <c r="J312" t="str">
        <f>IFERROR(VLOOKUP(C312, مراجع!$A$3:$B$14, 2, FALSE), "")</f>
        <v>EE</v>
      </c>
      <c r="K312" s="36" t="s">
        <v>112</v>
      </c>
    </row>
    <row r="313" spans="1:11" ht="27.6">
      <c r="A313" s="12">
        <v>311</v>
      </c>
      <c r="B313" s="5" t="s">
        <v>607</v>
      </c>
      <c r="C313" s="6" t="s">
        <v>258</v>
      </c>
      <c r="D313" s="6" t="s">
        <v>110</v>
      </c>
      <c r="E313" s="69">
        <v>384</v>
      </c>
      <c r="F313" s="7">
        <v>54</v>
      </c>
      <c r="G313" s="9">
        <f t="shared" si="9"/>
        <v>20736</v>
      </c>
      <c r="H313" s="6" t="s">
        <v>688</v>
      </c>
      <c r="I313" t="str">
        <f t="shared" si="8"/>
        <v>CMH_01-EE-311</v>
      </c>
      <c r="J313" t="str">
        <f>IFERROR(VLOOKUP(C313, مراجع!$A$3:$B$14, 2, FALSE), "")</f>
        <v>EE</v>
      </c>
      <c r="K313" s="36" t="s">
        <v>112</v>
      </c>
    </row>
    <row r="314" spans="1:11" ht="27.6">
      <c r="A314" s="12">
        <v>312</v>
      </c>
      <c r="B314" s="5" t="s">
        <v>608</v>
      </c>
      <c r="C314" s="6" t="s">
        <v>258</v>
      </c>
      <c r="D314" s="6" t="s">
        <v>110</v>
      </c>
      <c r="E314" s="70">
        <v>108</v>
      </c>
      <c r="F314" s="7">
        <v>46</v>
      </c>
      <c r="G314" s="9">
        <f t="shared" si="9"/>
        <v>4968</v>
      </c>
      <c r="H314" s="6" t="s">
        <v>688</v>
      </c>
      <c r="I314" t="str">
        <f t="shared" si="8"/>
        <v>CMH_01-EE-312</v>
      </c>
      <c r="J314" t="str">
        <f>IFERROR(VLOOKUP(C314, مراجع!$A$3:$B$14, 2, FALSE), "")</f>
        <v>EE</v>
      </c>
      <c r="K314" s="36" t="s">
        <v>112</v>
      </c>
    </row>
    <row r="315" spans="1:11" ht="27.6">
      <c r="A315" s="12">
        <v>313</v>
      </c>
      <c r="B315" s="5" t="s">
        <v>609</v>
      </c>
      <c r="C315" s="6" t="s">
        <v>258</v>
      </c>
      <c r="D315" s="6" t="s">
        <v>110</v>
      </c>
      <c r="E315" s="7">
        <v>420</v>
      </c>
      <c r="F315" s="7">
        <v>69</v>
      </c>
      <c r="G315" s="9">
        <f t="shared" si="9"/>
        <v>28980</v>
      </c>
      <c r="H315" s="6" t="s">
        <v>688</v>
      </c>
      <c r="I315" t="str">
        <f t="shared" si="8"/>
        <v>CMH_01-EE-313</v>
      </c>
      <c r="J315" t="str">
        <f>IFERROR(VLOOKUP(C315, مراجع!$A$3:$B$14, 2, FALSE), "")</f>
        <v>EE</v>
      </c>
      <c r="K315" s="36" t="s">
        <v>112</v>
      </c>
    </row>
    <row r="316" spans="1:11">
      <c r="A316" s="12">
        <v>314</v>
      </c>
      <c r="B316" s="5" t="s">
        <v>610</v>
      </c>
      <c r="C316" s="6" t="s">
        <v>258</v>
      </c>
      <c r="D316" s="6" t="s">
        <v>110</v>
      </c>
      <c r="E316" s="7">
        <v>576</v>
      </c>
      <c r="F316" s="7">
        <v>24</v>
      </c>
      <c r="G316" s="9">
        <f t="shared" si="9"/>
        <v>13824</v>
      </c>
      <c r="H316" s="6" t="s">
        <v>688</v>
      </c>
      <c r="I316" t="str">
        <f t="shared" si="8"/>
        <v>CMH_01-EE-314</v>
      </c>
      <c r="J316" t="str">
        <f>IFERROR(VLOOKUP(C316, مراجع!$A$3:$B$14, 2, FALSE), "")</f>
        <v>EE</v>
      </c>
      <c r="K316" s="36" t="s">
        <v>112</v>
      </c>
    </row>
    <row r="317" spans="1:11" ht="27.6">
      <c r="A317" s="12">
        <v>315</v>
      </c>
      <c r="B317" s="5" t="s">
        <v>611</v>
      </c>
      <c r="C317" s="6" t="s">
        <v>258</v>
      </c>
      <c r="D317" s="6" t="s">
        <v>110</v>
      </c>
      <c r="E317" s="7">
        <v>960</v>
      </c>
      <c r="F317" s="7">
        <v>24</v>
      </c>
      <c r="G317" s="9">
        <f t="shared" si="9"/>
        <v>23040</v>
      </c>
      <c r="H317" s="6" t="s">
        <v>688</v>
      </c>
      <c r="I317" t="str">
        <f t="shared" si="8"/>
        <v>CMH_01-EE-315</v>
      </c>
      <c r="J317" t="str">
        <f>IFERROR(VLOOKUP(C317, مراجع!$A$3:$B$14, 2, FALSE), "")</f>
        <v>EE</v>
      </c>
      <c r="K317" s="36" t="s">
        <v>112</v>
      </c>
    </row>
    <row r="318" spans="1:11" ht="27.6">
      <c r="A318" s="12">
        <v>316</v>
      </c>
      <c r="B318" s="5" t="s">
        <v>612</v>
      </c>
      <c r="C318" s="6" t="s">
        <v>258</v>
      </c>
      <c r="D318" s="6" t="s">
        <v>110</v>
      </c>
      <c r="E318" s="7">
        <v>1080</v>
      </c>
      <c r="F318" s="7">
        <v>181</v>
      </c>
      <c r="G318" s="9">
        <f t="shared" si="9"/>
        <v>195480</v>
      </c>
      <c r="H318" s="6" t="s">
        <v>688</v>
      </c>
      <c r="I318" t="str">
        <f t="shared" si="8"/>
        <v>CMH_01-EE-316</v>
      </c>
      <c r="J318" t="str">
        <f>IFERROR(VLOOKUP(C318, مراجع!$A$3:$B$14, 2, FALSE), "")</f>
        <v>EE</v>
      </c>
      <c r="K318" s="36" t="s">
        <v>112</v>
      </c>
    </row>
    <row r="319" spans="1:11" ht="69">
      <c r="A319" s="12">
        <v>317</v>
      </c>
      <c r="B319" s="5" t="s">
        <v>613</v>
      </c>
      <c r="C319" s="6" t="s">
        <v>258</v>
      </c>
      <c r="D319" s="6" t="s">
        <v>110</v>
      </c>
      <c r="E319" s="7">
        <v>2640</v>
      </c>
      <c r="F319" s="7">
        <v>258</v>
      </c>
      <c r="G319" s="9">
        <f t="shared" si="9"/>
        <v>681120</v>
      </c>
      <c r="H319" s="6" t="s">
        <v>688</v>
      </c>
      <c r="I319" t="str">
        <f t="shared" si="8"/>
        <v>CMH_01-EE-317</v>
      </c>
      <c r="J319" t="str">
        <f>IFERROR(VLOOKUP(C319, مراجع!$A$3:$B$14, 2, FALSE), "")</f>
        <v>EE</v>
      </c>
      <c r="K319" s="36" t="s">
        <v>112</v>
      </c>
    </row>
    <row r="320" spans="1:11" ht="110.4">
      <c r="A320" s="12">
        <v>318</v>
      </c>
      <c r="B320" s="5" t="s">
        <v>614</v>
      </c>
      <c r="C320" s="6" t="s">
        <v>258</v>
      </c>
      <c r="D320" s="6" t="s">
        <v>110</v>
      </c>
      <c r="E320" s="71">
        <v>2904</v>
      </c>
      <c r="F320" s="7">
        <v>120</v>
      </c>
      <c r="G320" s="9">
        <f t="shared" si="9"/>
        <v>348480</v>
      </c>
      <c r="H320" s="6" t="s">
        <v>688</v>
      </c>
      <c r="I320" t="str">
        <f t="shared" si="8"/>
        <v>CMH_01-EE-318</v>
      </c>
      <c r="J320" t="str">
        <f>IFERROR(VLOOKUP(C320, مراجع!$A$3:$B$14, 2, FALSE), "")</f>
        <v>EE</v>
      </c>
      <c r="K320" s="36" t="s">
        <v>112</v>
      </c>
    </row>
    <row r="321" spans="1:11" ht="138">
      <c r="A321" s="12">
        <v>319</v>
      </c>
      <c r="B321" s="5" t="s">
        <v>615</v>
      </c>
      <c r="C321" s="6" t="s">
        <v>258</v>
      </c>
      <c r="D321" s="6" t="s">
        <v>110</v>
      </c>
      <c r="E321" s="70">
        <v>990</v>
      </c>
      <c r="F321" s="7">
        <v>182</v>
      </c>
      <c r="G321" s="9">
        <f t="shared" si="9"/>
        <v>180180</v>
      </c>
      <c r="H321" s="6" t="s">
        <v>688</v>
      </c>
      <c r="I321" t="str">
        <f t="shared" si="8"/>
        <v>CMH_01-EE-319</v>
      </c>
      <c r="J321" t="str">
        <f>IFERROR(VLOOKUP(C321, مراجع!$A$3:$B$14, 2, FALSE), "")</f>
        <v>EE</v>
      </c>
      <c r="K321" s="36" t="s">
        <v>112</v>
      </c>
    </row>
    <row r="322" spans="1:11" ht="138">
      <c r="A322" s="12">
        <v>320</v>
      </c>
      <c r="B322" s="5" t="s">
        <v>616</v>
      </c>
      <c r="C322" s="6" t="s">
        <v>258</v>
      </c>
      <c r="D322" s="6" t="s">
        <v>110</v>
      </c>
      <c r="E322" s="71">
        <v>72</v>
      </c>
      <c r="F322" s="7">
        <v>500</v>
      </c>
      <c r="G322" s="9">
        <f t="shared" si="9"/>
        <v>36000</v>
      </c>
      <c r="H322" s="6" t="s">
        <v>688</v>
      </c>
      <c r="I322" t="str">
        <f t="shared" ref="I322:I385" si="10">IF(AND(B322&lt;&gt;"", J322&lt;&gt;""), "CMH_01-" &amp; J322 &amp; "-" &amp; TEXT(A322, "000"), "")</f>
        <v>CMH_01-EE-320</v>
      </c>
      <c r="J322" t="str">
        <f>IFERROR(VLOOKUP(C322, مراجع!$A$3:$B$14, 2, FALSE), "")</f>
        <v>EE</v>
      </c>
      <c r="K322" s="36" t="s">
        <v>112</v>
      </c>
    </row>
    <row r="323" spans="1:11" ht="138">
      <c r="A323" s="12">
        <v>321</v>
      </c>
      <c r="B323" s="5" t="s">
        <v>617</v>
      </c>
      <c r="C323" s="6" t="s">
        <v>258</v>
      </c>
      <c r="D323" s="6" t="s">
        <v>110</v>
      </c>
      <c r="E323" s="70">
        <v>948</v>
      </c>
      <c r="F323" s="7">
        <v>116</v>
      </c>
      <c r="G323" s="9">
        <f t="shared" ref="G323:G386" si="11">IF(AND(E323&lt;&gt;"",F323&lt;&gt;""), E323*F323, "")</f>
        <v>109968</v>
      </c>
      <c r="H323" s="6" t="s">
        <v>688</v>
      </c>
      <c r="I323" t="str">
        <f t="shared" si="10"/>
        <v>CMH_01-EE-321</v>
      </c>
      <c r="J323" t="str">
        <f>IFERROR(VLOOKUP(C323, مراجع!$A$3:$B$14, 2, FALSE), "")</f>
        <v>EE</v>
      </c>
      <c r="K323" s="36" t="s">
        <v>112</v>
      </c>
    </row>
    <row r="324" spans="1:11" ht="138">
      <c r="A324" s="12">
        <v>322</v>
      </c>
      <c r="B324" s="5" t="s">
        <v>618</v>
      </c>
      <c r="C324" s="6" t="s">
        <v>258</v>
      </c>
      <c r="D324" s="6" t="s">
        <v>110</v>
      </c>
      <c r="E324" s="7">
        <v>1380</v>
      </c>
      <c r="F324" s="7">
        <v>95</v>
      </c>
      <c r="G324" s="9">
        <f t="shared" si="11"/>
        <v>131100</v>
      </c>
      <c r="H324" s="6" t="s">
        <v>688</v>
      </c>
      <c r="I324" t="str">
        <f t="shared" si="10"/>
        <v>CMH_01-EE-322</v>
      </c>
      <c r="J324" t="str">
        <f>IFERROR(VLOOKUP(C324, مراجع!$A$3:$B$14, 2, FALSE), "")</f>
        <v>EE</v>
      </c>
      <c r="K324" s="36" t="s">
        <v>112</v>
      </c>
    </row>
    <row r="325" spans="1:11" ht="138">
      <c r="A325" s="12">
        <v>323</v>
      </c>
      <c r="B325" s="5" t="s">
        <v>619</v>
      </c>
      <c r="C325" s="6" t="s">
        <v>258</v>
      </c>
      <c r="D325" s="6" t="s">
        <v>110</v>
      </c>
      <c r="E325" s="7">
        <v>606</v>
      </c>
      <c r="F325" s="7">
        <v>218</v>
      </c>
      <c r="G325" s="9">
        <f t="shared" si="11"/>
        <v>132108</v>
      </c>
      <c r="H325" s="6" t="s">
        <v>688</v>
      </c>
      <c r="I325" t="str">
        <f t="shared" si="10"/>
        <v>CMH_01-EE-323</v>
      </c>
      <c r="J325" t="str">
        <f>IFERROR(VLOOKUP(C325, مراجع!$A$3:$B$14, 2, FALSE), "")</f>
        <v>EE</v>
      </c>
      <c r="K325" s="36" t="s">
        <v>112</v>
      </c>
    </row>
    <row r="326" spans="1:11" ht="110.4">
      <c r="A326" s="12">
        <v>324</v>
      </c>
      <c r="B326" s="5" t="s">
        <v>620</v>
      </c>
      <c r="C326" s="6" t="s">
        <v>258</v>
      </c>
      <c r="D326" s="6" t="s">
        <v>110</v>
      </c>
      <c r="E326" s="7">
        <v>420</v>
      </c>
      <c r="F326" s="7">
        <v>252</v>
      </c>
      <c r="G326" s="9">
        <f t="shared" si="11"/>
        <v>105840</v>
      </c>
      <c r="H326" s="6" t="s">
        <v>688</v>
      </c>
      <c r="I326" t="str">
        <f t="shared" si="10"/>
        <v>CMH_01-EE-324</v>
      </c>
      <c r="J326" t="str">
        <f>IFERROR(VLOOKUP(C326, مراجع!$A$3:$B$14, 2, FALSE), "")</f>
        <v>EE</v>
      </c>
      <c r="K326" s="36" t="s">
        <v>112</v>
      </c>
    </row>
    <row r="327" spans="1:11" ht="96.6">
      <c r="A327" s="12">
        <v>325</v>
      </c>
      <c r="B327" s="5" t="s">
        <v>621</v>
      </c>
      <c r="C327" s="6" t="s">
        <v>258</v>
      </c>
      <c r="D327" s="6" t="s">
        <v>110</v>
      </c>
      <c r="E327" s="7">
        <v>90000</v>
      </c>
      <c r="F327" s="7">
        <v>1</v>
      </c>
      <c r="G327" s="9">
        <f t="shared" si="11"/>
        <v>90000</v>
      </c>
      <c r="H327" s="6" t="s">
        <v>688</v>
      </c>
      <c r="I327" t="str">
        <f t="shared" si="10"/>
        <v>CMH_01-EE-325</v>
      </c>
      <c r="J327" t="str">
        <f>IFERROR(VLOOKUP(C327, مراجع!$A$3:$B$14, 2, FALSE), "")</f>
        <v>EE</v>
      </c>
      <c r="K327" s="36" t="s">
        <v>112</v>
      </c>
    </row>
    <row r="328" spans="1:11" ht="124.2">
      <c r="A328" s="12">
        <v>326</v>
      </c>
      <c r="B328" s="5" t="s">
        <v>622</v>
      </c>
      <c r="C328" s="6" t="s">
        <v>258</v>
      </c>
      <c r="D328" s="6" t="s">
        <v>110</v>
      </c>
      <c r="E328" s="7">
        <v>14400</v>
      </c>
      <c r="F328" s="7">
        <v>15</v>
      </c>
      <c r="G328" s="9">
        <f t="shared" si="11"/>
        <v>216000</v>
      </c>
      <c r="H328" s="6" t="s">
        <v>688</v>
      </c>
      <c r="I328" t="str">
        <f t="shared" si="10"/>
        <v>CMH_01-EE-326</v>
      </c>
      <c r="J328" t="str">
        <f>IFERROR(VLOOKUP(C328, مراجع!$A$3:$B$14, 2, FALSE), "")</f>
        <v>EE</v>
      </c>
      <c r="K328" s="36" t="s">
        <v>112</v>
      </c>
    </row>
    <row r="329" spans="1:11" ht="151.80000000000001">
      <c r="A329" s="12">
        <v>327</v>
      </c>
      <c r="B329" s="5" t="s">
        <v>623</v>
      </c>
      <c r="C329" s="6" t="s">
        <v>258</v>
      </c>
      <c r="D329" s="6" t="s">
        <v>110</v>
      </c>
      <c r="E329" s="7">
        <v>432</v>
      </c>
      <c r="F329" s="7">
        <v>206</v>
      </c>
      <c r="G329" s="9">
        <f t="shared" si="11"/>
        <v>88992</v>
      </c>
      <c r="H329" s="6" t="s">
        <v>688</v>
      </c>
      <c r="I329" t="str">
        <f t="shared" si="10"/>
        <v>CMH_01-EE-327</v>
      </c>
      <c r="J329" t="str">
        <f>IFERROR(VLOOKUP(C329, مراجع!$A$3:$B$14, 2, FALSE), "")</f>
        <v>EE</v>
      </c>
      <c r="K329" s="36" t="s">
        <v>112</v>
      </c>
    </row>
    <row r="330" spans="1:11" ht="138">
      <c r="A330" s="12">
        <v>328</v>
      </c>
      <c r="B330" s="5" t="s">
        <v>625</v>
      </c>
      <c r="C330" s="6" t="s">
        <v>258</v>
      </c>
      <c r="D330" s="6" t="s">
        <v>110</v>
      </c>
      <c r="E330" s="7">
        <v>540</v>
      </c>
      <c r="F330" s="7">
        <v>33</v>
      </c>
      <c r="G330" s="9">
        <f t="shared" si="11"/>
        <v>17820</v>
      </c>
      <c r="H330" s="6" t="s">
        <v>688</v>
      </c>
      <c r="I330" t="str">
        <f t="shared" si="10"/>
        <v>CMH_01-EE-328</v>
      </c>
      <c r="J330" t="str">
        <f>IFERROR(VLOOKUP(C330, مراجع!$A$3:$B$14, 2, FALSE), "")</f>
        <v>EE</v>
      </c>
      <c r="K330" s="36" t="s">
        <v>112</v>
      </c>
    </row>
    <row r="331" spans="1:11" ht="138">
      <c r="A331" s="12">
        <v>329</v>
      </c>
      <c r="B331" s="5" t="s">
        <v>624</v>
      </c>
      <c r="C331" s="6" t="s">
        <v>258</v>
      </c>
      <c r="D331" s="6" t="s">
        <v>110</v>
      </c>
      <c r="E331" s="7">
        <v>420</v>
      </c>
      <c r="F331" s="7">
        <v>1</v>
      </c>
      <c r="G331" s="9">
        <f t="shared" si="11"/>
        <v>420</v>
      </c>
      <c r="H331" s="6" t="s">
        <v>688</v>
      </c>
      <c r="I331" t="str">
        <f t="shared" si="10"/>
        <v>CMH_01-EE-329</v>
      </c>
      <c r="J331" t="str">
        <f>IFERROR(VLOOKUP(C331, مراجع!$A$3:$B$14, 2, FALSE), "")</f>
        <v>EE</v>
      </c>
      <c r="K331" s="36" t="s">
        <v>112</v>
      </c>
    </row>
    <row r="332" spans="1:11" ht="55.2">
      <c r="A332" s="12">
        <v>330</v>
      </c>
      <c r="B332" s="5" t="s">
        <v>626</v>
      </c>
      <c r="C332" s="6" t="s">
        <v>258</v>
      </c>
      <c r="D332" s="6" t="s">
        <v>110</v>
      </c>
      <c r="E332" s="7">
        <v>66000</v>
      </c>
      <c r="F332" s="7">
        <v>12</v>
      </c>
      <c r="G332" s="9">
        <f t="shared" si="11"/>
        <v>792000</v>
      </c>
      <c r="H332" s="6" t="s">
        <v>688</v>
      </c>
      <c r="I332" t="str">
        <f t="shared" si="10"/>
        <v>CMH_01-EE-330</v>
      </c>
      <c r="J332" t="str">
        <f>IFERROR(VLOOKUP(C332, مراجع!$A$3:$B$14, 2, FALSE), "")</f>
        <v>EE</v>
      </c>
      <c r="K332" s="36" t="s">
        <v>112</v>
      </c>
    </row>
    <row r="333" spans="1:11" ht="41.4">
      <c r="A333" s="12">
        <v>331</v>
      </c>
      <c r="B333" s="5" t="s">
        <v>627</v>
      </c>
      <c r="C333" s="6" t="s">
        <v>258</v>
      </c>
      <c r="D333" s="6" t="s">
        <v>110</v>
      </c>
      <c r="E333" s="7">
        <v>2640</v>
      </c>
      <c r="F333" s="7">
        <v>12</v>
      </c>
      <c r="G333" s="9">
        <f t="shared" si="11"/>
        <v>31680</v>
      </c>
      <c r="H333" s="6" t="s">
        <v>688</v>
      </c>
      <c r="I333" t="str">
        <f t="shared" si="10"/>
        <v>CMH_01-EE-331</v>
      </c>
      <c r="J333" t="str">
        <f>IFERROR(VLOOKUP(C333, مراجع!$A$3:$B$14, 2, FALSE), "")</f>
        <v>EE</v>
      </c>
      <c r="K333" s="36" t="s">
        <v>112</v>
      </c>
    </row>
    <row r="334" spans="1:11" ht="27.6">
      <c r="A334" s="12">
        <v>332</v>
      </c>
      <c r="B334" s="5" t="s">
        <v>628</v>
      </c>
      <c r="C334" s="6" t="s">
        <v>258</v>
      </c>
      <c r="D334" s="6" t="s">
        <v>110</v>
      </c>
      <c r="E334" s="7">
        <v>2400</v>
      </c>
      <c r="F334" s="7">
        <v>55</v>
      </c>
      <c r="G334" s="9">
        <f t="shared" si="11"/>
        <v>132000</v>
      </c>
      <c r="H334" s="6" t="s">
        <v>688</v>
      </c>
      <c r="I334" t="str">
        <f t="shared" si="10"/>
        <v>CMH_01-EE-332</v>
      </c>
      <c r="J334" t="str">
        <f>IFERROR(VLOOKUP(C334, مراجع!$A$3:$B$14, 2, FALSE), "")</f>
        <v>EE</v>
      </c>
      <c r="K334" s="36" t="s">
        <v>112</v>
      </c>
    </row>
    <row r="335" spans="1:11" ht="96.6">
      <c r="A335" s="12">
        <v>333</v>
      </c>
      <c r="B335" s="5" t="s">
        <v>629</v>
      </c>
      <c r="C335" s="6" t="s">
        <v>258</v>
      </c>
      <c r="D335" s="6" t="s">
        <v>110</v>
      </c>
      <c r="E335" s="7">
        <v>14400</v>
      </c>
      <c r="F335" s="7">
        <v>6</v>
      </c>
      <c r="G335" s="9">
        <f t="shared" si="11"/>
        <v>86400</v>
      </c>
      <c r="H335" s="6" t="s">
        <v>688</v>
      </c>
      <c r="I335" t="str">
        <f t="shared" si="10"/>
        <v>CMH_01-EE-333</v>
      </c>
      <c r="J335" t="str">
        <f>IFERROR(VLOOKUP(C335, مراجع!$A$3:$B$14, 2, FALSE), "")</f>
        <v>EE</v>
      </c>
      <c r="K335" s="36" t="s">
        <v>112</v>
      </c>
    </row>
    <row r="336" spans="1:11" ht="41.4">
      <c r="A336" s="12">
        <v>334</v>
      </c>
      <c r="B336" s="5" t="s">
        <v>630</v>
      </c>
      <c r="C336" s="6" t="s">
        <v>248</v>
      </c>
      <c r="D336" s="6" t="s">
        <v>685</v>
      </c>
      <c r="E336" s="7">
        <v>16.523</v>
      </c>
      <c r="F336" s="7">
        <v>0</v>
      </c>
      <c r="G336" s="9">
        <f t="shared" si="11"/>
        <v>0</v>
      </c>
      <c r="H336" s="6" t="s">
        <v>688</v>
      </c>
      <c r="I336" t="str">
        <f t="shared" si="10"/>
        <v>CMH_01-A-334</v>
      </c>
      <c r="J336" t="str">
        <f>IFERROR(VLOOKUP(C336, مراجع!$A$3:$B$14, 2, FALSE), "")</f>
        <v>A</v>
      </c>
      <c r="K336" s="36" t="s">
        <v>112</v>
      </c>
    </row>
    <row r="337" spans="1:11" ht="82.8">
      <c r="A337" s="12">
        <v>335</v>
      </c>
      <c r="B337" s="5" t="s">
        <v>631</v>
      </c>
      <c r="C337" s="6" t="s">
        <v>251</v>
      </c>
      <c r="D337" s="6" t="s">
        <v>687</v>
      </c>
      <c r="E337" s="7">
        <v>1600</v>
      </c>
      <c r="F337" s="7">
        <v>0</v>
      </c>
      <c r="G337" s="9">
        <f t="shared" si="11"/>
        <v>0</v>
      </c>
      <c r="H337" s="6" t="s">
        <v>688</v>
      </c>
      <c r="I337" t="str">
        <f t="shared" si="10"/>
        <v>CMH_01-C-335</v>
      </c>
      <c r="J337" t="str">
        <f>IFERROR(VLOOKUP(C337, مراجع!$A$3:$B$14, 2, FALSE), "")</f>
        <v>C</v>
      </c>
      <c r="K337" s="36" t="s">
        <v>112</v>
      </c>
    </row>
    <row r="338" spans="1:11">
      <c r="A338" s="12">
        <v>336</v>
      </c>
      <c r="B338" s="5" t="s">
        <v>632</v>
      </c>
      <c r="C338" s="6" t="s">
        <v>251</v>
      </c>
      <c r="D338" s="6" t="s">
        <v>686</v>
      </c>
      <c r="E338" s="7">
        <v>6702</v>
      </c>
      <c r="F338" s="7">
        <v>0</v>
      </c>
      <c r="G338" s="9">
        <f t="shared" si="11"/>
        <v>0</v>
      </c>
      <c r="H338" s="6" t="s">
        <v>688</v>
      </c>
      <c r="I338" t="str">
        <f t="shared" si="10"/>
        <v>CMH_01-C-336</v>
      </c>
      <c r="J338" t="str">
        <f>IFERROR(VLOOKUP(C338, مراجع!$A$3:$B$14, 2, FALSE), "")</f>
        <v>C</v>
      </c>
      <c r="K338" s="36" t="s">
        <v>112</v>
      </c>
    </row>
    <row r="339" spans="1:11">
      <c r="A339" s="12">
        <v>337</v>
      </c>
      <c r="B339" s="5" t="s">
        <v>635</v>
      </c>
      <c r="C339" s="6" t="s">
        <v>251</v>
      </c>
      <c r="D339" s="6" t="s">
        <v>686</v>
      </c>
      <c r="E339" s="7">
        <v>5173</v>
      </c>
      <c r="F339" s="7">
        <v>0</v>
      </c>
      <c r="G339" s="9">
        <f t="shared" si="11"/>
        <v>0</v>
      </c>
      <c r="H339" s="6" t="s">
        <v>688</v>
      </c>
      <c r="I339" t="str">
        <f t="shared" si="10"/>
        <v>CMH_01-C-337</v>
      </c>
      <c r="J339" t="str">
        <f>IFERROR(VLOOKUP(C339, مراجع!$A$3:$B$14, 2, FALSE), "")</f>
        <v>C</v>
      </c>
      <c r="K339" s="36" t="s">
        <v>112</v>
      </c>
    </row>
    <row r="340" spans="1:11" ht="25.95" customHeight="1">
      <c r="A340" s="12">
        <v>338</v>
      </c>
      <c r="B340" s="5" t="s">
        <v>634</v>
      </c>
      <c r="C340" s="6" t="s">
        <v>253</v>
      </c>
      <c r="D340" s="6" t="s">
        <v>110</v>
      </c>
      <c r="E340" s="7">
        <v>6392</v>
      </c>
      <c r="F340" s="7">
        <v>0</v>
      </c>
      <c r="G340" s="9">
        <f t="shared" si="11"/>
        <v>0</v>
      </c>
      <c r="H340" s="6" t="s">
        <v>688</v>
      </c>
      <c r="I340" t="str">
        <f t="shared" si="10"/>
        <v>CMH_01-ME-338</v>
      </c>
      <c r="J340" t="str">
        <f>IFERROR(VLOOKUP(C340, مراجع!$A$3:$B$14, 2, FALSE), "")</f>
        <v>ME</v>
      </c>
      <c r="K340" s="36" t="s">
        <v>112</v>
      </c>
    </row>
    <row r="341" spans="1:11" ht="25.95" customHeight="1">
      <c r="A341" s="12">
        <v>339</v>
      </c>
      <c r="B341" s="5" t="s">
        <v>633</v>
      </c>
      <c r="C341" s="6" t="s">
        <v>258</v>
      </c>
      <c r="D341" s="6" t="s">
        <v>686</v>
      </c>
      <c r="E341" s="7">
        <v>1275.5</v>
      </c>
      <c r="F341" s="7">
        <v>0</v>
      </c>
      <c r="G341" s="9">
        <f t="shared" si="11"/>
        <v>0</v>
      </c>
      <c r="H341" s="6" t="s">
        <v>688</v>
      </c>
      <c r="I341" t="str">
        <f t="shared" si="10"/>
        <v>CMH_01-EE-339</v>
      </c>
      <c r="J341" t="str">
        <f>IFERROR(VLOOKUP(C341, مراجع!$A$3:$B$14, 2, FALSE), "")</f>
        <v>EE</v>
      </c>
      <c r="K341" s="36" t="s">
        <v>112</v>
      </c>
    </row>
    <row r="342" spans="1:11" ht="25.95" customHeight="1">
      <c r="A342" s="12">
        <v>340</v>
      </c>
      <c r="B342" s="5" t="s">
        <v>636</v>
      </c>
      <c r="C342" s="6" t="s">
        <v>251</v>
      </c>
      <c r="D342" s="6" t="s">
        <v>686</v>
      </c>
      <c r="E342" s="7">
        <v>69.42</v>
      </c>
      <c r="F342" s="7">
        <v>0</v>
      </c>
      <c r="G342" s="9">
        <f t="shared" si="11"/>
        <v>0</v>
      </c>
      <c r="H342" s="6" t="s">
        <v>688</v>
      </c>
      <c r="I342" t="str">
        <f t="shared" si="10"/>
        <v>CMH_01-C-340</v>
      </c>
      <c r="J342" t="str">
        <f>IFERROR(VLOOKUP(C342, مراجع!$A$3:$B$14, 2, FALSE), "")</f>
        <v>C</v>
      </c>
      <c r="K342" s="36" t="s">
        <v>112</v>
      </c>
    </row>
    <row r="343" spans="1:11" ht="41.4">
      <c r="A343" s="12">
        <v>341</v>
      </c>
      <c r="B343" s="5" t="s">
        <v>637</v>
      </c>
      <c r="C343" s="6" t="s">
        <v>253</v>
      </c>
      <c r="D343" s="6" t="s">
        <v>685</v>
      </c>
      <c r="E343" s="7">
        <v>20.88</v>
      </c>
      <c r="F343" s="7">
        <v>0</v>
      </c>
      <c r="G343" s="9">
        <f t="shared" si="11"/>
        <v>0</v>
      </c>
      <c r="H343" s="6" t="s">
        <v>688</v>
      </c>
      <c r="I343" t="str">
        <f t="shared" si="10"/>
        <v>CMH_01-ME-341</v>
      </c>
      <c r="J343" t="str">
        <f>IFERROR(VLOOKUP(C343, مراجع!$A$3:$B$14, 2, FALSE), "")</f>
        <v>ME</v>
      </c>
      <c r="K343" s="36" t="s">
        <v>112</v>
      </c>
    </row>
    <row r="344" spans="1:11" ht="27.6">
      <c r="A344" s="12">
        <v>342</v>
      </c>
      <c r="B344" s="5" t="s">
        <v>638</v>
      </c>
      <c r="C344" s="6" t="s">
        <v>255</v>
      </c>
      <c r="D344" s="6" t="s">
        <v>110</v>
      </c>
      <c r="E344" s="7">
        <v>450</v>
      </c>
      <c r="F344" s="7">
        <v>0</v>
      </c>
      <c r="G344" s="9">
        <f t="shared" si="11"/>
        <v>0</v>
      </c>
      <c r="H344" s="6" t="s">
        <v>688</v>
      </c>
      <c r="I344" t="str">
        <f t="shared" si="10"/>
        <v>CMH_01-HV-342</v>
      </c>
      <c r="J344" t="str">
        <f>IFERROR(VLOOKUP(C344, مراجع!$A$3:$B$14, 2, FALSE), "")</f>
        <v>HV</v>
      </c>
      <c r="K344" s="36" t="s">
        <v>112</v>
      </c>
    </row>
    <row r="345" spans="1:11" ht="41.4">
      <c r="A345" s="12">
        <v>343</v>
      </c>
      <c r="B345" s="5" t="s">
        <v>639</v>
      </c>
      <c r="C345" s="6" t="s">
        <v>257</v>
      </c>
      <c r="D345" s="6" t="s">
        <v>685</v>
      </c>
      <c r="E345" s="7">
        <v>106</v>
      </c>
      <c r="F345" s="7">
        <v>0</v>
      </c>
      <c r="G345" s="9">
        <f t="shared" si="11"/>
        <v>0</v>
      </c>
      <c r="H345" s="6" t="s">
        <v>688</v>
      </c>
      <c r="I345" t="str">
        <f t="shared" si="10"/>
        <v>CMH_01-PL-343</v>
      </c>
      <c r="J345" t="str">
        <f>IFERROR(VLOOKUP(C345, مراجع!$A$3:$B$14, 2, FALSE), "")</f>
        <v>PL</v>
      </c>
      <c r="K345" s="36" t="s">
        <v>112</v>
      </c>
    </row>
    <row r="346" spans="1:11" ht="27.6">
      <c r="A346" s="12">
        <v>344</v>
      </c>
      <c r="B346" s="5" t="s">
        <v>640</v>
      </c>
      <c r="C346" s="6" t="s">
        <v>248</v>
      </c>
      <c r="D346" s="6" t="s">
        <v>686</v>
      </c>
      <c r="E346" s="7">
        <v>1665</v>
      </c>
      <c r="F346" s="7">
        <v>0</v>
      </c>
      <c r="G346" s="9">
        <f t="shared" si="11"/>
        <v>0</v>
      </c>
      <c r="H346" s="6" t="s">
        <v>688</v>
      </c>
      <c r="I346" t="str">
        <f t="shared" si="10"/>
        <v>CMH_01-A-344</v>
      </c>
      <c r="J346" t="str">
        <f>IFERROR(VLOOKUP(C346, مراجع!$A$3:$B$14, 2, FALSE), "")</f>
        <v>A</v>
      </c>
      <c r="K346" s="36" t="s">
        <v>112</v>
      </c>
    </row>
    <row r="347" spans="1:11" ht="27.6">
      <c r="A347" s="12">
        <v>345</v>
      </c>
      <c r="B347" s="5" t="s">
        <v>641</v>
      </c>
      <c r="C347" s="6" t="s">
        <v>248</v>
      </c>
      <c r="D347" s="6" t="s">
        <v>686</v>
      </c>
      <c r="E347" s="7">
        <v>1665</v>
      </c>
      <c r="F347" s="7">
        <v>0</v>
      </c>
      <c r="G347" s="9">
        <f t="shared" si="11"/>
        <v>0</v>
      </c>
      <c r="H347" s="6" t="s">
        <v>688</v>
      </c>
      <c r="I347" t="str">
        <f t="shared" si="10"/>
        <v>CMH_01-A-345</v>
      </c>
      <c r="J347" t="str">
        <f>IFERROR(VLOOKUP(C347, مراجع!$A$3:$B$14, 2, FALSE), "")</f>
        <v>A</v>
      </c>
      <c r="K347" s="36" t="s">
        <v>112</v>
      </c>
    </row>
    <row r="348" spans="1:11" ht="55.2">
      <c r="A348" s="12">
        <v>346</v>
      </c>
      <c r="B348" s="5" t="s">
        <v>642</v>
      </c>
      <c r="C348" s="6" t="s">
        <v>257</v>
      </c>
      <c r="D348" s="6" t="s">
        <v>110</v>
      </c>
      <c r="E348" s="7">
        <v>2408.39</v>
      </c>
      <c r="F348" s="7">
        <v>0</v>
      </c>
      <c r="G348" s="9">
        <f t="shared" si="11"/>
        <v>0</v>
      </c>
      <c r="H348" s="6" t="s">
        <v>688</v>
      </c>
      <c r="I348" t="str">
        <f t="shared" si="10"/>
        <v>CMH_01-PL-346</v>
      </c>
      <c r="J348" t="str">
        <f>IFERROR(VLOOKUP(C348, مراجع!$A$3:$B$14, 2, FALSE), "")</f>
        <v>PL</v>
      </c>
      <c r="K348" s="36" t="s">
        <v>112</v>
      </c>
    </row>
    <row r="349" spans="1:11" ht="55.2">
      <c r="A349" s="12">
        <v>347</v>
      </c>
      <c r="B349" s="5" t="s">
        <v>643</v>
      </c>
      <c r="C349" s="6" t="s">
        <v>257</v>
      </c>
      <c r="D349" s="6" t="s">
        <v>110</v>
      </c>
      <c r="E349" s="7">
        <v>4186.79</v>
      </c>
      <c r="F349" s="7">
        <v>0</v>
      </c>
      <c r="G349" s="9">
        <f t="shared" si="11"/>
        <v>0</v>
      </c>
      <c r="H349" s="6" t="s">
        <v>688</v>
      </c>
      <c r="I349" t="str">
        <f t="shared" si="10"/>
        <v>CMH_01-PL-347</v>
      </c>
      <c r="J349" t="str">
        <f>IFERROR(VLOOKUP(C349, مراجع!$A$3:$B$14, 2, FALSE), "")</f>
        <v>PL</v>
      </c>
      <c r="K349" s="36" t="s">
        <v>112</v>
      </c>
    </row>
    <row r="350" spans="1:11" ht="41.4">
      <c r="A350" s="12">
        <v>348</v>
      </c>
      <c r="B350" s="5" t="s">
        <v>644</v>
      </c>
      <c r="C350" s="6" t="s">
        <v>253</v>
      </c>
      <c r="D350" s="6" t="s">
        <v>110</v>
      </c>
      <c r="E350" s="7">
        <v>12600</v>
      </c>
      <c r="F350" s="7">
        <v>0</v>
      </c>
      <c r="G350" s="9">
        <f t="shared" si="11"/>
        <v>0</v>
      </c>
      <c r="H350" s="6" t="s">
        <v>688</v>
      </c>
      <c r="I350" t="str">
        <f t="shared" si="10"/>
        <v>CMH_01-ME-348</v>
      </c>
      <c r="J350" t="str">
        <f>IFERROR(VLOOKUP(C350, مراجع!$A$3:$B$14, 2, FALSE), "")</f>
        <v>ME</v>
      </c>
      <c r="K350" s="36" t="s">
        <v>112</v>
      </c>
    </row>
    <row r="351" spans="1:11" ht="41.4">
      <c r="A351" s="12">
        <v>349</v>
      </c>
      <c r="B351" s="5" t="s">
        <v>645</v>
      </c>
      <c r="C351" s="6" t="s">
        <v>255</v>
      </c>
      <c r="D351" s="6" t="s">
        <v>110</v>
      </c>
      <c r="E351" s="7">
        <v>1160.4000000000001</v>
      </c>
      <c r="F351" s="7">
        <v>0</v>
      </c>
      <c r="G351" s="9">
        <f t="shared" si="11"/>
        <v>0</v>
      </c>
      <c r="H351" s="6" t="s">
        <v>688</v>
      </c>
      <c r="I351" t="str">
        <f t="shared" si="10"/>
        <v>CMH_01-HV-349</v>
      </c>
      <c r="J351" t="str">
        <f>IFERROR(VLOOKUP(C351, مراجع!$A$3:$B$14, 2, FALSE), "")</f>
        <v>HV</v>
      </c>
      <c r="K351" s="36" t="s">
        <v>112</v>
      </c>
    </row>
    <row r="352" spans="1:11" ht="55.2">
      <c r="A352" s="12">
        <v>350</v>
      </c>
      <c r="B352" s="5" t="s">
        <v>646</v>
      </c>
      <c r="C352" s="6" t="s">
        <v>258</v>
      </c>
      <c r="D352" s="6" t="s">
        <v>110</v>
      </c>
      <c r="E352" s="7">
        <v>1380</v>
      </c>
      <c r="F352" s="7">
        <v>0</v>
      </c>
      <c r="G352" s="9">
        <f t="shared" si="11"/>
        <v>0</v>
      </c>
      <c r="H352" s="6" t="s">
        <v>688</v>
      </c>
      <c r="I352" t="str">
        <f t="shared" si="10"/>
        <v>CMH_01-EE-350</v>
      </c>
      <c r="J352" t="str">
        <f>IFERROR(VLOOKUP(C352, مراجع!$A$3:$B$14, 2, FALSE), "")</f>
        <v>EE</v>
      </c>
      <c r="K352" s="36" t="s">
        <v>112</v>
      </c>
    </row>
    <row r="353" spans="1:11" ht="41.4">
      <c r="A353" s="12">
        <v>351</v>
      </c>
      <c r="B353" s="5" t="s">
        <v>647</v>
      </c>
      <c r="C353" s="6" t="s">
        <v>248</v>
      </c>
      <c r="D353" s="6" t="s">
        <v>685</v>
      </c>
      <c r="E353" s="7">
        <v>45</v>
      </c>
      <c r="F353" s="7">
        <v>0</v>
      </c>
      <c r="G353" s="9">
        <f t="shared" si="11"/>
        <v>0</v>
      </c>
      <c r="H353" s="6" t="s">
        <v>688</v>
      </c>
      <c r="I353" t="str">
        <f t="shared" si="10"/>
        <v>CMH_01-A-351</v>
      </c>
      <c r="J353" t="str">
        <f>IFERROR(VLOOKUP(C353, مراجع!$A$3:$B$14, 2, FALSE), "")</f>
        <v>A</v>
      </c>
      <c r="K353" s="36" t="s">
        <v>112</v>
      </c>
    </row>
    <row r="354" spans="1:11" ht="41.4">
      <c r="A354" s="12">
        <v>352</v>
      </c>
      <c r="B354" s="5" t="s">
        <v>648</v>
      </c>
      <c r="C354" s="6" t="s">
        <v>248</v>
      </c>
      <c r="D354" s="6" t="s">
        <v>110</v>
      </c>
      <c r="E354" s="7">
        <v>16800</v>
      </c>
      <c r="F354" s="7">
        <v>0</v>
      </c>
      <c r="G354" s="9">
        <f t="shared" si="11"/>
        <v>0</v>
      </c>
      <c r="H354" s="6" t="s">
        <v>688</v>
      </c>
      <c r="I354" t="str">
        <f t="shared" si="10"/>
        <v>CMH_01-A-352</v>
      </c>
      <c r="J354" t="str">
        <f>IFERROR(VLOOKUP(C354, مراجع!$A$3:$B$14, 2, FALSE), "")</f>
        <v>A</v>
      </c>
      <c r="K354" s="36" t="s">
        <v>112</v>
      </c>
    </row>
    <row r="355" spans="1:11" ht="110.4">
      <c r="A355" s="12">
        <v>353</v>
      </c>
      <c r="B355" s="5" t="s">
        <v>649</v>
      </c>
      <c r="C355" s="6" t="s">
        <v>253</v>
      </c>
      <c r="D355" s="6" t="s">
        <v>685</v>
      </c>
      <c r="E355" s="7">
        <v>298</v>
      </c>
      <c r="F355" s="7">
        <v>0</v>
      </c>
      <c r="G355" s="9">
        <f t="shared" si="11"/>
        <v>0</v>
      </c>
      <c r="H355" s="6" t="s">
        <v>688</v>
      </c>
      <c r="I355" t="str">
        <f t="shared" si="10"/>
        <v>CMH_01-ME-353</v>
      </c>
      <c r="J355" t="str">
        <f>IFERROR(VLOOKUP(C355, مراجع!$A$3:$B$14, 2, FALSE), "")</f>
        <v>ME</v>
      </c>
      <c r="K355" s="36" t="s">
        <v>112</v>
      </c>
    </row>
    <row r="356" spans="1:11" ht="110.4">
      <c r="A356" s="12">
        <v>354</v>
      </c>
      <c r="B356" s="5" t="s">
        <v>650</v>
      </c>
      <c r="C356" s="6" t="s">
        <v>253</v>
      </c>
      <c r="D356" s="6" t="s">
        <v>685</v>
      </c>
      <c r="E356" s="7">
        <v>179</v>
      </c>
      <c r="F356" s="7">
        <v>0</v>
      </c>
      <c r="G356" s="9">
        <f t="shared" si="11"/>
        <v>0</v>
      </c>
      <c r="H356" s="6" t="s">
        <v>688</v>
      </c>
      <c r="I356" t="str">
        <f t="shared" si="10"/>
        <v>CMH_01-ME-354</v>
      </c>
      <c r="J356" t="str">
        <f>IFERROR(VLOOKUP(C356, مراجع!$A$3:$B$14, 2, FALSE), "")</f>
        <v>ME</v>
      </c>
      <c r="K356" s="36" t="s">
        <v>112</v>
      </c>
    </row>
    <row r="357" spans="1:11" ht="55.2">
      <c r="A357" s="12">
        <v>355</v>
      </c>
      <c r="B357" s="5" t="s">
        <v>651</v>
      </c>
      <c r="C357" s="6" t="s">
        <v>253</v>
      </c>
      <c r="D357" s="6" t="s">
        <v>110</v>
      </c>
      <c r="E357" s="7">
        <v>2180</v>
      </c>
      <c r="F357" s="7">
        <v>0</v>
      </c>
      <c r="G357" s="9">
        <f t="shared" si="11"/>
        <v>0</v>
      </c>
      <c r="H357" s="6" t="s">
        <v>688</v>
      </c>
      <c r="I357" t="str">
        <f t="shared" si="10"/>
        <v>CMH_01-ME-355</v>
      </c>
      <c r="J357" t="str">
        <f>IFERROR(VLOOKUP(C357, مراجع!$A$3:$B$14, 2, FALSE), "")</f>
        <v>ME</v>
      </c>
      <c r="K357" s="36" t="s">
        <v>112</v>
      </c>
    </row>
    <row r="358" spans="1:11" ht="55.2">
      <c r="A358" s="12">
        <v>356</v>
      </c>
      <c r="B358" s="5" t="s">
        <v>652</v>
      </c>
      <c r="C358" s="6" t="s">
        <v>253</v>
      </c>
      <c r="D358" s="6" t="s">
        <v>110</v>
      </c>
      <c r="E358" s="7">
        <v>1663</v>
      </c>
      <c r="F358" s="7">
        <v>0</v>
      </c>
      <c r="G358" s="9">
        <f t="shared" si="11"/>
        <v>0</v>
      </c>
      <c r="H358" s="6" t="s">
        <v>688</v>
      </c>
      <c r="I358" t="str">
        <f t="shared" si="10"/>
        <v>CMH_01-ME-356</v>
      </c>
      <c r="J358" t="str">
        <f>IFERROR(VLOOKUP(C358, مراجع!$A$3:$B$14, 2, FALSE), "")</f>
        <v>ME</v>
      </c>
      <c r="K358" s="36" t="s">
        <v>112</v>
      </c>
    </row>
    <row r="359" spans="1:11" ht="55.2">
      <c r="A359" s="12">
        <v>357</v>
      </c>
      <c r="B359" s="5" t="s">
        <v>653</v>
      </c>
      <c r="C359" s="6" t="s">
        <v>253</v>
      </c>
      <c r="D359" s="6" t="s">
        <v>110</v>
      </c>
      <c r="E359" s="7">
        <v>621</v>
      </c>
      <c r="F359" s="7">
        <v>0</v>
      </c>
      <c r="G359" s="9">
        <f t="shared" si="11"/>
        <v>0</v>
      </c>
      <c r="H359" s="6" t="s">
        <v>688</v>
      </c>
      <c r="I359" t="str">
        <f t="shared" si="10"/>
        <v>CMH_01-ME-357</v>
      </c>
      <c r="J359" t="str">
        <f>IFERROR(VLOOKUP(C359, مراجع!$A$3:$B$14, 2, FALSE), "")</f>
        <v>ME</v>
      </c>
      <c r="K359" s="36" t="s">
        <v>112</v>
      </c>
    </row>
    <row r="360" spans="1:11" ht="55.2">
      <c r="A360" s="12">
        <v>358</v>
      </c>
      <c r="B360" s="5" t="s">
        <v>654</v>
      </c>
      <c r="C360" s="6" t="s">
        <v>253</v>
      </c>
      <c r="D360" s="6" t="s">
        <v>110</v>
      </c>
      <c r="E360" s="7">
        <v>1772</v>
      </c>
      <c r="F360" s="7">
        <v>0</v>
      </c>
      <c r="G360" s="9">
        <f t="shared" si="11"/>
        <v>0</v>
      </c>
      <c r="H360" s="6" t="s">
        <v>688</v>
      </c>
      <c r="I360" t="str">
        <f t="shared" si="10"/>
        <v>CMH_01-ME-358</v>
      </c>
      <c r="J360" t="str">
        <f>IFERROR(VLOOKUP(C360, مراجع!$A$3:$B$14, 2, FALSE), "")</f>
        <v>ME</v>
      </c>
      <c r="K360" s="36" t="s">
        <v>112</v>
      </c>
    </row>
    <row r="361" spans="1:11" ht="55.2">
      <c r="A361" s="12">
        <v>359</v>
      </c>
      <c r="B361" s="5" t="s">
        <v>655</v>
      </c>
      <c r="C361" s="6" t="s">
        <v>253</v>
      </c>
      <c r="D361" s="6" t="s">
        <v>110</v>
      </c>
      <c r="E361" s="7">
        <v>772</v>
      </c>
      <c r="F361" s="7">
        <v>0</v>
      </c>
      <c r="G361" s="9">
        <f t="shared" si="11"/>
        <v>0</v>
      </c>
      <c r="H361" s="6" t="s">
        <v>688</v>
      </c>
      <c r="I361" t="str">
        <f t="shared" si="10"/>
        <v>CMH_01-ME-359</v>
      </c>
      <c r="J361" t="str">
        <f>IFERROR(VLOOKUP(C361, مراجع!$A$3:$B$14, 2, FALSE), "")</f>
        <v>ME</v>
      </c>
      <c r="K361" s="36" t="s">
        <v>112</v>
      </c>
    </row>
    <row r="362" spans="1:11" ht="55.2">
      <c r="A362" s="12">
        <v>360</v>
      </c>
      <c r="B362" s="5" t="s">
        <v>656</v>
      </c>
      <c r="C362" s="6" t="s">
        <v>253</v>
      </c>
      <c r="D362" s="6" t="s">
        <v>110</v>
      </c>
      <c r="E362" s="7">
        <v>90</v>
      </c>
      <c r="F362" s="7">
        <v>0</v>
      </c>
      <c r="G362" s="9">
        <f t="shared" si="11"/>
        <v>0</v>
      </c>
      <c r="H362" s="6" t="s">
        <v>688</v>
      </c>
      <c r="I362" t="str">
        <f t="shared" si="10"/>
        <v>CMH_01-ME-360</v>
      </c>
      <c r="J362" t="str">
        <f>IFERROR(VLOOKUP(C362, مراجع!$A$3:$B$14, 2, FALSE), "")</f>
        <v>ME</v>
      </c>
      <c r="K362" s="36" t="s">
        <v>112</v>
      </c>
    </row>
    <row r="363" spans="1:11" ht="27.6">
      <c r="A363" s="12">
        <v>361</v>
      </c>
      <c r="B363" s="5" t="s">
        <v>657</v>
      </c>
      <c r="C363" s="6" t="s">
        <v>248</v>
      </c>
      <c r="D363" s="6" t="s">
        <v>686</v>
      </c>
      <c r="E363" s="7">
        <v>454</v>
      </c>
      <c r="F363" s="7">
        <v>0</v>
      </c>
      <c r="G363" s="9">
        <f t="shared" si="11"/>
        <v>0</v>
      </c>
      <c r="H363" s="6" t="s">
        <v>688</v>
      </c>
      <c r="I363" t="str">
        <f t="shared" si="10"/>
        <v>CMH_01-A-361</v>
      </c>
      <c r="J363" t="str">
        <f>IFERROR(VLOOKUP(C363, مراجع!$A$3:$B$14, 2, FALSE), "")</f>
        <v>A</v>
      </c>
      <c r="K363" s="36" t="s">
        <v>112</v>
      </c>
    </row>
    <row r="364" spans="1:11" ht="27.6">
      <c r="A364" s="12">
        <v>362</v>
      </c>
      <c r="B364" s="5" t="s">
        <v>658</v>
      </c>
      <c r="C364" s="6" t="s">
        <v>248</v>
      </c>
      <c r="D364" s="6" t="s">
        <v>686</v>
      </c>
      <c r="E364" s="7">
        <v>609</v>
      </c>
      <c r="F364" s="7">
        <v>0</v>
      </c>
      <c r="G364" s="9">
        <f t="shared" si="11"/>
        <v>0</v>
      </c>
      <c r="H364" s="6" t="s">
        <v>688</v>
      </c>
      <c r="I364" t="str">
        <f t="shared" si="10"/>
        <v>CMH_01-A-362</v>
      </c>
      <c r="J364" t="str">
        <f>IFERROR(VLOOKUP(C364, مراجع!$A$3:$B$14, 2, FALSE), "")</f>
        <v>A</v>
      </c>
      <c r="K364" s="36" t="s">
        <v>112</v>
      </c>
    </row>
    <row r="365" spans="1:11" ht="27.6">
      <c r="A365" s="12">
        <v>363</v>
      </c>
      <c r="B365" s="5" t="s">
        <v>659</v>
      </c>
      <c r="C365" s="6" t="s">
        <v>248</v>
      </c>
      <c r="D365" s="6" t="s">
        <v>686</v>
      </c>
      <c r="E365" s="7">
        <v>703</v>
      </c>
      <c r="F365" s="7">
        <v>0</v>
      </c>
      <c r="G365" s="9">
        <f t="shared" si="11"/>
        <v>0</v>
      </c>
      <c r="H365" s="6" t="s">
        <v>688</v>
      </c>
      <c r="I365" t="str">
        <f t="shared" si="10"/>
        <v>CMH_01-A-363</v>
      </c>
      <c r="J365" t="str">
        <f>IFERROR(VLOOKUP(C365, مراجع!$A$3:$B$14, 2, FALSE), "")</f>
        <v>A</v>
      </c>
      <c r="K365" s="36" t="s">
        <v>112</v>
      </c>
    </row>
    <row r="366" spans="1:11" ht="27.6">
      <c r="A366" s="12">
        <v>364</v>
      </c>
      <c r="B366" s="5" t="s">
        <v>660</v>
      </c>
      <c r="C366" s="6" t="s">
        <v>248</v>
      </c>
      <c r="D366" s="6" t="s">
        <v>686</v>
      </c>
      <c r="E366" s="7">
        <v>717</v>
      </c>
      <c r="F366" s="7">
        <v>0</v>
      </c>
      <c r="G366" s="9">
        <f t="shared" si="11"/>
        <v>0</v>
      </c>
      <c r="H366" s="6" t="s">
        <v>688</v>
      </c>
      <c r="I366" t="str">
        <f t="shared" si="10"/>
        <v>CMH_01-A-364</v>
      </c>
      <c r="J366" t="str">
        <f>IFERROR(VLOOKUP(C366, مراجع!$A$3:$B$14, 2, FALSE), "")</f>
        <v>A</v>
      </c>
      <c r="K366" s="36" t="s">
        <v>112</v>
      </c>
    </row>
    <row r="367" spans="1:11" ht="27.6">
      <c r="A367" s="12">
        <v>365</v>
      </c>
      <c r="B367" s="5" t="s">
        <v>661</v>
      </c>
      <c r="C367" s="6" t="s">
        <v>248</v>
      </c>
      <c r="D367" s="6" t="s">
        <v>686</v>
      </c>
      <c r="E367" s="7">
        <v>2475</v>
      </c>
      <c r="F367" s="7">
        <v>0</v>
      </c>
      <c r="G367" s="9">
        <f t="shared" si="11"/>
        <v>0</v>
      </c>
      <c r="H367" s="6" t="s">
        <v>688</v>
      </c>
      <c r="I367" t="str">
        <f t="shared" si="10"/>
        <v>CMH_01-A-365</v>
      </c>
      <c r="J367" t="str">
        <f>IFERROR(VLOOKUP(C367, مراجع!$A$3:$B$14, 2, FALSE), "")</f>
        <v>A</v>
      </c>
      <c r="K367" s="36" t="s">
        <v>112</v>
      </c>
    </row>
    <row r="368" spans="1:11" ht="27.6">
      <c r="A368" s="12">
        <v>366</v>
      </c>
      <c r="B368" s="5" t="s">
        <v>662</v>
      </c>
      <c r="C368" s="6" t="s">
        <v>248</v>
      </c>
      <c r="D368" s="6" t="s">
        <v>686</v>
      </c>
      <c r="E368" s="7">
        <v>180</v>
      </c>
      <c r="F368" s="7">
        <v>0</v>
      </c>
      <c r="G368" s="9">
        <f t="shared" si="11"/>
        <v>0</v>
      </c>
      <c r="H368" s="6" t="s">
        <v>688</v>
      </c>
      <c r="I368" t="str">
        <f t="shared" si="10"/>
        <v>CMH_01-A-366</v>
      </c>
      <c r="J368" t="str">
        <f>IFERROR(VLOOKUP(C368, مراجع!$A$3:$B$14, 2, FALSE), "")</f>
        <v>A</v>
      </c>
      <c r="K368" s="36" t="s">
        <v>112</v>
      </c>
    </row>
    <row r="369" spans="1:11" ht="27.6">
      <c r="A369" s="12">
        <v>367</v>
      </c>
      <c r="B369" s="5" t="s">
        <v>663</v>
      </c>
      <c r="C369" s="6" t="s">
        <v>253</v>
      </c>
      <c r="D369" s="6" t="s">
        <v>110</v>
      </c>
      <c r="E369" s="7">
        <v>2445</v>
      </c>
      <c r="F369" s="7">
        <v>0</v>
      </c>
      <c r="G369" s="9">
        <f t="shared" si="11"/>
        <v>0</v>
      </c>
      <c r="H369" s="6" t="s">
        <v>688</v>
      </c>
      <c r="I369" t="str">
        <f t="shared" si="10"/>
        <v>CMH_01-ME-367</v>
      </c>
      <c r="J369" t="str">
        <f>IFERROR(VLOOKUP(C369, مراجع!$A$3:$B$14, 2, FALSE), "")</f>
        <v>ME</v>
      </c>
      <c r="K369" s="36" t="s">
        <v>112</v>
      </c>
    </row>
    <row r="370" spans="1:11" ht="27.6">
      <c r="A370" s="12">
        <v>368</v>
      </c>
      <c r="B370" s="5" t="s">
        <v>664</v>
      </c>
      <c r="C370" s="6" t="s">
        <v>253</v>
      </c>
      <c r="D370" s="6" t="s">
        <v>110</v>
      </c>
      <c r="E370" s="7">
        <v>1380</v>
      </c>
      <c r="F370" s="7">
        <v>0</v>
      </c>
      <c r="G370" s="9">
        <f t="shared" si="11"/>
        <v>0</v>
      </c>
      <c r="H370" s="6" t="s">
        <v>688</v>
      </c>
      <c r="I370" t="str">
        <f t="shared" si="10"/>
        <v>CMH_01-ME-368</v>
      </c>
      <c r="J370" t="str">
        <f>IFERROR(VLOOKUP(C370, مراجع!$A$3:$B$14, 2, FALSE), "")</f>
        <v>ME</v>
      </c>
      <c r="K370" s="36" t="s">
        <v>112</v>
      </c>
    </row>
    <row r="371" spans="1:11" ht="27.6">
      <c r="A371" s="12">
        <v>369</v>
      </c>
      <c r="B371" s="5" t="s">
        <v>665</v>
      </c>
      <c r="C371" s="6" t="s">
        <v>253</v>
      </c>
      <c r="D371" s="6" t="s">
        <v>110</v>
      </c>
      <c r="E371" s="7">
        <v>1176</v>
      </c>
      <c r="F371" s="7">
        <v>0</v>
      </c>
      <c r="G371" s="9">
        <f t="shared" si="11"/>
        <v>0</v>
      </c>
      <c r="H371" s="6" t="s">
        <v>688</v>
      </c>
      <c r="I371" t="str">
        <f t="shared" si="10"/>
        <v>CMH_01-ME-369</v>
      </c>
      <c r="J371" t="str">
        <f>IFERROR(VLOOKUP(C371, مراجع!$A$3:$B$14, 2, FALSE), "")</f>
        <v>ME</v>
      </c>
      <c r="K371" s="36" t="s">
        <v>112</v>
      </c>
    </row>
    <row r="372" spans="1:11" ht="25.95" customHeight="1">
      <c r="A372" s="12">
        <v>370</v>
      </c>
      <c r="B372" s="5" t="s">
        <v>666</v>
      </c>
      <c r="C372" s="6" t="s">
        <v>248</v>
      </c>
      <c r="D372" s="6" t="s">
        <v>686</v>
      </c>
      <c r="E372" s="7">
        <v>2634.65</v>
      </c>
      <c r="F372" s="7">
        <v>0</v>
      </c>
      <c r="G372" s="9">
        <f t="shared" si="11"/>
        <v>0</v>
      </c>
      <c r="H372" s="6" t="s">
        <v>688</v>
      </c>
      <c r="I372" t="str">
        <f t="shared" si="10"/>
        <v>CMH_01-A-370</v>
      </c>
      <c r="J372" t="str">
        <f>IFERROR(VLOOKUP(C372, مراجع!$A$3:$B$14, 2, FALSE), "")</f>
        <v>A</v>
      </c>
      <c r="K372" s="36" t="s">
        <v>112</v>
      </c>
    </row>
    <row r="373" spans="1:11" ht="25.95" customHeight="1">
      <c r="A373" s="12">
        <v>371</v>
      </c>
      <c r="B373" s="5" t="s">
        <v>667</v>
      </c>
      <c r="C373" s="6" t="s">
        <v>248</v>
      </c>
      <c r="D373" s="6" t="s">
        <v>110</v>
      </c>
      <c r="E373" s="7">
        <v>9368.5499999999993</v>
      </c>
      <c r="F373" s="7">
        <v>0</v>
      </c>
      <c r="G373" s="9">
        <f t="shared" si="11"/>
        <v>0</v>
      </c>
      <c r="H373" s="6" t="s">
        <v>688</v>
      </c>
      <c r="I373" t="str">
        <f t="shared" si="10"/>
        <v>CMH_01-A-371</v>
      </c>
      <c r="J373" t="str">
        <f>IFERROR(VLOOKUP(C373, مراجع!$A$3:$B$14, 2, FALSE), "")</f>
        <v>A</v>
      </c>
      <c r="K373" s="36" t="s">
        <v>112</v>
      </c>
    </row>
    <row r="374" spans="1:11" ht="27.6">
      <c r="A374" s="12">
        <v>372</v>
      </c>
      <c r="B374" s="5" t="s">
        <v>668</v>
      </c>
      <c r="C374" s="6" t="s">
        <v>248</v>
      </c>
      <c r="D374" s="6" t="s">
        <v>686</v>
      </c>
      <c r="E374" s="7">
        <v>186.63</v>
      </c>
      <c r="F374" s="7">
        <v>0</v>
      </c>
      <c r="G374" s="9">
        <f t="shared" si="11"/>
        <v>0</v>
      </c>
      <c r="H374" s="6" t="s">
        <v>688</v>
      </c>
      <c r="I374" t="str">
        <f t="shared" si="10"/>
        <v>CMH_01-A-372</v>
      </c>
      <c r="J374" t="str">
        <f>IFERROR(VLOOKUP(C374, مراجع!$A$3:$B$14, 2, FALSE), "")</f>
        <v>A</v>
      </c>
      <c r="K374" s="36" t="s">
        <v>112</v>
      </c>
    </row>
    <row r="375" spans="1:11">
      <c r="A375" s="12">
        <v>373</v>
      </c>
      <c r="B375" s="5" t="s">
        <v>669</v>
      </c>
      <c r="C375" s="6" t="s">
        <v>248</v>
      </c>
      <c r="D375" s="6" t="s">
        <v>686</v>
      </c>
      <c r="E375" s="7">
        <v>186.63</v>
      </c>
      <c r="F375" s="7">
        <v>0</v>
      </c>
      <c r="G375" s="9">
        <f t="shared" si="11"/>
        <v>0</v>
      </c>
      <c r="H375" s="6" t="s">
        <v>688</v>
      </c>
      <c r="I375" t="str">
        <f t="shared" si="10"/>
        <v>CMH_01-A-373</v>
      </c>
      <c r="J375" t="str">
        <f>IFERROR(VLOOKUP(C375, مراجع!$A$3:$B$14, 2, FALSE), "")</f>
        <v>A</v>
      </c>
      <c r="K375" s="36" t="s">
        <v>112</v>
      </c>
    </row>
    <row r="376" spans="1:11">
      <c r="A376" s="12">
        <v>374</v>
      </c>
      <c r="B376" s="5" t="s">
        <v>670</v>
      </c>
      <c r="C376" s="6" t="s">
        <v>248</v>
      </c>
      <c r="D376" s="6" t="s">
        <v>686</v>
      </c>
      <c r="E376" s="7">
        <v>232.88</v>
      </c>
      <c r="F376" s="7">
        <v>0</v>
      </c>
      <c r="G376" s="9">
        <f t="shared" si="11"/>
        <v>0</v>
      </c>
      <c r="H376" s="6" t="s">
        <v>688</v>
      </c>
      <c r="I376" t="str">
        <f t="shared" si="10"/>
        <v>CMH_01-A-374</v>
      </c>
      <c r="J376" t="str">
        <f>IFERROR(VLOOKUP(C376, مراجع!$A$3:$B$14, 2, FALSE), "")</f>
        <v>A</v>
      </c>
      <c r="K376" s="36" t="s">
        <v>112</v>
      </c>
    </row>
    <row r="377" spans="1:11">
      <c r="A377" s="12">
        <v>375</v>
      </c>
      <c r="B377" s="5" t="s">
        <v>671</v>
      </c>
      <c r="C377" s="6" t="s">
        <v>253</v>
      </c>
      <c r="D377" s="6" t="s">
        <v>110</v>
      </c>
      <c r="E377" s="7">
        <v>2080.8000000000002</v>
      </c>
      <c r="F377" s="7">
        <v>0</v>
      </c>
      <c r="G377" s="9">
        <f t="shared" si="11"/>
        <v>0</v>
      </c>
      <c r="H377" s="6" t="s">
        <v>688</v>
      </c>
      <c r="I377" t="str">
        <f t="shared" si="10"/>
        <v>CMH_01-ME-375</v>
      </c>
      <c r="J377" t="str">
        <f>IFERROR(VLOOKUP(C377, مراجع!$A$3:$B$14, 2, FALSE), "")</f>
        <v>ME</v>
      </c>
      <c r="K377" s="36" t="s">
        <v>112</v>
      </c>
    </row>
    <row r="378" spans="1:11">
      <c r="A378" s="12">
        <v>376</v>
      </c>
      <c r="B378" s="5" t="s">
        <v>672</v>
      </c>
      <c r="C378" s="6" t="s">
        <v>253</v>
      </c>
      <c r="D378" s="6" t="s">
        <v>110</v>
      </c>
      <c r="E378" s="7">
        <v>1471.34</v>
      </c>
      <c r="F378" s="7">
        <v>0</v>
      </c>
      <c r="G378" s="9">
        <f t="shared" si="11"/>
        <v>0</v>
      </c>
      <c r="H378" s="6" t="s">
        <v>688</v>
      </c>
      <c r="I378" t="str">
        <f t="shared" si="10"/>
        <v>CMH_01-ME-376</v>
      </c>
      <c r="J378" t="str">
        <f>IFERROR(VLOOKUP(C378, مراجع!$A$3:$B$14, 2, FALSE), "")</f>
        <v>ME</v>
      </c>
      <c r="K378" s="36" t="s">
        <v>112</v>
      </c>
    </row>
    <row r="379" spans="1:11">
      <c r="A379" s="12">
        <v>377</v>
      </c>
      <c r="B379" s="5" t="s">
        <v>673</v>
      </c>
      <c r="C379" s="6" t="s">
        <v>253</v>
      </c>
      <c r="D379" s="6" t="s">
        <v>110</v>
      </c>
      <c r="E379" s="7">
        <v>761</v>
      </c>
      <c r="F379" s="7">
        <v>0</v>
      </c>
      <c r="G379" s="9">
        <f t="shared" si="11"/>
        <v>0</v>
      </c>
      <c r="H379" s="6" t="s">
        <v>688</v>
      </c>
      <c r="I379" t="str">
        <f t="shared" si="10"/>
        <v>CMH_01-ME-377</v>
      </c>
      <c r="J379" t="str">
        <f>IFERROR(VLOOKUP(C379, مراجع!$A$3:$B$14, 2, FALSE), "")</f>
        <v>ME</v>
      </c>
      <c r="K379" s="36" t="s">
        <v>112</v>
      </c>
    </row>
    <row r="380" spans="1:11" ht="27.6">
      <c r="A380" s="12">
        <v>378</v>
      </c>
      <c r="B380" s="5" t="s">
        <v>674</v>
      </c>
      <c r="C380" s="6" t="s">
        <v>248</v>
      </c>
      <c r="D380" s="6" t="s">
        <v>686</v>
      </c>
      <c r="E380" s="7">
        <v>77.099999999999994</v>
      </c>
      <c r="F380" s="7">
        <v>0</v>
      </c>
      <c r="G380" s="9">
        <f t="shared" si="11"/>
        <v>0</v>
      </c>
      <c r="H380" s="6" t="s">
        <v>688</v>
      </c>
      <c r="I380" t="str">
        <f t="shared" si="10"/>
        <v>CMH_01-A-378</v>
      </c>
      <c r="J380" t="str">
        <f>IFERROR(VLOOKUP(C380, مراجع!$A$3:$B$14, 2, FALSE), "")</f>
        <v>A</v>
      </c>
      <c r="K380" s="36" t="s">
        <v>112</v>
      </c>
    </row>
    <row r="381" spans="1:11">
      <c r="A381" s="12">
        <v>379</v>
      </c>
      <c r="B381" s="5" t="s">
        <v>675</v>
      </c>
      <c r="C381" s="6" t="s">
        <v>258</v>
      </c>
      <c r="D381" s="6" t="s">
        <v>110</v>
      </c>
      <c r="E381" s="7">
        <v>1409.26</v>
      </c>
      <c r="F381" s="7">
        <v>0</v>
      </c>
      <c r="G381" s="9">
        <f t="shared" si="11"/>
        <v>0</v>
      </c>
      <c r="H381" s="6" t="s">
        <v>688</v>
      </c>
      <c r="I381" t="str">
        <f t="shared" si="10"/>
        <v>CMH_01-EE-379</v>
      </c>
      <c r="J381" t="str">
        <f>IFERROR(VLOOKUP(C381, مراجع!$A$3:$B$14, 2, FALSE), "")</f>
        <v>EE</v>
      </c>
      <c r="K381" s="36" t="s">
        <v>112</v>
      </c>
    </row>
    <row r="382" spans="1:11">
      <c r="A382" s="12">
        <v>380</v>
      </c>
      <c r="B382" s="5" t="s">
        <v>676</v>
      </c>
      <c r="C382" s="6" t="s">
        <v>258</v>
      </c>
      <c r="D382" s="6" t="s">
        <v>110</v>
      </c>
      <c r="E382" s="7">
        <v>338.83</v>
      </c>
      <c r="F382" s="7">
        <v>0</v>
      </c>
      <c r="G382" s="9">
        <f t="shared" si="11"/>
        <v>0</v>
      </c>
      <c r="H382" s="6" t="s">
        <v>688</v>
      </c>
      <c r="I382" t="str">
        <f t="shared" si="10"/>
        <v>CMH_01-EE-380</v>
      </c>
      <c r="J382" t="str">
        <f>IFERROR(VLOOKUP(C382, مراجع!$A$3:$B$14, 2, FALSE), "")</f>
        <v>EE</v>
      </c>
      <c r="K382" s="36" t="s">
        <v>112</v>
      </c>
    </row>
    <row r="383" spans="1:11">
      <c r="A383" s="12">
        <v>381</v>
      </c>
      <c r="B383" s="5" t="s">
        <v>677</v>
      </c>
      <c r="C383" s="6" t="s">
        <v>258</v>
      </c>
      <c r="D383" s="6" t="s">
        <v>110</v>
      </c>
      <c r="E383" s="7">
        <v>298.98</v>
      </c>
      <c r="F383" s="7">
        <v>0</v>
      </c>
      <c r="G383" s="9">
        <f t="shared" si="11"/>
        <v>0</v>
      </c>
      <c r="H383" s="6" t="s">
        <v>688</v>
      </c>
      <c r="I383" t="str">
        <f t="shared" si="10"/>
        <v>CMH_01-EE-381</v>
      </c>
      <c r="J383" t="str">
        <f>IFERROR(VLOOKUP(C383, مراجع!$A$3:$B$14, 2, FALSE), "")</f>
        <v>EE</v>
      </c>
      <c r="K383" s="36" t="s">
        <v>112</v>
      </c>
    </row>
    <row r="384" spans="1:11">
      <c r="A384" s="12">
        <v>382</v>
      </c>
      <c r="B384" s="5" t="s">
        <v>678</v>
      </c>
      <c r="C384" s="6" t="s">
        <v>248</v>
      </c>
      <c r="D384" s="6" t="s">
        <v>110</v>
      </c>
      <c r="E384" s="7">
        <v>9000</v>
      </c>
      <c r="F384" s="7">
        <v>0</v>
      </c>
      <c r="G384" s="9">
        <f t="shared" si="11"/>
        <v>0</v>
      </c>
      <c r="H384" s="6" t="s">
        <v>688</v>
      </c>
      <c r="I384" t="str">
        <f t="shared" si="10"/>
        <v>CMH_01-A-382</v>
      </c>
      <c r="J384" t="str">
        <f>IFERROR(VLOOKUP(C384, مراجع!$A$3:$B$14, 2, FALSE), "")</f>
        <v>A</v>
      </c>
      <c r="K384" s="36" t="s">
        <v>112</v>
      </c>
    </row>
    <row r="385" spans="1:11">
      <c r="A385" s="12">
        <v>383</v>
      </c>
      <c r="B385" s="5" t="s">
        <v>679</v>
      </c>
      <c r="C385" s="6" t="s">
        <v>248</v>
      </c>
      <c r="D385" s="6" t="s">
        <v>110</v>
      </c>
      <c r="E385" s="7">
        <v>6600</v>
      </c>
      <c r="F385" s="7">
        <v>0</v>
      </c>
      <c r="G385" s="9">
        <f t="shared" si="11"/>
        <v>0</v>
      </c>
      <c r="H385" s="6" t="s">
        <v>688</v>
      </c>
      <c r="I385" t="str">
        <f t="shared" si="10"/>
        <v>CMH_01-A-383</v>
      </c>
      <c r="J385" t="str">
        <f>IFERROR(VLOOKUP(C385, مراجع!$A$3:$B$14, 2, FALSE), "")</f>
        <v>A</v>
      </c>
      <c r="K385" s="36" t="s">
        <v>112</v>
      </c>
    </row>
    <row r="386" spans="1:11" ht="27.6">
      <c r="A386" s="12">
        <v>384</v>
      </c>
      <c r="B386" s="5" t="s">
        <v>680</v>
      </c>
      <c r="C386" s="6" t="s">
        <v>258</v>
      </c>
      <c r="D386" s="6" t="s">
        <v>685</v>
      </c>
      <c r="E386" s="7">
        <v>55.37</v>
      </c>
      <c r="F386" s="7">
        <v>0</v>
      </c>
      <c r="G386" s="9">
        <f t="shared" si="11"/>
        <v>0</v>
      </c>
      <c r="H386" s="6" t="s">
        <v>688</v>
      </c>
      <c r="I386" t="str">
        <f t="shared" ref="I386:I388" si="12">IF(AND(B386&lt;&gt;"", J386&lt;&gt;""), "CMH_01-" &amp; J386 &amp; "-" &amp; TEXT(A386, "000"), "")</f>
        <v>CMH_01-EE-384</v>
      </c>
      <c r="J386" t="str">
        <f>IFERROR(VLOOKUP(C386, مراجع!$A$3:$B$14, 2, FALSE), "")</f>
        <v>EE</v>
      </c>
      <c r="K386" s="36" t="s">
        <v>112</v>
      </c>
    </row>
    <row r="387" spans="1:11">
      <c r="A387" s="12">
        <v>385</v>
      </c>
      <c r="B387" s="5" t="s">
        <v>681</v>
      </c>
      <c r="C387" s="6" t="s">
        <v>258</v>
      </c>
      <c r="D387" s="6" t="s">
        <v>110</v>
      </c>
      <c r="E387" s="7">
        <v>80</v>
      </c>
      <c r="F387" s="7">
        <v>0</v>
      </c>
      <c r="G387" s="9">
        <f t="shared" ref="G387:G388" si="13">IF(AND(E387&lt;&gt;"",F387&lt;&gt;""), E387*F387, "")</f>
        <v>0</v>
      </c>
      <c r="H387" s="6" t="s">
        <v>688</v>
      </c>
      <c r="I387" t="str">
        <f t="shared" si="12"/>
        <v>CMH_01-EE-385</v>
      </c>
      <c r="J387" t="str">
        <f>IFERROR(VLOOKUP(C387, مراجع!$A$3:$B$14, 2, FALSE), "")</f>
        <v>EE</v>
      </c>
      <c r="K387" s="36" t="s">
        <v>112</v>
      </c>
    </row>
    <row r="388" spans="1:11">
      <c r="A388" s="12">
        <v>386</v>
      </c>
      <c r="B388" s="5" t="s">
        <v>682</v>
      </c>
      <c r="C388" s="6" t="s">
        <v>258</v>
      </c>
      <c r="D388" s="6" t="s">
        <v>110</v>
      </c>
      <c r="E388" s="7">
        <v>190.8</v>
      </c>
      <c r="F388" s="7">
        <v>0</v>
      </c>
      <c r="G388" s="9">
        <f t="shared" si="13"/>
        <v>0</v>
      </c>
      <c r="H388" s="6" t="s">
        <v>688</v>
      </c>
      <c r="I388" t="str">
        <f t="shared" si="12"/>
        <v>CMH_01-EE-386</v>
      </c>
      <c r="J388" t="str">
        <f>IFERROR(VLOOKUP(C388, مراجع!$A$3:$B$14, 2, FALSE), "")</f>
        <v>EE</v>
      </c>
      <c r="K388" s="36" t="s">
        <v>112</v>
      </c>
    </row>
    <row r="391" spans="1:11">
      <c r="A391" s="82"/>
      <c r="B391" s="82"/>
      <c r="C391" s="82"/>
      <c r="D391" s="82"/>
      <c r="E391" s="82"/>
      <c r="F391" s="82"/>
      <c r="G391" s="82"/>
      <c r="H391" s="82"/>
    </row>
  </sheetData>
  <mergeCells count="1">
    <mergeCell ref="A391:H391"/>
  </mergeCells>
  <dataValidations count="4">
    <dataValidation type="list" allowBlank="1" errorTitle="تخصص غير صحيح" error="التخصص غير معتمد" promptTitle="التخصص" prompt="اختر التخصص (12 خياراً)" sqref="C3:C388" xr:uid="{00000000-0002-0000-0200-000000000000}">
      <formula1>"معماري,مدني,ميكانيكا,تكييف,صحي,كهرباء,منخفض الجهد,سلامة وإطفاء,أثاث,موقع عام,إشراف,أخرى"</formula1>
    </dataValidation>
    <dataValidation type="list" allowBlank="1" promptTitle="نوع البند" prompt="مقاولات أم خدمات استشارية؟" sqref="K3:K388" xr:uid="{00000000-0002-0000-0200-000001000000}">
      <formula1>"مقاولات,استشارية"</formula1>
    </dataValidation>
    <dataValidation type="list" allowBlank="1" promptTitle="نموذج التقدم" prompt="نموذج احتساب التقدم" sqref="H3:H388" xr:uid="{00000000-0002-0000-0200-000002000000}">
      <formula1>"عددي,نسبة مئوية,مبلغ مقطوع شهري"</formula1>
    </dataValidation>
    <dataValidation type="list" errorStyle="information" allowBlank="1" promptTitle="وحدة القياس" prompt="اختر الوحدة من القائمة الشائعة (يمكن الكتابة مباشرة لقيم أخرى)" sqref="D3:D388" xr:uid="{00000000-0002-0000-0200-000003000000}">
      <formula1>"عدد,م,م²,م³,م.ط,كجم,طن,لتر,ساعة,يوم,شهر,نظام,طن تبريد,ل.س,مقطوعية,كرسي,زوج,متر طولي,متر مربع,متر مكعب"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A79D"/>
  </sheetPr>
  <dimension ref="A1:Q38"/>
  <sheetViews>
    <sheetView rightToLeft="1" topLeftCell="A14" workbookViewId="0">
      <selection activeCell="C42" sqref="C42"/>
    </sheetView>
  </sheetViews>
  <sheetFormatPr defaultRowHeight="13.8"/>
  <cols>
    <col min="1" max="1" width="6" customWidth="1"/>
    <col min="2" max="2" width="14" customWidth="1"/>
    <col min="3" max="3" width="18" customWidth="1"/>
    <col min="4" max="6" width="14" customWidth="1"/>
    <col min="7" max="7" width="18" customWidth="1"/>
    <col min="8" max="8" width="12" customWidth="1"/>
    <col min="9" max="9" width="18" customWidth="1"/>
    <col min="10" max="10" width="16" customWidth="1"/>
    <col min="11" max="11" width="18" customWidth="1"/>
    <col min="12" max="12" width="14" customWidth="1"/>
    <col min="13" max="13" width="20" customWidth="1"/>
    <col min="14" max="14" width="18" customWidth="1"/>
    <col min="15" max="15" width="14" customWidth="1"/>
    <col min="16" max="16" width="30" customWidth="1"/>
    <col min="17" max="17" width="22" customWidth="1"/>
  </cols>
  <sheetData>
    <row r="1" spans="1:17" ht="34.950000000000003" customHeight="1">
      <c r="A1" s="3" t="s">
        <v>113</v>
      </c>
      <c r="B1" s="3" t="s">
        <v>87</v>
      </c>
      <c r="C1" s="3" t="s">
        <v>114</v>
      </c>
      <c r="D1" s="3" t="s">
        <v>115</v>
      </c>
      <c r="E1" s="3" t="s">
        <v>116</v>
      </c>
      <c r="F1" s="3" t="s">
        <v>117</v>
      </c>
      <c r="G1" s="3" t="s">
        <v>118</v>
      </c>
      <c r="H1" s="3" t="s">
        <v>119</v>
      </c>
      <c r="I1" s="3" t="s">
        <v>120</v>
      </c>
      <c r="J1" s="3" t="s">
        <v>121</v>
      </c>
      <c r="K1" s="3" t="s">
        <v>122</v>
      </c>
      <c r="L1" s="3" t="s">
        <v>123</v>
      </c>
      <c r="M1" s="3" t="s">
        <v>124</v>
      </c>
      <c r="N1" s="3" t="s">
        <v>125</v>
      </c>
      <c r="O1" s="3" t="s">
        <v>126</v>
      </c>
      <c r="P1" s="3" t="s">
        <v>127</v>
      </c>
      <c r="Q1" s="31" t="s">
        <v>128</v>
      </c>
    </row>
    <row r="2" spans="1:17" ht="14.4">
      <c r="A2" s="13">
        <v>1</v>
      </c>
      <c r="B2" s="13" t="s">
        <v>129</v>
      </c>
      <c r="C2" s="13" t="s">
        <v>130</v>
      </c>
      <c r="D2" s="13" t="s">
        <v>131</v>
      </c>
      <c r="E2" s="13" t="s">
        <v>132</v>
      </c>
      <c r="F2" s="13" t="s">
        <v>133</v>
      </c>
      <c r="G2" s="14">
        <v>850000</v>
      </c>
      <c r="H2" s="14">
        <v>100</v>
      </c>
      <c r="I2" s="14">
        <v>850000</v>
      </c>
      <c r="J2" s="14">
        <v>42500</v>
      </c>
      <c r="K2" s="14">
        <v>807500</v>
      </c>
      <c r="L2" s="14">
        <v>121125</v>
      </c>
      <c r="M2" s="14">
        <v>928625</v>
      </c>
      <c r="N2" s="14">
        <v>928625</v>
      </c>
      <c r="O2" s="13" t="s">
        <v>134</v>
      </c>
      <c r="P2" s="13" t="s">
        <v>135</v>
      </c>
    </row>
    <row r="3" spans="1:17" ht="28.2" customHeight="1">
      <c r="A3" s="12">
        <v>1</v>
      </c>
      <c r="B3" s="12" t="str">
        <f>العقد!A2</f>
        <v>CMH_01-C01</v>
      </c>
      <c r="C3" s="79" t="s">
        <v>698</v>
      </c>
      <c r="D3" s="6" t="s">
        <v>131</v>
      </c>
      <c r="E3" s="11">
        <v>44873</v>
      </c>
      <c r="F3" s="11">
        <v>44934</v>
      </c>
      <c r="G3" s="9">
        <f>SUMIF('بنود المطالبات'!B$3:B$1805, A3, 'بنود المطالبات'!K$3:K$1805)</f>
        <v>643229.83000000007</v>
      </c>
      <c r="H3" s="8">
        <v>100</v>
      </c>
      <c r="I3" s="9">
        <f t="shared" ref="I3:I23" si="0">IFERROR(IF(G3&lt;&gt;0, G3*IF(H3&lt;&gt;"",H3,100)/100, 0), 0)</f>
        <v>643229.83000000007</v>
      </c>
      <c r="J3" s="9">
        <f>IFERROR(IF(I3&lt;&gt;0, I3*IF(العقد!$M$2&lt;&gt;"",العقد!$M$2,0)/100, 0), 0)</f>
        <v>64322.983000000007</v>
      </c>
      <c r="K3" s="9">
        <f t="shared" ref="K3:K23" si="1">I3-J3</f>
        <v>578906.84700000007</v>
      </c>
      <c r="L3" s="9">
        <f>IFERROR(IF(K3&lt;&gt;0, K3*IF(العقد!$G$2&lt;&gt;"",العقد!$G$2,15)/100, 0), 0)</f>
        <v>86836.027050000019</v>
      </c>
      <c r="M3" s="10">
        <f t="shared" ref="M3:M23" si="2">K3+L3</f>
        <v>665742.8740500001</v>
      </c>
      <c r="N3" s="18">
        <f>SUMPRODUCT((O$3:O3="معتمدة")*M$3:M3)</f>
        <v>665742.8740500001</v>
      </c>
      <c r="O3" s="8" t="s">
        <v>134</v>
      </c>
      <c r="P3" s="19"/>
      <c r="Q3" t="str">
        <f t="shared" ref="Q3:Q22" si="3">IF(C3&lt;&gt;"", "CMH_01-CLM-" &amp; TEXT(A3, "000"), "")</f>
        <v>CMH_01-CLM-001</v>
      </c>
    </row>
    <row r="4" spans="1:17" ht="28.2" customHeight="1">
      <c r="A4" s="12">
        <v>2</v>
      </c>
      <c r="B4" s="12" t="str">
        <f>العقد!A2</f>
        <v>CMH_01-C01</v>
      </c>
      <c r="C4" s="79" t="s">
        <v>699</v>
      </c>
      <c r="D4" s="6" t="s">
        <v>131</v>
      </c>
      <c r="E4" s="11">
        <v>44934</v>
      </c>
      <c r="F4" s="11">
        <v>44993</v>
      </c>
      <c r="G4" s="9">
        <f>SUMIF('بنود المطالبات'!B$3:B$1805, A4, 'بنود المطالبات'!K$3:K$1805)</f>
        <v>555052.43999999994</v>
      </c>
      <c r="H4" s="8">
        <v>100</v>
      </c>
      <c r="I4" s="9">
        <f t="shared" si="0"/>
        <v>555052.43999999994</v>
      </c>
      <c r="J4" s="9">
        <f>IFERROR(IF(I4&lt;&gt;0, I4*IF(العقد!$M$2&lt;&gt;"",العقد!$M$2,0)/100, 0), 0)</f>
        <v>55505.243999999992</v>
      </c>
      <c r="K4" s="9">
        <f t="shared" si="1"/>
        <v>499547.19599999994</v>
      </c>
      <c r="L4" s="9">
        <f>IFERROR(IF(K4&lt;&gt;0, K4*IF(العقد!$G$2&lt;&gt;"",العقد!$G$2,15)/100, 0), 0)</f>
        <v>74932.079399999988</v>
      </c>
      <c r="M4" s="10">
        <f t="shared" si="2"/>
        <v>574479.27539999993</v>
      </c>
      <c r="N4" s="18">
        <f>SUMPRODUCT((O$3:O4="معتمدة")*M$3:M4)</f>
        <v>1240222.1494499999</v>
      </c>
      <c r="O4" s="8" t="s">
        <v>134</v>
      </c>
      <c r="P4" s="19"/>
      <c r="Q4" t="str">
        <f t="shared" si="3"/>
        <v>CMH_01-CLM-002</v>
      </c>
    </row>
    <row r="5" spans="1:17" ht="28.2" customHeight="1">
      <c r="A5" s="12">
        <v>3</v>
      </c>
      <c r="B5" s="12" t="str">
        <f>العقد!A2</f>
        <v>CMH_01-C01</v>
      </c>
      <c r="C5" s="79" t="s">
        <v>700</v>
      </c>
      <c r="D5" s="6" t="s">
        <v>131</v>
      </c>
      <c r="E5" s="11">
        <v>44993</v>
      </c>
      <c r="F5" s="11">
        <v>45081</v>
      </c>
      <c r="G5" s="9">
        <f>SUMIF('بنود المطالبات'!B$3:B$1805, A5, 'بنود المطالبات'!K$3:K$1805)</f>
        <v>1330080.5280000002</v>
      </c>
      <c r="H5" s="8">
        <v>100</v>
      </c>
      <c r="I5" s="9">
        <f t="shared" si="0"/>
        <v>1330080.5280000002</v>
      </c>
      <c r="J5" s="9">
        <f>IFERROR(IF(I5&lt;&gt;0, I5*IF(العقد!$M$2&lt;&gt;"",العقد!$M$2,0)/100, 0), 0)</f>
        <v>133008.0528</v>
      </c>
      <c r="K5" s="9">
        <f t="shared" si="1"/>
        <v>1197072.4752000002</v>
      </c>
      <c r="L5" s="9">
        <f>IFERROR(IF(K5&lt;&gt;0, K5*IF(العقد!$G$2&lt;&gt;"",العقد!$G$2,15)/100, 0), 0)</f>
        <v>179560.87128000002</v>
      </c>
      <c r="M5" s="10">
        <f t="shared" si="2"/>
        <v>1376633.3464800003</v>
      </c>
      <c r="N5" s="18">
        <f>SUMPRODUCT((O$3:O5="معتمدة")*M$3:M5)</f>
        <v>2616855.4959300002</v>
      </c>
      <c r="O5" s="8" t="s">
        <v>134</v>
      </c>
      <c r="P5" s="19"/>
      <c r="Q5" t="str">
        <f t="shared" si="3"/>
        <v>CMH_01-CLM-003</v>
      </c>
    </row>
    <row r="6" spans="1:17" ht="28.2" customHeight="1">
      <c r="A6" s="12">
        <v>4</v>
      </c>
      <c r="B6" s="12" t="str">
        <f>العقد!A2</f>
        <v>CMH_01-C01</v>
      </c>
      <c r="C6" s="79" t="s">
        <v>711</v>
      </c>
      <c r="D6" s="6" t="s">
        <v>131</v>
      </c>
      <c r="E6" s="11">
        <v>45081</v>
      </c>
      <c r="F6" s="11">
        <v>45111</v>
      </c>
      <c r="G6" s="9">
        <f>SUMIF('بنود المطالبات'!B$3:B$1805, A6, 'بنود المطالبات'!K$3:K$1805)</f>
        <v>758335.00799999991</v>
      </c>
      <c r="H6" s="8">
        <v>100</v>
      </c>
      <c r="I6" s="9">
        <f t="shared" si="0"/>
        <v>758335.00799999991</v>
      </c>
      <c r="J6" s="9">
        <f>IFERROR(IF(I6&lt;&gt;0, I6*IF(العقد!$M$2&lt;&gt;"",العقد!$M$2,0)/100, 0), 0)</f>
        <v>75833.500799999994</v>
      </c>
      <c r="K6" s="9">
        <f t="shared" si="1"/>
        <v>682501.50719999988</v>
      </c>
      <c r="L6" s="9">
        <f>IFERROR(IF(K6&lt;&gt;0, K6*IF(العقد!$G$2&lt;&gt;"",العقد!$G$2,15)/100, 0), 0)</f>
        <v>102375.22607999999</v>
      </c>
      <c r="M6" s="10">
        <f t="shared" si="2"/>
        <v>784876.73327999981</v>
      </c>
      <c r="N6" s="18">
        <f>SUMPRODUCT((O$3:O6="معتمدة")*M$3:M6)</f>
        <v>3401732.22921</v>
      </c>
      <c r="O6" s="8" t="s">
        <v>134</v>
      </c>
      <c r="P6" s="19"/>
    </row>
    <row r="7" spans="1:17" ht="28.2" customHeight="1">
      <c r="A7" s="12">
        <v>5</v>
      </c>
      <c r="B7" s="12" t="str">
        <f>العقد!A2</f>
        <v>CMH_01-C01</v>
      </c>
      <c r="C7" s="79" t="s">
        <v>701</v>
      </c>
      <c r="D7" s="6" t="s">
        <v>131</v>
      </c>
      <c r="E7" s="11">
        <v>45111</v>
      </c>
      <c r="F7" s="11">
        <v>45171</v>
      </c>
      <c r="G7" s="9">
        <f>SUMIF('بنود المطالبات'!B$3:B$1805, A7, 'بنود المطالبات'!K$3:K$1805)</f>
        <v>3060076.1144999992</v>
      </c>
      <c r="H7" s="8">
        <v>100</v>
      </c>
      <c r="I7" s="9">
        <f t="shared" si="0"/>
        <v>3060076.1144999992</v>
      </c>
      <c r="J7" s="9">
        <f>IFERROR(IF(I7&lt;&gt;0, I7*IF(العقد!$M$2&lt;&gt;"",العقد!$M$2,0)/100, 0), 0)</f>
        <v>306007.61144999991</v>
      </c>
      <c r="K7" s="9">
        <f t="shared" si="1"/>
        <v>2754068.5030499995</v>
      </c>
      <c r="L7" s="9">
        <f>IFERROR(IF(K7&lt;&gt;0, K7*IF(العقد!$G$2&lt;&gt;"",العقد!$G$2,15)/100, 0), 0)</f>
        <v>413110.2754574999</v>
      </c>
      <c r="M7" s="10">
        <f t="shared" si="2"/>
        <v>3167178.7785074995</v>
      </c>
      <c r="N7" s="18">
        <f>SUMPRODUCT((O$3:O7="معتمدة")*M$3:M7)</f>
        <v>6568911.0077174995</v>
      </c>
      <c r="O7" s="8" t="s">
        <v>134</v>
      </c>
      <c r="P7" s="19"/>
      <c r="Q7" t="str">
        <f t="shared" si="3"/>
        <v>CMH_01-CLM-005</v>
      </c>
    </row>
    <row r="8" spans="1:17" ht="28.2" customHeight="1">
      <c r="A8" s="12">
        <v>6</v>
      </c>
      <c r="B8" s="12" t="str">
        <f>العقد!A2</f>
        <v>CMH_01-C01</v>
      </c>
      <c r="C8" s="79" t="s">
        <v>702</v>
      </c>
      <c r="D8" s="6" t="s">
        <v>131</v>
      </c>
      <c r="E8" s="11">
        <v>45171</v>
      </c>
      <c r="F8" s="11">
        <v>45246</v>
      </c>
      <c r="G8" s="9">
        <f>SUMIF('بنود المطالبات'!B$3:B$1805, A8, 'بنود المطالبات'!K$3:K$1805)</f>
        <v>1525725.0107999998</v>
      </c>
      <c r="H8" s="8">
        <v>100</v>
      </c>
      <c r="I8" s="9">
        <f t="shared" si="0"/>
        <v>1525725.0107999998</v>
      </c>
      <c r="J8" s="9">
        <f>IFERROR(IF(I8&lt;&gt;0, I8*IF(العقد!$M$2&lt;&gt;"",العقد!$M$2,0)/100, 0), 0)</f>
        <v>152572.50107999999</v>
      </c>
      <c r="K8" s="9">
        <f t="shared" si="1"/>
        <v>1373152.5097199997</v>
      </c>
      <c r="L8" s="9">
        <f>IFERROR(IF(K8&lt;&gt;0, K8*IF(العقد!$G$2&lt;&gt;"",العقد!$G$2,15)/100, 0), 0)</f>
        <v>205972.87645799996</v>
      </c>
      <c r="M8" s="10">
        <f t="shared" si="2"/>
        <v>1579125.3861779997</v>
      </c>
      <c r="N8" s="18">
        <f>SUMPRODUCT((O$3:O8="معتمدة")*M$3:M8)</f>
        <v>8148036.3938954994</v>
      </c>
      <c r="O8" s="8" t="s">
        <v>134</v>
      </c>
      <c r="P8" s="19"/>
      <c r="Q8" t="str">
        <f t="shared" si="3"/>
        <v>CMH_01-CLM-006</v>
      </c>
    </row>
    <row r="9" spans="1:17" ht="28.2" customHeight="1">
      <c r="A9" s="12">
        <v>7</v>
      </c>
      <c r="B9" s="12" t="str">
        <f>العقد!A2</f>
        <v>CMH_01-C01</v>
      </c>
      <c r="C9" s="79" t="s">
        <v>703</v>
      </c>
      <c r="D9" s="6" t="s">
        <v>131</v>
      </c>
      <c r="E9" s="11">
        <v>45246</v>
      </c>
      <c r="F9" s="11">
        <v>45306</v>
      </c>
      <c r="G9" s="9">
        <f>SUMIF('بنود المطالبات'!B$3:B$1805, A9, 'بنود المطالبات'!K$3:K$1805)</f>
        <v>2904825.7769999998</v>
      </c>
      <c r="H9" s="8">
        <v>100</v>
      </c>
      <c r="I9" s="9">
        <f t="shared" si="0"/>
        <v>2904825.7769999998</v>
      </c>
      <c r="J9" s="9">
        <f>IFERROR(IF(I9&lt;&gt;0, I9*IF(العقد!$M$2&lt;&gt;"",العقد!$M$2,0)/100, 0), 0)</f>
        <v>290482.57769999997</v>
      </c>
      <c r="K9" s="9">
        <f t="shared" si="1"/>
        <v>2614343.1993</v>
      </c>
      <c r="L9" s="9">
        <f>IFERROR(IF(K9&lt;&gt;0, K9*IF(العقد!$G$2&lt;&gt;"",العقد!$G$2,15)/100, 0), 0)</f>
        <v>392151.479895</v>
      </c>
      <c r="M9" s="10">
        <f t="shared" si="2"/>
        <v>3006494.6791949999</v>
      </c>
      <c r="N9" s="18">
        <f>SUMPRODUCT((O$3:O9="معتمدة")*M$3:M9)</f>
        <v>11154531.073090499</v>
      </c>
      <c r="O9" s="8" t="s">
        <v>134</v>
      </c>
      <c r="P9" s="19"/>
      <c r="Q9" t="str">
        <f t="shared" si="3"/>
        <v>CMH_01-CLM-007</v>
      </c>
    </row>
    <row r="10" spans="1:17" ht="28.2" customHeight="1">
      <c r="A10" s="12">
        <v>8</v>
      </c>
      <c r="B10" s="12" t="str">
        <f>العقد!A2</f>
        <v>CMH_01-C01</v>
      </c>
      <c r="C10" s="79" t="s">
        <v>704</v>
      </c>
      <c r="D10" s="6" t="s">
        <v>131</v>
      </c>
      <c r="E10" s="11">
        <v>45306</v>
      </c>
      <c r="F10" s="11">
        <v>45339</v>
      </c>
      <c r="G10" s="9">
        <f>SUMIF('بنود المطالبات'!B$3:B$1805, A10, 'بنود المطالبات'!K$3:K$1805)</f>
        <v>4089443.6653</v>
      </c>
      <c r="H10" s="8">
        <v>100</v>
      </c>
      <c r="I10" s="9">
        <f t="shared" si="0"/>
        <v>4089443.6652999995</v>
      </c>
      <c r="J10" s="9">
        <f>IFERROR(IF(I10&lt;&gt;0, I10*IF(العقد!$M$2&lt;&gt;"",العقد!$M$2,0)/100, 0), 0)</f>
        <v>408944.36653</v>
      </c>
      <c r="K10" s="9">
        <f t="shared" si="1"/>
        <v>3680499.2987699993</v>
      </c>
      <c r="L10" s="9">
        <f>IFERROR(IF(K10&lt;&gt;0, K10*IF(العقد!$G$2&lt;&gt;"",العقد!$G$2,15)/100, 0), 0)</f>
        <v>552074.89481549989</v>
      </c>
      <c r="M10" s="10">
        <f t="shared" si="2"/>
        <v>4232574.1935854992</v>
      </c>
      <c r="N10" s="18">
        <f>SUMPRODUCT((O$3:O10="معتمدة")*M$3:M10)</f>
        <v>15387105.266675998</v>
      </c>
      <c r="O10" s="8" t="s">
        <v>134</v>
      </c>
      <c r="P10" s="19"/>
      <c r="Q10" t="str">
        <f t="shared" si="3"/>
        <v>CMH_01-CLM-008</v>
      </c>
    </row>
    <row r="11" spans="1:17" ht="28.2" customHeight="1">
      <c r="A11" s="12">
        <v>9</v>
      </c>
      <c r="B11" s="12" t="str">
        <f>العقد!A2</f>
        <v>CMH_01-C01</v>
      </c>
      <c r="C11" s="79" t="s">
        <v>705</v>
      </c>
      <c r="D11" s="6" t="s">
        <v>131</v>
      </c>
      <c r="E11" s="11">
        <v>45339</v>
      </c>
      <c r="F11" s="11">
        <v>45384</v>
      </c>
      <c r="G11" s="9">
        <f>SUMIF('بنود المطالبات'!B$3:B$1805, A11, 'بنود المطالبات'!K$3:K$1805)</f>
        <v>1893689.5963999999</v>
      </c>
      <c r="H11" s="8">
        <v>100</v>
      </c>
      <c r="I11" s="9">
        <f t="shared" si="0"/>
        <v>1893689.5963999999</v>
      </c>
      <c r="J11" s="9">
        <f>IFERROR(IF(I11&lt;&gt;0, I11*IF(العقد!$M$2&lt;&gt;"",العقد!$M$2,0)/100, 0), 0)</f>
        <v>189368.95963999999</v>
      </c>
      <c r="K11" s="9">
        <f t="shared" si="1"/>
        <v>1704320.6367599999</v>
      </c>
      <c r="L11" s="9">
        <f>IFERROR(IF(K11&lt;&gt;0, K11*IF(العقد!$G$2&lt;&gt;"",العقد!$G$2,15)/100, 0), 0)</f>
        <v>255648.09551399999</v>
      </c>
      <c r="M11" s="10">
        <f t="shared" si="2"/>
        <v>1959968.7322739998</v>
      </c>
      <c r="N11" s="18">
        <f>SUMPRODUCT((O$3:O11="معتمدة")*M$3:M11)</f>
        <v>17347073.998949997</v>
      </c>
      <c r="O11" s="8" t="s">
        <v>134</v>
      </c>
      <c r="P11" s="19"/>
      <c r="Q11" t="str">
        <f t="shared" si="3"/>
        <v>CMH_01-CLM-009</v>
      </c>
    </row>
    <row r="12" spans="1:17" ht="28.2" customHeight="1">
      <c r="A12" s="12">
        <v>10</v>
      </c>
      <c r="B12" s="12" t="str">
        <f>العقد!A2</f>
        <v>CMH_01-C01</v>
      </c>
      <c r="C12" s="79" t="s">
        <v>706</v>
      </c>
      <c r="D12" s="6" t="s">
        <v>131</v>
      </c>
      <c r="E12" s="11">
        <v>45384</v>
      </c>
      <c r="F12" s="11">
        <v>45407</v>
      </c>
      <c r="G12" s="9">
        <f>SUMIF('بنود المطالبات'!B$3:B$1805, A12, 'بنود المطالبات'!K$3:K$1805)</f>
        <v>1711341.96</v>
      </c>
      <c r="H12" s="8">
        <v>100</v>
      </c>
      <c r="I12" s="9">
        <f t="shared" si="0"/>
        <v>1711341.96</v>
      </c>
      <c r="J12" s="9">
        <f>IFERROR(IF(I12&lt;&gt;0, I12*IF(العقد!$M$2&lt;&gt;"",العقد!$M$2,0)/100, 0), 0)</f>
        <v>171134.19600000003</v>
      </c>
      <c r="K12" s="9">
        <f t="shared" si="1"/>
        <v>1540207.764</v>
      </c>
      <c r="L12" s="9">
        <f>IFERROR(IF(K12&lt;&gt;0, K12*IF(العقد!$G$2&lt;&gt;"",العقد!$G$2,15)/100, 0), 0)</f>
        <v>231031.16460000002</v>
      </c>
      <c r="M12" s="10">
        <f t="shared" si="2"/>
        <v>1771238.9286</v>
      </c>
      <c r="N12" s="18">
        <f>SUMPRODUCT((O$3:O12="معتمدة")*M$3:M12)</f>
        <v>19118312.927549995</v>
      </c>
      <c r="O12" s="8" t="s">
        <v>134</v>
      </c>
      <c r="P12" s="19"/>
      <c r="Q12" t="str">
        <f t="shared" si="3"/>
        <v>CMH_01-CLM-010</v>
      </c>
    </row>
    <row r="13" spans="1:17" ht="28.2" customHeight="1">
      <c r="A13" s="12">
        <v>11</v>
      </c>
      <c r="B13" s="12" t="str">
        <f>العقد!A2</f>
        <v>CMH_01-C01</v>
      </c>
      <c r="C13" s="79" t="s">
        <v>712</v>
      </c>
      <c r="D13" s="6" t="s">
        <v>131</v>
      </c>
      <c r="E13" s="11">
        <v>45407</v>
      </c>
      <c r="F13" s="11">
        <v>45448</v>
      </c>
      <c r="G13" s="9">
        <f>SUMIF('بنود المطالبات'!B$3:B$1805, A13, 'بنود المطالبات'!K$3:K$1805)</f>
        <v>3969678.0568999997</v>
      </c>
      <c r="H13" s="8">
        <v>100</v>
      </c>
      <c r="I13" s="9">
        <f t="shared" si="0"/>
        <v>3969678.0569000002</v>
      </c>
      <c r="J13" s="9">
        <f>IFERROR(IF(I13&lt;&gt;0, I13*IF(العقد!$M$2&lt;&gt;"",العقد!$M$2,0)/100, 0), 0)</f>
        <v>396967.80569000007</v>
      </c>
      <c r="K13" s="9">
        <f t="shared" si="1"/>
        <v>3572710.2512100004</v>
      </c>
      <c r="L13" s="9">
        <f>IFERROR(IF(K13&lt;&gt;0, K13*IF(العقد!$G$2&lt;&gt;"",العقد!$G$2,15)/100, 0), 0)</f>
        <v>535906.53768149996</v>
      </c>
      <c r="M13" s="10">
        <f t="shared" si="2"/>
        <v>4108616.7888915003</v>
      </c>
      <c r="N13" s="18">
        <f>SUMPRODUCT((O$3:O13="معتمدة")*M$3:M13)</f>
        <v>23226929.716441497</v>
      </c>
      <c r="O13" s="8" t="s">
        <v>134</v>
      </c>
      <c r="P13" s="19"/>
      <c r="Q13" t="str">
        <f t="shared" si="3"/>
        <v>CMH_01-CLM-011</v>
      </c>
    </row>
    <row r="14" spans="1:17" ht="28.2" customHeight="1">
      <c r="A14" s="12">
        <v>12</v>
      </c>
      <c r="B14" s="12" t="str">
        <f>العقد!A2</f>
        <v>CMH_01-C01</v>
      </c>
      <c r="C14" s="79" t="s">
        <v>707</v>
      </c>
      <c r="D14" s="6" t="s">
        <v>131</v>
      </c>
      <c r="E14" s="11">
        <v>45448</v>
      </c>
      <c r="F14" s="11">
        <v>45481</v>
      </c>
      <c r="G14" s="9">
        <f>SUMIF('بنود المطالبات'!B$3:B$1805, A14, 'بنود المطالبات'!K$3:K$1805)</f>
        <v>1577832.5833999999</v>
      </c>
      <c r="H14" s="8">
        <v>100</v>
      </c>
      <c r="I14" s="9">
        <f t="shared" si="0"/>
        <v>1577832.5833999997</v>
      </c>
      <c r="J14" s="9">
        <f>IFERROR(IF(I14&lt;&gt;0, I14*IF(العقد!$M$2&lt;&gt;"",العقد!$M$2,0)/100, 0), 0)</f>
        <v>157783.25833999997</v>
      </c>
      <c r="K14" s="9">
        <f t="shared" si="1"/>
        <v>1420049.3250599997</v>
      </c>
      <c r="L14" s="9">
        <f>IFERROR(IF(K14&lt;&gt;0, K14*IF(العقد!$G$2&lt;&gt;"",العقد!$G$2,15)/100, 0), 0)</f>
        <v>213007.39875899997</v>
      </c>
      <c r="M14" s="10">
        <f t="shared" si="2"/>
        <v>1633056.7238189997</v>
      </c>
      <c r="N14" s="18">
        <f>SUMPRODUCT((O$3:O14="معتمدة")*M$3:M14)</f>
        <v>24859986.440260496</v>
      </c>
      <c r="O14" s="8" t="s">
        <v>134</v>
      </c>
      <c r="P14" s="19"/>
      <c r="Q14" t="str">
        <f t="shared" si="3"/>
        <v>CMH_01-CLM-012</v>
      </c>
    </row>
    <row r="15" spans="1:17" ht="28.2" customHeight="1">
      <c r="A15" s="12">
        <v>13</v>
      </c>
      <c r="B15" s="12" t="str">
        <f>العقد!A2</f>
        <v>CMH_01-C01</v>
      </c>
      <c r="C15" s="79" t="s">
        <v>708</v>
      </c>
      <c r="D15" s="6" t="s">
        <v>131</v>
      </c>
      <c r="E15" s="11">
        <v>45481</v>
      </c>
      <c r="F15" s="11">
        <v>45528</v>
      </c>
      <c r="G15" s="9">
        <f>SUMIF('بنود المطالبات'!B$3:B$1805, A15, 'بنود المطالبات'!K$3:K$1805)</f>
        <v>1634218.5840000003</v>
      </c>
      <c r="H15" s="8">
        <v>100</v>
      </c>
      <c r="I15" s="9">
        <f t="shared" si="0"/>
        <v>1634218.5840000003</v>
      </c>
      <c r="J15" s="9">
        <f>IFERROR(IF(I15&lt;&gt;0, I15*IF(العقد!$M$2&lt;&gt;"",العقد!$M$2,0)/100, 0), 0)</f>
        <v>163421.85840000003</v>
      </c>
      <c r="K15" s="9">
        <f t="shared" si="1"/>
        <v>1470796.7256000002</v>
      </c>
      <c r="L15" s="9">
        <f>IFERROR(IF(K15&lt;&gt;0, K15*IF(العقد!$G$2&lt;&gt;"",العقد!$G$2,15)/100, 0), 0)</f>
        <v>220619.50884000002</v>
      </c>
      <c r="M15" s="10">
        <f t="shared" si="2"/>
        <v>1691416.2344400003</v>
      </c>
      <c r="N15" s="18">
        <f>SUMPRODUCT((O$3:O15="معتمدة")*M$3:M15)</f>
        <v>26551402.674700495</v>
      </c>
      <c r="O15" s="8" t="s">
        <v>134</v>
      </c>
      <c r="P15" s="19"/>
      <c r="Q15" t="str">
        <f t="shared" si="3"/>
        <v>CMH_01-CLM-013</v>
      </c>
    </row>
    <row r="16" spans="1:17" ht="28.2" customHeight="1">
      <c r="A16" s="12">
        <v>14</v>
      </c>
      <c r="B16" s="12" t="str">
        <f>العقد!A2</f>
        <v>CMH_01-C01</v>
      </c>
      <c r="C16" s="79" t="s">
        <v>709</v>
      </c>
      <c r="D16" s="6" t="s">
        <v>131</v>
      </c>
      <c r="E16" s="11">
        <v>45528</v>
      </c>
      <c r="F16" s="11">
        <v>45570</v>
      </c>
      <c r="G16" s="9">
        <f>SUMIF('بنود المطالبات'!B$3:B$1805, A16, 'بنود المطالبات'!K$3:K$1805)</f>
        <v>5426451.1559999995</v>
      </c>
      <c r="H16" s="8">
        <v>100</v>
      </c>
      <c r="I16" s="9">
        <f t="shared" si="0"/>
        <v>5426451.1559999995</v>
      </c>
      <c r="J16" s="9">
        <f>IFERROR(IF(I16&lt;&gt;0, I16*IF(العقد!$M$2&lt;&gt;"",العقد!$M$2,0)/100, 0), 0)</f>
        <v>542645.1155999999</v>
      </c>
      <c r="K16" s="9">
        <f t="shared" si="1"/>
        <v>4883806.0403999994</v>
      </c>
      <c r="L16" s="9">
        <f>IFERROR(IF(K16&lt;&gt;0, K16*IF(العقد!$G$2&lt;&gt;"",العقد!$G$2,15)/100, 0), 0)</f>
        <v>732570.90605999995</v>
      </c>
      <c r="M16" s="10">
        <f t="shared" si="2"/>
        <v>5616376.9464599993</v>
      </c>
      <c r="N16" s="18">
        <f>SUMPRODUCT((O$3:O16="معتمدة")*M$3:M16)</f>
        <v>32167779.621160492</v>
      </c>
      <c r="O16" s="8" t="s">
        <v>134</v>
      </c>
      <c r="P16" s="19"/>
      <c r="Q16" t="str">
        <f t="shared" si="3"/>
        <v>CMH_01-CLM-014</v>
      </c>
    </row>
    <row r="17" spans="1:17" ht="28.2" customHeight="1">
      <c r="A17" s="12">
        <v>15</v>
      </c>
      <c r="B17" s="12" t="str">
        <f>العقد!A2</f>
        <v>CMH_01-C01</v>
      </c>
      <c r="C17" s="79" t="s">
        <v>710</v>
      </c>
      <c r="D17" s="6" t="s">
        <v>131</v>
      </c>
      <c r="E17" s="11"/>
      <c r="F17" s="11"/>
      <c r="G17" s="9">
        <f>SUMIF('بنود المطالبات'!B$3:B$1805, A17, 'بنود المطالبات'!K$3:K$1805)</f>
        <v>0</v>
      </c>
      <c r="H17" s="8">
        <v>100</v>
      </c>
      <c r="I17" s="9">
        <f t="shared" si="0"/>
        <v>0</v>
      </c>
      <c r="J17" s="9">
        <f>IFERROR(IF(I17&lt;&gt;0, I17*IF(العقد!$M$2&lt;&gt;"",العقد!$M$2,0)/100, 0), 0)</f>
        <v>0</v>
      </c>
      <c r="K17" s="9">
        <f t="shared" si="1"/>
        <v>0</v>
      </c>
      <c r="L17" s="9">
        <f>IFERROR(IF(K17&lt;&gt;0, K17*IF(العقد!$G$2&lt;&gt;"",العقد!$G$2,15)/100, 0), 0)</f>
        <v>0</v>
      </c>
      <c r="M17" s="10">
        <f t="shared" si="2"/>
        <v>0</v>
      </c>
      <c r="N17" s="18">
        <f>SUMPRODUCT((O$3:O17="معتمدة")*M$3:M17)</f>
        <v>32167779.621160492</v>
      </c>
      <c r="O17" s="8" t="s">
        <v>134</v>
      </c>
      <c r="P17" s="19"/>
      <c r="Q17" t="str">
        <f t="shared" si="3"/>
        <v>CMH_01-CLM-015</v>
      </c>
    </row>
    <row r="18" spans="1:17" ht="28.2" customHeight="1">
      <c r="A18" s="12">
        <v>16</v>
      </c>
      <c r="B18" s="12" t="str">
        <f>العقد!A2</f>
        <v>CMH_01-C01</v>
      </c>
      <c r="C18" s="79" t="s">
        <v>713</v>
      </c>
      <c r="D18" s="6" t="s">
        <v>131</v>
      </c>
      <c r="E18" s="11">
        <v>45570</v>
      </c>
      <c r="F18" s="11">
        <v>45606</v>
      </c>
      <c r="G18" s="9">
        <f>SUMIF('بنود المطالبات'!B$3:B$1805, A18, 'بنود المطالبات'!K$3:K$1805)</f>
        <v>4734576</v>
      </c>
      <c r="H18" s="8">
        <v>100</v>
      </c>
      <c r="I18" s="9">
        <f t="shared" si="0"/>
        <v>4734576</v>
      </c>
      <c r="J18" s="9">
        <f>IFERROR(IF(I18&lt;&gt;0, I18*IF(العقد!$M$2&lt;&gt;"",العقد!$M$2,0)/100, 0), 0)</f>
        <v>473457.6</v>
      </c>
      <c r="K18" s="9">
        <f t="shared" si="1"/>
        <v>4261118.4000000004</v>
      </c>
      <c r="L18" s="9">
        <f>IFERROR(IF(K18&lt;&gt;0, K18*IF(العقد!$G$2&lt;&gt;"",العقد!$G$2,15)/100, 0), 0)</f>
        <v>639167.76000000013</v>
      </c>
      <c r="M18" s="10">
        <f t="shared" si="2"/>
        <v>4900286.16</v>
      </c>
      <c r="N18" s="18">
        <f>SUMPRODUCT((O$3:O18="معتمدة")*M$3:M18)</f>
        <v>37068065.781160489</v>
      </c>
      <c r="O18" s="8" t="s">
        <v>134</v>
      </c>
      <c r="P18" s="19"/>
      <c r="Q18" t="str">
        <f t="shared" si="3"/>
        <v>CMH_01-CLM-016</v>
      </c>
    </row>
    <row r="19" spans="1:17" ht="28.2" customHeight="1">
      <c r="A19" s="12">
        <v>17</v>
      </c>
      <c r="B19" s="12" t="str">
        <f>العقد!A2</f>
        <v>CMH_01-C01</v>
      </c>
      <c r="C19" s="79" t="s">
        <v>714</v>
      </c>
      <c r="D19" s="6" t="s">
        <v>131</v>
      </c>
      <c r="E19" s="11">
        <v>45606</v>
      </c>
      <c r="F19" s="11">
        <v>45718</v>
      </c>
      <c r="G19" s="9">
        <f>SUMIF('بنود المطالبات'!B$3:B$1805, A19, 'بنود المطالبات'!K$3:K$1805)</f>
        <v>10805301.140000002</v>
      </c>
      <c r="H19" s="8">
        <v>100</v>
      </c>
      <c r="I19" s="9">
        <f t="shared" si="0"/>
        <v>10805301.140000002</v>
      </c>
      <c r="J19" s="9">
        <f>IFERROR(IF(I19&lt;&gt;0, I19*IF(العقد!$M$2&lt;&gt;"",العقد!$M$2,0)/100, 0), 0)</f>
        <v>1080530.1140000003</v>
      </c>
      <c r="K19" s="9">
        <f t="shared" si="1"/>
        <v>9724771.0260000024</v>
      </c>
      <c r="L19" s="9">
        <f>IFERROR(IF(K19&lt;&gt;0, K19*IF(العقد!$G$2&lt;&gt;"",العقد!$G$2,15)/100, 0), 0)</f>
        <v>1458715.6539000005</v>
      </c>
      <c r="M19" s="10">
        <f t="shared" si="2"/>
        <v>11183486.679900004</v>
      </c>
      <c r="N19" s="18">
        <f>SUMPRODUCT((O$3:O19="معتمدة")*M$3:M19)</f>
        <v>48251552.461060494</v>
      </c>
      <c r="O19" s="8" t="s">
        <v>134</v>
      </c>
      <c r="P19" s="19"/>
    </row>
    <row r="20" spans="1:17" ht="28.2" customHeight="1">
      <c r="A20" s="12">
        <v>18</v>
      </c>
      <c r="B20" s="12" t="str">
        <f>العقد!A2</f>
        <v>CMH_01-C01</v>
      </c>
      <c r="C20" s="79" t="s">
        <v>715</v>
      </c>
      <c r="D20" s="6" t="s">
        <v>131</v>
      </c>
      <c r="E20" s="11">
        <v>45718</v>
      </c>
      <c r="F20" s="11">
        <v>45743</v>
      </c>
      <c r="G20" s="9">
        <f>SUMIF('بنود المطالبات'!B$3:B$1805, A20, 'بنود المطالبات'!K$3:K$1805)</f>
        <v>8333499.7199999997</v>
      </c>
      <c r="H20" s="8">
        <v>100</v>
      </c>
      <c r="I20" s="9">
        <f t="shared" si="0"/>
        <v>8333499.7199999997</v>
      </c>
      <c r="J20" s="9">
        <f>IFERROR(IF(I20&lt;&gt;0, I20*IF(العقد!$M$2&lt;&gt;"",العقد!$M$2,0)/100, 0), 0)</f>
        <v>833349.97200000007</v>
      </c>
      <c r="K20" s="9">
        <f t="shared" si="1"/>
        <v>7500149.7479999997</v>
      </c>
      <c r="L20" s="9">
        <f>IFERROR(IF(K20&lt;&gt;0, K20*IF(العقد!$G$2&lt;&gt;"",العقد!$G$2,15)/100, 0), 0)</f>
        <v>1125022.4622</v>
      </c>
      <c r="M20" s="10">
        <f t="shared" si="2"/>
        <v>8625172.2102000006</v>
      </c>
      <c r="N20" s="18">
        <f>SUMPRODUCT((O$3:O20="معتمدة")*M$3:M20)</f>
        <v>56876724.671260491</v>
      </c>
      <c r="O20" s="8" t="s">
        <v>134</v>
      </c>
      <c r="P20" s="19"/>
      <c r="Q20" s="64"/>
    </row>
    <row r="21" spans="1:17" ht="28.2" customHeight="1">
      <c r="A21" s="12">
        <v>19</v>
      </c>
      <c r="B21" s="12" t="str">
        <f>العقد!A2</f>
        <v>CMH_01-C01</v>
      </c>
      <c r="C21" s="79" t="s">
        <v>716</v>
      </c>
      <c r="D21" s="6" t="s">
        <v>131</v>
      </c>
      <c r="E21" s="11">
        <v>45718</v>
      </c>
      <c r="F21" s="11">
        <v>45743</v>
      </c>
      <c r="G21" s="9">
        <f>SUMIF('بنود المطالبات'!B$3:B$1805, A21, 'بنود المطالبات'!K$3:K$1805)</f>
        <v>3666523.4999999995</v>
      </c>
      <c r="H21" s="8">
        <v>100</v>
      </c>
      <c r="I21" s="9">
        <f t="shared" si="0"/>
        <v>3666523.4999999995</v>
      </c>
      <c r="J21" s="9">
        <f>IFERROR(IF(I21&lt;&gt;0, I21*IF(العقد!$M$2&lt;&gt;"",العقد!$M$2,0)/100, 0), 0)</f>
        <v>366652.34999999992</v>
      </c>
      <c r="K21" s="9">
        <f t="shared" si="1"/>
        <v>3299871.1499999994</v>
      </c>
      <c r="L21" s="9">
        <f>IFERROR(IF(K21&lt;&gt;0, K21*IF(العقد!$G$2&lt;&gt;"",العقد!$G$2,15)/100, 0), 0)</f>
        <v>494980.67249999993</v>
      </c>
      <c r="M21" s="10">
        <f t="shared" si="2"/>
        <v>3794851.8224999993</v>
      </c>
      <c r="N21" s="18">
        <f>SUMPRODUCT((O$3:O21="معتمدة")*M$3:M21)</f>
        <v>60671576.493760489</v>
      </c>
      <c r="O21" s="8" t="s">
        <v>134</v>
      </c>
      <c r="P21" s="19"/>
    </row>
    <row r="22" spans="1:17" ht="28.2" customHeight="1">
      <c r="A22" s="12">
        <v>20</v>
      </c>
      <c r="B22" s="12" t="str">
        <f>العقد!A2</f>
        <v>CMH_01-C01</v>
      </c>
      <c r="C22" s="79" t="s">
        <v>717</v>
      </c>
      <c r="D22" s="6" t="s">
        <v>131</v>
      </c>
      <c r="E22" s="11">
        <v>45718</v>
      </c>
      <c r="F22" s="11">
        <v>45743</v>
      </c>
      <c r="G22" s="9">
        <f>SUMIF('بنود المطالبات'!B$3:B$1805, A22, 'بنود المطالبات'!K$3:K$1805)</f>
        <v>3594042.62714</v>
      </c>
      <c r="H22" s="8">
        <v>100</v>
      </c>
      <c r="I22" s="9">
        <f t="shared" si="0"/>
        <v>3594042.62714</v>
      </c>
      <c r="J22" s="9">
        <f>IFERROR(IF(I22&lt;&gt;0, I22*IF(العقد!$M$2&lt;&gt;"",العقد!$M$2,0)/100, 0), 0)</f>
        <v>359404.26271399995</v>
      </c>
      <c r="K22" s="9">
        <f t="shared" si="1"/>
        <v>3234638.364426</v>
      </c>
      <c r="L22" s="9">
        <f>IFERROR(IF(K22&lt;&gt;0, K22*IF(العقد!$G$2&lt;&gt;"",العقد!$G$2,15)/100, 0), 0)</f>
        <v>485195.75466390001</v>
      </c>
      <c r="M22" s="10">
        <f t="shared" si="2"/>
        <v>3719834.1190899001</v>
      </c>
      <c r="N22" s="18">
        <f>SUMPRODUCT((O$3:O22="معتمدة")*M$3:M22)</f>
        <v>64391410.61285039</v>
      </c>
      <c r="O22" s="8" t="s">
        <v>134</v>
      </c>
      <c r="P22" s="19"/>
      <c r="Q22" t="str">
        <f t="shared" si="3"/>
        <v>CMH_01-CLM-020</v>
      </c>
    </row>
    <row r="23" spans="1:17" ht="28.2" customHeight="1">
      <c r="A23" s="12">
        <v>21</v>
      </c>
      <c r="B23" s="12" t="str">
        <f>العقد!A2</f>
        <v>CMH_01-C01</v>
      </c>
      <c r="C23" s="79" t="s">
        <v>718</v>
      </c>
      <c r="D23" s="6" t="s">
        <v>131</v>
      </c>
      <c r="E23" s="11">
        <v>45718</v>
      </c>
      <c r="F23" s="11">
        <v>45743</v>
      </c>
      <c r="G23" s="9">
        <f>SUMIF('بنود المطالبات'!B$3:B$1805, A23, 'بنود المطالبات'!K$3:K$1805)</f>
        <v>690133.75859999994</v>
      </c>
      <c r="H23" s="8">
        <v>100</v>
      </c>
      <c r="I23" s="9">
        <f t="shared" si="0"/>
        <v>690133.75859999994</v>
      </c>
      <c r="J23" s="9">
        <f>IFERROR(IF(I23&lt;&gt;0, I23*IF(العقد!$M$2&lt;&gt;"",العقد!$M$2,0)/100, 0), 0)</f>
        <v>69013.375859999986</v>
      </c>
      <c r="K23" s="9">
        <f t="shared" si="1"/>
        <v>621120.38273999991</v>
      </c>
      <c r="L23" s="9">
        <f>IFERROR(IF(K23&lt;&gt;0, K23*IF(العقد!$G$2&lt;&gt;"",العقد!$G$2,15)/100, 0), 0)</f>
        <v>93168.057410999987</v>
      </c>
      <c r="M23" s="10">
        <f t="shared" si="2"/>
        <v>714288.44015099993</v>
      </c>
      <c r="N23" s="18">
        <f>SUMPRODUCT((O$3:O23="معتمدة")*M$3:M23)</f>
        <v>65105699.053001389</v>
      </c>
      <c r="O23" s="8" t="s">
        <v>134</v>
      </c>
      <c r="P23" s="19"/>
    </row>
    <row r="24" spans="1:17" ht="28.2" hidden="1" customHeight="1">
      <c r="A24" s="12">
        <v>36</v>
      </c>
      <c r="B24" s="12" t="str">
        <f>العقد!A2</f>
        <v>CMH_01-C01</v>
      </c>
      <c r="C24" s="6"/>
      <c r="D24" s="6"/>
      <c r="E24" s="11"/>
      <c r="F24" s="11"/>
      <c r="G24" s="9">
        <f>SUMIF('بنود المطالبات'!B$3:B$1805, A24, 'بنود المطالبات'!K$3:K$1805)</f>
        <v>0</v>
      </c>
      <c r="H24" s="8">
        <v>100</v>
      </c>
      <c r="I24" s="9">
        <f t="shared" ref="I24:I38" si="4">IFERROR(IF(G24&lt;&gt;0, G24*IF(H24&lt;&gt;"",H24,100)/100, 0), 0)</f>
        <v>0</v>
      </c>
      <c r="J24" s="9">
        <f>IFERROR(IF(I24&lt;&gt;0, I24*IF(العقد!$M$2&lt;&gt;"",العقد!$M$2,0)/100, 0), 0)</f>
        <v>0</v>
      </c>
      <c r="K24" s="9">
        <f t="shared" ref="K24:K38" si="5">I24-J24</f>
        <v>0</v>
      </c>
      <c r="L24" s="9">
        <f>IFERROR(IF(K24&lt;&gt;0, K24*IF(العقد!$G$2&lt;&gt;"",العقد!$G$2,15)/100, 0), 0)</f>
        <v>0</v>
      </c>
      <c r="M24" s="10">
        <f t="shared" ref="M24:M38" si="6">K24+L24</f>
        <v>0</v>
      </c>
      <c r="N24" s="18">
        <f>SUMPRODUCT((O$3:O24="معتمدة")*M$3:M24)</f>
        <v>65105699.053001389</v>
      </c>
      <c r="O24" s="8"/>
      <c r="P24" s="19"/>
      <c r="Q24" t="str">
        <f t="shared" ref="Q24:Q38" si="7">IF(C24&lt;&gt;"", "CMH_01-CLM-" &amp; TEXT(A24, "000"), "")</f>
        <v/>
      </c>
    </row>
    <row r="25" spans="1:17" ht="28.2" hidden="1" customHeight="1">
      <c r="A25" s="12">
        <v>37</v>
      </c>
      <c r="B25" s="12" t="str">
        <f>العقد!A2</f>
        <v>CMH_01-C01</v>
      </c>
      <c r="C25" s="6"/>
      <c r="D25" s="6"/>
      <c r="E25" s="11"/>
      <c r="F25" s="11"/>
      <c r="G25" s="9">
        <f>SUMIF('بنود المطالبات'!B$3:B$1805, A25, 'بنود المطالبات'!K$3:K$1805)</f>
        <v>0</v>
      </c>
      <c r="H25" s="8">
        <v>100</v>
      </c>
      <c r="I25" s="9">
        <f t="shared" si="4"/>
        <v>0</v>
      </c>
      <c r="J25" s="9">
        <f>IFERROR(IF(I25&lt;&gt;0, I25*IF(العقد!$M$2&lt;&gt;"",العقد!$M$2,0)/100, 0), 0)</f>
        <v>0</v>
      </c>
      <c r="K25" s="9">
        <f t="shared" si="5"/>
        <v>0</v>
      </c>
      <c r="L25" s="9">
        <f>IFERROR(IF(K25&lt;&gt;0, K25*IF(العقد!$G$2&lt;&gt;"",العقد!$G$2,15)/100, 0), 0)</f>
        <v>0</v>
      </c>
      <c r="M25" s="10">
        <f t="shared" si="6"/>
        <v>0</v>
      </c>
      <c r="N25" s="18">
        <f>SUMPRODUCT((O$3:O25="معتمدة")*M$3:M25)</f>
        <v>65105699.053001389</v>
      </c>
      <c r="O25" s="8"/>
      <c r="P25" s="19"/>
      <c r="Q25" t="str">
        <f t="shared" si="7"/>
        <v/>
      </c>
    </row>
    <row r="26" spans="1:17" ht="28.2" hidden="1" customHeight="1">
      <c r="A26" s="12">
        <v>38</v>
      </c>
      <c r="B26" s="12" t="str">
        <f>العقد!A2</f>
        <v>CMH_01-C01</v>
      </c>
      <c r="C26" s="6"/>
      <c r="D26" s="6"/>
      <c r="E26" s="11"/>
      <c r="F26" s="11"/>
      <c r="G26" s="9">
        <f>SUMIF('بنود المطالبات'!B$3:B$1805, A26, 'بنود المطالبات'!K$3:K$1805)</f>
        <v>0</v>
      </c>
      <c r="H26" s="8">
        <v>100</v>
      </c>
      <c r="I26" s="9">
        <f t="shared" si="4"/>
        <v>0</v>
      </c>
      <c r="J26" s="9">
        <f>IFERROR(IF(I26&lt;&gt;0, I26*IF(العقد!$M$2&lt;&gt;"",العقد!$M$2,0)/100, 0), 0)</f>
        <v>0</v>
      </c>
      <c r="K26" s="9">
        <f t="shared" si="5"/>
        <v>0</v>
      </c>
      <c r="L26" s="9">
        <f>IFERROR(IF(K26&lt;&gt;0, K26*IF(العقد!$G$2&lt;&gt;"",العقد!$G$2,15)/100, 0), 0)</f>
        <v>0</v>
      </c>
      <c r="M26" s="10">
        <f t="shared" si="6"/>
        <v>0</v>
      </c>
      <c r="N26" s="18">
        <f>SUMPRODUCT((O$3:O26="معتمدة")*M$3:M26)</f>
        <v>65105699.053001389</v>
      </c>
      <c r="O26" s="8"/>
      <c r="P26" s="19"/>
      <c r="Q26" t="str">
        <f t="shared" si="7"/>
        <v/>
      </c>
    </row>
    <row r="27" spans="1:17" ht="28.2" hidden="1" customHeight="1">
      <c r="A27" s="12">
        <v>39</v>
      </c>
      <c r="B27" s="12" t="str">
        <f>العقد!A2</f>
        <v>CMH_01-C01</v>
      </c>
      <c r="C27" s="6"/>
      <c r="D27" s="6"/>
      <c r="E27" s="11"/>
      <c r="F27" s="11"/>
      <c r="G27" s="9">
        <f>SUMIF('بنود المطالبات'!B$3:B$1805, A27, 'بنود المطالبات'!K$3:K$1805)</f>
        <v>0</v>
      </c>
      <c r="H27" s="8">
        <v>100</v>
      </c>
      <c r="I27" s="9">
        <f t="shared" si="4"/>
        <v>0</v>
      </c>
      <c r="J27" s="9">
        <f>IFERROR(IF(I27&lt;&gt;0, I27*IF(العقد!$M$2&lt;&gt;"",العقد!$M$2,0)/100, 0), 0)</f>
        <v>0</v>
      </c>
      <c r="K27" s="9">
        <f t="shared" si="5"/>
        <v>0</v>
      </c>
      <c r="L27" s="9">
        <f>IFERROR(IF(K27&lt;&gt;0, K27*IF(العقد!$G$2&lt;&gt;"",العقد!$G$2,15)/100, 0), 0)</f>
        <v>0</v>
      </c>
      <c r="M27" s="10">
        <f t="shared" si="6"/>
        <v>0</v>
      </c>
      <c r="N27" s="18">
        <f>SUMPRODUCT((O$3:O27="معتمدة")*M$3:M27)</f>
        <v>65105699.053001389</v>
      </c>
      <c r="O27" s="8"/>
      <c r="P27" s="19"/>
      <c r="Q27" t="str">
        <f t="shared" si="7"/>
        <v/>
      </c>
    </row>
    <row r="28" spans="1:17" ht="28.2" hidden="1" customHeight="1">
      <c r="A28" s="12">
        <v>40</v>
      </c>
      <c r="B28" s="12" t="str">
        <f>العقد!A2</f>
        <v>CMH_01-C01</v>
      </c>
      <c r="C28" s="6"/>
      <c r="D28" s="6"/>
      <c r="E28" s="11"/>
      <c r="F28" s="11"/>
      <c r="G28" s="9">
        <f>SUMIF('بنود المطالبات'!B$3:B$1805, A28, 'بنود المطالبات'!K$3:K$1805)</f>
        <v>0</v>
      </c>
      <c r="H28" s="8">
        <v>100</v>
      </c>
      <c r="I28" s="9">
        <f t="shared" si="4"/>
        <v>0</v>
      </c>
      <c r="J28" s="9">
        <f>IFERROR(IF(I28&lt;&gt;0, I28*IF(العقد!$M$2&lt;&gt;"",العقد!$M$2,0)/100, 0), 0)</f>
        <v>0</v>
      </c>
      <c r="K28" s="9">
        <f t="shared" si="5"/>
        <v>0</v>
      </c>
      <c r="L28" s="9">
        <f>IFERROR(IF(K28&lt;&gt;0, K28*IF(العقد!$G$2&lt;&gt;"",العقد!$G$2,15)/100, 0), 0)</f>
        <v>0</v>
      </c>
      <c r="M28" s="10">
        <f t="shared" si="6"/>
        <v>0</v>
      </c>
      <c r="N28" s="18">
        <f>SUMPRODUCT((O$3:O28="معتمدة")*M$3:M28)</f>
        <v>65105699.053001389</v>
      </c>
      <c r="O28" s="8"/>
      <c r="P28" s="19"/>
      <c r="Q28" t="str">
        <f t="shared" si="7"/>
        <v/>
      </c>
    </row>
    <row r="29" spans="1:17" ht="28.2" hidden="1" customHeight="1">
      <c r="A29" s="12">
        <v>41</v>
      </c>
      <c r="B29" s="12" t="str">
        <f>العقد!A2</f>
        <v>CMH_01-C01</v>
      </c>
      <c r="C29" s="6"/>
      <c r="D29" s="6"/>
      <c r="E29" s="11"/>
      <c r="F29" s="11"/>
      <c r="G29" s="9">
        <f>SUMIF('بنود المطالبات'!B$3:B$1805, A29, 'بنود المطالبات'!K$3:K$1805)</f>
        <v>0</v>
      </c>
      <c r="H29" s="8">
        <v>100</v>
      </c>
      <c r="I29" s="9">
        <f t="shared" si="4"/>
        <v>0</v>
      </c>
      <c r="J29" s="9">
        <f>IFERROR(IF(I29&lt;&gt;0, I29*IF(العقد!$M$2&lt;&gt;"",العقد!$M$2,0)/100, 0), 0)</f>
        <v>0</v>
      </c>
      <c r="K29" s="9">
        <f t="shared" si="5"/>
        <v>0</v>
      </c>
      <c r="L29" s="9">
        <f>IFERROR(IF(K29&lt;&gt;0, K29*IF(العقد!$G$2&lt;&gt;"",العقد!$G$2,15)/100, 0), 0)</f>
        <v>0</v>
      </c>
      <c r="M29" s="10">
        <f t="shared" si="6"/>
        <v>0</v>
      </c>
      <c r="N29" s="18">
        <f>SUMPRODUCT((O$3:O29="معتمدة")*M$3:M29)</f>
        <v>65105699.053001389</v>
      </c>
      <c r="O29" s="8"/>
      <c r="P29" s="19"/>
      <c r="Q29" t="str">
        <f t="shared" si="7"/>
        <v/>
      </c>
    </row>
    <row r="30" spans="1:17" ht="28.2" hidden="1" customHeight="1">
      <c r="A30" s="12">
        <v>42</v>
      </c>
      <c r="B30" s="12" t="str">
        <f>العقد!A2</f>
        <v>CMH_01-C01</v>
      </c>
      <c r="C30" s="6"/>
      <c r="D30" s="6"/>
      <c r="E30" s="11"/>
      <c r="F30" s="11"/>
      <c r="G30" s="9">
        <f>SUMIF('بنود المطالبات'!B$3:B$1805, A30, 'بنود المطالبات'!K$3:K$1805)</f>
        <v>0</v>
      </c>
      <c r="H30" s="8">
        <v>100</v>
      </c>
      <c r="I30" s="9">
        <f t="shared" si="4"/>
        <v>0</v>
      </c>
      <c r="J30" s="9">
        <f>IFERROR(IF(I30&lt;&gt;0, I30*IF(العقد!$M$2&lt;&gt;"",العقد!$M$2,0)/100, 0), 0)</f>
        <v>0</v>
      </c>
      <c r="K30" s="9">
        <f t="shared" si="5"/>
        <v>0</v>
      </c>
      <c r="L30" s="9">
        <f>IFERROR(IF(K30&lt;&gt;0, K30*IF(العقد!$G$2&lt;&gt;"",العقد!$G$2,15)/100, 0), 0)</f>
        <v>0</v>
      </c>
      <c r="M30" s="10">
        <f t="shared" si="6"/>
        <v>0</v>
      </c>
      <c r="N30" s="18">
        <f>SUMPRODUCT((O$3:O30="معتمدة")*M$3:M30)</f>
        <v>65105699.053001389</v>
      </c>
      <c r="O30" s="8"/>
      <c r="P30" s="19"/>
      <c r="Q30" t="str">
        <f t="shared" si="7"/>
        <v/>
      </c>
    </row>
    <row r="31" spans="1:17" ht="28.2" hidden="1" customHeight="1">
      <c r="A31" s="12">
        <v>43</v>
      </c>
      <c r="B31" s="12" t="str">
        <f>العقد!A2</f>
        <v>CMH_01-C01</v>
      </c>
      <c r="C31" s="6"/>
      <c r="D31" s="6"/>
      <c r="E31" s="11"/>
      <c r="F31" s="11"/>
      <c r="G31" s="9">
        <f>SUMIF('بنود المطالبات'!B$3:B$1805, A31, 'بنود المطالبات'!K$3:K$1805)</f>
        <v>0</v>
      </c>
      <c r="H31" s="8">
        <v>100</v>
      </c>
      <c r="I31" s="9">
        <f t="shared" si="4"/>
        <v>0</v>
      </c>
      <c r="J31" s="9">
        <f>IFERROR(IF(I31&lt;&gt;0, I31*IF(العقد!$M$2&lt;&gt;"",العقد!$M$2,0)/100, 0), 0)</f>
        <v>0</v>
      </c>
      <c r="K31" s="9">
        <f t="shared" si="5"/>
        <v>0</v>
      </c>
      <c r="L31" s="9">
        <f>IFERROR(IF(K31&lt;&gt;0, K31*IF(العقد!$G$2&lt;&gt;"",العقد!$G$2,15)/100, 0), 0)</f>
        <v>0</v>
      </c>
      <c r="M31" s="10">
        <f t="shared" si="6"/>
        <v>0</v>
      </c>
      <c r="N31" s="18">
        <f>SUMPRODUCT((O$3:O31="معتمدة")*M$3:M31)</f>
        <v>65105699.053001389</v>
      </c>
      <c r="O31" s="8"/>
      <c r="P31" s="19"/>
      <c r="Q31" t="str">
        <f t="shared" si="7"/>
        <v/>
      </c>
    </row>
    <row r="32" spans="1:17" ht="28.2" hidden="1" customHeight="1">
      <c r="A32" s="12">
        <v>44</v>
      </c>
      <c r="B32" s="12" t="str">
        <f>العقد!A2</f>
        <v>CMH_01-C01</v>
      </c>
      <c r="C32" s="6"/>
      <c r="D32" s="6"/>
      <c r="E32" s="11"/>
      <c r="F32" s="11"/>
      <c r="G32" s="9">
        <f>SUMIF('بنود المطالبات'!B$3:B$1805, A32, 'بنود المطالبات'!K$3:K$1805)</f>
        <v>0</v>
      </c>
      <c r="H32" s="8">
        <v>100</v>
      </c>
      <c r="I32" s="9">
        <f t="shared" si="4"/>
        <v>0</v>
      </c>
      <c r="J32" s="9">
        <f>IFERROR(IF(I32&lt;&gt;0, I32*IF(العقد!$M$2&lt;&gt;"",العقد!$M$2,0)/100, 0), 0)</f>
        <v>0</v>
      </c>
      <c r="K32" s="9">
        <f t="shared" si="5"/>
        <v>0</v>
      </c>
      <c r="L32" s="9">
        <f>IFERROR(IF(K32&lt;&gt;0, K32*IF(العقد!$G$2&lt;&gt;"",العقد!$G$2,15)/100, 0), 0)</f>
        <v>0</v>
      </c>
      <c r="M32" s="10">
        <f t="shared" si="6"/>
        <v>0</v>
      </c>
      <c r="N32" s="18">
        <f>SUMPRODUCT((O$3:O32="معتمدة")*M$3:M32)</f>
        <v>65105699.053001389</v>
      </c>
      <c r="O32" s="8"/>
      <c r="P32" s="19"/>
      <c r="Q32" t="str">
        <f t="shared" si="7"/>
        <v/>
      </c>
    </row>
    <row r="33" spans="1:17" ht="28.2" hidden="1" customHeight="1">
      <c r="A33" s="12">
        <v>45</v>
      </c>
      <c r="B33" s="12" t="str">
        <f>العقد!A2</f>
        <v>CMH_01-C01</v>
      </c>
      <c r="C33" s="6"/>
      <c r="D33" s="6"/>
      <c r="E33" s="11"/>
      <c r="F33" s="11"/>
      <c r="G33" s="9">
        <f>SUMIF('بنود المطالبات'!B$3:B$1805, A33, 'بنود المطالبات'!K$3:K$1805)</f>
        <v>0</v>
      </c>
      <c r="H33" s="8">
        <v>100</v>
      </c>
      <c r="I33" s="9">
        <f t="shared" si="4"/>
        <v>0</v>
      </c>
      <c r="J33" s="9">
        <f>IFERROR(IF(I33&lt;&gt;0, I33*IF(العقد!$M$2&lt;&gt;"",العقد!$M$2,0)/100, 0), 0)</f>
        <v>0</v>
      </c>
      <c r="K33" s="9">
        <f t="shared" si="5"/>
        <v>0</v>
      </c>
      <c r="L33" s="9">
        <f>IFERROR(IF(K33&lt;&gt;0, K33*IF(العقد!$G$2&lt;&gt;"",العقد!$G$2,15)/100, 0), 0)</f>
        <v>0</v>
      </c>
      <c r="M33" s="10">
        <f t="shared" si="6"/>
        <v>0</v>
      </c>
      <c r="N33" s="18">
        <f>SUMPRODUCT((O$3:O33="معتمدة")*M$3:M33)</f>
        <v>65105699.053001389</v>
      </c>
      <c r="O33" s="8"/>
      <c r="P33" s="19"/>
      <c r="Q33" t="str">
        <f t="shared" si="7"/>
        <v/>
      </c>
    </row>
    <row r="34" spans="1:17" ht="28.2" hidden="1" customHeight="1">
      <c r="A34" s="12">
        <v>46</v>
      </c>
      <c r="B34" s="12" t="str">
        <f>العقد!A2</f>
        <v>CMH_01-C01</v>
      </c>
      <c r="C34" s="6"/>
      <c r="D34" s="6"/>
      <c r="E34" s="11"/>
      <c r="F34" s="11"/>
      <c r="G34" s="9">
        <f>SUMIF('بنود المطالبات'!B$3:B$1805, A34, 'بنود المطالبات'!K$3:K$1805)</f>
        <v>0</v>
      </c>
      <c r="H34" s="8">
        <v>100</v>
      </c>
      <c r="I34" s="9">
        <f t="shared" si="4"/>
        <v>0</v>
      </c>
      <c r="J34" s="9">
        <f>IFERROR(IF(I34&lt;&gt;0, I34*IF(العقد!$M$2&lt;&gt;"",العقد!$M$2,0)/100, 0), 0)</f>
        <v>0</v>
      </c>
      <c r="K34" s="9">
        <f t="shared" si="5"/>
        <v>0</v>
      </c>
      <c r="L34" s="9">
        <f>IFERROR(IF(K34&lt;&gt;0, K34*IF(العقد!$G$2&lt;&gt;"",العقد!$G$2,15)/100, 0), 0)</f>
        <v>0</v>
      </c>
      <c r="M34" s="10">
        <f t="shared" si="6"/>
        <v>0</v>
      </c>
      <c r="N34" s="18">
        <f>SUMPRODUCT((O$3:O34="معتمدة")*M$3:M34)</f>
        <v>65105699.053001389</v>
      </c>
      <c r="O34" s="8"/>
      <c r="P34" s="19"/>
      <c r="Q34" t="str">
        <f t="shared" si="7"/>
        <v/>
      </c>
    </row>
    <row r="35" spans="1:17" ht="28.2" hidden="1" customHeight="1">
      <c r="A35" s="12">
        <v>47</v>
      </c>
      <c r="B35" s="12" t="str">
        <f>العقد!A2</f>
        <v>CMH_01-C01</v>
      </c>
      <c r="C35" s="6"/>
      <c r="D35" s="6"/>
      <c r="E35" s="11"/>
      <c r="F35" s="11"/>
      <c r="G35" s="9">
        <f>SUMIF('بنود المطالبات'!B$3:B$1805, A35, 'بنود المطالبات'!K$3:K$1805)</f>
        <v>0</v>
      </c>
      <c r="H35" s="8">
        <v>100</v>
      </c>
      <c r="I35" s="9">
        <f t="shared" si="4"/>
        <v>0</v>
      </c>
      <c r="J35" s="9">
        <f>IFERROR(IF(I35&lt;&gt;0, I35*IF(العقد!$M$2&lt;&gt;"",العقد!$M$2,0)/100, 0), 0)</f>
        <v>0</v>
      </c>
      <c r="K35" s="9">
        <f t="shared" si="5"/>
        <v>0</v>
      </c>
      <c r="L35" s="9">
        <f>IFERROR(IF(K35&lt;&gt;0, K35*IF(العقد!$G$2&lt;&gt;"",العقد!$G$2,15)/100, 0), 0)</f>
        <v>0</v>
      </c>
      <c r="M35" s="10">
        <f t="shared" si="6"/>
        <v>0</v>
      </c>
      <c r="N35" s="18">
        <f>SUMPRODUCT((O$3:O35="معتمدة")*M$3:M35)</f>
        <v>65105699.053001389</v>
      </c>
      <c r="O35" s="8"/>
      <c r="P35" s="19"/>
      <c r="Q35" t="str">
        <f t="shared" si="7"/>
        <v/>
      </c>
    </row>
    <row r="36" spans="1:17" ht="28.2" hidden="1" customHeight="1">
      <c r="A36" s="12">
        <v>48</v>
      </c>
      <c r="B36" s="12" t="str">
        <f>العقد!A2</f>
        <v>CMH_01-C01</v>
      </c>
      <c r="C36" s="6"/>
      <c r="D36" s="6"/>
      <c r="E36" s="11"/>
      <c r="F36" s="11"/>
      <c r="G36" s="9">
        <f>SUMIF('بنود المطالبات'!B$3:B$1805, A36, 'بنود المطالبات'!K$3:K$1805)</f>
        <v>0</v>
      </c>
      <c r="H36" s="8">
        <v>100</v>
      </c>
      <c r="I36" s="9">
        <f t="shared" si="4"/>
        <v>0</v>
      </c>
      <c r="J36" s="9">
        <f>IFERROR(IF(I36&lt;&gt;0, I36*IF(العقد!$M$2&lt;&gt;"",العقد!$M$2,0)/100, 0), 0)</f>
        <v>0</v>
      </c>
      <c r="K36" s="9">
        <f t="shared" si="5"/>
        <v>0</v>
      </c>
      <c r="L36" s="9">
        <f>IFERROR(IF(K36&lt;&gt;0, K36*IF(العقد!$G$2&lt;&gt;"",العقد!$G$2,15)/100, 0), 0)</f>
        <v>0</v>
      </c>
      <c r="M36" s="10">
        <f t="shared" si="6"/>
        <v>0</v>
      </c>
      <c r="N36" s="18">
        <f>SUMPRODUCT((O$3:O36="معتمدة")*M$3:M36)</f>
        <v>65105699.053001389</v>
      </c>
      <c r="O36" s="8"/>
      <c r="P36" s="19"/>
      <c r="Q36" t="str">
        <f t="shared" si="7"/>
        <v/>
      </c>
    </row>
    <row r="37" spans="1:17" ht="28.2" hidden="1" customHeight="1">
      <c r="A37" s="12">
        <v>49</v>
      </c>
      <c r="B37" s="12" t="str">
        <f>العقد!A2</f>
        <v>CMH_01-C01</v>
      </c>
      <c r="C37" s="6"/>
      <c r="D37" s="6"/>
      <c r="E37" s="11"/>
      <c r="F37" s="11"/>
      <c r="G37" s="9">
        <f>SUMIF('بنود المطالبات'!B$3:B$1805, A37, 'بنود المطالبات'!K$3:K$1805)</f>
        <v>0</v>
      </c>
      <c r="H37" s="8">
        <v>100</v>
      </c>
      <c r="I37" s="9">
        <f t="shared" si="4"/>
        <v>0</v>
      </c>
      <c r="J37" s="9">
        <f>IFERROR(IF(I37&lt;&gt;0, I37*IF(العقد!$M$2&lt;&gt;"",العقد!$M$2,0)/100, 0), 0)</f>
        <v>0</v>
      </c>
      <c r="K37" s="9">
        <f t="shared" si="5"/>
        <v>0</v>
      </c>
      <c r="L37" s="9">
        <f>IFERROR(IF(K37&lt;&gt;0, K37*IF(العقد!$G$2&lt;&gt;"",العقد!$G$2,15)/100, 0), 0)</f>
        <v>0</v>
      </c>
      <c r="M37" s="10">
        <f t="shared" si="6"/>
        <v>0</v>
      </c>
      <c r="N37" s="18">
        <f>SUMPRODUCT((O$3:O37="معتمدة")*M$3:M37)</f>
        <v>65105699.053001389</v>
      </c>
      <c r="O37" s="8"/>
      <c r="P37" s="19"/>
      <c r="Q37" t="str">
        <f t="shared" si="7"/>
        <v/>
      </c>
    </row>
    <row r="38" spans="1:17" ht="28.2" hidden="1" customHeight="1">
      <c r="A38" s="12">
        <v>50</v>
      </c>
      <c r="B38" s="12" t="str">
        <f>العقد!A2</f>
        <v>CMH_01-C01</v>
      </c>
      <c r="C38" s="6"/>
      <c r="D38" s="6"/>
      <c r="E38" s="11"/>
      <c r="F38" s="11"/>
      <c r="G38" s="9">
        <f>SUMIF('بنود المطالبات'!B$3:B$1805, A38, 'بنود المطالبات'!K$3:K$1805)</f>
        <v>0</v>
      </c>
      <c r="H38" s="8">
        <v>100</v>
      </c>
      <c r="I38" s="9">
        <f t="shared" si="4"/>
        <v>0</v>
      </c>
      <c r="J38" s="9">
        <f>IFERROR(IF(I38&lt;&gt;0, I38*IF(العقد!$M$2&lt;&gt;"",العقد!$M$2,0)/100, 0), 0)</f>
        <v>0</v>
      </c>
      <c r="K38" s="9">
        <f t="shared" si="5"/>
        <v>0</v>
      </c>
      <c r="L38" s="9">
        <f>IFERROR(IF(K38&lt;&gt;0, K38*IF(العقد!$G$2&lt;&gt;"",العقد!$G$2,15)/100, 0), 0)</f>
        <v>0</v>
      </c>
      <c r="M38" s="10">
        <f t="shared" si="6"/>
        <v>0</v>
      </c>
      <c r="N38" s="18">
        <f>SUMPRODUCT((O$3:O38="معتمدة")*M$3:M38)</f>
        <v>65105699.053001389</v>
      </c>
      <c r="O38" s="8"/>
      <c r="P38" s="19"/>
      <c r="Q38" t="str">
        <f t="shared" si="7"/>
        <v/>
      </c>
    </row>
  </sheetData>
  <conditionalFormatting sqref="O3:O38">
    <cfRule type="expression" dxfId="24" priority="1">
      <formula>EXACT($O3,"مسودة")</formula>
    </cfRule>
    <cfRule type="expression" dxfId="23" priority="2">
      <formula>EXACT($O3,"مُقدَّمة")</formula>
    </cfRule>
    <cfRule type="expression" dxfId="22" priority="3">
      <formula>EXACT($O3,"عند المكتب الاستشاري")</formula>
    </cfRule>
    <cfRule type="expression" dxfId="21" priority="4">
      <formula>EXACT($O3,"عند التدقيق")</formula>
    </cfRule>
    <cfRule type="expression" dxfId="20" priority="5">
      <formula>EXACT($O3,"عند الجودة")</formula>
    </cfRule>
    <cfRule type="expression" dxfId="19" priority="6">
      <formula>EXACT($O3,"عند مدير المشروع")</formula>
    </cfRule>
    <cfRule type="expression" dxfId="18" priority="7">
      <formula>EXACT($O3,"عند المعتمد")</formula>
    </cfRule>
    <cfRule type="expression" dxfId="17" priority="8">
      <formula>EXACT($O3,"معتمدة")</formula>
    </cfRule>
    <cfRule type="expression" dxfId="16" priority="9">
      <formula>EXACT($O3,"مرتجعة")</formula>
    </cfRule>
    <cfRule type="expression" dxfId="15" priority="10">
      <formula>EXACT($O3,"مرفوضة")</formula>
    </cfRule>
    <cfRule type="expression" dxfId="14" priority="11">
      <formula>EXACT($O3,"مغلقة")</formula>
    </cfRule>
  </conditionalFormatting>
  <dataValidations count="1">
    <dataValidation type="list" allowBlank="1" errorTitle="حالة غير صحيحة" error="الحالة غير معتمدة" promptTitle="حالة المطالبة" prompt="اختر إحدى الحالات الإحدى عشرة" sqref="O3:O38" xr:uid="{00000000-0002-0000-0300-000000000000}">
      <formula1>"مسودة,مُقدَّمة,عند المكتب الاستشاري,عند التدقيق,عند الجودة,عند مدير المشروع,عند المعتمد,معتمدة,مرتجعة,مرفوضة,مغلقة"</formula1>
    </dataValidation>
  </dataValidations>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A79D"/>
  </sheetPr>
  <dimension ref="A1:M1805"/>
  <sheetViews>
    <sheetView rightToLeft="1" workbookViewId="0">
      <selection activeCell="I1543" sqref="I1543"/>
    </sheetView>
  </sheetViews>
  <sheetFormatPr defaultRowHeight="13.8"/>
  <cols>
    <col min="1" max="1" width="6" customWidth="1"/>
    <col min="2" max="2" width="12" customWidth="1"/>
    <col min="3" max="3" width="10" customWidth="1"/>
    <col min="4" max="4" width="35" customWidth="1"/>
    <col min="5" max="5" width="10" customWidth="1"/>
    <col min="6" max="7" width="14" customWidth="1"/>
    <col min="8" max="8" width="16" customWidth="1"/>
    <col min="9" max="10" width="14" customWidth="1"/>
    <col min="11" max="11" width="16" customWidth="1"/>
    <col min="12" max="12" width="14" customWidth="1"/>
    <col min="13" max="13" width="15.09765625" customWidth="1"/>
  </cols>
  <sheetData>
    <row r="1" spans="1:12" ht="34.950000000000003" customHeight="1">
      <c r="A1" s="3" t="s">
        <v>113</v>
      </c>
      <c r="B1" s="3" t="s">
        <v>136</v>
      </c>
      <c r="C1" s="3" t="s">
        <v>97</v>
      </c>
      <c r="D1" s="3" t="s">
        <v>137</v>
      </c>
      <c r="E1" s="3" t="s">
        <v>138</v>
      </c>
      <c r="F1" s="3" t="s">
        <v>139</v>
      </c>
      <c r="G1" s="3" t="s">
        <v>140</v>
      </c>
      <c r="H1" s="3" t="s">
        <v>296</v>
      </c>
      <c r="I1" s="3" t="s">
        <v>141</v>
      </c>
      <c r="J1" s="3" t="s">
        <v>142</v>
      </c>
      <c r="K1" s="3" t="s">
        <v>143</v>
      </c>
      <c r="L1" s="3" t="s">
        <v>144</v>
      </c>
    </row>
    <row r="2" spans="1:12" ht="14.4">
      <c r="A2" s="13">
        <v>1</v>
      </c>
      <c r="B2" s="13">
        <v>1</v>
      </c>
      <c r="C2" s="13">
        <v>5</v>
      </c>
      <c r="D2" s="13" t="s">
        <v>145</v>
      </c>
      <c r="E2" s="13" t="s">
        <v>110</v>
      </c>
      <c r="F2" s="14">
        <v>45000</v>
      </c>
      <c r="G2" s="14">
        <v>50</v>
      </c>
      <c r="H2" s="14">
        <v>0</v>
      </c>
      <c r="I2" s="14">
        <v>10</v>
      </c>
      <c r="J2" s="14">
        <v>10</v>
      </c>
      <c r="K2" s="14">
        <v>450000</v>
      </c>
      <c r="L2" s="13" t="s">
        <v>146</v>
      </c>
    </row>
    <row r="3" spans="1:12" ht="25.95" customHeight="1">
      <c r="A3" s="12">
        <v>1</v>
      </c>
      <c r="B3" s="6">
        <v>1</v>
      </c>
      <c r="C3" s="6">
        <v>1</v>
      </c>
      <c r="D3" s="20" t="str">
        <f>IF(C3&lt;&gt;"", IFERROR(INDEX('بنود العقد'!B$3:B$388,C3),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الجدران وتشمل  جميع أنواع جدران الطوب  والقواطع الجبسية و الخشبية و الزجاجية  بحسب المخططات المعتمدة وتعليمات المهندس المشرف.</v>
      </c>
      <c r="E3" s="12" t="str">
        <f>IF(C3&lt;&gt;"", IFERROR(INDEX('بنود العقد'!D$3:D$388,C3), ""), "")</f>
        <v>م2</v>
      </c>
      <c r="F3" s="9">
        <f>IF(C3&lt;&gt;"", IFERROR(INDEX('بنود العقد'!E$3:E$388,C3), 0), "")</f>
        <v>18</v>
      </c>
      <c r="G3" s="9">
        <f>IF(C3&lt;&gt;"", IFERROR(INDEX('بنود العقد'!F$3:F$388,C3), 0), "")</f>
        <v>17900</v>
      </c>
      <c r="H3" s="18">
        <f t="shared" ref="H3:H66" si="0">IFERROR(SUMIFS(I$3:I$1805, B$3:B$1805, "&lt;"&amp;B3, C$3:C$1805, C3), 0)</f>
        <v>0</v>
      </c>
      <c r="I3" s="7">
        <v>6940.6</v>
      </c>
      <c r="J3" s="18">
        <f t="shared" ref="J3:J66" si="1">IF(I3&lt;&gt;"", H3+I3, 0)</f>
        <v>6940.6</v>
      </c>
      <c r="K3" s="10">
        <f t="shared" ref="K3:K66" si="2">IF(AND(I3&lt;&gt;"",F3&lt;&gt;""), I3*F3, "")</f>
        <v>124930.8</v>
      </c>
      <c r="L3" s="21">
        <f t="shared" ref="L3:L66" si="3">IF(AND(J3&lt;&gt;"",G3&lt;&gt;"",G3&gt;0), J3/G3*100, "")</f>
        <v>38.774301675977654</v>
      </c>
    </row>
    <row r="4" spans="1:12" ht="25.95" customHeight="1">
      <c r="A4" s="12">
        <v>2</v>
      </c>
      <c r="B4" s="6">
        <v>1</v>
      </c>
      <c r="C4" s="6">
        <v>2</v>
      </c>
      <c r="D4" s="20" t="str">
        <f>IF(C4&lt;&gt;"", IFERROR(INDEX('بنود العقد'!B$3:B$388,C4),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number)-AR-هدم وإزالة تشطيبات رخام أو بلاط بورسلان أو سيراميك  للأرضيات والجدران الحالية  بحسب المخططات المعتمدة وتعليمات المهندس المشرف.</v>
      </c>
      <c r="E4" s="12" t="str">
        <f>IF(C4&lt;&gt;"", IFERROR(INDEX('بنود العقد'!D$3:D$388,C4), ""), "")</f>
        <v>م2</v>
      </c>
      <c r="F4" s="9">
        <f>IF(C4&lt;&gt;"", IFERROR(INDEX('بنود العقد'!E$3:E$388,C4), 0), "")</f>
        <v>14.5</v>
      </c>
      <c r="G4" s="9">
        <f>IF(C4&lt;&gt;"", IFERROR(INDEX('بنود العقد'!F$3:F$388,C4), 0), "")</f>
        <v>10362</v>
      </c>
      <c r="H4" s="18">
        <f t="shared" si="0"/>
        <v>0</v>
      </c>
      <c r="I4" s="7">
        <v>2125.7600000000002</v>
      </c>
      <c r="J4" s="18">
        <f t="shared" si="1"/>
        <v>2125.7600000000002</v>
      </c>
      <c r="K4" s="10">
        <f t="shared" si="2"/>
        <v>30823.520000000004</v>
      </c>
      <c r="L4" s="21">
        <f t="shared" si="3"/>
        <v>20.514958502219653</v>
      </c>
    </row>
    <row r="5" spans="1:12" ht="25.95" customHeight="1">
      <c r="A5" s="12">
        <v>3</v>
      </c>
      <c r="B5" s="6">
        <v>1</v>
      </c>
      <c r="C5" s="6">
        <v>3</v>
      </c>
      <c r="D5" s="20" t="str">
        <f>IF(C5&lt;&gt;"", IFERROR(INDEX('بنود العقد'!B$3:B$388,C5),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تشطيبات الأسقف المستعارة الحالية بما تشمل أسقف جبسية وبلاطات صناعية وأسقف معدنية  بحسب المخططات المعتمدة وتعليمات المهندس المشرف.</v>
      </c>
      <c r="E5" s="12" t="str">
        <f>IF(C5&lt;&gt;"", IFERROR(INDEX('بنود العقد'!D$3:D$388,C5), ""), "")</f>
        <v>م2</v>
      </c>
      <c r="F5" s="9">
        <f>IF(C5&lt;&gt;"", IFERROR(INDEX('بنود العقد'!E$3:E$388,C5), 0), "")</f>
        <v>8.5</v>
      </c>
      <c r="G5" s="9">
        <f>IF(C5&lt;&gt;"", IFERROR(INDEX('بنود العقد'!F$3:F$388,C5), 0), "")</f>
        <v>18420</v>
      </c>
      <c r="H5" s="18">
        <f t="shared" si="0"/>
        <v>0</v>
      </c>
      <c r="I5" s="7">
        <v>3441.98</v>
      </c>
      <c r="J5" s="18">
        <f t="shared" si="1"/>
        <v>3441.98</v>
      </c>
      <c r="K5" s="10">
        <f t="shared" si="2"/>
        <v>29256.83</v>
      </c>
      <c r="L5" s="21">
        <f t="shared" si="3"/>
        <v>18.686102062975028</v>
      </c>
    </row>
    <row r="6" spans="1:12" ht="25.95" customHeight="1">
      <c r="A6" s="12">
        <v>4</v>
      </c>
      <c r="B6" s="6">
        <v>1</v>
      </c>
      <c r="C6" s="6">
        <v>5</v>
      </c>
      <c r="D6" s="20" t="str">
        <f>IF(C6&lt;&gt;"", IFERROR(INDEX('بنود العقد'!B$3:B$388,C6), "⚠"), "")</f>
        <v>صبة أسمنتية كطبقة حماية للعزل في الأماكن الرطبة. ويشمل السعر وأي مواد أو أعمال يتطلبها تنفيذ العمل حسب المواصفات والمخططات وتعليمات المهندس المشرف.</v>
      </c>
      <c r="E6" s="12" t="str">
        <f>IF(C6&lt;&gt;"", IFERROR(INDEX('بنود العقد'!D$3:D$388,C6), ""), "")</f>
        <v>م3</v>
      </c>
      <c r="F6" s="9">
        <f>IF(C6&lt;&gt;"", IFERROR(INDEX('بنود العقد'!E$3:E$388,C6), 0), "")</f>
        <v>366</v>
      </c>
      <c r="G6" s="9">
        <f>IF(C6&lt;&gt;"", IFERROR(INDEX('بنود العقد'!F$3:F$388,C6), 0), "")</f>
        <v>1345</v>
      </c>
      <c r="H6" s="18">
        <f t="shared" si="0"/>
        <v>0</v>
      </c>
      <c r="I6" s="7">
        <v>37.479999999999997</v>
      </c>
      <c r="J6" s="18">
        <f t="shared" si="1"/>
        <v>37.479999999999997</v>
      </c>
      <c r="K6" s="10">
        <f t="shared" si="2"/>
        <v>13717.679999999998</v>
      </c>
      <c r="L6" s="21">
        <f t="shared" si="3"/>
        <v>2.786617100371747</v>
      </c>
    </row>
    <row r="7" spans="1:12" ht="25.95" customHeight="1">
      <c r="A7" s="12">
        <v>5</v>
      </c>
      <c r="B7" s="6">
        <v>1</v>
      </c>
      <c r="C7" s="6">
        <v>6</v>
      </c>
      <c r="D7" s="20" t="str">
        <f>IF(C7&lt;&gt;"", IFERROR(INDEX('بنود العقد'!B$3:B$388,C7),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v>
      </c>
      <c r="E7" s="12" t="str">
        <f>IF(C7&lt;&gt;"", IFERROR(INDEX('بنود العقد'!D$3:D$388,C7), ""), "")</f>
        <v>م2</v>
      </c>
      <c r="F7" s="9">
        <f>IF(C7&lt;&gt;"", IFERROR(INDEX('بنود العقد'!E$3:E$388,C7), 0), "")</f>
        <v>150</v>
      </c>
      <c r="G7" s="9">
        <f>IF(C7&lt;&gt;"", IFERROR(INDEX('بنود العقد'!F$3:F$388,C7), 0), "")</f>
        <v>450</v>
      </c>
      <c r="H7" s="18">
        <f t="shared" si="0"/>
        <v>0</v>
      </c>
      <c r="I7" s="7">
        <v>1288.9100000000001</v>
      </c>
      <c r="J7" s="18">
        <f t="shared" si="1"/>
        <v>1288.9100000000001</v>
      </c>
      <c r="K7" s="10">
        <f t="shared" si="2"/>
        <v>193336.5</v>
      </c>
      <c r="L7" s="21">
        <f t="shared" si="3"/>
        <v>286.42444444444448</v>
      </c>
    </row>
    <row r="8" spans="1:12" ht="25.95" customHeight="1">
      <c r="A8" s="12">
        <v>6</v>
      </c>
      <c r="B8" s="6">
        <v>1</v>
      </c>
      <c r="C8" s="6">
        <v>7</v>
      </c>
      <c r="D8" s="20" t="str">
        <f>IF(C8&lt;&gt;"", IFERROR(INDEX('بنود العقد'!B$3:B$388,C8),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القسمRef drawing: 07-MRA-DD-(as per floor number) وتعليمات المهندس المشرف 04200-Ar-100</v>
      </c>
      <c r="E8" s="12" t="str">
        <f>IF(C8&lt;&gt;"", IFERROR(INDEX('بنود العقد'!D$3:D$388,C8), ""), "")</f>
        <v>م2</v>
      </c>
      <c r="F8" s="9">
        <f>IF(C8&lt;&gt;"", IFERROR(INDEX('بنود العقد'!E$3:E$388,C8), 0), "")</f>
        <v>150</v>
      </c>
      <c r="G8" s="9">
        <f>IF(C8&lt;&gt;"", IFERROR(INDEX('بنود العقد'!F$3:F$388,C8), 0), "")</f>
        <v>76</v>
      </c>
      <c r="H8" s="18">
        <f t="shared" si="0"/>
        <v>0</v>
      </c>
      <c r="I8" s="7">
        <v>117.36</v>
      </c>
      <c r="J8" s="18">
        <f t="shared" si="1"/>
        <v>117.36</v>
      </c>
      <c r="K8" s="10">
        <f t="shared" si="2"/>
        <v>17604</v>
      </c>
      <c r="L8" s="21">
        <f t="shared" si="3"/>
        <v>154.42105263157896</v>
      </c>
    </row>
    <row r="9" spans="1:12" ht="25.95" customHeight="1">
      <c r="A9" s="12">
        <v>7</v>
      </c>
      <c r="B9" s="6">
        <v>1</v>
      </c>
      <c r="C9" s="6">
        <v>72</v>
      </c>
      <c r="D9" s="20" t="str">
        <f>IF(C9&lt;&gt;"", IFERROR(INDEX('بنود العقد'!B$3:B$388,C9), "⚠"), "")</f>
        <v>طبقة من اللياسة الأسمنتية فوق الأسطح الخرسانية والجدران الداخلية  بسمك متوسط 20 مم على طبقات  طرطشة بسمك 5 مم وضهارة 15 مم حسب المواصفات مع المعالجة اليومية  بالمياه لمنع التنميلات ويتم عمل افريز بين البلوك والخرسانة يملئ بمواد قابلة للدهان والسعر يشمل كامل الأكسسوارات اللازمة من شبك معدني ممدد وزوايا ونهايات معدنية  ومواد الترابط  وعمل تجاويف في طبقة اللياسة بعمق 10مم عرض 10مم  في الاعمدة  وفي الجدران ان وجدت حسب الرسومات والمناظير وتعليمات المهندس المشرف ذلك حسب الاصول الفنية وتعليمات المهندس المشرف. لياسة الجدران والأعمدة الداخلية  وتشمل جميع الإكسسوارات بإرتفاع 20 سم أعلي الأسقف الجبسيه لزوم الجدران الداخلية</v>
      </c>
      <c r="E9" s="12" t="str">
        <f>IF(C9&lt;&gt;"", IFERROR(INDEX('بنود العقد'!D$3:D$388,C9), ""), "")</f>
        <v>م²</v>
      </c>
      <c r="F9" s="9">
        <f>IF(C9&lt;&gt;"", IFERROR(INDEX('بنود العقد'!E$3:E$388,C9), 0), "")</f>
        <v>42</v>
      </c>
      <c r="G9" s="9">
        <f>IF(C9&lt;&gt;"", IFERROR(INDEX('بنود العقد'!F$3:F$388,C9), 0), "")</f>
        <v>758</v>
      </c>
      <c r="H9" s="18">
        <f t="shared" si="0"/>
        <v>0</v>
      </c>
      <c r="I9" s="7">
        <v>1521.25</v>
      </c>
      <c r="J9" s="18">
        <f t="shared" si="1"/>
        <v>1521.25</v>
      </c>
      <c r="K9" s="10">
        <f t="shared" si="2"/>
        <v>63892.5</v>
      </c>
      <c r="L9" s="21">
        <f t="shared" si="3"/>
        <v>200.69261213720316</v>
      </c>
    </row>
    <row r="10" spans="1:12" ht="25.95" customHeight="1">
      <c r="A10" s="12">
        <v>8</v>
      </c>
      <c r="B10" s="6">
        <v>1</v>
      </c>
      <c r="C10" s="6">
        <v>74</v>
      </c>
      <c r="D10" s="20" t="str">
        <f>IF(C10&lt;&gt;"", IFERROR(INDEX('بنود العقد'!B$3:B$388,C10), "⚠"), "")</f>
        <v>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v>
      </c>
      <c r="E10" s="12" t="str">
        <f>IF(C10&lt;&gt;"", IFERROR(INDEX('بنود العقد'!D$3:D$388,C10), ""), "")</f>
        <v>م²</v>
      </c>
      <c r="F10" s="9">
        <f>IF(C10&lt;&gt;"", IFERROR(INDEX('بنود العقد'!E$3:E$388,C10), 0), "")</f>
        <v>180</v>
      </c>
      <c r="G10" s="9">
        <f>IF(C10&lt;&gt;"", IFERROR(INDEX('بنود العقد'!F$3:F$388,C10), 0), "")</f>
        <v>12526</v>
      </c>
      <c r="H10" s="18">
        <f t="shared" si="0"/>
        <v>0</v>
      </c>
      <c r="I10" s="7">
        <v>356.6</v>
      </c>
      <c r="J10" s="18">
        <f t="shared" si="1"/>
        <v>356.6</v>
      </c>
      <c r="K10" s="10">
        <f t="shared" si="2"/>
        <v>64188.000000000007</v>
      </c>
      <c r="L10" s="21">
        <f t="shared" si="3"/>
        <v>2.8468784927351112</v>
      </c>
    </row>
    <row r="11" spans="1:12" ht="25.95" customHeight="1">
      <c r="A11" s="12">
        <v>9</v>
      </c>
      <c r="B11" s="6">
        <v>1</v>
      </c>
      <c r="C11" s="6">
        <v>254</v>
      </c>
      <c r="D11" s="20" t="str">
        <f>IF(C11&lt;&gt;"", IFERROR(INDEX('بنود العقد'!B$3:B$388,C11),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)A(  )تحتوى على  4 قوى &amp; 4 داتا (</v>
      </c>
      <c r="E11" s="12" t="str">
        <f>IF(C11&lt;&gt;"", IFERROR(INDEX('بنود العقد'!D$3:D$388,C11), ""), "")</f>
        <v>عدد</v>
      </c>
      <c r="F11" s="9">
        <f>IF(C11&lt;&gt;"", IFERROR(INDEX('بنود العقد'!E$3:E$388,C11), 0), "")</f>
        <v>2160</v>
      </c>
      <c r="G11" s="9">
        <f>IF(C11&lt;&gt;"", IFERROR(INDEX('بنود العقد'!F$3:F$388,C11), 0), "")</f>
        <v>286</v>
      </c>
      <c r="H11" s="18">
        <f t="shared" si="0"/>
        <v>0</v>
      </c>
      <c r="I11" s="7">
        <v>30</v>
      </c>
      <c r="J11" s="18">
        <f t="shared" si="1"/>
        <v>30</v>
      </c>
      <c r="K11" s="10">
        <f t="shared" si="2"/>
        <v>64800</v>
      </c>
      <c r="L11" s="21">
        <f t="shared" si="3"/>
        <v>10.48951048951049</v>
      </c>
    </row>
    <row r="12" spans="1:12" ht="25.95" customHeight="1">
      <c r="A12" s="12">
        <v>10</v>
      </c>
      <c r="B12" s="6">
        <v>1</v>
      </c>
      <c r="C12" s="6">
        <v>255</v>
      </c>
      <c r="D12" s="20" t="str">
        <f>IF(C12&lt;&gt;"", IFERROR(INDEX('بنود العقد'!B$3:B$388,C12),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)B(   )تحتوى على 2 قوى &amp; 2 داتا (</v>
      </c>
      <c r="E12" s="12" t="str">
        <f>IF(C12&lt;&gt;"", IFERROR(INDEX('بنود العقد'!D$3:D$388,C12), ""), "")</f>
        <v>عدد</v>
      </c>
      <c r="F12" s="9">
        <f>IF(C12&lt;&gt;"", IFERROR(INDEX('بنود العقد'!E$3:E$388,C12), 0), "")</f>
        <v>1800</v>
      </c>
      <c r="G12" s="9">
        <f>IF(C12&lt;&gt;"", IFERROR(INDEX('بنود العقد'!F$3:F$388,C12), 0), "")</f>
        <v>20</v>
      </c>
      <c r="H12" s="18">
        <f t="shared" si="0"/>
        <v>0</v>
      </c>
      <c r="I12" s="7">
        <v>19</v>
      </c>
      <c r="J12" s="18">
        <f t="shared" si="1"/>
        <v>19</v>
      </c>
      <c r="K12" s="10">
        <f t="shared" si="2"/>
        <v>34200</v>
      </c>
      <c r="L12" s="21">
        <f t="shared" si="3"/>
        <v>95</v>
      </c>
    </row>
    <row r="13" spans="1:12" ht="25.95" customHeight="1">
      <c r="A13" s="12">
        <v>11</v>
      </c>
      <c r="B13" s="6">
        <v>1</v>
      </c>
      <c r="C13" s="6">
        <v>256</v>
      </c>
      <c r="D13" s="20" t="str">
        <f>IF(C13&lt;&gt;"", IFERROR(INDEX('بنود العقد'!B$3:B$388,C13),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)1FB(   )تحتوى على 1 قوى (</v>
      </c>
      <c r="E13" s="12" t="str">
        <f>IF(C13&lt;&gt;"", IFERROR(INDEX('بنود العقد'!D$3:D$388,C13), ""), "")</f>
        <v>عدد</v>
      </c>
      <c r="F13" s="9">
        <f>IF(C13&lt;&gt;"", IFERROR(INDEX('بنود العقد'!E$3:E$388,C13), 0), "")</f>
        <v>720</v>
      </c>
      <c r="G13" s="9">
        <f>IF(C13&lt;&gt;"", IFERROR(INDEX('بنود العقد'!F$3:F$388,C13), 0), "")</f>
        <v>141</v>
      </c>
      <c r="H13" s="18">
        <f t="shared" si="0"/>
        <v>0</v>
      </c>
      <c r="I13" s="7">
        <v>9</v>
      </c>
      <c r="J13" s="18">
        <f t="shared" si="1"/>
        <v>9</v>
      </c>
      <c r="K13" s="10">
        <f t="shared" si="2"/>
        <v>6480</v>
      </c>
      <c r="L13" s="21">
        <f t="shared" si="3"/>
        <v>6.3829787234042552</v>
      </c>
    </row>
    <row r="14" spans="1:12" ht="25.95" customHeight="1">
      <c r="A14" s="12">
        <v>12</v>
      </c>
      <c r="B14" s="6">
        <v>2</v>
      </c>
      <c r="C14" s="6">
        <v>5</v>
      </c>
      <c r="D14" s="20" t="str">
        <f>IF(C14&lt;&gt;"", IFERROR(INDEX('بنود العقد'!B$3:B$388,C14), "⚠"), "")</f>
        <v>صبة أسمنتية كطبقة حماية للعزل في الأماكن الرطبة. ويشمل السعر وأي مواد أو أعمال يتطلبها تنفيذ العمل حسب المواصفات والمخططات وتعليمات المهندس المشرف.</v>
      </c>
      <c r="E14" s="12" t="str">
        <f>IF(C14&lt;&gt;"", IFERROR(INDEX('بنود العقد'!D$3:D$388,C14), ""), "")</f>
        <v>م3</v>
      </c>
      <c r="F14" s="9">
        <f>IF(C14&lt;&gt;"", IFERROR(INDEX('بنود العقد'!E$3:E$388,C14), 0), "")</f>
        <v>366</v>
      </c>
      <c r="G14" s="9">
        <f>IF(C14&lt;&gt;"", IFERROR(INDEX('بنود العقد'!F$3:F$388,C14), 0), "")</f>
        <v>1345</v>
      </c>
      <c r="H14" s="18">
        <f t="shared" si="0"/>
        <v>37.479999999999997</v>
      </c>
      <c r="I14" s="7">
        <v>39.909999999999997</v>
      </c>
      <c r="J14" s="18">
        <f t="shared" si="1"/>
        <v>77.389999999999986</v>
      </c>
      <c r="K14" s="10">
        <f t="shared" si="2"/>
        <v>14607.06</v>
      </c>
      <c r="L14" s="21">
        <f t="shared" si="3"/>
        <v>5.7539033457249058</v>
      </c>
    </row>
    <row r="15" spans="1:12" ht="25.95" customHeight="1">
      <c r="A15" s="12">
        <v>13</v>
      </c>
      <c r="B15" s="6">
        <v>2</v>
      </c>
      <c r="C15" s="6">
        <v>6</v>
      </c>
      <c r="D15" s="20" t="str">
        <f>IF(C15&lt;&gt;"", IFERROR(INDEX('بنود العقد'!B$3:B$388,C15),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v>
      </c>
      <c r="E15" s="12" t="str">
        <f>IF(C15&lt;&gt;"", IFERROR(INDEX('بنود العقد'!D$3:D$388,C15), ""), "")</f>
        <v>م2</v>
      </c>
      <c r="F15" s="9">
        <f>IF(C15&lt;&gt;"", IFERROR(INDEX('بنود العقد'!E$3:E$388,C15), 0), "")</f>
        <v>150</v>
      </c>
      <c r="G15" s="9">
        <f>IF(C15&lt;&gt;"", IFERROR(INDEX('بنود العقد'!F$3:F$388,C15), 0), "")</f>
        <v>450</v>
      </c>
      <c r="H15" s="18">
        <f t="shared" si="0"/>
        <v>1288.9100000000001</v>
      </c>
      <c r="I15" s="7">
        <v>298.64999999999998</v>
      </c>
      <c r="J15" s="18">
        <f t="shared" si="1"/>
        <v>1587.56</v>
      </c>
      <c r="K15" s="10">
        <f t="shared" si="2"/>
        <v>44797.5</v>
      </c>
      <c r="L15" s="21">
        <f t="shared" si="3"/>
        <v>352.79111111111109</v>
      </c>
    </row>
    <row r="16" spans="1:12" ht="25.95" customHeight="1">
      <c r="A16" s="12">
        <v>14</v>
      </c>
      <c r="B16" s="6">
        <v>2</v>
      </c>
      <c r="C16" s="6">
        <v>72</v>
      </c>
      <c r="D16" s="20" t="str">
        <f>IF(C16&lt;&gt;"", IFERROR(INDEX('بنود العقد'!B$3:B$388,C16), "⚠"), "")</f>
        <v>طبقة من اللياسة الأسمنتية فوق الأسطح الخرسانية والجدران الداخلية  بسمك متوسط 20 مم على طبقات  طرطشة بسمك 5 مم وضهارة 15 مم حسب المواصفات مع المعالجة اليومية  بالمياه لمنع التنميلات ويتم عمل افريز بين البلوك والخرسانة يملئ بمواد قابلة للدهان والسعر يشمل كامل الأكسسوارات اللازمة من شبك معدني ممدد وزوايا ونهايات معدنية  ومواد الترابط  وعمل تجاويف في طبقة اللياسة بعمق 10مم عرض 10مم  في الاعمدة  وفي الجدران ان وجدت حسب الرسومات والمناظير وتعليمات المهندس المشرف ذلك حسب الاصول الفنية وتعليمات المهندس المشرف. لياسة الجدران والأعمدة الداخلية  وتشمل جميع الإكسسوارات بإرتفاع 20 سم أعلي الأسقف الجبسيه لزوم الجدران الداخلية</v>
      </c>
      <c r="E16" s="12" t="str">
        <f>IF(C16&lt;&gt;"", IFERROR(INDEX('بنود العقد'!D$3:D$388,C16), ""), "")</f>
        <v>م²</v>
      </c>
      <c r="F16" s="9">
        <f>IF(C16&lt;&gt;"", IFERROR(INDEX('بنود العقد'!E$3:E$388,C16), 0), "")</f>
        <v>42</v>
      </c>
      <c r="G16" s="9">
        <f>IF(C16&lt;&gt;"", IFERROR(INDEX('بنود العقد'!F$3:F$388,C16), 0), "")</f>
        <v>758</v>
      </c>
      <c r="H16" s="18">
        <f t="shared" si="0"/>
        <v>1521.25</v>
      </c>
      <c r="I16" s="7">
        <v>2070.54</v>
      </c>
      <c r="J16" s="18">
        <f t="shared" si="1"/>
        <v>3591.79</v>
      </c>
      <c r="K16" s="10">
        <f t="shared" si="2"/>
        <v>86962.68</v>
      </c>
      <c r="L16" s="21">
        <f t="shared" si="3"/>
        <v>473.85092348284957</v>
      </c>
    </row>
    <row r="17" spans="1:13" ht="25.95" customHeight="1">
      <c r="A17" s="12">
        <v>15</v>
      </c>
      <c r="B17" s="6">
        <v>2</v>
      </c>
      <c r="C17" s="6">
        <v>74</v>
      </c>
      <c r="D17" s="20" t="str">
        <f>IF(C17&lt;&gt;"", IFERROR(INDEX('بنود العقد'!B$3:B$388,C17), "⚠"), "")</f>
        <v>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v>
      </c>
      <c r="E17" s="12" t="str">
        <f>IF(C17&lt;&gt;"", IFERROR(INDEX('بنود العقد'!D$3:D$388,C17), ""), "")</f>
        <v>م²</v>
      </c>
      <c r="F17" s="9">
        <f>IF(C17&lt;&gt;"", IFERROR(INDEX('بنود العقد'!E$3:E$388,C17), 0), "")</f>
        <v>180</v>
      </c>
      <c r="G17" s="9">
        <f>IF(C17&lt;&gt;"", IFERROR(INDEX('بنود العقد'!F$3:F$388,C17), 0), "")</f>
        <v>12526</v>
      </c>
      <c r="H17" s="18">
        <f t="shared" si="0"/>
        <v>356.6</v>
      </c>
      <c r="I17" s="7">
        <v>837.54</v>
      </c>
      <c r="J17" s="18">
        <f t="shared" si="1"/>
        <v>1194.1399999999999</v>
      </c>
      <c r="K17" s="10">
        <f t="shared" si="2"/>
        <v>150757.19999999998</v>
      </c>
      <c r="L17" s="21">
        <f t="shared" si="3"/>
        <v>9.5332907552291228</v>
      </c>
    </row>
    <row r="18" spans="1:13" ht="25.95" customHeight="1">
      <c r="A18" s="12">
        <v>16</v>
      </c>
      <c r="B18" s="6">
        <v>2</v>
      </c>
      <c r="C18" s="6">
        <v>230</v>
      </c>
      <c r="D18" s="20" t="str">
        <f>IF(C18&lt;&gt;"", IFERROR(INDEX('بنود العقد'!B$3:B$388,C18),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E18" s="12" t="str">
        <f>IF(C18&lt;&gt;"", IFERROR(INDEX('بنود العقد'!D$3:D$388,C18), ""), "")</f>
        <v>م.ط</v>
      </c>
      <c r="F18" s="9">
        <f>IF(C18&lt;&gt;"", IFERROR(INDEX('بنود العقد'!E$3:E$388,C18), 0), "")</f>
        <v>300</v>
      </c>
      <c r="G18" s="9">
        <f>IF(C18&lt;&gt;"", IFERROR(INDEX('بنود العقد'!F$3:F$388,C18), 0), "")</f>
        <v>7000</v>
      </c>
      <c r="H18" s="18">
        <f t="shared" si="0"/>
        <v>0</v>
      </c>
      <c r="I18" s="7">
        <v>267</v>
      </c>
      <c r="J18" s="18">
        <f t="shared" si="1"/>
        <v>267</v>
      </c>
      <c r="K18" s="10">
        <f t="shared" si="2"/>
        <v>80100</v>
      </c>
      <c r="L18" s="21">
        <f t="shared" si="3"/>
        <v>3.8142857142857145</v>
      </c>
    </row>
    <row r="19" spans="1:13" ht="25.5" customHeight="1">
      <c r="A19" s="12">
        <v>17</v>
      </c>
      <c r="B19" s="6">
        <v>2</v>
      </c>
      <c r="C19" s="6">
        <v>262</v>
      </c>
      <c r="D19" s="20" t="str">
        <f>IF(C19&lt;&gt;"", IFERROR(INDEX('بنود العقد'!B$3:B$388,C19),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v>
      </c>
      <c r="E19" s="12" t="str">
        <f>IF(C19&lt;&gt;"", IFERROR(INDEX('بنود العقد'!D$3:D$388,C19), ""), "")</f>
        <v>عدد</v>
      </c>
      <c r="F19" s="9">
        <f>IF(C19&lt;&gt;"", IFERROR(INDEX('بنود العقد'!E$3:E$388,C19), 0), "")</f>
        <v>348</v>
      </c>
      <c r="G19" s="9">
        <f>IF(C19&lt;&gt;"", IFERROR(INDEX('بنود العقد'!F$3:F$388,C19), 0), "")</f>
        <v>530</v>
      </c>
      <c r="H19" s="18">
        <f t="shared" si="0"/>
        <v>0</v>
      </c>
      <c r="I19" s="7">
        <v>13</v>
      </c>
      <c r="J19" s="18">
        <f t="shared" si="1"/>
        <v>13</v>
      </c>
      <c r="K19" s="10">
        <f t="shared" si="2"/>
        <v>4524</v>
      </c>
      <c r="L19" s="21">
        <f t="shared" si="3"/>
        <v>2.4528301886792456</v>
      </c>
    </row>
    <row r="20" spans="1:13" ht="25.95" customHeight="1">
      <c r="A20" s="12">
        <v>18</v>
      </c>
      <c r="B20" s="6">
        <v>2</v>
      </c>
      <c r="C20" s="6">
        <v>263</v>
      </c>
      <c r="D20" s="20" t="str">
        <f>IF(C20&lt;&gt;"", IFERROR(INDEX('بنود العقد'!B$3:B$388,C20),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A1E</v>
      </c>
      <c r="E20" s="12" t="str">
        <f>IF(C20&lt;&gt;"", IFERROR(INDEX('بنود العقد'!D$3:D$388,C20), ""), "")</f>
        <v>عدد</v>
      </c>
      <c r="F20" s="9">
        <f>IF(C20&lt;&gt;"", IFERROR(INDEX('بنود العقد'!E$3:E$388,C20), 0), "")</f>
        <v>660</v>
      </c>
      <c r="G20" s="9">
        <f>IF(C20&lt;&gt;"", IFERROR(INDEX('بنود العقد'!F$3:F$388,C20), 0), "")</f>
        <v>241</v>
      </c>
      <c r="H20" s="18">
        <f t="shared" si="0"/>
        <v>0</v>
      </c>
      <c r="I20" s="7">
        <v>6</v>
      </c>
      <c r="J20" s="18">
        <f t="shared" si="1"/>
        <v>6</v>
      </c>
      <c r="K20" s="10">
        <f t="shared" si="2"/>
        <v>3960</v>
      </c>
      <c r="L20" s="21">
        <f t="shared" si="3"/>
        <v>2.4896265560165975</v>
      </c>
    </row>
    <row r="21" spans="1:13" ht="25.95" customHeight="1">
      <c r="A21" s="12">
        <v>19</v>
      </c>
      <c r="B21" s="6">
        <v>2</v>
      </c>
      <c r="C21" s="6">
        <v>264</v>
      </c>
      <c r="D21" s="20" t="str">
        <f>IF(C21&lt;&gt;"", IFERROR(INDEX('بنود العقد'!B$3:B$388,C21),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A2</v>
      </c>
      <c r="E21" s="12" t="str">
        <f>IF(C21&lt;&gt;"", IFERROR(INDEX('بنود العقد'!D$3:D$388,C21), ""), "")</f>
        <v>عدد</v>
      </c>
      <c r="F21" s="9">
        <f>IF(C21&lt;&gt;"", IFERROR(INDEX('بنود العقد'!E$3:E$388,C21), 0), "")</f>
        <v>1044</v>
      </c>
      <c r="G21" s="9">
        <f>IF(C21&lt;&gt;"", IFERROR(INDEX('بنود العقد'!F$3:F$388,C21), 0), "")</f>
        <v>1113</v>
      </c>
      <c r="H21" s="18">
        <f t="shared" si="0"/>
        <v>0</v>
      </c>
      <c r="I21" s="7">
        <v>26</v>
      </c>
      <c r="J21" s="18">
        <f t="shared" si="1"/>
        <v>26</v>
      </c>
      <c r="K21" s="10">
        <f t="shared" si="2"/>
        <v>27144</v>
      </c>
      <c r="L21" s="21">
        <f t="shared" si="3"/>
        <v>2.3360287511230911</v>
      </c>
    </row>
    <row r="22" spans="1:13" ht="25.95" customHeight="1">
      <c r="A22" s="12">
        <v>20</v>
      </c>
      <c r="B22" s="6">
        <v>2</v>
      </c>
      <c r="C22" s="6">
        <v>275</v>
      </c>
      <c r="D22" s="20" t="str">
        <f>IF(C22&lt;&gt;"", IFERROR(INDEX('بنود العقد'!B$3:B$388,C22),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v>
      </c>
      <c r="E22" s="12" t="str">
        <f>IF(C22&lt;&gt;"", IFERROR(INDEX('بنود العقد'!D$3:D$388,C22), ""), "")</f>
        <v>عدد</v>
      </c>
      <c r="F22" s="9">
        <f>IF(C22&lt;&gt;"", IFERROR(INDEX('بنود العقد'!E$3:E$388,C22), 0), "")</f>
        <v>420</v>
      </c>
      <c r="G22" s="9">
        <f>IF(C22&lt;&gt;"", IFERROR(INDEX('بنود العقد'!F$3:F$388,C22), 0), "")</f>
        <v>1422</v>
      </c>
      <c r="H22" s="18">
        <f t="shared" si="0"/>
        <v>0</v>
      </c>
      <c r="I22" s="7">
        <v>44</v>
      </c>
      <c r="J22" s="18">
        <f t="shared" si="1"/>
        <v>44</v>
      </c>
      <c r="K22" s="10">
        <f t="shared" si="2"/>
        <v>18480</v>
      </c>
      <c r="L22" s="21">
        <f t="shared" si="3"/>
        <v>3.0942334739803097</v>
      </c>
    </row>
    <row r="23" spans="1:13" ht="25.95" customHeight="1">
      <c r="A23" s="12">
        <v>21</v>
      </c>
      <c r="B23" s="6">
        <v>2</v>
      </c>
      <c r="C23" s="6">
        <v>276</v>
      </c>
      <c r="D23" s="20" t="str">
        <f>IF(C23&lt;&gt;"", IFERROR(INDEX('بنود العقد'!B$3:B$388,C23),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v>
      </c>
      <c r="E23" s="12" t="str">
        <f>IF(C23&lt;&gt;"", IFERROR(INDEX('بنود العقد'!D$3:D$388,C23), ""), "")</f>
        <v>عدد</v>
      </c>
      <c r="F23" s="9">
        <f>IF(C23&lt;&gt;"", IFERROR(INDEX('بنود العقد'!E$3:E$388,C23), 0), "")</f>
        <v>444</v>
      </c>
      <c r="G23" s="9">
        <f>IF(C23&lt;&gt;"", IFERROR(INDEX('بنود العقد'!F$3:F$388,C23), 0), "")</f>
        <v>1062</v>
      </c>
      <c r="H23" s="18">
        <f t="shared" si="0"/>
        <v>0</v>
      </c>
      <c r="I23" s="7">
        <v>8</v>
      </c>
      <c r="J23" s="18">
        <f t="shared" si="1"/>
        <v>8</v>
      </c>
      <c r="K23" s="10">
        <f t="shared" si="2"/>
        <v>3552</v>
      </c>
      <c r="L23" s="21">
        <f t="shared" si="3"/>
        <v>0.75329566854990582</v>
      </c>
    </row>
    <row r="24" spans="1:13" ht="25.95" customHeight="1">
      <c r="A24" s="12">
        <v>22</v>
      </c>
      <c r="B24" s="6">
        <v>2</v>
      </c>
      <c r="C24" s="6">
        <v>277</v>
      </c>
      <c r="D24" s="20" t="str">
        <f>IF(C24&lt;&gt;"", IFERROR(INDEX('بنود العقد'!B$3:B$388,C24),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v>
      </c>
      <c r="E24" s="12" t="str">
        <f>IF(C24&lt;&gt;"", IFERROR(INDEX('بنود العقد'!D$3:D$388,C24), ""), "")</f>
        <v>عدد</v>
      </c>
      <c r="F24" s="9">
        <f>IF(C24&lt;&gt;"", IFERROR(INDEX('بنود العقد'!E$3:E$388,C24), 0), "")</f>
        <v>300</v>
      </c>
      <c r="G24" s="9">
        <f>IF(C24&lt;&gt;"", IFERROR(INDEX('بنود العقد'!F$3:F$388,C24), 0), "")</f>
        <v>284</v>
      </c>
      <c r="H24" s="18">
        <f t="shared" si="0"/>
        <v>0</v>
      </c>
      <c r="I24" s="7">
        <v>2</v>
      </c>
      <c r="J24" s="18">
        <f t="shared" si="1"/>
        <v>2</v>
      </c>
      <c r="K24" s="10">
        <f t="shared" si="2"/>
        <v>600</v>
      </c>
      <c r="L24" s="21">
        <f t="shared" si="3"/>
        <v>0.70422535211267612</v>
      </c>
    </row>
    <row r="25" spans="1:13" ht="25.95" customHeight="1">
      <c r="A25" s="12">
        <v>23</v>
      </c>
      <c r="B25" s="6">
        <v>2</v>
      </c>
      <c r="C25" s="6">
        <v>309</v>
      </c>
      <c r="D25" s="20" t="str">
        <f>IF(C25&lt;&gt;"", IFERROR(INDEX('بنود العقد'!B$3:B$388,C25), "⚠"), "")</f>
        <v xml:space="preserve"> كاشف انذار دخان من النوع المعنون طبقا للمخططات  ومواصفات المشروع</v>
      </c>
      <c r="E25" s="12" t="str">
        <f>IF(C25&lt;&gt;"", IFERROR(INDEX('بنود العقد'!D$3:D$388,C25), ""), "")</f>
        <v>عدد</v>
      </c>
      <c r="F25" s="9">
        <f>IF(C25&lt;&gt;"", IFERROR(INDEX('بنود العقد'!E$3:E$388,C25), 0), "")</f>
        <v>276</v>
      </c>
      <c r="G25" s="9">
        <f>IF(C25&lt;&gt;"", IFERROR(INDEX('بنود العقد'!F$3:F$388,C25), 0), "")</f>
        <v>715</v>
      </c>
      <c r="H25" s="18">
        <f t="shared" si="0"/>
        <v>0</v>
      </c>
      <c r="I25" s="7">
        <v>68</v>
      </c>
      <c r="J25" s="18">
        <f t="shared" si="1"/>
        <v>68</v>
      </c>
      <c r="K25" s="10">
        <f t="shared" si="2"/>
        <v>18768</v>
      </c>
      <c r="L25" s="21">
        <f t="shared" si="3"/>
        <v>9.51048951048951</v>
      </c>
    </row>
    <row r="26" spans="1:13" ht="25.95" customHeight="1">
      <c r="A26" s="12">
        <v>24</v>
      </c>
      <c r="B26" s="6">
        <v>2</v>
      </c>
      <c r="C26" s="6">
        <v>311</v>
      </c>
      <c r="D26" s="20" t="str">
        <f>IF(C26&lt;&gt;"", IFERROR(INDEX('بنود العقد'!B$3:B$388,C26), "⚠"), "")</f>
        <v xml:space="preserve"> وحدة إنذار حريق يدوية من النوع المعنون طبقا للمخططات  ومواصفات المشروع</v>
      </c>
      <c r="E26" s="12" t="str">
        <f>IF(C26&lt;&gt;"", IFERROR(INDEX('بنود العقد'!D$3:D$388,C26), ""), "")</f>
        <v>عدد</v>
      </c>
      <c r="F26" s="9">
        <f>IF(C26&lt;&gt;"", IFERROR(INDEX('بنود العقد'!E$3:E$388,C26), 0), "")</f>
        <v>384</v>
      </c>
      <c r="G26" s="9">
        <f>IF(C26&lt;&gt;"", IFERROR(INDEX('بنود العقد'!F$3:F$388,C26), 0), "")</f>
        <v>54</v>
      </c>
      <c r="H26" s="18">
        <f t="shared" si="0"/>
        <v>0</v>
      </c>
      <c r="I26" s="7">
        <v>2</v>
      </c>
      <c r="J26" s="18">
        <f t="shared" si="1"/>
        <v>2</v>
      </c>
      <c r="K26" s="10">
        <f t="shared" si="2"/>
        <v>768</v>
      </c>
      <c r="L26" s="21">
        <f t="shared" si="3"/>
        <v>3.7037037037037033</v>
      </c>
    </row>
    <row r="27" spans="1:13" ht="25.95" customHeight="1">
      <c r="A27" s="12">
        <v>25</v>
      </c>
      <c r="B27" s="6">
        <v>2</v>
      </c>
      <c r="C27" s="6">
        <v>314</v>
      </c>
      <c r="D27" s="20" t="str">
        <f>IF(C27&lt;&gt;"", IFERROR(INDEX('بنود العقد'!B$3:B$388,C27), "⚠"), "")</f>
        <v>وحدة جرس إنذار حريق داخلى طبقا للمخططات  ومواصفات المشروع</v>
      </c>
      <c r="E27" s="12" t="str">
        <f>IF(C27&lt;&gt;"", IFERROR(INDEX('بنود العقد'!D$3:D$388,C27), ""), "")</f>
        <v>عدد</v>
      </c>
      <c r="F27" s="9">
        <f>IF(C27&lt;&gt;"", IFERROR(INDEX('بنود العقد'!E$3:E$388,C27), 0), "")</f>
        <v>576</v>
      </c>
      <c r="G27" s="9">
        <f>IF(C27&lt;&gt;"", IFERROR(INDEX('بنود العقد'!F$3:F$388,C27), 0), "")</f>
        <v>24</v>
      </c>
      <c r="H27" s="18">
        <f t="shared" si="0"/>
        <v>0</v>
      </c>
      <c r="I27" s="7">
        <v>2</v>
      </c>
      <c r="J27" s="18">
        <f t="shared" si="1"/>
        <v>2</v>
      </c>
      <c r="K27" s="10">
        <f t="shared" si="2"/>
        <v>1152</v>
      </c>
      <c r="L27" s="21">
        <f t="shared" si="3"/>
        <v>8.3333333333333321</v>
      </c>
    </row>
    <row r="28" spans="1:13" ht="25.95" customHeight="1">
      <c r="A28" s="12">
        <v>26</v>
      </c>
      <c r="B28" s="6">
        <v>2</v>
      </c>
      <c r="C28" s="6">
        <v>315</v>
      </c>
      <c r="D28" s="20" t="str">
        <f>IF(C28&lt;&gt;"", IFERROR(INDEX('بنود العقد'!B$3:B$388,C28), "⚠"), "")</f>
        <v>وحدة هاتف رجل الاطفاء حريق داخلى )fireman telephone Jack ( طبقا للمخططات  ومواصفات المشروع</v>
      </c>
      <c r="E28" s="12" t="str">
        <f>IF(C28&lt;&gt;"", IFERROR(INDEX('بنود العقد'!D$3:D$388,C28), ""), "")</f>
        <v>عدد</v>
      </c>
      <c r="F28" s="9">
        <f>IF(C28&lt;&gt;"", IFERROR(INDEX('بنود العقد'!E$3:E$388,C28), 0), "")</f>
        <v>960</v>
      </c>
      <c r="G28" s="9">
        <f>IF(C28&lt;&gt;"", IFERROR(INDEX('بنود العقد'!F$3:F$388,C28), 0), "")</f>
        <v>24</v>
      </c>
      <c r="H28" s="18">
        <f t="shared" si="0"/>
        <v>0</v>
      </c>
      <c r="I28" s="7">
        <v>2</v>
      </c>
      <c r="J28" s="18">
        <f t="shared" si="1"/>
        <v>2</v>
      </c>
      <c r="K28" s="10">
        <f t="shared" si="2"/>
        <v>1920</v>
      </c>
      <c r="L28" s="21">
        <f t="shared" si="3"/>
        <v>8.3333333333333321</v>
      </c>
    </row>
    <row r="29" spans="1:13" ht="25.95" customHeight="1">
      <c r="A29" s="12">
        <v>27</v>
      </c>
      <c r="B29" s="6">
        <v>2</v>
      </c>
      <c r="C29" s="6">
        <v>316</v>
      </c>
      <c r="D29" s="20" t="str">
        <f>IF(C29&lt;&gt;"", IFERROR(INDEX('بنود العقد'!B$3:B$388,C29), "⚠"), "")</f>
        <v>وحدات لاسلكية لتوفير خدمة شبكة المعلومات )Wireless Access Points(</v>
      </c>
      <c r="E29" s="12" t="str">
        <f>IF(C29&lt;&gt;"", IFERROR(INDEX('بنود العقد'!D$3:D$388,C29), ""), "")</f>
        <v>عدد</v>
      </c>
      <c r="F29" s="9">
        <f>IF(C29&lt;&gt;"", IFERROR(INDEX('بنود العقد'!E$3:E$388,C29), 0), "")</f>
        <v>1080</v>
      </c>
      <c r="G29" s="9">
        <f>IF(C29&lt;&gt;"", IFERROR(INDEX('بنود العقد'!F$3:F$388,C29), 0), "")</f>
        <v>181</v>
      </c>
      <c r="H29" s="18">
        <f t="shared" si="0"/>
        <v>0</v>
      </c>
      <c r="I29" s="7">
        <v>16</v>
      </c>
      <c r="J29" s="18">
        <f t="shared" si="1"/>
        <v>16</v>
      </c>
      <c r="K29" s="10">
        <f t="shared" si="2"/>
        <v>17280</v>
      </c>
      <c r="L29" s="21">
        <f t="shared" si="3"/>
        <v>8.8397790055248606</v>
      </c>
    </row>
    <row r="30" spans="1:13" ht="25.95" customHeight="1">
      <c r="A30" s="12">
        <v>28</v>
      </c>
      <c r="B30" s="6">
        <v>2</v>
      </c>
      <c r="C30" s="6">
        <v>317</v>
      </c>
      <c r="D30" s="20" t="str">
        <f>IF(C30&lt;&gt;"", IFERROR(INDEX('بنود العقد'!B$3:B$388,C30), "⚠"), "")</f>
        <v>عن طريق مقاول متخصص ذو خبرة كبيرة في هذا المجال ويقدم للاعتماد من إدارة الـ IT بالوزارة و يربط النظام مع الانظمة المعنية بالتحكم و الموازنة و يشمل البند جميع الوصلات و الكابلات و غيرها من المتطلبات الخاصة بنهو النظام كاملا توريد وتركيب واختبارنقاط كاميرا مراقبة داخلية سقفية و جميع ما يلزم من توصيلات و تركيبات و خلافة  لنهو النظام .</v>
      </c>
      <c r="E30" s="12" t="str">
        <f>IF(C30&lt;&gt;"", IFERROR(INDEX('بنود العقد'!D$3:D$388,C30), ""), "")</f>
        <v>عدد</v>
      </c>
      <c r="F30" s="9">
        <f>IF(C30&lt;&gt;"", IFERROR(INDEX('بنود العقد'!E$3:E$388,C30), 0), "")</f>
        <v>2640</v>
      </c>
      <c r="G30" s="9">
        <f>IF(C30&lt;&gt;"", IFERROR(INDEX('بنود العقد'!F$3:F$388,C30), 0), "")</f>
        <v>258</v>
      </c>
      <c r="H30" s="18">
        <f t="shared" si="0"/>
        <v>0</v>
      </c>
      <c r="I30" s="7">
        <v>27</v>
      </c>
      <c r="J30" s="18">
        <f t="shared" si="1"/>
        <v>27</v>
      </c>
      <c r="K30" s="10">
        <f t="shared" si="2"/>
        <v>71280</v>
      </c>
      <c r="L30" s="21">
        <f t="shared" si="3"/>
        <v>10.465116279069768</v>
      </c>
    </row>
    <row r="31" spans="1:13" ht="25.95" customHeight="1">
      <c r="A31" s="12">
        <v>29</v>
      </c>
      <c r="B31" s="6">
        <v>2</v>
      </c>
      <c r="C31" s="6">
        <v>324</v>
      </c>
      <c r="D31" s="20" t="str">
        <f>IF(C31&lt;&gt;"", IFERROR(INDEX('بنود العقد'!B$3:B$388,C31), "⚠"), "")</f>
        <v xml:space="preserve">توريد وتركيب وإختبار نظام النداء الصوتي العام يتضمن كافة الكابالت و المواسير و العلب و النهايات مع كامل اكسسوارات التركيب الالزمة وتشغيل تجهيزات الصوت و تركيب المعدات الرئيسية بغرفة التحكم حسب المخططات و المواصفات وتعليمات الشركة المصنعة مشتمال على كل ما يلزم التمام العمل
و ربطه مع نظام الحريق و ادارة المبنى و يتكون من االتي -:
سماعة سقفية 6 وات
</v>
      </c>
      <c r="E31" s="12" t="str">
        <f>IF(C31&lt;&gt;"", IFERROR(INDEX('بنود العقد'!D$3:D$388,C31), ""), "")</f>
        <v>عدد</v>
      </c>
      <c r="F31" s="9">
        <f>IF(C31&lt;&gt;"", IFERROR(INDEX('بنود العقد'!E$3:E$388,C31), 0), "")</f>
        <v>420</v>
      </c>
      <c r="G31" s="9">
        <f>IF(C31&lt;&gt;"", IFERROR(INDEX('بنود العقد'!F$3:F$388,C31), 0), "")</f>
        <v>252</v>
      </c>
      <c r="H31" s="18">
        <f t="shared" si="0"/>
        <v>0</v>
      </c>
      <c r="I31" s="7">
        <v>20</v>
      </c>
      <c r="J31" s="18">
        <f t="shared" si="1"/>
        <v>20</v>
      </c>
      <c r="K31" s="10">
        <f t="shared" si="2"/>
        <v>8400</v>
      </c>
      <c r="L31" s="21">
        <f t="shared" si="3"/>
        <v>7.9365079365079358</v>
      </c>
    </row>
    <row r="32" spans="1:13" ht="25.95" customHeight="1">
      <c r="A32" s="12">
        <v>30</v>
      </c>
      <c r="B32" s="6">
        <v>3</v>
      </c>
      <c r="C32" s="6">
        <v>5</v>
      </c>
      <c r="D32" s="20" t="str">
        <f>IF(C32&lt;&gt;"", IFERROR(INDEX('بنود العقد'!B$3:B$388,C32), "⚠"), "")</f>
        <v>صبة أسمنتية كطبقة حماية للعزل في الأماكن الرطبة. ويشمل السعر وأي مواد أو أعمال يتطلبها تنفيذ العمل حسب المواصفات والمخططات وتعليمات المهندس المشرف.</v>
      </c>
      <c r="E32" s="12" t="str">
        <f>IF(C32&lt;&gt;"", IFERROR(INDEX('بنود العقد'!D$3:D$388,C32), ""), "")</f>
        <v>م3</v>
      </c>
      <c r="F32" s="9">
        <f>IF(C32&lt;&gt;"", IFERROR(INDEX('بنود العقد'!E$3:E$388,C32), 0), "")</f>
        <v>366</v>
      </c>
      <c r="G32" s="9">
        <f>IF(C32&lt;&gt;"", IFERROR(INDEX('بنود العقد'!F$3:F$388,C32), 0), "")</f>
        <v>1345</v>
      </c>
      <c r="H32" s="18">
        <f t="shared" si="0"/>
        <v>77.389999999999986</v>
      </c>
      <c r="I32" s="7">
        <v>23.9</v>
      </c>
      <c r="J32" s="18">
        <f t="shared" si="1"/>
        <v>101.28999999999999</v>
      </c>
      <c r="K32" s="10">
        <f t="shared" si="2"/>
        <v>8747.4</v>
      </c>
      <c r="L32" s="21">
        <f t="shared" si="3"/>
        <v>7.53085501858736</v>
      </c>
      <c r="M32" s="73"/>
    </row>
    <row r="33" spans="1:13" ht="25.95" customHeight="1">
      <c r="A33" s="12">
        <v>31</v>
      </c>
      <c r="B33" s="6">
        <v>3</v>
      </c>
      <c r="C33" s="6">
        <v>6</v>
      </c>
      <c r="D33" s="20" t="str">
        <f>IF(C33&lt;&gt;"", IFERROR(INDEX('بنود العقد'!B$3:B$388,C33),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v>
      </c>
      <c r="E33" s="12" t="str">
        <f>IF(C33&lt;&gt;"", IFERROR(INDEX('بنود العقد'!D$3:D$388,C33), ""), "")</f>
        <v>م2</v>
      </c>
      <c r="F33" s="9">
        <f>IF(C33&lt;&gt;"", IFERROR(INDEX('بنود العقد'!E$3:E$388,C33), 0), "")</f>
        <v>150</v>
      </c>
      <c r="G33" s="9">
        <f>IF(C33&lt;&gt;"", IFERROR(INDEX('بنود العقد'!F$3:F$388,C33), 0), "")</f>
        <v>450</v>
      </c>
      <c r="H33" s="18">
        <f t="shared" si="0"/>
        <v>1587.56</v>
      </c>
      <c r="I33" s="7">
        <v>119.89</v>
      </c>
      <c r="J33" s="18">
        <f t="shared" si="1"/>
        <v>1707.45</v>
      </c>
      <c r="K33" s="10">
        <f t="shared" si="2"/>
        <v>17983.5</v>
      </c>
      <c r="L33" s="21">
        <f t="shared" si="3"/>
        <v>379.43333333333334</v>
      </c>
      <c r="M33" s="73"/>
    </row>
    <row r="34" spans="1:13" ht="25.95" customHeight="1">
      <c r="A34" s="12">
        <v>32</v>
      </c>
      <c r="B34" s="6">
        <v>3</v>
      </c>
      <c r="C34" s="6">
        <v>36</v>
      </c>
      <c r="D34" s="20" t="str">
        <f>IF(C34&lt;&gt;"", IFERROR(INDEX('بنود العقد'!B$3:B$388,C34),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ال )wenge( بشكل pattern مفرغة من الداخل مع ايطار خشبي ومثبتة على الجدار الخشبي  لمنطقة التنفيذيين حسب الرسومات والمناظير وتعليمات المهندس المشرف.Code: P2</v>
      </c>
      <c r="E34" s="12" t="str">
        <f>IF(C34&lt;&gt;"", IFERROR(INDEX('بنود العقد'!D$3:D$388,C34), ""), "")</f>
        <v>م2</v>
      </c>
      <c r="F34" s="9">
        <f>IF(C34&lt;&gt;"", IFERROR(INDEX('بنود العقد'!E$3:E$388,C34), 0), "")</f>
        <v>960</v>
      </c>
      <c r="G34" s="9">
        <f>IF(C34&lt;&gt;"", IFERROR(INDEX('بنود العقد'!F$3:F$388,C34), 0), "")</f>
        <v>75</v>
      </c>
      <c r="H34" s="18">
        <f t="shared" si="0"/>
        <v>0</v>
      </c>
      <c r="I34" s="7">
        <v>18.899999999999999</v>
      </c>
      <c r="J34" s="18">
        <f t="shared" si="1"/>
        <v>18.899999999999999</v>
      </c>
      <c r="K34" s="10">
        <f t="shared" si="2"/>
        <v>18144</v>
      </c>
      <c r="L34" s="21">
        <f t="shared" si="3"/>
        <v>25.2</v>
      </c>
      <c r="M34" s="73"/>
    </row>
    <row r="35" spans="1:13" ht="25.95" customHeight="1">
      <c r="A35" s="12">
        <v>33</v>
      </c>
      <c r="B35" s="6">
        <v>3</v>
      </c>
      <c r="C35" s="6">
        <v>46</v>
      </c>
      <c r="D35" s="20" t="str">
        <f>IF(C35&lt;&gt;"", IFERROR(INDEX('بنود العقد'!B$3:B$388,C35), "⚠"), "")</f>
        <v>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المشرف.Ref drawing: 07-MRA-DD-(as per floor number)-AR-801 بعرض 1000 مم وارتفاع 2700 مم  GD01باب ضلفة واحدة  نموذج</v>
      </c>
      <c r="E35" s="12" t="str">
        <f>IF(C35&lt;&gt;"", IFERROR(INDEX('بنود العقد'!D$3:D$388,C35), ""), "")</f>
        <v>عدد</v>
      </c>
      <c r="F35" s="9">
        <f>IF(C35&lt;&gt;"", IFERROR(INDEX('بنود العقد'!E$3:E$388,C35), 0), "")</f>
        <v>2580</v>
      </c>
      <c r="G35" s="9">
        <f>IF(C35&lt;&gt;"", IFERROR(INDEX('بنود العقد'!F$3:F$388,C35), 0), "")</f>
        <v>238</v>
      </c>
      <c r="H35" s="18">
        <f t="shared" si="0"/>
        <v>0</v>
      </c>
      <c r="I35" s="7">
        <v>11</v>
      </c>
      <c r="J35" s="18">
        <f t="shared" si="1"/>
        <v>11</v>
      </c>
      <c r="K35" s="10">
        <f t="shared" si="2"/>
        <v>28380</v>
      </c>
      <c r="L35" s="21">
        <f t="shared" si="3"/>
        <v>4.6218487394957988</v>
      </c>
      <c r="M35" s="73"/>
    </row>
    <row r="36" spans="1:13" ht="25.95" customHeight="1">
      <c r="A36" s="12">
        <v>34</v>
      </c>
      <c r="B36" s="6">
        <v>3</v>
      </c>
      <c r="C36" s="6">
        <v>47</v>
      </c>
      <c r="D36" s="20" t="str">
        <f>IF(C36&lt;&gt;"", IFERROR(INDEX('بنود العقد'!B$3:B$388,C36), "⚠"), "")</f>
        <v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2600 مم  GD02باب ضلفتين  نموذج </v>
      </c>
      <c r="E36" s="12" t="str">
        <f>IF(C36&lt;&gt;"", IFERROR(INDEX('بنود العقد'!D$3:D$388,C36), ""), "")</f>
        <v>عدد</v>
      </c>
      <c r="F36" s="9">
        <f>IF(C36&lt;&gt;"", IFERROR(INDEX('بنود العقد'!E$3:E$388,C36), 0), "")</f>
        <v>4020</v>
      </c>
      <c r="G36" s="9">
        <f>IF(C36&lt;&gt;"", IFERROR(INDEX('بنود العقد'!F$3:F$388,C36), 0), "")</f>
        <v>37</v>
      </c>
      <c r="H36" s="18">
        <f t="shared" si="0"/>
        <v>0</v>
      </c>
      <c r="I36" s="7">
        <v>2</v>
      </c>
      <c r="J36" s="18">
        <f t="shared" si="1"/>
        <v>2</v>
      </c>
      <c r="K36" s="10">
        <f t="shared" si="2"/>
        <v>8040</v>
      </c>
      <c r="L36" s="21">
        <f t="shared" si="3"/>
        <v>5.4054054054054053</v>
      </c>
      <c r="M36" s="73"/>
    </row>
    <row r="37" spans="1:13" ht="25.95" customHeight="1">
      <c r="A37" s="12">
        <v>35</v>
      </c>
      <c r="B37" s="6">
        <v>3</v>
      </c>
      <c r="C37" s="6">
        <v>66</v>
      </c>
      <c r="D37" s="20" t="str">
        <f>IF(C37&lt;&gt;"", IFERROR(INDEX('بنود العقد'!B$3:B$388,C37), "⚠"),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E37" s="12" t="str">
        <f>IF(C37&lt;&gt;"", IFERROR(INDEX('بنود العقد'!D$3:D$388,C37), ""), "")</f>
        <v>م²</v>
      </c>
      <c r="F37" s="9">
        <f>IF(C37&lt;&gt;"", IFERROR(INDEX('بنود العقد'!E$3:E$388,C37), 0), "")</f>
        <v>900</v>
      </c>
      <c r="G37" s="9">
        <f>IF(C37&lt;&gt;"", IFERROR(INDEX('بنود العقد'!F$3:F$388,C37), 0), "")</f>
        <v>4000</v>
      </c>
      <c r="H37" s="18">
        <f t="shared" si="0"/>
        <v>0</v>
      </c>
      <c r="I37" s="7">
        <v>296</v>
      </c>
      <c r="J37" s="18">
        <f t="shared" si="1"/>
        <v>296</v>
      </c>
      <c r="K37" s="10">
        <f t="shared" si="2"/>
        <v>266400</v>
      </c>
      <c r="L37" s="21">
        <f t="shared" si="3"/>
        <v>7.3999999999999995</v>
      </c>
      <c r="M37" s="73"/>
    </row>
    <row r="38" spans="1:13" ht="25.95" customHeight="1">
      <c r="A38" s="12">
        <v>36</v>
      </c>
      <c r="B38" s="6">
        <v>3</v>
      </c>
      <c r="C38" s="6">
        <v>74</v>
      </c>
      <c r="D38" s="20" t="str">
        <f>IF(C38&lt;&gt;"", IFERROR(INDEX('بنود العقد'!B$3:B$388,C38), "⚠"), "")</f>
        <v>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v>
      </c>
      <c r="E38" s="12" t="str">
        <f>IF(C38&lt;&gt;"", IFERROR(INDEX('بنود العقد'!D$3:D$388,C38), ""), "")</f>
        <v>م²</v>
      </c>
      <c r="F38" s="9">
        <f>IF(C38&lt;&gt;"", IFERROR(INDEX('بنود العقد'!E$3:E$388,C38), 0), "")</f>
        <v>180</v>
      </c>
      <c r="G38" s="9">
        <f>IF(C38&lt;&gt;"", IFERROR(INDEX('بنود العقد'!F$3:F$388,C38), 0), "")</f>
        <v>12526</v>
      </c>
      <c r="H38" s="18">
        <f t="shared" si="0"/>
        <v>1194.1399999999999</v>
      </c>
      <c r="I38" s="7">
        <v>1381.98</v>
      </c>
      <c r="J38" s="18">
        <f t="shared" si="1"/>
        <v>2576.12</v>
      </c>
      <c r="K38" s="10">
        <f t="shared" si="2"/>
        <v>248756.4</v>
      </c>
      <c r="L38" s="21">
        <f t="shared" si="3"/>
        <v>20.566182340731277</v>
      </c>
      <c r="M38" s="73"/>
    </row>
    <row r="39" spans="1:13" ht="25.95" customHeight="1">
      <c r="A39" s="12">
        <v>37</v>
      </c>
      <c r="B39" s="6">
        <v>3</v>
      </c>
      <c r="C39" s="6">
        <v>125</v>
      </c>
      <c r="D39" s="20" t="str">
        <f>IF(C39&lt;&gt;"", IFERROR(INDEX('بنود العقد'!B$3:B$388,C39), "⚠"), "")</f>
        <v>دهان بلون رمادي بيج على الألواح الجبسية والألواح الاسمنتية 100-WPF</v>
      </c>
      <c r="E39" s="12" t="str">
        <f>IF(C39&lt;&gt;"", IFERROR(INDEX('بنود العقد'!D$3:D$388,C39), ""), "")</f>
        <v>م²</v>
      </c>
      <c r="F39" s="9">
        <f>IF(C39&lt;&gt;"", IFERROR(INDEX('بنود العقد'!E$3:E$388,C39), 0), "")</f>
        <v>25.2</v>
      </c>
      <c r="G39" s="9">
        <f>IF(C39&lt;&gt;"", IFERROR(INDEX('بنود العقد'!F$3:F$388,C39), 0), "")</f>
        <v>12700</v>
      </c>
      <c r="H39" s="18">
        <f t="shared" si="0"/>
        <v>0</v>
      </c>
      <c r="I39" s="7">
        <v>680.09</v>
      </c>
      <c r="J39" s="18">
        <f t="shared" si="1"/>
        <v>680.09</v>
      </c>
      <c r="K39" s="10">
        <f t="shared" si="2"/>
        <v>17138.268</v>
      </c>
      <c r="L39" s="21">
        <f t="shared" si="3"/>
        <v>5.3550393700787406</v>
      </c>
      <c r="M39" s="73"/>
    </row>
    <row r="40" spans="1:13" ht="25.95" customHeight="1">
      <c r="A40" s="12">
        <v>38</v>
      </c>
      <c r="B40" s="6">
        <v>3</v>
      </c>
      <c r="C40" s="6">
        <v>128</v>
      </c>
      <c r="D40" s="20" t="str">
        <f>IF(C40&lt;&gt;"", IFERROR(INDEX('بنود العقد'!B$3:B$388,C40), "⚠"), "")</f>
        <v>.دهان بلون رمادي اسمنتي على الألواح الجبسية والألواح الاسمنتية 200-WPF</v>
      </c>
      <c r="E40" s="12" t="str">
        <f>IF(C40&lt;&gt;"", IFERROR(INDEX('بنود العقد'!D$3:D$388,C40), ""), "")</f>
        <v>م²</v>
      </c>
      <c r="F40" s="9">
        <f>IF(C40&lt;&gt;"", IFERROR(INDEX('بنود العقد'!E$3:E$388,C40), 0), "")</f>
        <v>30</v>
      </c>
      <c r="G40" s="9">
        <f>IF(C40&lt;&gt;"", IFERROR(INDEX('بنود العقد'!F$3:F$388,C40), 0), "")</f>
        <v>2088</v>
      </c>
      <c r="H40" s="18">
        <f t="shared" si="0"/>
        <v>0</v>
      </c>
      <c r="I40" s="7">
        <v>118.72</v>
      </c>
      <c r="J40" s="18">
        <f t="shared" si="1"/>
        <v>118.72</v>
      </c>
      <c r="K40" s="10">
        <f t="shared" si="2"/>
        <v>3561.6</v>
      </c>
      <c r="L40" s="21">
        <f t="shared" si="3"/>
        <v>5.685823754789272</v>
      </c>
      <c r="M40" s="73"/>
    </row>
    <row r="41" spans="1:13" ht="25.95" customHeight="1">
      <c r="A41" s="12">
        <v>39</v>
      </c>
      <c r="B41" s="6">
        <v>3</v>
      </c>
      <c r="C41" s="6">
        <v>177</v>
      </c>
      <c r="D41" s="20" t="str">
        <f>IF(C41&lt;&gt;"", IFERROR(INDEX('بنود العقد'!B$3:B$388,C41),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E41" s="12" t="str">
        <f>IF(C41&lt;&gt;"", IFERROR(INDEX('بنود العقد'!D$3:D$388,C41), ""), "")</f>
        <v>م.ط</v>
      </c>
      <c r="F41" s="9">
        <f>IF(C41&lt;&gt;"", IFERROR(INDEX('بنود العقد'!E$3:E$388,C41), 0), "")</f>
        <v>70.8</v>
      </c>
      <c r="G41" s="9">
        <f>IF(C41&lt;&gt;"", IFERROR(INDEX('بنود العقد'!F$3:F$388,C41), 0), "")</f>
        <v>221</v>
      </c>
      <c r="H41" s="18">
        <f t="shared" si="0"/>
        <v>0</v>
      </c>
      <c r="I41" s="7">
        <v>40</v>
      </c>
      <c r="J41" s="18">
        <f t="shared" si="1"/>
        <v>40</v>
      </c>
      <c r="K41" s="10">
        <f t="shared" si="2"/>
        <v>2832</v>
      </c>
      <c r="L41" s="21">
        <f t="shared" si="3"/>
        <v>18.099547511312217</v>
      </c>
      <c r="M41" s="73"/>
    </row>
    <row r="42" spans="1:13" ht="25.95" customHeight="1">
      <c r="A42" s="12">
        <v>40</v>
      </c>
      <c r="B42" s="6">
        <v>3</v>
      </c>
      <c r="C42" s="6">
        <v>178</v>
      </c>
      <c r="D42" s="20" t="str">
        <f>IF(C42&lt;&gt;"", IFERROR(INDEX('بنود العقد'!B$3:B$388,C42),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32مم</v>
      </c>
      <c r="E42" s="12" t="str">
        <f>IF(C42&lt;&gt;"", IFERROR(INDEX('بنود العقد'!D$3:D$388,C42), ""), "")</f>
        <v>م.ط</v>
      </c>
      <c r="F42" s="9">
        <f>IF(C42&lt;&gt;"", IFERROR(INDEX('بنود العقد'!E$3:E$388,C42), 0), "")</f>
        <v>102</v>
      </c>
      <c r="G42" s="9">
        <f>IF(C42&lt;&gt;"", IFERROR(INDEX('بنود العقد'!F$3:F$388,C42), 0), "")</f>
        <v>207</v>
      </c>
      <c r="H42" s="18">
        <f t="shared" si="0"/>
        <v>0</v>
      </c>
      <c r="I42" s="7">
        <v>27</v>
      </c>
      <c r="J42" s="18">
        <f t="shared" si="1"/>
        <v>27</v>
      </c>
      <c r="K42" s="10">
        <f t="shared" si="2"/>
        <v>2754</v>
      </c>
      <c r="L42" s="21">
        <f t="shared" si="3"/>
        <v>13.043478260869565</v>
      </c>
      <c r="M42" s="73"/>
    </row>
    <row r="43" spans="1:13" ht="25.95" customHeight="1">
      <c r="A43" s="12">
        <v>41</v>
      </c>
      <c r="B43" s="6">
        <v>3</v>
      </c>
      <c r="C43" s="6">
        <v>179</v>
      </c>
      <c r="D43" s="20" t="str">
        <f>IF(C43&lt;&gt;"", IFERROR(INDEX('بنود العقد'!B$3:B$388,C43),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40 مم</v>
      </c>
      <c r="E43" s="12" t="str">
        <f>IF(C43&lt;&gt;"", IFERROR(INDEX('بنود العقد'!D$3:D$388,C43), ""), "")</f>
        <v>م.ط</v>
      </c>
      <c r="F43" s="9">
        <f>IF(C43&lt;&gt;"", IFERROR(INDEX('بنود العقد'!E$3:E$388,C43), 0), "")</f>
        <v>85.2</v>
      </c>
      <c r="G43" s="9">
        <f>IF(C43&lt;&gt;"", IFERROR(INDEX('بنود العقد'!F$3:F$388,C43), 0), "")</f>
        <v>103</v>
      </c>
      <c r="H43" s="18">
        <f t="shared" si="0"/>
        <v>0</v>
      </c>
      <c r="I43" s="7">
        <v>12</v>
      </c>
      <c r="J43" s="18">
        <f t="shared" si="1"/>
        <v>12</v>
      </c>
      <c r="K43" s="10">
        <f t="shared" si="2"/>
        <v>1022.4000000000001</v>
      </c>
      <c r="L43" s="21">
        <f t="shared" si="3"/>
        <v>11.650485436893204</v>
      </c>
      <c r="M43" s="73"/>
    </row>
    <row r="44" spans="1:13" ht="25.95" customHeight="1">
      <c r="A44" s="12">
        <v>42</v>
      </c>
      <c r="B44" s="6">
        <v>3</v>
      </c>
      <c r="C44" s="6">
        <v>180</v>
      </c>
      <c r="D44" s="20" t="str">
        <f>IF(C44&lt;&gt;"", IFERROR(INDEX('بنود العقد'!B$3:B$388,C44),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الداخلية:قطر 50 مم</v>
      </c>
      <c r="E44" s="12" t="str">
        <f>IF(C44&lt;&gt;"", IFERROR(INDEX('بنود العقد'!D$3:D$388,C44), ""), "")</f>
        <v>م.ط</v>
      </c>
      <c r="F44" s="9">
        <f>IF(C44&lt;&gt;"", IFERROR(INDEX('بنود العقد'!E$3:E$388,C44), 0), "")</f>
        <v>94.8</v>
      </c>
      <c r="G44" s="9">
        <f>IF(C44&lt;&gt;"", IFERROR(INDEX('بنود العقد'!F$3:F$388,C44), 0), "")</f>
        <v>218</v>
      </c>
      <c r="H44" s="18">
        <f t="shared" si="0"/>
        <v>0</v>
      </c>
      <c r="I44" s="7">
        <v>18</v>
      </c>
      <c r="J44" s="18">
        <f t="shared" si="1"/>
        <v>18</v>
      </c>
      <c r="K44" s="10">
        <f t="shared" si="2"/>
        <v>1706.3999999999999</v>
      </c>
      <c r="L44" s="21">
        <f t="shared" si="3"/>
        <v>8.2568807339449553</v>
      </c>
      <c r="M44" s="73"/>
    </row>
    <row r="45" spans="1:13" ht="25.95" customHeight="1">
      <c r="A45" s="12">
        <v>43</v>
      </c>
      <c r="B45" s="6">
        <v>3</v>
      </c>
      <c r="C45" s="6">
        <v>185</v>
      </c>
      <c r="D45" s="20" t="str">
        <f>IF(C45&lt;&gt;"", IFERROR(INDEX('بنود العقد'!B$3:B$388,C45),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v>
      </c>
      <c r="E45" s="12" t="str">
        <f>IF(C45&lt;&gt;"", IFERROR(INDEX('بنود العقد'!D$3:D$388,C45), ""), "")</f>
        <v>م.ط</v>
      </c>
      <c r="F45" s="9">
        <f>IF(C45&lt;&gt;"", IFERROR(INDEX('بنود العقد'!E$3:E$388,C45), 0), "")</f>
        <v>75.599999999999994</v>
      </c>
      <c r="G45" s="9">
        <f>IF(C45&lt;&gt;"", IFERROR(INDEX('بنود العقد'!F$3:F$388,C45), 0), "")</f>
        <v>426</v>
      </c>
      <c r="H45" s="18">
        <f t="shared" si="0"/>
        <v>0</v>
      </c>
      <c r="I45" s="7">
        <v>93.6</v>
      </c>
      <c r="J45" s="18">
        <f t="shared" si="1"/>
        <v>93.6</v>
      </c>
      <c r="K45" s="10">
        <f t="shared" si="2"/>
        <v>7076.1599999999989</v>
      </c>
      <c r="L45" s="21">
        <f t="shared" si="3"/>
        <v>21.971830985915492</v>
      </c>
      <c r="M45" s="73"/>
    </row>
    <row r="46" spans="1:13" ht="25.95" customHeight="1">
      <c r="A46" s="12">
        <v>44</v>
      </c>
      <c r="B46" s="6">
        <v>3</v>
      </c>
      <c r="C46" s="6">
        <v>186</v>
      </c>
      <c r="D46" s="20" t="str">
        <f>IF(C46&lt;&gt;"", IFERROR(INDEX('بنود العقد'!B$3:B$388,C46),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75 مم</v>
      </c>
      <c r="E46" s="12" t="str">
        <f>IF(C46&lt;&gt;"", IFERROR(INDEX('بنود العقد'!D$3:D$388,C46), ""), "")</f>
        <v>م.ط</v>
      </c>
      <c r="F46" s="9">
        <f>IF(C46&lt;&gt;"", IFERROR(INDEX('بنود العقد'!E$3:E$388,C46), 0), "")</f>
        <v>91.2</v>
      </c>
      <c r="G46" s="9">
        <f>IF(C46&lt;&gt;"", IFERROR(INDEX('بنود العقد'!F$3:F$388,C46), 0), "")</f>
        <v>934</v>
      </c>
      <c r="H46" s="18">
        <f t="shared" si="0"/>
        <v>0</v>
      </c>
      <c r="I46" s="7">
        <v>117</v>
      </c>
      <c r="J46" s="18">
        <f t="shared" si="1"/>
        <v>117</v>
      </c>
      <c r="K46" s="10">
        <f t="shared" si="2"/>
        <v>10670.4</v>
      </c>
      <c r="L46" s="21">
        <f t="shared" si="3"/>
        <v>12.526766595289079</v>
      </c>
      <c r="M46" s="73"/>
    </row>
    <row r="47" spans="1:13" ht="25.95" customHeight="1">
      <c r="A47" s="12">
        <v>45</v>
      </c>
      <c r="B47" s="6">
        <v>3</v>
      </c>
      <c r="C47" s="6">
        <v>187</v>
      </c>
      <c r="D47" s="20" t="str">
        <f>IF(C47&lt;&gt;"", IFERROR(INDEX('بنود العقد'!B$3:B$388,C47),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v>
      </c>
      <c r="E47" s="12" t="str">
        <f>IF(C47&lt;&gt;"", IFERROR(INDEX('بنود العقد'!D$3:D$388,C47), ""), "")</f>
        <v>م.ط</v>
      </c>
      <c r="F47" s="9">
        <f>IF(C47&lt;&gt;"", IFERROR(INDEX('بنود العقد'!E$3:E$388,C47), 0), "")</f>
        <v>102</v>
      </c>
      <c r="G47" s="9">
        <f>IF(C47&lt;&gt;"", IFERROR(INDEX('بنود العقد'!F$3:F$388,C47), 0), "")</f>
        <v>961</v>
      </c>
      <c r="H47" s="18">
        <f t="shared" si="0"/>
        <v>0</v>
      </c>
      <c r="I47" s="7">
        <v>259.2</v>
      </c>
      <c r="J47" s="18">
        <f t="shared" si="1"/>
        <v>259.2</v>
      </c>
      <c r="K47" s="10">
        <f t="shared" si="2"/>
        <v>26438.399999999998</v>
      </c>
      <c r="L47" s="21">
        <f t="shared" si="3"/>
        <v>26.971904266389181</v>
      </c>
      <c r="M47" s="73"/>
    </row>
    <row r="48" spans="1:13" ht="25.95" customHeight="1">
      <c r="A48" s="12">
        <v>46</v>
      </c>
      <c r="B48" s="6">
        <v>3</v>
      </c>
      <c r="C48" s="6">
        <v>199</v>
      </c>
      <c r="D48" s="20" t="str">
        <f>IF(C48&lt;&gt;"", IFERROR(INDEX('بنود العقد'!B$3:B$388,C48),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E48" s="12" t="str">
        <f>IF(C48&lt;&gt;"", IFERROR(INDEX('بنود العقد'!D$3:D$388,C48), ""), "")</f>
        <v>م.ط</v>
      </c>
      <c r="F48" s="9">
        <f>IF(C48&lt;&gt;"", IFERROR(INDEX('بنود العقد'!E$3:E$388,C48), 0), "")</f>
        <v>108</v>
      </c>
      <c r="G48" s="9">
        <f>IF(C48&lt;&gt;"", IFERROR(INDEX('بنود العقد'!F$3:F$388,C48), 0), "")</f>
        <v>3900</v>
      </c>
      <c r="H48" s="18">
        <f t="shared" si="0"/>
        <v>0</v>
      </c>
      <c r="I48" s="7">
        <v>736.2</v>
      </c>
      <c r="J48" s="18">
        <f t="shared" si="1"/>
        <v>736.2</v>
      </c>
      <c r="K48" s="10">
        <f t="shared" si="2"/>
        <v>79509.600000000006</v>
      </c>
      <c r="L48" s="21">
        <f t="shared" si="3"/>
        <v>18.876923076923077</v>
      </c>
      <c r="M48" s="73"/>
    </row>
    <row r="49" spans="1:13" ht="25.95" customHeight="1">
      <c r="A49" s="12">
        <v>47</v>
      </c>
      <c r="B49" s="6">
        <v>3</v>
      </c>
      <c r="C49" s="6">
        <v>200</v>
      </c>
      <c r="D49" s="20" t="str">
        <f>IF(C49&lt;&gt;"", IFERROR(INDEX('بنود العقد'!B$3:B$388,C49),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28</v>
      </c>
      <c r="E49" s="12" t="str">
        <f>IF(C49&lt;&gt;"", IFERROR(INDEX('بنود العقد'!D$3:D$388,C49), ""), "")</f>
        <v>م.ط</v>
      </c>
      <c r="F49" s="9">
        <f>IF(C49&lt;&gt;"", IFERROR(INDEX('بنود العقد'!E$3:E$388,C49), 0), "")</f>
        <v>138</v>
      </c>
      <c r="G49" s="9">
        <f>IF(C49&lt;&gt;"", IFERROR(INDEX('بنود العقد'!F$3:F$388,C49), 0), "")</f>
        <v>323</v>
      </c>
      <c r="H49" s="18">
        <f t="shared" si="0"/>
        <v>0</v>
      </c>
      <c r="I49" s="7">
        <v>64</v>
      </c>
      <c r="J49" s="18">
        <f t="shared" si="1"/>
        <v>64</v>
      </c>
      <c r="K49" s="10">
        <f t="shared" si="2"/>
        <v>8832</v>
      </c>
      <c r="L49" s="21">
        <f t="shared" si="3"/>
        <v>19.814241486068113</v>
      </c>
      <c r="M49" s="73"/>
    </row>
    <row r="50" spans="1:13" ht="25.95" customHeight="1">
      <c r="A50" s="12">
        <v>48</v>
      </c>
      <c r="B50" s="6">
        <v>3</v>
      </c>
      <c r="C50" s="6">
        <v>201</v>
      </c>
      <c r="D50" s="20" t="str">
        <f>IF(C50&lt;&gt;"", IFERROR(INDEX('بنود العقد'!B$3:B$388,C50),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33</v>
      </c>
      <c r="E50" s="12" t="str">
        <f>IF(C50&lt;&gt;"", IFERROR(INDEX('بنود العقد'!D$3:D$388,C50), ""), "")</f>
        <v>م.ط</v>
      </c>
      <c r="F50" s="9">
        <f>IF(C50&lt;&gt;"", IFERROR(INDEX('بنود العقد'!E$3:E$388,C50), 0), "")</f>
        <v>192</v>
      </c>
      <c r="G50" s="9">
        <f>IF(C50&lt;&gt;"", IFERROR(INDEX('بنود العقد'!F$3:F$388,C50), 0), "")</f>
        <v>660</v>
      </c>
      <c r="H50" s="18">
        <f t="shared" si="0"/>
        <v>0</v>
      </c>
      <c r="I50" s="7">
        <v>156</v>
      </c>
      <c r="J50" s="18">
        <f t="shared" si="1"/>
        <v>156</v>
      </c>
      <c r="K50" s="10">
        <f t="shared" si="2"/>
        <v>29952</v>
      </c>
      <c r="L50" s="21">
        <f t="shared" si="3"/>
        <v>23.636363636363637</v>
      </c>
      <c r="M50" s="73"/>
    </row>
    <row r="51" spans="1:13" ht="25.95" customHeight="1">
      <c r="A51" s="12">
        <v>49</v>
      </c>
      <c r="B51" s="6">
        <v>3</v>
      </c>
      <c r="C51" s="6">
        <v>202</v>
      </c>
      <c r="D51" s="20" t="str">
        <f>IF(C51&lt;&gt;"", IFERROR(INDEX('بنود العقد'!B$3:B$388,C51),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40</v>
      </c>
      <c r="E51" s="12" t="str">
        <f>IF(C51&lt;&gt;"", IFERROR(INDEX('بنود العقد'!D$3:D$388,C51), ""), "")</f>
        <v>م.ط</v>
      </c>
      <c r="F51" s="9">
        <f>IF(C51&lt;&gt;"", IFERROR(INDEX('بنود العقد'!E$3:E$388,C51), 0), "")</f>
        <v>222</v>
      </c>
      <c r="G51" s="9">
        <f>IF(C51&lt;&gt;"", IFERROR(INDEX('بنود العقد'!F$3:F$388,C51), 0), "")</f>
        <v>600</v>
      </c>
      <c r="H51" s="18">
        <f t="shared" si="0"/>
        <v>0</v>
      </c>
      <c r="I51" s="7">
        <v>95.4</v>
      </c>
      <c r="J51" s="18">
        <f t="shared" si="1"/>
        <v>95.4</v>
      </c>
      <c r="K51" s="10">
        <f t="shared" si="2"/>
        <v>21178.800000000003</v>
      </c>
      <c r="L51" s="21">
        <f t="shared" si="3"/>
        <v>15.9</v>
      </c>
      <c r="M51" s="73"/>
    </row>
    <row r="52" spans="1:13" ht="25.95" customHeight="1">
      <c r="A52" s="12">
        <v>50</v>
      </c>
      <c r="B52" s="6">
        <v>3</v>
      </c>
      <c r="C52" s="6">
        <v>203</v>
      </c>
      <c r="D52" s="20" t="str">
        <f>IF(C52&lt;&gt;"", IFERROR(INDEX('بنود العقد'!B$3:B$388,C52),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63</v>
      </c>
      <c r="E52" s="12" t="str">
        <f>IF(C52&lt;&gt;"", IFERROR(INDEX('بنود العقد'!D$3:D$388,C52), ""), "")</f>
        <v>م.ط</v>
      </c>
      <c r="F52" s="9">
        <f>IF(C52&lt;&gt;"", IFERROR(INDEX('بنود العقد'!E$3:E$388,C52), 0), "")</f>
        <v>240</v>
      </c>
      <c r="G52" s="9">
        <f>IF(C52&lt;&gt;"", IFERROR(INDEX('بنود العقد'!F$3:F$388,C52), 0), "")</f>
        <v>646</v>
      </c>
      <c r="H52" s="18">
        <f t="shared" si="0"/>
        <v>0</v>
      </c>
      <c r="I52" s="7">
        <v>129.6</v>
      </c>
      <c r="J52" s="18">
        <f t="shared" si="1"/>
        <v>129.6</v>
      </c>
      <c r="K52" s="10">
        <f t="shared" si="2"/>
        <v>31104</v>
      </c>
      <c r="L52" s="21">
        <f t="shared" si="3"/>
        <v>20.061919504643964</v>
      </c>
      <c r="M52" s="73"/>
    </row>
    <row r="53" spans="1:13" ht="25.95" customHeight="1">
      <c r="A53" s="12">
        <v>51</v>
      </c>
      <c r="B53" s="6">
        <v>3</v>
      </c>
      <c r="C53" s="6">
        <v>204</v>
      </c>
      <c r="D53" s="20" t="str">
        <f>IF(C53&lt;&gt;"", IFERROR(INDEX('بنود العقد'!B$3:B$388,C53),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77</v>
      </c>
      <c r="E53" s="12" t="str">
        <f>IF(C53&lt;&gt;"", IFERROR(INDEX('بنود العقد'!D$3:D$388,C53), ""), "")</f>
        <v>م.ط</v>
      </c>
      <c r="F53" s="9">
        <f>IF(C53&lt;&gt;"", IFERROR(INDEX('بنود العقد'!E$3:E$388,C53), 0), "")</f>
        <v>288</v>
      </c>
      <c r="G53" s="9">
        <f>IF(C53&lt;&gt;"", IFERROR(INDEX('بنود العقد'!F$3:F$388,C53), 0), "")</f>
        <v>110</v>
      </c>
      <c r="H53" s="18">
        <f t="shared" si="0"/>
        <v>0</v>
      </c>
      <c r="I53" s="7">
        <v>23.4</v>
      </c>
      <c r="J53" s="18">
        <f t="shared" si="1"/>
        <v>23.4</v>
      </c>
      <c r="K53" s="10">
        <f t="shared" si="2"/>
        <v>6739.2</v>
      </c>
      <c r="L53" s="21">
        <f t="shared" si="3"/>
        <v>21.27272727272727</v>
      </c>
      <c r="M53" s="73"/>
    </row>
    <row r="54" spans="1:13" ht="25.95" customHeight="1">
      <c r="A54" s="12">
        <v>52</v>
      </c>
      <c r="B54" s="6">
        <v>3</v>
      </c>
      <c r="C54" s="6">
        <v>205</v>
      </c>
      <c r="D54" s="20" t="str">
        <f>IF(C54&lt;&gt;"", IFERROR(INDEX('بنود العقد'!B$3:B$388,C54),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94</v>
      </c>
      <c r="E54" s="12" t="str">
        <f>IF(C54&lt;&gt;"", IFERROR(INDEX('بنود العقد'!D$3:D$388,C54), ""), "")</f>
        <v>م.ط</v>
      </c>
      <c r="F54" s="9">
        <f>IF(C54&lt;&gt;"", IFERROR(INDEX('بنود العقد'!E$3:E$388,C54), 0), "")</f>
        <v>324</v>
      </c>
      <c r="G54" s="9">
        <f>IF(C54&lt;&gt;"", IFERROR(INDEX('بنود العقد'!F$3:F$388,C54), 0), "")</f>
        <v>314</v>
      </c>
      <c r="H54" s="18">
        <f t="shared" si="0"/>
        <v>0</v>
      </c>
      <c r="I54" s="7">
        <v>81</v>
      </c>
      <c r="J54" s="18">
        <f t="shared" si="1"/>
        <v>81</v>
      </c>
      <c r="K54" s="10">
        <f t="shared" si="2"/>
        <v>26244</v>
      </c>
      <c r="L54" s="21">
        <f t="shared" si="3"/>
        <v>25.796178343949045</v>
      </c>
      <c r="M54" s="73"/>
    </row>
    <row r="55" spans="1:13" ht="25.95" customHeight="1">
      <c r="A55" s="12">
        <v>53</v>
      </c>
      <c r="B55" s="6">
        <v>3</v>
      </c>
      <c r="C55" s="6">
        <v>206</v>
      </c>
      <c r="D55" s="20" t="str">
        <f>IF(C55&lt;&gt;"", IFERROR(INDEX('بنود العقد'!B$3:B$388,C55),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141</v>
      </c>
      <c r="E55" s="12" t="str">
        <f>IF(C55&lt;&gt;"", IFERROR(INDEX('بنود العقد'!D$3:D$388,C55), ""), "")</f>
        <v>م.ط</v>
      </c>
      <c r="F55" s="9">
        <f>IF(C55&lt;&gt;"", IFERROR(INDEX('بنود العقد'!E$3:E$388,C55), 0), "")</f>
        <v>360</v>
      </c>
      <c r="G55" s="9">
        <f>IF(C55&lt;&gt;"", IFERROR(INDEX('بنود العقد'!F$3:F$388,C55), 0), "")</f>
        <v>200</v>
      </c>
      <c r="H55" s="18">
        <f t="shared" si="0"/>
        <v>0</v>
      </c>
      <c r="I55" s="7">
        <v>68.400000000000006</v>
      </c>
      <c r="J55" s="18">
        <f t="shared" si="1"/>
        <v>68.400000000000006</v>
      </c>
      <c r="K55" s="10">
        <f t="shared" si="2"/>
        <v>24624.000000000004</v>
      </c>
      <c r="L55" s="21">
        <f t="shared" si="3"/>
        <v>34.200000000000003</v>
      </c>
      <c r="M55" s="73"/>
    </row>
    <row r="56" spans="1:13" ht="25.95" customHeight="1">
      <c r="A56" s="12">
        <v>54</v>
      </c>
      <c r="B56" s="6">
        <v>3</v>
      </c>
      <c r="C56" s="6">
        <v>230</v>
      </c>
      <c r="D56" s="20" t="str">
        <f>IF(C56&lt;&gt;"", IFERROR(INDEX('بنود العقد'!B$3:B$388,C56),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E56" s="12" t="str">
        <f>IF(C56&lt;&gt;"", IFERROR(INDEX('بنود العقد'!D$3:D$388,C56), ""), "")</f>
        <v>م.ط</v>
      </c>
      <c r="F56" s="9">
        <f>IF(C56&lt;&gt;"", IFERROR(INDEX('بنود العقد'!E$3:E$388,C56), 0), "")</f>
        <v>300</v>
      </c>
      <c r="G56" s="9">
        <f>IF(C56&lt;&gt;"", IFERROR(INDEX('بنود العقد'!F$3:F$388,C56), 0), "")</f>
        <v>7000</v>
      </c>
      <c r="H56" s="18">
        <f t="shared" si="0"/>
        <v>267</v>
      </c>
      <c r="I56" s="7">
        <v>462</v>
      </c>
      <c r="J56" s="18">
        <f t="shared" si="1"/>
        <v>729</v>
      </c>
      <c r="K56" s="10">
        <f t="shared" si="2"/>
        <v>138600</v>
      </c>
      <c r="L56" s="21">
        <f t="shared" si="3"/>
        <v>10.414285714285715</v>
      </c>
      <c r="M56" s="73"/>
    </row>
    <row r="57" spans="1:13" ht="25.95" customHeight="1">
      <c r="A57" s="12">
        <v>55</v>
      </c>
      <c r="B57" s="6">
        <v>3</v>
      </c>
      <c r="C57" s="6">
        <v>249</v>
      </c>
      <c r="D57" s="20" t="str">
        <f>IF(C57&lt;&gt;"", IFERROR(INDEX('بنود العقد'!B$3:B$388,C57),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مقبس ثنائي سقفى، من النوع المؤرض، 15 أمبير، 230 فولت، طور واحد، قطبين، 3 أسلاك.</v>
      </c>
      <c r="E57" s="12" t="str">
        <f>IF(C57&lt;&gt;"", IFERROR(INDEX('بنود العقد'!D$3:D$388,C57), ""), "")</f>
        <v>عدد</v>
      </c>
      <c r="F57" s="9">
        <f>IF(C57&lt;&gt;"", IFERROR(INDEX('بنود العقد'!E$3:E$388,C57), 0), "")</f>
        <v>216</v>
      </c>
      <c r="G57" s="9">
        <f>IF(C57&lt;&gt;"", IFERROR(INDEX('بنود العقد'!F$3:F$388,C57), 0), "")</f>
        <v>126</v>
      </c>
      <c r="H57" s="18">
        <f t="shared" si="0"/>
        <v>0</v>
      </c>
      <c r="I57" s="7">
        <v>8</v>
      </c>
      <c r="J57" s="18">
        <f t="shared" si="1"/>
        <v>8</v>
      </c>
      <c r="K57" s="10">
        <f t="shared" si="2"/>
        <v>1728</v>
      </c>
      <c r="L57" s="21">
        <f t="shared" si="3"/>
        <v>6.3492063492063489</v>
      </c>
      <c r="M57" s="73"/>
    </row>
    <row r="58" spans="1:13" ht="25.95" customHeight="1">
      <c r="A58" s="12">
        <v>56</v>
      </c>
      <c r="B58" s="6">
        <v>3</v>
      </c>
      <c r="C58" s="6">
        <v>264</v>
      </c>
      <c r="D58" s="20" t="str">
        <f>IF(C58&lt;&gt;"", IFERROR(INDEX('بنود العقد'!B$3:B$388,C58),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A2</v>
      </c>
      <c r="E58" s="12" t="str">
        <f>IF(C58&lt;&gt;"", IFERROR(INDEX('بنود العقد'!D$3:D$388,C58), ""), "")</f>
        <v>عدد</v>
      </c>
      <c r="F58" s="9">
        <f>IF(C58&lt;&gt;"", IFERROR(INDEX('بنود العقد'!E$3:E$388,C58), 0), "")</f>
        <v>1044</v>
      </c>
      <c r="G58" s="9">
        <f>IF(C58&lt;&gt;"", IFERROR(INDEX('بنود العقد'!F$3:F$388,C58), 0), "")</f>
        <v>1113</v>
      </c>
      <c r="H58" s="18">
        <f t="shared" si="0"/>
        <v>26</v>
      </c>
      <c r="I58" s="7">
        <v>88</v>
      </c>
      <c r="J58" s="18">
        <f t="shared" si="1"/>
        <v>114</v>
      </c>
      <c r="K58" s="10">
        <f t="shared" si="2"/>
        <v>91872</v>
      </c>
      <c r="L58" s="21">
        <f t="shared" si="3"/>
        <v>10.242587601078167</v>
      </c>
      <c r="M58" s="73"/>
    </row>
    <row r="59" spans="1:13" ht="25.95" customHeight="1">
      <c r="A59" s="12">
        <v>57</v>
      </c>
      <c r="B59" s="6">
        <v>3</v>
      </c>
      <c r="C59" s="6">
        <v>272</v>
      </c>
      <c r="D59" s="20" t="str">
        <f>IF(C59&lt;&gt;"", IFERROR(INDEX('بنود العقد'!B$3:B$388,C59),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B1</v>
      </c>
      <c r="E59" s="12" t="str">
        <f>IF(C59&lt;&gt;"", IFERROR(INDEX('بنود العقد'!D$3:D$388,C59), ""), "")</f>
        <v>عدد</v>
      </c>
      <c r="F59" s="9">
        <f>IF(C59&lt;&gt;"", IFERROR(INDEX('بنود العقد'!E$3:E$388,C59), 0), "")</f>
        <v>720</v>
      </c>
      <c r="G59" s="9">
        <f>IF(C59&lt;&gt;"", IFERROR(INDEX('بنود العقد'!F$3:F$388,C59), 0), "")</f>
        <v>343</v>
      </c>
      <c r="H59" s="18">
        <f t="shared" si="0"/>
        <v>0</v>
      </c>
      <c r="I59" s="7">
        <v>9</v>
      </c>
      <c r="J59" s="18">
        <f t="shared" si="1"/>
        <v>9</v>
      </c>
      <c r="K59" s="10">
        <f t="shared" si="2"/>
        <v>6480</v>
      </c>
      <c r="L59" s="21">
        <f t="shared" si="3"/>
        <v>2.6239067055393588</v>
      </c>
      <c r="M59" s="73"/>
    </row>
    <row r="60" spans="1:13" ht="25.95" customHeight="1">
      <c r="A60" s="12">
        <v>58</v>
      </c>
      <c r="B60" s="6">
        <v>3</v>
      </c>
      <c r="C60" s="6">
        <v>274</v>
      </c>
      <c r="D60" s="20" t="str">
        <f>IF(C60&lt;&gt;"", IFERROR(INDEX('بنود العقد'!B$3:B$388,C60),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C1</v>
      </c>
      <c r="E60" s="12" t="str">
        <f>IF(C60&lt;&gt;"", IFERROR(INDEX('بنود العقد'!D$3:D$388,C60), ""), "")</f>
        <v>عدد</v>
      </c>
      <c r="F60" s="9">
        <f>IF(C60&lt;&gt;"", IFERROR(INDEX('بنود العقد'!E$3:E$388,C60), 0), "")</f>
        <v>1128</v>
      </c>
      <c r="G60" s="9">
        <f>IF(C60&lt;&gt;"", IFERROR(INDEX('بنود العقد'!F$3:F$388,C60), 0), "")</f>
        <v>172</v>
      </c>
      <c r="H60" s="18">
        <f t="shared" si="0"/>
        <v>0</v>
      </c>
      <c r="I60" s="7">
        <v>9</v>
      </c>
      <c r="J60" s="18">
        <f t="shared" si="1"/>
        <v>9</v>
      </c>
      <c r="K60" s="10">
        <f t="shared" si="2"/>
        <v>10152</v>
      </c>
      <c r="L60" s="21">
        <f t="shared" si="3"/>
        <v>5.2325581395348841</v>
      </c>
      <c r="M60" s="73"/>
    </row>
    <row r="61" spans="1:13" ht="25.95" customHeight="1">
      <c r="A61" s="12">
        <v>59</v>
      </c>
      <c r="B61" s="6">
        <v>3</v>
      </c>
      <c r="C61" s="6">
        <v>276</v>
      </c>
      <c r="D61" s="20" t="str">
        <f>IF(C61&lt;&gt;"", IFERROR(INDEX('بنود العقد'!B$3:B$388,C61),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v>
      </c>
      <c r="E61" s="12" t="str">
        <f>IF(C61&lt;&gt;"", IFERROR(INDEX('بنود العقد'!D$3:D$388,C61), ""), "")</f>
        <v>عدد</v>
      </c>
      <c r="F61" s="9">
        <f>IF(C61&lt;&gt;"", IFERROR(INDEX('بنود العقد'!E$3:E$388,C61), 0), "")</f>
        <v>444</v>
      </c>
      <c r="G61" s="9">
        <f>IF(C61&lt;&gt;"", IFERROR(INDEX('بنود العقد'!F$3:F$388,C61), 0), "")</f>
        <v>1062</v>
      </c>
      <c r="H61" s="18">
        <f t="shared" si="0"/>
        <v>8</v>
      </c>
      <c r="I61" s="7">
        <v>80</v>
      </c>
      <c r="J61" s="18">
        <f t="shared" si="1"/>
        <v>88</v>
      </c>
      <c r="K61" s="10">
        <f t="shared" si="2"/>
        <v>35520</v>
      </c>
      <c r="L61" s="21">
        <f t="shared" si="3"/>
        <v>8.2862523540489654</v>
      </c>
      <c r="M61" s="73"/>
    </row>
    <row r="62" spans="1:13" ht="25.95" customHeight="1">
      <c r="A62" s="12">
        <v>60</v>
      </c>
      <c r="B62" s="6">
        <v>3</v>
      </c>
      <c r="C62" s="6">
        <v>277</v>
      </c>
      <c r="D62" s="20" t="str">
        <f>IF(C62&lt;&gt;"", IFERROR(INDEX('بنود العقد'!B$3:B$388,C62),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v>
      </c>
      <c r="E62" s="12" t="str">
        <f>IF(C62&lt;&gt;"", IFERROR(INDEX('بنود العقد'!D$3:D$388,C62), ""), "")</f>
        <v>عدد</v>
      </c>
      <c r="F62" s="9">
        <f>IF(C62&lt;&gt;"", IFERROR(INDEX('بنود العقد'!E$3:E$388,C62), 0), "")</f>
        <v>300</v>
      </c>
      <c r="G62" s="9">
        <f>IF(C62&lt;&gt;"", IFERROR(INDEX('بنود العقد'!F$3:F$388,C62), 0), "")</f>
        <v>284</v>
      </c>
      <c r="H62" s="18">
        <f t="shared" si="0"/>
        <v>2</v>
      </c>
      <c r="I62" s="7">
        <v>18</v>
      </c>
      <c r="J62" s="18">
        <f t="shared" si="1"/>
        <v>20</v>
      </c>
      <c r="K62" s="10">
        <f t="shared" si="2"/>
        <v>5400</v>
      </c>
      <c r="L62" s="21">
        <f t="shared" si="3"/>
        <v>7.042253521126761</v>
      </c>
      <c r="M62" s="73"/>
    </row>
    <row r="63" spans="1:13" ht="25.95" customHeight="1">
      <c r="A63" s="12">
        <v>61</v>
      </c>
      <c r="B63" s="6">
        <v>3</v>
      </c>
      <c r="C63" s="6">
        <v>278</v>
      </c>
      <c r="D63" s="20" t="str">
        <f>IF(C63&lt;&gt;"", IFERROR(INDEX('بنود العقد'!B$3:B$388,C63),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C5</v>
      </c>
      <c r="E63" s="12" t="str">
        <f>IF(C63&lt;&gt;"", IFERROR(INDEX('بنود العقد'!D$3:D$388,C63), ""), "")</f>
        <v>عدد</v>
      </c>
      <c r="F63" s="9">
        <f>IF(C63&lt;&gt;"", IFERROR(INDEX('بنود العقد'!E$3:E$388,C63), 0), "")</f>
        <v>438</v>
      </c>
      <c r="G63" s="9">
        <f>IF(C63&lt;&gt;"", IFERROR(INDEX('بنود العقد'!F$3:F$388,C63), 0), "")</f>
        <v>149</v>
      </c>
      <c r="H63" s="18">
        <f t="shared" si="0"/>
        <v>0</v>
      </c>
      <c r="I63" s="7">
        <v>13</v>
      </c>
      <c r="J63" s="18">
        <f t="shared" si="1"/>
        <v>13</v>
      </c>
      <c r="K63" s="10">
        <f t="shared" si="2"/>
        <v>5694</v>
      </c>
      <c r="L63" s="21">
        <f t="shared" si="3"/>
        <v>8.724832214765101</v>
      </c>
      <c r="M63" s="73"/>
    </row>
    <row r="64" spans="1:13" ht="25.95" customHeight="1">
      <c r="A64" s="12">
        <v>62</v>
      </c>
      <c r="B64" s="6">
        <v>3</v>
      </c>
      <c r="C64" s="6">
        <v>279</v>
      </c>
      <c r="D64" s="20" t="str">
        <f>IF(C64&lt;&gt;"", IFERROR(INDEX('بنود العقد'!B$3:B$388,C64),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C6</v>
      </c>
      <c r="E64" s="12" t="str">
        <f>IF(C64&lt;&gt;"", IFERROR(INDEX('بنود العقد'!D$3:D$388,C64), ""), "")</f>
        <v>عدد</v>
      </c>
      <c r="F64" s="9">
        <f>IF(C64&lt;&gt;"", IFERROR(INDEX('بنود العقد'!E$3:E$388,C64), 0), "")</f>
        <v>288</v>
      </c>
      <c r="G64" s="9">
        <f>IF(C64&lt;&gt;"", IFERROR(INDEX('بنود العقد'!F$3:F$388,C64), 0), "")</f>
        <v>158</v>
      </c>
      <c r="H64" s="18">
        <f t="shared" si="0"/>
        <v>0</v>
      </c>
      <c r="I64" s="7">
        <v>18</v>
      </c>
      <c r="J64" s="18">
        <f t="shared" si="1"/>
        <v>18</v>
      </c>
      <c r="K64" s="10">
        <f t="shared" si="2"/>
        <v>5184</v>
      </c>
      <c r="L64" s="21">
        <f t="shared" si="3"/>
        <v>11.39240506329114</v>
      </c>
      <c r="M64" s="73"/>
    </row>
    <row r="65" spans="1:13" ht="25.95" customHeight="1">
      <c r="A65" s="12">
        <v>63</v>
      </c>
      <c r="B65" s="6">
        <v>3</v>
      </c>
      <c r="C65" s="6">
        <v>281</v>
      </c>
      <c r="D65" s="20" t="str">
        <f>IF(C65&lt;&gt;"", IFERROR(INDEX('بنود العقد'!B$3:B$388,C65),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D1</v>
      </c>
      <c r="E65" s="12" t="str">
        <f>IF(C65&lt;&gt;"", IFERROR(INDEX('بنود العقد'!D$3:D$388,C65), ""), "")</f>
        <v>عدد</v>
      </c>
      <c r="F65" s="9">
        <f>IF(C65&lt;&gt;"", IFERROR(INDEX('بنود العقد'!E$3:E$388,C65), 0), "")</f>
        <v>936</v>
      </c>
      <c r="G65" s="9">
        <f>IF(C65&lt;&gt;"", IFERROR(INDEX('بنود العقد'!F$3:F$388,C65), 0), "")</f>
        <v>56</v>
      </c>
      <c r="H65" s="18">
        <f t="shared" si="0"/>
        <v>0</v>
      </c>
      <c r="I65" s="7">
        <v>6</v>
      </c>
      <c r="J65" s="18">
        <f t="shared" si="1"/>
        <v>6</v>
      </c>
      <c r="K65" s="10">
        <f t="shared" si="2"/>
        <v>5616</v>
      </c>
      <c r="L65" s="21">
        <f t="shared" si="3"/>
        <v>10.714285714285714</v>
      </c>
      <c r="M65" s="73"/>
    </row>
    <row r="66" spans="1:13" ht="25.95" customHeight="1">
      <c r="A66" s="12">
        <v>64</v>
      </c>
      <c r="B66" s="6">
        <v>3</v>
      </c>
      <c r="C66" s="6">
        <v>283</v>
      </c>
      <c r="D66" s="20" t="str">
        <f>IF(C66&lt;&gt;"", IFERROR(INDEX('بنود العقد'!B$3:B$388,C66),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D3</v>
      </c>
      <c r="E66" s="12" t="str">
        <f>IF(C66&lt;&gt;"", IFERROR(INDEX('بنود العقد'!D$3:D$388,C66), ""), "")</f>
        <v>عدد</v>
      </c>
      <c r="F66" s="9">
        <f>IF(C66&lt;&gt;"", IFERROR(INDEX('بنود العقد'!E$3:E$388,C66), 0), "")</f>
        <v>288</v>
      </c>
      <c r="G66" s="9">
        <f>IF(C66&lt;&gt;"", IFERROR(INDEX('بنود العقد'!F$3:F$388,C66), 0), "")</f>
        <v>179</v>
      </c>
      <c r="H66" s="18">
        <f t="shared" si="0"/>
        <v>0</v>
      </c>
      <c r="I66" s="7">
        <v>28</v>
      </c>
      <c r="J66" s="18">
        <f t="shared" si="1"/>
        <v>28</v>
      </c>
      <c r="K66" s="10">
        <f t="shared" si="2"/>
        <v>8064</v>
      </c>
      <c r="L66" s="21">
        <f t="shared" si="3"/>
        <v>15.64245810055866</v>
      </c>
      <c r="M66" s="73"/>
    </row>
    <row r="67" spans="1:13" ht="25.95" customHeight="1">
      <c r="A67" s="12">
        <v>65</v>
      </c>
      <c r="B67" s="6">
        <v>3</v>
      </c>
      <c r="C67" s="6">
        <v>286</v>
      </c>
      <c r="D67" s="20" t="str">
        <f>IF(C67&lt;&gt;"", IFERROR(INDEX('بنود العقد'!B$3:B$388,C67),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E2</v>
      </c>
      <c r="E67" s="12" t="str">
        <f>IF(C67&lt;&gt;"", IFERROR(INDEX('بنود العقد'!D$3:D$388,C67), ""), "")</f>
        <v>عدد</v>
      </c>
      <c r="F67" s="9">
        <f>IF(C67&lt;&gt;"", IFERROR(INDEX('بنود العقد'!E$3:E$388,C67), 0), "")</f>
        <v>504</v>
      </c>
      <c r="G67" s="9">
        <f>IF(C67&lt;&gt;"", IFERROR(INDEX('بنود العقد'!F$3:F$388,C67), 0), "")</f>
        <v>186</v>
      </c>
      <c r="H67" s="18">
        <f t="shared" ref="H67:H130" si="4">IFERROR(SUMIFS(I$3:I$1805, B$3:B$1805, "&lt;"&amp;B67, C$3:C$1805, C67), 0)</f>
        <v>0</v>
      </c>
      <c r="I67" s="7">
        <v>29</v>
      </c>
      <c r="J67" s="18">
        <f t="shared" ref="J67:J130" si="5">IF(I67&lt;&gt;"", H67+I67, 0)</f>
        <v>29</v>
      </c>
      <c r="K67" s="10">
        <f t="shared" ref="K67:K130" si="6">IF(AND(I67&lt;&gt;"",F67&lt;&gt;""), I67*F67, "")</f>
        <v>14616</v>
      </c>
      <c r="L67" s="21">
        <f t="shared" ref="L67:L130" si="7">IF(AND(J67&lt;&gt;"",G67&lt;&gt;"",G67&gt;0), J67/G67*100, "")</f>
        <v>15.591397849462366</v>
      </c>
      <c r="M67" s="73"/>
    </row>
    <row r="68" spans="1:13" ht="25.95" customHeight="1">
      <c r="A68" s="12">
        <v>66</v>
      </c>
      <c r="B68" s="6">
        <v>3</v>
      </c>
      <c r="C68" s="6">
        <v>291</v>
      </c>
      <c r="D68" s="20" t="str">
        <f>IF(C68&lt;&gt;"", IFERROR(INDEX('بنود العقد'!B$3:B$388,C68),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LB4</v>
      </c>
      <c r="E68" s="12" t="str">
        <f>IF(C68&lt;&gt;"", IFERROR(INDEX('بنود العقد'!D$3:D$388,C68), ""), "")</f>
        <v>عدد</v>
      </c>
      <c r="F68" s="9">
        <f>IF(C68&lt;&gt;"", IFERROR(INDEX('بنود العقد'!E$3:E$388,C68), 0), "")</f>
        <v>1104</v>
      </c>
      <c r="G68" s="9">
        <f>IF(C68&lt;&gt;"", IFERROR(INDEX('بنود العقد'!F$3:F$388,C68), 0), "")</f>
        <v>132</v>
      </c>
      <c r="H68" s="18">
        <f t="shared" si="4"/>
        <v>0</v>
      </c>
      <c r="I68" s="7">
        <v>10</v>
      </c>
      <c r="J68" s="18">
        <f t="shared" si="5"/>
        <v>10</v>
      </c>
      <c r="K68" s="10">
        <f t="shared" si="6"/>
        <v>11040</v>
      </c>
      <c r="L68" s="21">
        <f t="shared" si="7"/>
        <v>7.5757575757575761</v>
      </c>
      <c r="M68" s="73"/>
    </row>
    <row r="69" spans="1:13" ht="25.95" customHeight="1">
      <c r="A69" s="12">
        <v>67</v>
      </c>
      <c r="B69" s="6">
        <v>3</v>
      </c>
      <c r="C69" s="6">
        <v>295</v>
      </c>
      <c r="D69" s="20" t="str">
        <f>IF(C69&lt;&gt;"", IFERROR(INDEX('بنود العقد'!B$3:B$388,C69),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ES-1</v>
      </c>
      <c r="E69" s="12" t="str">
        <f>IF(C69&lt;&gt;"", IFERROR(INDEX('بنود العقد'!D$3:D$388,C69), ""), "")</f>
        <v>عدد</v>
      </c>
      <c r="F69" s="9">
        <f>IF(C69&lt;&gt;"", IFERROR(INDEX('بنود العقد'!E$3:E$388,C69), 0), "")</f>
        <v>360</v>
      </c>
      <c r="G69" s="9">
        <f>IF(C69&lt;&gt;"", IFERROR(INDEX('بنود العقد'!F$3:F$388,C69), 0), "")</f>
        <v>430</v>
      </c>
      <c r="H69" s="18">
        <f t="shared" si="4"/>
        <v>0</v>
      </c>
      <c r="I69" s="7">
        <v>28</v>
      </c>
      <c r="J69" s="18">
        <f t="shared" si="5"/>
        <v>28</v>
      </c>
      <c r="K69" s="10">
        <f t="shared" si="6"/>
        <v>10080</v>
      </c>
      <c r="L69" s="21">
        <f t="shared" si="7"/>
        <v>6.5116279069767442</v>
      </c>
      <c r="M69" s="73"/>
    </row>
    <row r="70" spans="1:13" ht="25.95" customHeight="1">
      <c r="A70" s="12">
        <v>68</v>
      </c>
      <c r="B70" s="6">
        <v>3</v>
      </c>
      <c r="C70" s="6">
        <v>298</v>
      </c>
      <c r="D70" s="20" t="str">
        <f>IF(C70&lt;&gt;"", IFERROR(INDEX('بنود العقد'!B$3:B$388,C70),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P1</v>
      </c>
      <c r="E70" s="12" t="str">
        <f>IF(C70&lt;&gt;"", IFERROR(INDEX('بنود العقد'!D$3:D$388,C70), ""), "")</f>
        <v>عدد</v>
      </c>
      <c r="F70" s="9">
        <f>IF(C70&lt;&gt;"", IFERROR(INDEX('بنود العقد'!E$3:E$388,C70), 0), "")</f>
        <v>420</v>
      </c>
      <c r="G70" s="9">
        <f>IF(C70&lt;&gt;"", IFERROR(INDEX('بنود العقد'!F$3:F$388,C70), 0), "")</f>
        <v>75</v>
      </c>
      <c r="H70" s="18">
        <f t="shared" si="4"/>
        <v>0</v>
      </c>
      <c r="I70" s="7">
        <v>8</v>
      </c>
      <c r="J70" s="18">
        <f t="shared" si="5"/>
        <v>8</v>
      </c>
      <c r="K70" s="10">
        <f t="shared" si="6"/>
        <v>3360</v>
      </c>
      <c r="L70" s="21">
        <f t="shared" si="7"/>
        <v>10.666666666666668</v>
      </c>
      <c r="M70" s="73"/>
    </row>
    <row r="71" spans="1:13" ht="25.95" customHeight="1">
      <c r="A71" s="12">
        <v>69</v>
      </c>
      <c r="B71" s="6">
        <v>3</v>
      </c>
      <c r="C71" s="6">
        <v>299</v>
      </c>
      <c r="D71" s="20" t="str">
        <f>IF(C71&lt;&gt;"", IFERROR(INDEX('بنود العقد'!B$3:B$388,C71),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T1</v>
      </c>
      <c r="E71" s="12" t="str">
        <f>IF(C71&lt;&gt;"", IFERROR(INDEX('بنود العقد'!D$3:D$388,C71), ""), "")</f>
        <v>عدد</v>
      </c>
      <c r="F71" s="9">
        <f>IF(C71&lt;&gt;"", IFERROR(INDEX('بنود العقد'!E$3:E$388,C71), 0), "")</f>
        <v>744</v>
      </c>
      <c r="G71" s="9">
        <f>IF(C71&lt;&gt;"", IFERROR(INDEX('بنود العقد'!F$3:F$388,C71), 0), "")</f>
        <v>1146</v>
      </c>
      <c r="H71" s="18">
        <f t="shared" si="4"/>
        <v>0</v>
      </c>
      <c r="I71" s="7">
        <v>99</v>
      </c>
      <c r="J71" s="18">
        <f t="shared" si="5"/>
        <v>99</v>
      </c>
      <c r="K71" s="10">
        <f t="shared" si="6"/>
        <v>73656</v>
      </c>
      <c r="L71" s="21">
        <f t="shared" si="7"/>
        <v>8.6387434554973819</v>
      </c>
      <c r="M71" s="73"/>
    </row>
    <row r="72" spans="1:13" ht="25.95" customHeight="1">
      <c r="A72" s="12">
        <v>70</v>
      </c>
      <c r="B72" s="6">
        <v>3</v>
      </c>
      <c r="C72" s="6">
        <v>304</v>
      </c>
      <c r="D72" s="20" t="str">
        <f>IF(C72&lt;&gt;"", IFERROR(INDEX('بنود العقد'!B$3:B$388,C72),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أحادي ، ثنائي الكباّس، 10 أمبير</v>
      </c>
      <c r="E72" s="12" t="str">
        <f>IF(C72&lt;&gt;"", IFERROR(INDEX('بنود العقد'!D$3:D$388,C72), ""), "")</f>
        <v>عدد</v>
      </c>
      <c r="F72" s="9">
        <f>IF(C72&lt;&gt;"", IFERROR(INDEX('بنود العقد'!E$3:E$388,C72), 0), "")</f>
        <v>216</v>
      </c>
      <c r="G72" s="9">
        <f>IF(C72&lt;&gt;"", IFERROR(INDEX('بنود العقد'!F$3:F$388,C72), 0), "")</f>
        <v>490</v>
      </c>
      <c r="H72" s="18">
        <f t="shared" si="4"/>
        <v>0</v>
      </c>
      <c r="I72" s="7">
        <v>8</v>
      </c>
      <c r="J72" s="18">
        <f t="shared" si="5"/>
        <v>8</v>
      </c>
      <c r="K72" s="10">
        <f t="shared" si="6"/>
        <v>1728</v>
      </c>
      <c r="L72" s="21">
        <f t="shared" si="7"/>
        <v>1.6326530612244898</v>
      </c>
      <c r="M72" s="73"/>
    </row>
    <row r="73" spans="1:13" ht="25.95" customHeight="1">
      <c r="A73" s="12">
        <v>71</v>
      </c>
      <c r="B73" s="6">
        <v>3</v>
      </c>
      <c r="C73" s="6">
        <v>327</v>
      </c>
      <c r="D73" s="20" t="str">
        <f>IF(C73&lt;&gt;"", IFERROR(INDEX('بنود العقد'!B$3:B$388,C73), "⚠"), "")</f>
        <v xml:space="preserve">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فردي حائطي مزود بعدد واحد مأخذ RJ-45
</v>
      </c>
      <c r="E73" s="12" t="str">
        <f>IF(C73&lt;&gt;"", IFERROR(INDEX('بنود العقد'!D$3:D$388,C73), ""), "")</f>
        <v>عدد</v>
      </c>
      <c r="F73" s="9">
        <f>IF(C73&lt;&gt;"", IFERROR(INDEX('بنود العقد'!E$3:E$388,C73), 0), "")</f>
        <v>432</v>
      </c>
      <c r="G73" s="9">
        <f>IF(C73&lt;&gt;"", IFERROR(INDEX('بنود العقد'!F$3:F$388,C73), 0), "")</f>
        <v>206</v>
      </c>
      <c r="H73" s="18">
        <f t="shared" si="4"/>
        <v>0</v>
      </c>
      <c r="I73" s="7">
        <v>8</v>
      </c>
      <c r="J73" s="18">
        <f t="shared" si="5"/>
        <v>8</v>
      </c>
      <c r="K73" s="10">
        <f t="shared" si="6"/>
        <v>3456</v>
      </c>
      <c r="L73" s="21">
        <f t="shared" si="7"/>
        <v>3.8834951456310676</v>
      </c>
      <c r="M73" s="73"/>
    </row>
    <row r="74" spans="1:13" ht="25.95" customHeight="1">
      <c r="A74" s="12">
        <v>72</v>
      </c>
      <c r="B74" s="6">
        <v>4</v>
      </c>
      <c r="C74" s="6">
        <v>6</v>
      </c>
      <c r="D74" s="20" t="str">
        <f>IF(C74&lt;&gt;"", IFERROR(INDEX('بنود العقد'!B$3:B$388,C74),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v>
      </c>
      <c r="E74" s="12" t="str">
        <f>IF(C74&lt;&gt;"", IFERROR(INDEX('بنود العقد'!D$3:D$388,C74), ""), "")</f>
        <v>م2</v>
      </c>
      <c r="F74" s="9">
        <f>IF(C74&lt;&gt;"", IFERROR(INDEX('بنود العقد'!E$3:E$388,C74), 0), "")</f>
        <v>150</v>
      </c>
      <c r="G74" s="9">
        <f>IF(C74&lt;&gt;"", IFERROR(INDEX('بنود العقد'!F$3:F$388,C74), 0), "")</f>
        <v>450</v>
      </c>
      <c r="H74" s="18">
        <f t="shared" si="4"/>
        <v>1707.45</v>
      </c>
      <c r="I74" s="7">
        <v>39.659999999999997</v>
      </c>
      <c r="J74" s="18">
        <f t="shared" si="5"/>
        <v>1747.1100000000001</v>
      </c>
      <c r="K74" s="10">
        <f t="shared" si="6"/>
        <v>5948.9999999999991</v>
      </c>
      <c r="L74" s="21">
        <f t="shared" si="7"/>
        <v>388.24666666666667</v>
      </c>
    </row>
    <row r="75" spans="1:13" ht="25.95" customHeight="1">
      <c r="A75" s="12">
        <v>73</v>
      </c>
      <c r="B75" s="6">
        <v>4</v>
      </c>
      <c r="C75" s="6">
        <v>125</v>
      </c>
      <c r="D75" s="20" t="str">
        <f>IF(C75&lt;&gt;"", IFERROR(INDEX('بنود العقد'!B$3:B$388,C75), "⚠"), "")</f>
        <v>دهان بلون رمادي بيج على الألواح الجبسية والألواح الاسمنتية 100-WPF</v>
      </c>
      <c r="E75" s="12" t="str">
        <f>IF(C75&lt;&gt;"", IFERROR(INDEX('بنود العقد'!D$3:D$388,C75), ""), "")</f>
        <v>م²</v>
      </c>
      <c r="F75" s="9">
        <f>IF(C75&lt;&gt;"", IFERROR(INDEX('بنود العقد'!E$3:E$388,C75), 0), "")</f>
        <v>25.2</v>
      </c>
      <c r="G75" s="9">
        <f>IF(C75&lt;&gt;"", IFERROR(INDEX('بنود العقد'!F$3:F$388,C75), 0), "")</f>
        <v>12700</v>
      </c>
      <c r="H75" s="18">
        <f t="shared" si="4"/>
        <v>680.09</v>
      </c>
      <c r="I75" s="7">
        <v>359.2</v>
      </c>
      <c r="J75" s="18">
        <f t="shared" si="5"/>
        <v>1039.29</v>
      </c>
      <c r="K75" s="10">
        <f t="shared" si="6"/>
        <v>9051.84</v>
      </c>
      <c r="L75" s="21">
        <f t="shared" si="7"/>
        <v>8.1833858267716533</v>
      </c>
    </row>
    <row r="76" spans="1:13" ht="25.95" customHeight="1">
      <c r="A76" s="12">
        <v>74</v>
      </c>
      <c r="B76" s="6">
        <v>4</v>
      </c>
      <c r="C76" s="6">
        <v>176</v>
      </c>
      <c r="D76" s="20" t="str">
        <f>IF(C76&lt;&gt;"", IFERROR(INDEX('بنود العقد'!B$3:B$388,C76),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76" s="12" t="str">
        <f>IF(C76&lt;&gt;"", IFERROR(INDEX('بنود العقد'!D$3:D$388,C76), ""), "")</f>
        <v>م.ط</v>
      </c>
      <c r="F76" s="9">
        <f>IF(C76&lt;&gt;"", IFERROR(INDEX('بنود العقد'!E$3:E$388,C76), 0), "")</f>
        <v>66</v>
      </c>
      <c r="G76" s="9">
        <f>IF(C76&lt;&gt;"", IFERROR(INDEX('بنود العقد'!F$3:F$388,C76), 0), "")</f>
        <v>532</v>
      </c>
      <c r="H76" s="18">
        <f t="shared" si="4"/>
        <v>0</v>
      </c>
      <c r="I76" s="7">
        <v>113.52</v>
      </c>
      <c r="J76" s="18">
        <f t="shared" si="5"/>
        <v>113.52</v>
      </c>
      <c r="K76" s="10">
        <f t="shared" si="6"/>
        <v>7492.32</v>
      </c>
      <c r="L76" s="21">
        <f t="shared" si="7"/>
        <v>21.338345864661655</v>
      </c>
    </row>
    <row r="77" spans="1:13" ht="25.95" customHeight="1">
      <c r="A77" s="12">
        <v>75</v>
      </c>
      <c r="B77" s="6">
        <v>4</v>
      </c>
      <c r="C77" s="6">
        <v>178</v>
      </c>
      <c r="D77" s="20" t="str">
        <f>IF(C77&lt;&gt;"", IFERROR(INDEX('بنود العقد'!B$3:B$388,C77),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32مم</v>
      </c>
      <c r="E77" s="12" t="str">
        <f>IF(C77&lt;&gt;"", IFERROR(INDEX('بنود العقد'!D$3:D$388,C77), ""), "")</f>
        <v>م.ط</v>
      </c>
      <c r="F77" s="9">
        <f>IF(C77&lt;&gt;"", IFERROR(INDEX('بنود العقد'!E$3:E$388,C77), 0), "")</f>
        <v>102</v>
      </c>
      <c r="G77" s="9">
        <f>IF(C77&lt;&gt;"", IFERROR(INDEX('بنود العقد'!F$3:F$388,C77), 0), "")</f>
        <v>207</v>
      </c>
      <c r="H77" s="18">
        <f t="shared" si="4"/>
        <v>27</v>
      </c>
      <c r="I77" s="7">
        <v>3.64</v>
      </c>
      <c r="J77" s="18">
        <f t="shared" si="5"/>
        <v>30.64</v>
      </c>
      <c r="K77" s="10">
        <f t="shared" si="6"/>
        <v>371.28000000000003</v>
      </c>
      <c r="L77" s="21">
        <f t="shared" si="7"/>
        <v>14.801932367149758</v>
      </c>
    </row>
    <row r="78" spans="1:13" ht="25.95" customHeight="1">
      <c r="A78" s="12">
        <v>76</v>
      </c>
      <c r="B78" s="6">
        <v>4</v>
      </c>
      <c r="C78" s="6">
        <v>179</v>
      </c>
      <c r="D78" s="20" t="str">
        <f>IF(C78&lt;&gt;"", IFERROR(INDEX('بنود العقد'!B$3:B$388,C78),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40 مم</v>
      </c>
      <c r="E78" s="12" t="str">
        <f>IF(C78&lt;&gt;"", IFERROR(INDEX('بنود العقد'!D$3:D$388,C78), ""), "")</f>
        <v>م.ط</v>
      </c>
      <c r="F78" s="9">
        <f>IF(C78&lt;&gt;"", IFERROR(INDEX('بنود العقد'!E$3:E$388,C78), 0), "")</f>
        <v>85.2</v>
      </c>
      <c r="G78" s="9">
        <f>IF(C78&lt;&gt;"", IFERROR(INDEX('بنود العقد'!F$3:F$388,C78), 0), "")</f>
        <v>103</v>
      </c>
      <c r="H78" s="18">
        <f t="shared" si="4"/>
        <v>12</v>
      </c>
      <c r="I78" s="7">
        <v>27.2</v>
      </c>
      <c r="J78" s="18">
        <f t="shared" si="5"/>
        <v>39.200000000000003</v>
      </c>
      <c r="K78" s="10">
        <f t="shared" si="6"/>
        <v>2317.44</v>
      </c>
      <c r="L78" s="21">
        <f t="shared" si="7"/>
        <v>38.05825242718447</v>
      </c>
    </row>
    <row r="79" spans="1:13" ht="25.95" customHeight="1">
      <c r="A79" s="12">
        <v>77</v>
      </c>
      <c r="B79" s="6">
        <v>4</v>
      </c>
      <c r="C79" s="6">
        <v>180</v>
      </c>
      <c r="D79" s="20" t="str">
        <f>IF(C79&lt;&gt;"", IFERROR(INDEX('بنود العقد'!B$3:B$388,C79),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الداخلية:قطر 50 مم</v>
      </c>
      <c r="E79" s="12" t="str">
        <f>IF(C79&lt;&gt;"", IFERROR(INDEX('بنود العقد'!D$3:D$388,C79), ""), "")</f>
        <v>م.ط</v>
      </c>
      <c r="F79" s="9">
        <f>IF(C79&lt;&gt;"", IFERROR(INDEX('بنود العقد'!E$3:E$388,C79), 0), "")</f>
        <v>94.8</v>
      </c>
      <c r="G79" s="9">
        <f>IF(C79&lt;&gt;"", IFERROR(INDEX('بنود العقد'!F$3:F$388,C79), 0), "")</f>
        <v>218</v>
      </c>
      <c r="H79" s="18">
        <f t="shared" si="4"/>
        <v>18</v>
      </c>
      <c r="I79" s="7">
        <v>40.159999999999997</v>
      </c>
      <c r="J79" s="18">
        <f t="shared" si="5"/>
        <v>58.16</v>
      </c>
      <c r="K79" s="10">
        <f t="shared" si="6"/>
        <v>3807.1679999999997</v>
      </c>
      <c r="L79" s="21">
        <f t="shared" si="7"/>
        <v>26.678899082568808</v>
      </c>
    </row>
    <row r="80" spans="1:13" ht="25.95" customHeight="1">
      <c r="A80" s="12">
        <v>78</v>
      </c>
      <c r="B80" s="6">
        <v>4</v>
      </c>
      <c r="C80" s="6">
        <v>181</v>
      </c>
      <c r="D80" s="20" t="str">
        <f>IF(C80&lt;&gt;"", IFERROR(INDEX('بنود العقد'!B$3:B$388,C80),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80" s="12" t="str">
        <f>IF(C80&lt;&gt;"", IFERROR(INDEX('بنود العقد'!D$3:D$388,C80), ""), "")</f>
        <v>م.ط</v>
      </c>
      <c r="F80" s="9">
        <f>IF(C80&lt;&gt;"", IFERROR(INDEX('بنود العقد'!E$3:E$388,C80), 0), "")</f>
        <v>70.8</v>
      </c>
      <c r="G80" s="9">
        <f>IF(C80&lt;&gt;"", IFERROR(INDEX('بنود العقد'!F$3:F$388,C80), 0), "")</f>
        <v>150</v>
      </c>
      <c r="H80" s="18">
        <f t="shared" si="4"/>
        <v>0</v>
      </c>
      <c r="I80" s="7">
        <v>85.2</v>
      </c>
      <c r="J80" s="18">
        <f t="shared" si="5"/>
        <v>85.2</v>
      </c>
      <c r="K80" s="10">
        <f t="shared" si="6"/>
        <v>6032.16</v>
      </c>
      <c r="L80" s="21">
        <f t="shared" si="7"/>
        <v>56.800000000000004</v>
      </c>
    </row>
    <row r="81" spans="1:12" ht="25.95" customHeight="1">
      <c r="A81" s="12">
        <v>79</v>
      </c>
      <c r="B81" s="6">
        <v>4</v>
      </c>
      <c r="C81" s="6">
        <v>185</v>
      </c>
      <c r="D81" s="20" t="str">
        <f>IF(C81&lt;&gt;"", IFERROR(INDEX('بنود العقد'!B$3:B$388,C81),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v>
      </c>
      <c r="E81" s="12" t="str">
        <f>IF(C81&lt;&gt;"", IFERROR(INDEX('بنود العقد'!D$3:D$388,C81), ""), "")</f>
        <v>م.ط</v>
      </c>
      <c r="F81" s="9">
        <f>IF(C81&lt;&gt;"", IFERROR(INDEX('بنود العقد'!E$3:E$388,C81), 0), "")</f>
        <v>75.599999999999994</v>
      </c>
      <c r="G81" s="9">
        <f>IF(C81&lt;&gt;"", IFERROR(INDEX('بنود العقد'!F$3:F$388,C81), 0), "")</f>
        <v>426</v>
      </c>
      <c r="H81" s="18">
        <f t="shared" si="4"/>
        <v>93.6</v>
      </c>
      <c r="I81" s="7">
        <v>170.28</v>
      </c>
      <c r="J81" s="18">
        <f t="shared" si="5"/>
        <v>263.88</v>
      </c>
      <c r="K81" s="10">
        <f t="shared" si="6"/>
        <v>12873.168</v>
      </c>
      <c r="L81" s="21">
        <f t="shared" si="7"/>
        <v>61.943661971830991</v>
      </c>
    </row>
    <row r="82" spans="1:12" ht="25.95" customHeight="1">
      <c r="A82" s="12">
        <v>80</v>
      </c>
      <c r="B82" s="6">
        <v>4</v>
      </c>
      <c r="C82" s="6">
        <v>186</v>
      </c>
      <c r="D82" s="20" t="str">
        <f>IF(C82&lt;&gt;"", IFERROR(INDEX('بنود العقد'!B$3:B$388,C82),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75 مم</v>
      </c>
      <c r="E82" s="12" t="str">
        <f>IF(C82&lt;&gt;"", IFERROR(INDEX('بنود العقد'!D$3:D$388,C82), ""), "")</f>
        <v>م.ط</v>
      </c>
      <c r="F82" s="9">
        <f>IF(C82&lt;&gt;"", IFERROR(INDEX('بنود العقد'!E$3:E$388,C82), 0), "")</f>
        <v>91.2</v>
      </c>
      <c r="G82" s="9">
        <f>IF(C82&lt;&gt;"", IFERROR(INDEX('بنود العقد'!F$3:F$388,C82), 0), "")</f>
        <v>934</v>
      </c>
      <c r="H82" s="18">
        <f t="shared" si="4"/>
        <v>117</v>
      </c>
      <c r="I82" s="7">
        <v>70.11</v>
      </c>
      <c r="J82" s="18">
        <f t="shared" si="5"/>
        <v>187.11</v>
      </c>
      <c r="K82" s="10">
        <f t="shared" si="6"/>
        <v>6394.0320000000002</v>
      </c>
      <c r="L82" s="21">
        <f t="shared" si="7"/>
        <v>20.033190578158461</v>
      </c>
    </row>
    <row r="83" spans="1:12" ht="25.95" customHeight="1">
      <c r="A83" s="12">
        <v>81</v>
      </c>
      <c r="B83" s="6">
        <v>4</v>
      </c>
      <c r="C83" s="6">
        <v>187</v>
      </c>
      <c r="D83" s="20" t="str">
        <f>IF(C83&lt;&gt;"", IFERROR(INDEX('بنود العقد'!B$3:B$388,C83),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v>
      </c>
      <c r="E83" s="12" t="str">
        <f>IF(C83&lt;&gt;"", IFERROR(INDEX('بنود العقد'!D$3:D$388,C83), ""), "")</f>
        <v>م.ط</v>
      </c>
      <c r="F83" s="9">
        <f>IF(C83&lt;&gt;"", IFERROR(INDEX('بنود العقد'!E$3:E$388,C83), 0), "")</f>
        <v>102</v>
      </c>
      <c r="G83" s="9">
        <f>IF(C83&lt;&gt;"", IFERROR(INDEX('بنود العقد'!F$3:F$388,C83), 0), "")</f>
        <v>961</v>
      </c>
      <c r="H83" s="18">
        <f t="shared" si="4"/>
        <v>259.2</v>
      </c>
      <c r="I83" s="7">
        <v>183.6</v>
      </c>
      <c r="J83" s="18">
        <f t="shared" si="5"/>
        <v>442.79999999999995</v>
      </c>
      <c r="K83" s="10">
        <f t="shared" si="6"/>
        <v>18727.2</v>
      </c>
      <c r="L83" s="21">
        <f t="shared" si="7"/>
        <v>46.07700312174817</v>
      </c>
    </row>
    <row r="84" spans="1:12" ht="25.95" customHeight="1">
      <c r="A84" s="12">
        <v>82</v>
      </c>
      <c r="B84" s="6">
        <v>4</v>
      </c>
      <c r="C84" s="6">
        <v>199</v>
      </c>
      <c r="D84" s="20" t="str">
        <f>IF(C84&lt;&gt;"", IFERROR(INDEX('بنود العقد'!B$3:B$388,C84),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E84" s="12" t="str">
        <f>IF(C84&lt;&gt;"", IFERROR(INDEX('بنود العقد'!D$3:D$388,C84), ""), "")</f>
        <v>م.ط</v>
      </c>
      <c r="F84" s="9">
        <f>IF(C84&lt;&gt;"", IFERROR(INDEX('بنود العقد'!E$3:E$388,C84), 0), "")</f>
        <v>108</v>
      </c>
      <c r="G84" s="9">
        <f>IF(C84&lt;&gt;"", IFERROR(INDEX('بنود العقد'!F$3:F$388,C84), 0), "")</f>
        <v>3900</v>
      </c>
      <c r="H84" s="18">
        <f t="shared" si="4"/>
        <v>736.2</v>
      </c>
      <c r="I84" s="7">
        <v>537.4</v>
      </c>
      <c r="J84" s="18">
        <f t="shared" si="5"/>
        <v>1273.5999999999999</v>
      </c>
      <c r="K84" s="10">
        <f t="shared" si="6"/>
        <v>58039.199999999997</v>
      </c>
      <c r="L84" s="21">
        <f t="shared" si="7"/>
        <v>32.656410256410254</v>
      </c>
    </row>
    <row r="85" spans="1:12" ht="25.95" customHeight="1">
      <c r="A85" s="12">
        <v>83</v>
      </c>
      <c r="B85" s="6">
        <v>4</v>
      </c>
      <c r="C85" s="6">
        <v>200</v>
      </c>
      <c r="D85" s="20" t="str">
        <f>IF(C85&lt;&gt;"", IFERROR(INDEX('بنود العقد'!B$3:B$388,C85),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28</v>
      </c>
      <c r="E85" s="12" t="str">
        <f>IF(C85&lt;&gt;"", IFERROR(INDEX('بنود العقد'!D$3:D$388,C85), ""), "")</f>
        <v>م.ط</v>
      </c>
      <c r="F85" s="9">
        <f>IF(C85&lt;&gt;"", IFERROR(INDEX('بنود العقد'!E$3:E$388,C85), 0), "")</f>
        <v>138</v>
      </c>
      <c r="G85" s="9">
        <f>IF(C85&lt;&gt;"", IFERROR(INDEX('بنود العقد'!F$3:F$388,C85), 0), "")</f>
        <v>323</v>
      </c>
      <c r="H85" s="18">
        <f t="shared" si="4"/>
        <v>64</v>
      </c>
      <c r="I85" s="7">
        <v>44</v>
      </c>
      <c r="J85" s="18">
        <f t="shared" si="5"/>
        <v>108</v>
      </c>
      <c r="K85" s="10">
        <f t="shared" si="6"/>
        <v>6072</v>
      </c>
      <c r="L85" s="21">
        <f t="shared" si="7"/>
        <v>33.436532507739933</v>
      </c>
    </row>
    <row r="86" spans="1:12" ht="25.95" customHeight="1">
      <c r="A86" s="12">
        <v>84</v>
      </c>
      <c r="B86" s="6">
        <v>4</v>
      </c>
      <c r="C86" s="6">
        <v>201</v>
      </c>
      <c r="D86" s="20" t="str">
        <f>IF(C86&lt;&gt;"", IFERROR(INDEX('بنود العقد'!B$3:B$388,C86),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33</v>
      </c>
      <c r="E86" s="12" t="str">
        <f>IF(C86&lt;&gt;"", IFERROR(INDEX('بنود العقد'!D$3:D$388,C86), ""), "")</f>
        <v>م.ط</v>
      </c>
      <c r="F86" s="9">
        <f>IF(C86&lt;&gt;"", IFERROR(INDEX('بنود العقد'!E$3:E$388,C86), 0), "")</f>
        <v>192</v>
      </c>
      <c r="G86" s="9">
        <f>IF(C86&lt;&gt;"", IFERROR(INDEX('بنود العقد'!F$3:F$388,C86), 0), "")</f>
        <v>660</v>
      </c>
      <c r="H86" s="18">
        <f t="shared" si="4"/>
        <v>156</v>
      </c>
      <c r="I86" s="7">
        <v>11.2</v>
      </c>
      <c r="J86" s="18">
        <f t="shared" si="5"/>
        <v>167.2</v>
      </c>
      <c r="K86" s="10">
        <f t="shared" si="6"/>
        <v>2150.3999999999996</v>
      </c>
      <c r="L86" s="21">
        <f t="shared" si="7"/>
        <v>25.333333333333329</v>
      </c>
    </row>
    <row r="87" spans="1:12" ht="25.95" customHeight="1">
      <c r="A87" s="12">
        <v>85</v>
      </c>
      <c r="B87" s="6">
        <v>4</v>
      </c>
      <c r="C87" s="6">
        <v>202</v>
      </c>
      <c r="D87" s="20" t="str">
        <f>IF(C87&lt;&gt;"", IFERROR(INDEX('بنود العقد'!B$3:B$388,C87),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40</v>
      </c>
      <c r="E87" s="12" t="str">
        <f>IF(C87&lt;&gt;"", IFERROR(INDEX('بنود العقد'!D$3:D$388,C87), ""), "")</f>
        <v>م.ط</v>
      </c>
      <c r="F87" s="9">
        <f>IF(C87&lt;&gt;"", IFERROR(INDEX('بنود العقد'!E$3:E$388,C87), 0), "")</f>
        <v>222</v>
      </c>
      <c r="G87" s="9">
        <f>IF(C87&lt;&gt;"", IFERROR(INDEX('بنود العقد'!F$3:F$388,C87), 0), "")</f>
        <v>600</v>
      </c>
      <c r="H87" s="18">
        <f t="shared" si="4"/>
        <v>95.4</v>
      </c>
      <c r="I87" s="7">
        <v>37.4</v>
      </c>
      <c r="J87" s="18">
        <f t="shared" si="5"/>
        <v>132.80000000000001</v>
      </c>
      <c r="K87" s="10">
        <f t="shared" si="6"/>
        <v>8302.7999999999993</v>
      </c>
      <c r="L87" s="21">
        <f t="shared" si="7"/>
        <v>22.133333333333336</v>
      </c>
    </row>
    <row r="88" spans="1:12" ht="25.95" customHeight="1">
      <c r="A88" s="12">
        <v>86</v>
      </c>
      <c r="B88" s="6">
        <v>4</v>
      </c>
      <c r="C88" s="6">
        <v>203</v>
      </c>
      <c r="D88" s="20" t="str">
        <f>IF(C88&lt;&gt;"", IFERROR(INDEX('بنود العقد'!B$3:B$388,C88),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63</v>
      </c>
      <c r="E88" s="12" t="str">
        <f>IF(C88&lt;&gt;"", IFERROR(INDEX('بنود العقد'!D$3:D$388,C88), ""), "")</f>
        <v>م.ط</v>
      </c>
      <c r="F88" s="9">
        <f>IF(C88&lt;&gt;"", IFERROR(INDEX('بنود العقد'!E$3:E$388,C88), 0), "")</f>
        <v>240</v>
      </c>
      <c r="G88" s="9">
        <f>IF(C88&lt;&gt;"", IFERROR(INDEX('بنود العقد'!F$3:F$388,C88), 0), "")</f>
        <v>646</v>
      </c>
      <c r="H88" s="18">
        <f t="shared" si="4"/>
        <v>129.6</v>
      </c>
      <c r="I88" s="7">
        <v>40</v>
      </c>
      <c r="J88" s="18">
        <f t="shared" si="5"/>
        <v>169.6</v>
      </c>
      <c r="K88" s="10">
        <f t="shared" si="6"/>
        <v>9600</v>
      </c>
      <c r="L88" s="21">
        <f t="shared" si="7"/>
        <v>26.253869969040245</v>
      </c>
    </row>
    <row r="89" spans="1:12" ht="25.95" customHeight="1">
      <c r="A89" s="12">
        <v>87</v>
      </c>
      <c r="B89" s="6">
        <v>4</v>
      </c>
      <c r="C89" s="6">
        <v>204</v>
      </c>
      <c r="D89" s="20" t="str">
        <f>IF(C89&lt;&gt;"", IFERROR(INDEX('بنود العقد'!B$3:B$388,C89),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77</v>
      </c>
      <c r="E89" s="12" t="str">
        <f>IF(C89&lt;&gt;"", IFERROR(INDEX('بنود العقد'!D$3:D$388,C89), ""), "")</f>
        <v>م.ط</v>
      </c>
      <c r="F89" s="9">
        <f>IF(C89&lt;&gt;"", IFERROR(INDEX('بنود العقد'!E$3:E$388,C89), 0), "")</f>
        <v>288</v>
      </c>
      <c r="G89" s="9">
        <f>IF(C89&lt;&gt;"", IFERROR(INDEX('بنود العقد'!F$3:F$388,C89), 0), "")</f>
        <v>110</v>
      </c>
      <c r="H89" s="18">
        <f t="shared" si="4"/>
        <v>23.4</v>
      </c>
      <c r="I89" s="7">
        <v>71</v>
      </c>
      <c r="J89" s="18">
        <f t="shared" si="5"/>
        <v>94.4</v>
      </c>
      <c r="K89" s="10">
        <f t="shared" si="6"/>
        <v>20448</v>
      </c>
      <c r="L89" s="21">
        <f t="shared" si="7"/>
        <v>85.818181818181827</v>
      </c>
    </row>
    <row r="90" spans="1:12" ht="25.95" customHeight="1">
      <c r="A90" s="12">
        <v>88</v>
      </c>
      <c r="B90" s="6">
        <v>4</v>
      </c>
      <c r="C90" s="6">
        <v>206</v>
      </c>
      <c r="D90" s="20" t="str">
        <f>IF(C90&lt;&gt;"", IFERROR(INDEX('بنود العقد'!B$3:B$388,C90),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141</v>
      </c>
      <c r="E90" s="12" t="str">
        <f>IF(C90&lt;&gt;"", IFERROR(INDEX('بنود العقد'!D$3:D$388,C90), ""), "")</f>
        <v>م.ط</v>
      </c>
      <c r="F90" s="9">
        <f>IF(C90&lt;&gt;"", IFERROR(INDEX('بنود العقد'!E$3:E$388,C90), 0), "")</f>
        <v>360</v>
      </c>
      <c r="G90" s="9">
        <f>IF(C90&lt;&gt;"", IFERROR(INDEX('بنود العقد'!F$3:F$388,C90), 0), "")</f>
        <v>200</v>
      </c>
      <c r="H90" s="18">
        <f t="shared" si="4"/>
        <v>68.400000000000006</v>
      </c>
      <c r="I90" s="7">
        <v>88.4</v>
      </c>
      <c r="J90" s="18">
        <f t="shared" si="5"/>
        <v>156.80000000000001</v>
      </c>
      <c r="K90" s="10">
        <f t="shared" si="6"/>
        <v>31824.000000000004</v>
      </c>
      <c r="L90" s="21">
        <f t="shared" si="7"/>
        <v>78.400000000000006</v>
      </c>
    </row>
    <row r="91" spans="1:12" ht="25.95" customHeight="1">
      <c r="A91" s="12">
        <v>89</v>
      </c>
      <c r="B91" s="6">
        <v>4</v>
      </c>
      <c r="C91" s="6">
        <v>230</v>
      </c>
      <c r="D91" s="20" t="str">
        <f>IF(C91&lt;&gt;"", IFERROR(INDEX('بنود العقد'!B$3:B$388,C91),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E91" s="12" t="str">
        <f>IF(C91&lt;&gt;"", IFERROR(INDEX('بنود العقد'!D$3:D$388,C91), ""), "")</f>
        <v>م.ط</v>
      </c>
      <c r="F91" s="9">
        <f>IF(C91&lt;&gt;"", IFERROR(INDEX('بنود العقد'!E$3:E$388,C91), 0), "")</f>
        <v>300</v>
      </c>
      <c r="G91" s="9">
        <f>IF(C91&lt;&gt;"", IFERROR(INDEX('بنود العقد'!F$3:F$388,C91), 0), "")</f>
        <v>7000</v>
      </c>
      <c r="H91" s="18">
        <f t="shared" si="4"/>
        <v>729</v>
      </c>
      <c r="I91" s="7">
        <v>1216.75</v>
      </c>
      <c r="J91" s="18">
        <f t="shared" si="5"/>
        <v>1945.75</v>
      </c>
      <c r="K91" s="10">
        <f t="shared" si="6"/>
        <v>365025</v>
      </c>
      <c r="L91" s="21">
        <f t="shared" si="7"/>
        <v>27.796428571428571</v>
      </c>
    </row>
    <row r="92" spans="1:12" ht="25.95" customHeight="1">
      <c r="A92" s="12">
        <v>90</v>
      </c>
      <c r="B92" s="6">
        <v>4</v>
      </c>
      <c r="C92" s="6">
        <v>254</v>
      </c>
      <c r="D92" s="20" t="str">
        <f>IF(C92&lt;&gt;"", IFERROR(INDEX('بنود العقد'!B$3:B$388,C92),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)A(  )تحتوى على  4 قوى &amp; 4 داتا (</v>
      </c>
      <c r="E92" s="12" t="str">
        <f>IF(C92&lt;&gt;"", IFERROR(INDEX('بنود العقد'!D$3:D$388,C92), ""), "")</f>
        <v>عدد</v>
      </c>
      <c r="F92" s="9">
        <f>IF(C92&lt;&gt;"", IFERROR(INDEX('بنود العقد'!E$3:E$388,C92), 0), "")</f>
        <v>2160</v>
      </c>
      <c r="G92" s="9">
        <f>IF(C92&lt;&gt;"", IFERROR(INDEX('بنود العقد'!F$3:F$388,C92), 0), "")</f>
        <v>286</v>
      </c>
      <c r="H92" s="18">
        <f t="shared" si="4"/>
        <v>30</v>
      </c>
      <c r="I92" s="7">
        <v>5</v>
      </c>
      <c r="J92" s="18">
        <f t="shared" si="5"/>
        <v>35</v>
      </c>
      <c r="K92" s="10">
        <f t="shared" si="6"/>
        <v>10800</v>
      </c>
      <c r="L92" s="21">
        <f t="shared" si="7"/>
        <v>12.237762237762238</v>
      </c>
    </row>
    <row r="93" spans="1:12" ht="25.95" customHeight="1">
      <c r="A93" s="12">
        <v>91</v>
      </c>
      <c r="B93" s="6">
        <v>4</v>
      </c>
      <c r="C93" s="6">
        <v>264</v>
      </c>
      <c r="D93" s="20" t="str">
        <f>IF(C93&lt;&gt;"", IFERROR(INDEX('بنود العقد'!B$3:B$388,C93),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A2</v>
      </c>
      <c r="E93" s="12" t="str">
        <f>IF(C93&lt;&gt;"", IFERROR(INDEX('بنود العقد'!D$3:D$388,C93), ""), "")</f>
        <v>عدد</v>
      </c>
      <c r="F93" s="9">
        <f>IF(C93&lt;&gt;"", IFERROR(INDEX('بنود العقد'!E$3:E$388,C93), 0), "")</f>
        <v>1044</v>
      </c>
      <c r="G93" s="9">
        <f>IF(C93&lt;&gt;"", IFERROR(INDEX('بنود العقد'!F$3:F$388,C93), 0), "")</f>
        <v>1113</v>
      </c>
      <c r="H93" s="18">
        <f t="shared" si="4"/>
        <v>114</v>
      </c>
      <c r="I93" s="7">
        <v>45</v>
      </c>
      <c r="J93" s="18">
        <f t="shared" si="5"/>
        <v>159</v>
      </c>
      <c r="K93" s="10">
        <f t="shared" si="6"/>
        <v>46980</v>
      </c>
      <c r="L93" s="21">
        <f t="shared" si="7"/>
        <v>14.285714285714285</v>
      </c>
    </row>
    <row r="94" spans="1:12" ht="25.95" customHeight="1">
      <c r="A94" s="12">
        <v>92</v>
      </c>
      <c r="B94" s="6">
        <v>4</v>
      </c>
      <c r="C94" s="6">
        <v>272</v>
      </c>
      <c r="D94" s="20" t="str">
        <f>IF(C94&lt;&gt;"", IFERROR(INDEX('بنود العقد'!B$3:B$388,C94),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B1</v>
      </c>
      <c r="E94" s="12" t="str">
        <f>IF(C94&lt;&gt;"", IFERROR(INDEX('بنود العقد'!D$3:D$388,C94), ""), "")</f>
        <v>عدد</v>
      </c>
      <c r="F94" s="9">
        <f>IF(C94&lt;&gt;"", IFERROR(INDEX('بنود العقد'!E$3:E$388,C94), 0), "")</f>
        <v>720</v>
      </c>
      <c r="G94" s="9">
        <f>IF(C94&lt;&gt;"", IFERROR(INDEX('بنود العقد'!F$3:F$388,C94), 0), "")</f>
        <v>343</v>
      </c>
      <c r="H94" s="18">
        <f t="shared" si="4"/>
        <v>9</v>
      </c>
      <c r="I94" s="7">
        <v>4</v>
      </c>
      <c r="J94" s="18">
        <f t="shared" si="5"/>
        <v>13</v>
      </c>
      <c r="K94" s="10">
        <f t="shared" si="6"/>
        <v>2880</v>
      </c>
      <c r="L94" s="21">
        <f t="shared" si="7"/>
        <v>3.7900874635568513</v>
      </c>
    </row>
    <row r="95" spans="1:12" ht="25.95" customHeight="1">
      <c r="A95" s="12">
        <v>93</v>
      </c>
      <c r="B95" s="6">
        <v>4</v>
      </c>
      <c r="C95" s="6">
        <v>274</v>
      </c>
      <c r="D95" s="20" t="str">
        <f>IF(C95&lt;&gt;"", IFERROR(INDEX('بنود العقد'!B$3:B$388,C95),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C1</v>
      </c>
      <c r="E95" s="12" t="str">
        <f>IF(C95&lt;&gt;"", IFERROR(INDEX('بنود العقد'!D$3:D$388,C95), ""), "")</f>
        <v>عدد</v>
      </c>
      <c r="F95" s="9">
        <f>IF(C95&lt;&gt;"", IFERROR(INDEX('بنود العقد'!E$3:E$388,C95), 0), "")</f>
        <v>1128</v>
      </c>
      <c r="G95" s="9">
        <f>IF(C95&lt;&gt;"", IFERROR(INDEX('بنود العقد'!F$3:F$388,C95), 0), "")</f>
        <v>172</v>
      </c>
      <c r="H95" s="18">
        <f t="shared" si="4"/>
        <v>9</v>
      </c>
      <c r="I95" s="7">
        <v>4</v>
      </c>
      <c r="J95" s="18">
        <f t="shared" si="5"/>
        <v>13</v>
      </c>
      <c r="K95" s="10">
        <f t="shared" si="6"/>
        <v>4512</v>
      </c>
      <c r="L95" s="21">
        <f t="shared" si="7"/>
        <v>7.5581395348837201</v>
      </c>
    </row>
    <row r="96" spans="1:12" ht="25.95" customHeight="1">
      <c r="A96" s="12">
        <v>94</v>
      </c>
      <c r="B96" s="6">
        <v>4</v>
      </c>
      <c r="C96" s="6">
        <v>275</v>
      </c>
      <c r="D96" s="20" t="str">
        <f>IF(C96&lt;&gt;"", IFERROR(INDEX('بنود العقد'!B$3:B$388,C96),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v>
      </c>
      <c r="E96" s="12" t="str">
        <f>IF(C96&lt;&gt;"", IFERROR(INDEX('بنود العقد'!D$3:D$388,C96), ""), "")</f>
        <v>عدد</v>
      </c>
      <c r="F96" s="9">
        <f>IF(C96&lt;&gt;"", IFERROR(INDEX('بنود العقد'!E$3:E$388,C96), 0), "")</f>
        <v>420</v>
      </c>
      <c r="G96" s="9">
        <f>IF(C96&lt;&gt;"", IFERROR(INDEX('بنود العقد'!F$3:F$388,C96), 0), "")</f>
        <v>1422</v>
      </c>
      <c r="H96" s="18">
        <f t="shared" si="4"/>
        <v>44</v>
      </c>
      <c r="I96" s="7">
        <v>157</v>
      </c>
      <c r="J96" s="18">
        <f t="shared" si="5"/>
        <v>201</v>
      </c>
      <c r="K96" s="10">
        <f t="shared" si="6"/>
        <v>65940</v>
      </c>
      <c r="L96" s="21">
        <f t="shared" si="7"/>
        <v>14.135021097046414</v>
      </c>
    </row>
    <row r="97" spans="1:12" ht="25.95" customHeight="1">
      <c r="A97" s="12">
        <v>95</v>
      </c>
      <c r="B97" s="6">
        <v>4</v>
      </c>
      <c r="C97" s="6">
        <v>276</v>
      </c>
      <c r="D97" s="20" t="str">
        <f>IF(C97&lt;&gt;"", IFERROR(INDEX('بنود العقد'!B$3:B$388,C97),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v>
      </c>
      <c r="E97" s="12" t="str">
        <f>IF(C97&lt;&gt;"", IFERROR(INDEX('بنود العقد'!D$3:D$388,C97), ""), "")</f>
        <v>عدد</v>
      </c>
      <c r="F97" s="9">
        <f>IF(C97&lt;&gt;"", IFERROR(INDEX('بنود العقد'!E$3:E$388,C97), 0), "")</f>
        <v>444</v>
      </c>
      <c r="G97" s="9">
        <f>IF(C97&lt;&gt;"", IFERROR(INDEX('بنود العقد'!F$3:F$388,C97), 0), "")</f>
        <v>1062</v>
      </c>
      <c r="H97" s="18">
        <f t="shared" si="4"/>
        <v>88</v>
      </c>
      <c r="I97" s="7">
        <v>35</v>
      </c>
      <c r="J97" s="18">
        <f t="shared" si="5"/>
        <v>123</v>
      </c>
      <c r="K97" s="10">
        <f t="shared" si="6"/>
        <v>15540</v>
      </c>
      <c r="L97" s="21">
        <f t="shared" si="7"/>
        <v>11.581920903954803</v>
      </c>
    </row>
    <row r="98" spans="1:12" ht="25.95" customHeight="1">
      <c r="A98" s="12">
        <v>96</v>
      </c>
      <c r="B98" s="6">
        <v>4</v>
      </c>
      <c r="C98" s="6">
        <v>277</v>
      </c>
      <c r="D98" s="20" t="str">
        <f>IF(C98&lt;&gt;"", IFERROR(INDEX('بنود العقد'!B$3:B$388,C98),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v>
      </c>
      <c r="E98" s="12" t="str">
        <f>IF(C98&lt;&gt;"", IFERROR(INDEX('بنود العقد'!D$3:D$388,C98), ""), "")</f>
        <v>عدد</v>
      </c>
      <c r="F98" s="9">
        <f>IF(C98&lt;&gt;"", IFERROR(INDEX('بنود العقد'!E$3:E$388,C98), 0), "")</f>
        <v>300</v>
      </c>
      <c r="G98" s="9">
        <f>IF(C98&lt;&gt;"", IFERROR(INDEX('بنود العقد'!F$3:F$388,C98), 0), "")</f>
        <v>284</v>
      </c>
      <c r="H98" s="18">
        <f t="shared" si="4"/>
        <v>20</v>
      </c>
      <c r="I98" s="7">
        <v>8</v>
      </c>
      <c r="J98" s="18">
        <f t="shared" si="5"/>
        <v>28</v>
      </c>
      <c r="K98" s="10">
        <f t="shared" si="6"/>
        <v>2400</v>
      </c>
      <c r="L98" s="21">
        <f t="shared" si="7"/>
        <v>9.8591549295774641</v>
      </c>
    </row>
    <row r="99" spans="1:12" ht="25.95" customHeight="1">
      <c r="A99" s="12">
        <v>97</v>
      </c>
      <c r="B99" s="6">
        <v>4</v>
      </c>
      <c r="C99" s="6">
        <v>278</v>
      </c>
      <c r="D99" s="20" t="str">
        <f>IF(C99&lt;&gt;"", IFERROR(INDEX('بنود العقد'!B$3:B$388,C99),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C5</v>
      </c>
      <c r="E99" s="12" t="str">
        <f>IF(C99&lt;&gt;"", IFERROR(INDEX('بنود العقد'!D$3:D$388,C99), ""), "")</f>
        <v>عدد</v>
      </c>
      <c r="F99" s="9">
        <f>IF(C99&lt;&gt;"", IFERROR(INDEX('بنود العقد'!E$3:E$388,C99), 0), "")</f>
        <v>438</v>
      </c>
      <c r="G99" s="9">
        <f>IF(C99&lt;&gt;"", IFERROR(INDEX('بنود العقد'!F$3:F$388,C99), 0), "")</f>
        <v>149</v>
      </c>
      <c r="H99" s="18">
        <f t="shared" si="4"/>
        <v>13</v>
      </c>
      <c r="I99" s="7">
        <v>5</v>
      </c>
      <c r="J99" s="18">
        <f t="shared" si="5"/>
        <v>18</v>
      </c>
      <c r="K99" s="10">
        <f t="shared" si="6"/>
        <v>2190</v>
      </c>
      <c r="L99" s="21">
        <f t="shared" si="7"/>
        <v>12.080536912751679</v>
      </c>
    </row>
    <row r="100" spans="1:12" ht="25.95" customHeight="1">
      <c r="A100" s="12">
        <v>98</v>
      </c>
      <c r="B100" s="6">
        <v>4</v>
      </c>
      <c r="C100" s="6">
        <v>279</v>
      </c>
      <c r="D100" s="20" t="str">
        <f>IF(C100&lt;&gt;"", IFERROR(INDEX('بنود العقد'!B$3:B$388,C100),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C6</v>
      </c>
      <c r="E100" s="12" t="str">
        <f>IF(C100&lt;&gt;"", IFERROR(INDEX('بنود العقد'!D$3:D$388,C100), ""), "")</f>
        <v>عدد</v>
      </c>
      <c r="F100" s="9">
        <f>IF(C100&lt;&gt;"", IFERROR(INDEX('بنود العقد'!E$3:E$388,C100), 0), "")</f>
        <v>288</v>
      </c>
      <c r="G100" s="9">
        <f>IF(C100&lt;&gt;"", IFERROR(INDEX('بنود العقد'!F$3:F$388,C100), 0), "")</f>
        <v>158</v>
      </c>
      <c r="H100" s="18">
        <f t="shared" si="4"/>
        <v>18</v>
      </c>
      <c r="I100" s="7">
        <v>7</v>
      </c>
      <c r="J100" s="18">
        <f t="shared" si="5"/>
        <v>25</v>
      </c>
      <c r="K100" s="10">
        <f t="shared" si="6"/>
        <v>2016</v>
      </c>
      <c r="L100" s="21">
        <f t="shared" si="7"/>
        <v>15.822784810126583</v>
      </c>
    </row>
    <row r="101" spans="1:12" ht="25.95" customHeight="1">
      <c r="A101" s="12">
        <v>99</v>
      </c>
      <c r="B101" s="6">
        <v>4</v>
      </c>
      <c r="C101" s="6">
        <v>298</v>
      </c>
      <c r="D101" s="20" t="str">
        <f>IF(C101&lt;&gt;"", IFERROR(INDEX('بنود العقد'!B$3:B$388,C101),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P1</v>
      </c>
      <c r="E101" s="12" t="str">
        <f>IF(C101&lt;&gt;"", IFERROR(INDEX('بنود العقد'!D$3:D$388,C101), ""), "")</f>
        <v>عدد</v>
      </c>
      <c r="F101" s="9">
        <f>IF(C101&lt;&gt;"", IFERROR(INDEX('بنود العقد'!E$3:E$388,C101), 0), "")</f>
        <v>420</v>
      </c>
      <c r="G101" s="9">
        <f>IF(C101&lt;&gt;"", IFERROR(INDEX('بنود العقد'!F$3:F$388,C101), 0), "")</f>
        <v>75</v>
      </c>
      <c r="H101" s="18">
        <f t="shared" si="4"/>
        <v>8</v>
      </c>
      <c r="I101" s="7">
        <v>2</v>
      </c>
      <c r="J101" s="18">
        <f t="shared" si="5"/>
        <v>10</v>
      </c>
      <c r="K101" s="10">
        <f t="shared" si="6"/>
        <v>840</v>
      </c>
      <c r="L101" s="21">
        <f t="shared" si="7"/>
        <v>13.333333333333334</v>
      </c>
    </row>
    <row r="102" spans="1:12" ht="25.95" customHeight="1">
      <c r="A102" s="12">
        <v>100</v>
      </c>
      <c r="B102" s="6">
        <v>4</v>
      </c>
      <c r="C102" s="6">
        <v>299</v>
      </c>
      <c r="D102" s="20" t="str">
        <f>IF(C102&lt;&gt;"", IFERROR(INDEX('بنود العقد'!B$3:B$388,C102),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T1</v>
      </c>
      <c r="E102" s="12" t="str">
        <f>IF(C102&lt;&gt;"", IFERROR(INDEX('بنود العقد'!D$3:D$388,C102), ""), "")</f>
        <v>عدد</v>
      </c>
      <c r="F102" s="9">
        <f>IF(C102&lt;&gt;"", IFERROR(INDEX('بنود العقد'!E$3:E$388,C102), 0), "")</f>
        <v>744</v>
      </c>
      <c r="G102" s="9">
        <f>IF(C102&lt;&gt;"", IFERROR(INDEX('بنود العقد'!F$3:F$388,C102), 0), "")</f>
        <v>1146</v>
      </c>
      <c r="H102" s="18">
        <f t="shared" si="4"/>
        <v>99</v>
      </c>
      <c r="I102" s="7">
        <v>40</v>
      </c>
      <c r="J102" s="18">
        <f t="shared" si="5"/>
        <v>139</v>
      </c>
      <c r="K102" s="10">
        <f t="shared" si="6"/>
        <v>29760</v>
      </c>
      <c r="L102" s="21">
        <f t="shared" si="7"/>
        <v>12.129144851657941</v>
      </c>
    </row>
    <row r="103" spans="1:12" ht="25.95" customHeight="1">
      <c r="A103" s="12">
        <v>101</v>
      </c>
      <c r="B103" s="6">
        <v>5</v>
      </c>
      <c r="C103" s="6">
        <v>6</v>
      </c>
      <c r="D103" s="20" t="str">
        <f>IF(C103&lt;&gt;"", IFERROR(INDEX('بنود العقد'!B$3:B$388,C103),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v>
      </c>
      <c r="E103" s="12" t="str">
        <f>IF(C103&lt;&gt;"", IFERROR(INDEX('بنود العقد'!D$3:D$388,C103), ""), "")</f>
        <v>م2</v>
      </c>
      <c r="F103" s="9">
        <f>IF(C103&lt;&gt;"", IFERROR(INDEX('بنود العقد'!E$3:E$388,C103), 0), "")</f>
        <v>150</v>
      </c>
      <c r="G103" s="9">
        <f>IF(C103&lt;&gt;"", IFERROR(INDEX('بنود العقد'!F$3:F$388,C103), 0), "")</f>
        <v>450</v>
      </c>
      <c r="H103" s="18">
        <f t="shared" si="4"/>
        <v>1747.1100000000001</v>
      </c>
      <c r="I103" s="7">
        <v>201.12</v>
      </c>
      <c r="J103" s="18">
        <f t="shared" si="5"/>
        <v>1948.23</v>
      </c>
      <c r="K103" s="10">
        <f t="shared" si="6"/>
        <v>30168</v>
      </c>
      <c r="L103" s="21">
        <f t="shared" si="7"/>
        <v>432.93999999999994</v>
      </c>
    </row>
    <row r="104" spans="1:12" ht="25.95" customHeight="1">
      <c r="A104" s="12">
        <v>102</v>
      </c>
      <c r="B104" s="6">
        <v>5</v>
      </c>
      <c r="C104" s="6">
        <v>35</v>
      </c>
      <c r="D104" s="20" t="str">
        <f>IF(C104&lt;&gt;"", IFERROR(INDEX('بنود العقد'!B$3:B$388,C104),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ال )wenge( بشكل pattern مفرغة من الداخل مع ايطار خشبي ملبس بجلد لون بيج ومثبتة على الجدار الخشبي  لمنطقة معالي الوزير  حسب الرسومات والمناظير  وتعليمات المهندس المشرف.Code: P1</v>
      </c>
      <c r="E104" s="12" t="str">
        <f>IF(C104&lt;&gt;"", IFERROR(INDEX('بنود العقد'!D$3:D$388,C104), ""), "")</f>
        <v>م2</v>
      </c>
      <c r="F104" s="9">
        <f>IF(C104&lt;&gt;"", IFERROR(INDEX('بنود العقد'!E$3:E$388,C104), 0), "")</f>
        <v>1080</v>
      </c>
      <c r="G104" s="9">
        <f>IF(C104&lt;&gt;"", IFERROR(INDEX('بنود العقد'!F$3:F$388,C104), 0), "")</f>
        <v>60</v>
      </c>
      <c r="H104" s="18">
        <f t="shared" si="4"/>
        <v>0</v>
      </c>
      <c r="I104" s="7">
        <v>28.73</v>
      </c>
      <c r="J104" s="18">
        <f t="shared" si="5"/>
        <v>28.73</v>
      </c>
      <c r="K104" s="10">
        <f t="shared" si="6"/>
        <v>31028.400000000001</v>
      </c>
      <c r="L104" s="21">
        <f t="shared" si="7"/>
        <v>47.883333333333333</v>
      </c>
    </row>
    <row r="105" spans="1:12" ht="25.95" customHeight="1">
      <c r="A105" s="12">
        <v>103</v>
      </c>
      <c r="B105" s="6">
        <v>5</v>
      </c>
      <c r="C105" s="6">
        <v>46</v>
      </c>
      <c r="D105" s="20" t="str">
        <f>IF(C105&lt;&gt;"", IFERROR(INDEX('بنود العقد'!B$3:B$388,C105), "⚠"), "")</f>
        <v>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المشرف.Ref drawing: 07-MRA-DD-(as per floor number)-AR-801 بعرض 1000 مم وارتفاع 2700 مم  GD01باب ضلفة واحدة  نموذج</v>
      </c>
      <c r="E105" s="12" t="str">
        <f>IF(C105&lt;&gt;"", IFERROR(INDEX('بنود العقد'!D$3:D$388,C105), ""), "")</f>
        <v>عدد</v>
      </c>
      <c r="F105" s="9">
        <f>IF(C105&lt;&gt;"", IFERROR(INDEX('بنود العقد'!E$3:E$388,C105), 0), "")</f>
        <v>2580</v>
      </c>
      <c r="G105" s="9">
        <f>IF(C105&lt;&gt;"", IFERROR(INDEX('بنود العقد'!F$3:F$388,C105), 0), "")</f>
        <v>238</v>
      </c>
      <c r="H105" s="18">
        <f t="shared" si="4"/>
        <v>11</v>
      </c>
      <c r="I105" s="7">
        <v>1</v>
      </c>
      <c r="J105" s="18">
        <f t="shared" si="5"/>
        <v>12</v>
      </c>
      <c r="K105" s="10">
        <f t="shared" si="6"/>
        <v>2580</v>
      </c>
      <c r="L105" s="21">
        <f t="shared" si="7"/>
        <v>5.0420168067226889</v>
      </c>
    </row>
    <row r="106" spans="1:12" ht="25.95" customHeight="1">
      <c r="A106" s="12">
        <v>104</v>
      </c>
      <c r="B106" s="6">
        <v>5</v>
      </c>
      <c r="C106" s="6">
        <v>66</v>
      </c>
      <c r="D106" s="20" t="str">
        <f>IF(C106&lt;&gt;"", IFERROR(INDEX('بنود العقد'!B$3:B$388,C106), "⚠"),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E106" s="12" t="str">
        <f>IF(C106&lt;&gt;"", IFERROR(INDEX('بنود العقد'!D$3:D$388,C106), ""), "")</f>
        <v>م²</v>
      </c>
      <c r="F106" s="9">
        <f>IF(C106&lt;&gt;"", IFERROR(INDEX('بنود العقد'!E$3:E$388,C106), 0), "")</f>
        <v>900</v>
      </c>
      <c r="G106" s="9">
        <f>IF(C106&lt;&gt;"", IFERROR(INDEX('بنود العقد'!F$3:F$388,C106), 0), "")</f>
        <v>4000</v>
      </c>
      <c r="H106" s="18">
        <f t="shared" si="4"/>
        <v>296</v>
      </c>
      <c r="I106" s="7">
        <v>16.23</v>
      </c>
      <c r="J106" s="18">
        <f t="shared" si="5"/>
        <v>312.23</v>
      </c>
      <c r="K106" s="10">
        <f t="shared" si="6"/>
        <v>14607</v>
      </c>
      <c r="L106" s="21">
        <f t="shared" si="7"/>
        <v>7.8057499999999997</v>
      </c>
    </row>
    <row r="107" spans="1:12" ht="25.95" customHeight="1">
      <c r="A107" s="12">
        <v>105</v>
      </c>
      <c r="B107" s="6">
        <v>5</v>
      </c>
      <c r="C107" s="6">
        <v>72</v>
      </c>
      <c r="D107" s="20" t="str">
        <f>IF(C107&lt;&gt;"", IFERROR(INDEX('بنود العقد'!B$3:B$388,C107), "⚠"), "")</f>
        <v>طبقة من اللياسة الأسمنتية فوق الأسطح الخرسانية والجدران الداخلية  بسمك متوسط 20 مم على طبقات  طرطشة بسمك 5 مم وضهارة 15 مم حسب المواصفات مع المعالجة اليومية  بالمياه لمنع التنميلات ويتم عمل افريز بين البلوك والخرسانة يملئ بمواد قابلة للدهان والسعر يشمل كامل الأكسسوارات اللازمة من شبك معدني ممدد وزوايا ونهايات معدنية  ومواد الترابط  وعمل تجاويف في طبقة اللياسة بعمق 10مم عرض 10مم  في الاعمدة  وفي الجدران ان وجدت حسب الرسومات والمناظير وتعليمات المهندس المشرف ذلك حسب الاصول الفنية وتعليمات المهندس المشرف. لياسة الجدران والأعمدة الداخلية  وتشمل جميع الإكسسوارات بإرتفاع 20 سم أعلي الأسقف الجبسيه لزوم الجدران الداخلية</v>
      </c>
      <c r="E107" s="12" t="str">
        <f>IF(C107&lt;&gt;"", IFERROR(INDEX('بنود العقد'!D$3:D$388,C107), ""), "")</f>
        <v>م²</v>
      </c>
      <c r="F107" s="9">
        <f>IF(C107&lt;&gt;"", IFERROR(INDEX('بنود العقد'!E$3:E$388,C107), 0), "")</f>
        <v>42</v>
      </c>
      <c r="G107" s="9">
        <f>IF(C107&lt;&gt;"", IFERROR(INDEX('بنود العقد'!F$3:F$388,C107), 0), "")</f>
        <v>758</v>
      </c>
      <c r="H107" s="18">
        <f t="shared" si="4"/>
        <v>3591.79</v>
      </c>
      <c r="I107" s="7">
        <v>286.61</v>
      </c>
      <c r="J107" s="18">
        <f t="shared" si="5"/>
        <v>3878.4</v>
      </c>
      <c r="K107" s="10">
        <f t="shared" si="6"/>
        <v>12037.62</v>
      </c>
      <c r="L107" s="21">
        <f t="shared" si="7"/>
        <v>511.66226912928761</v>
      </c>
    </row>
    <row r="108" spans="1:12" ht="25.95" customHeight="1">
      <c r="A108" s="12">
        <v>106</v>
      </c>
      <c r="B108" s="6">
        <v>5</v>
      </c>
      <c r="C108" s="6">
        <v>74</v>
      </c>
      <c r="D108" s="20" t="str">
        <f>IF(C108&lt;&gt;"", IFERROR(INDEX('بنود العقد'!B$3:B$388,C108), "⚠"), "")</f>
        <v>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v>
      </c>
      <c r="E108" s="12" t="str">
        <f>IF(C108&lt;&gt;"", IFERROR(INDEX('بنود العقد'!D$3:D$388,C108), ""), "")</f>
        <v>م²</v>
      </c>
      <c r="F108" s="9">
        <f>IF(C108&lt;&gt;"", IFERROR(INDEX('بنود العقد'!E$3:E$388,C108), 0), "")</f>
        <v>180</v>
      </c>
      <c r="G108" s="9">
        <f>IF(C108&lt;&gt;"", IFERROR(INDEX('بنود العقد'!F$3:F$388,C108), 0), "")</f>
        <v>12526</v>
      </c>
      <c r="H108" s="18">
        <f t="shared" si="4"/>
        <v>2576.12</v>
      </c>
      <c r="I108" s="7">
        <v>42.98</v>
      </c>
      <c r="J108" s="18">
        <f t="shared" si="5"/>
        <v>2619.1</v>
      </c>
      <c r="K108" s="10">
        <f t="shared" si="6"/>
        <v>7736.4</v>
      </c>
      <c r="L108" s="21">
        <f t="shared" si="7"/>
        <v>20.909308638032893</v>
      </c>
    </row>
    <row r="109" spans="1:12" ht="25.95" customHeight="1">
      <c r="A109" s="12">
        <v>107</v>
      </c>
      <c r="B109" s="6">
        <v>5</v>
      </c>
      <c r="C109" s="6">
        <v>75</v>
      </c>
      <c r="D109" s="20" t="str">
        <f>IF(C109&lt;&gt;"", IFERROR(INDEX('بنود العقد'!B$3:B$388,C109), "⚠"), "")</f>
        <v>توريد وتركيب أسقف معلقة من الالواح الجبسيه )01-GBC( ثخانة 12 مم المقاومة للحريق شاملة نظام التعليق وضبط الحواف والزوايا وأبواب لفتحات الكشف بالأسقف لأعمال الصيانة )أبواب جاهزة من النوع السهل الاستعمال والمزود بمفصلات مخفية( والإكسسوارات. ويشمل السعر أي مواد أو أعمال يتطلبها استكمال العمل حسب المواصفات والمخططات.</v>
      </c>
      <c r="E109" s="12" t="str">
        <f>IF(C109&lt;&gt;"", IFERROR(INDEX('بنود العقد'!D$3:D$388,C109), ""), "")</f>
        <v>م²</v>
      </c>
      <c r="F109" s="9">
        <f>IF(C109&lt;&gt;"", IFERROR(INDEX('بنود العقد'!E$3:E$388,C109), 0), "")</f>
        <v>150</v>
      </c>
      <c r="G109" s="9">
        <f>IF(C109&lt;&gt;"", IFERROR(INDEX('بنود العقد'!F$3:F$388,C109), 0), "")</f>
        <v>24468</v>
      </c>
      <c r="H109" s="18">
        <f t="shared" si="4"/>
        <v>0</v>
      </c>
      <c r="I109" s="7">
        <v>15.180070000000001</v>
      </c>
      <c r="J109" s="18">
        <f t="shared" si="5"/>
        <v>15.180070000000001</v>
      </c>
      <c r="K109" s="10">
        <f t="shared" si="6"/>
        <v>2277.0105000000003</v>
      </c>
      <c r="L109" s="21">
        <f t="shared" si="7"/>
        <v>6.2040501880006545E-2</v>
      </c>
    </row>
    <row r="110" spans="1:12" ht="25.95" customHeight="1">
      <c r="A110" s="12">
        <v>108</v>
      </c>
      <c r="B110" s="6">
        <v>5</v>
      </c>
      <c r="C110" s="6">
        <v>104</v>
      </c>
      <c r="D110" s="20" t="str">
        <f>IF(C110&lt;&gt;"", IFERROR(INDEX('بنود العقد'!B$3:B$388,C110), "⚠"), "")</f>
        <v>Ref drawing: 07-MRA-DD-(as per floor number)-AR-300 مقاس 500×500 مم  لون رمادي لمنطقة المرور CT-01بلاط - سجاد</v>
      </c>
      <c r="E110" s="12" t="str">
        <f>IF(C110&lt;&gt;"", IFERROR(INDEX('بنود العقد'!D$3:D$388,C110), ""), "")</f>
        <v>م²</v>
      </c>
      <c r="F110" s="9">
        <f>IF(C110&lt;&gt;"", IFERROR(INDEX('بنود العقد'!E$3:E$388,C110), 0), "")</f>
        <v>156</v>
      </c>
      <c r="G110" s="9">
        <f>IF(C110&lt;&gt;"", IFERROR(INDEX('بنود العقد'!F$3:F$388,C110), 0), "")</f>
        <v>3600</v>
      </c>
      <c r="H110" s="18">
        <f t="shared" si="4"/>
        <v>0</v>
      </c>
      <c r="I110" s="7">
        <v>1732</v>
      </c>
      <c r="J110" s="18">
        <f t="shared" si="5"/>
        <v>1732</v>
      </c>
      <c r="K110" s="10">
        <f t="shared" si="6"/>
        <v>270192</v>
      </c>
      <c r="L110" s="21">
        <f t="shared" si="7"/>
        <v>48.111111111111107</v>
      </c>
    </row>
    <row r="111" spans="1:12" ht="25.95" customHeight="1">
      <c r="A111" s="12">
        <v>109</v>
      </c>
      <c r="B111" s="6">
        <v>5</v>
      </c>
      <c r="C111" s="6">
        <v>105</v>
      </c>
      <c r="D111" s="20" t="str">
        <f>IF(C111&lt;&gt;"", IFERROR(INDEX('بنود العقد'!B$3:B$388,C111), "⚠"), "")</f>
        <v>بلاط - سجاد 02-CT مقاس 500× 500 مم لون أزرق فاتح لمحطة العمل وغرفة الاجتماعات</v>
      </c>
      <c r="E111" s="12" t="str">
        <f>IF(C111&lt;&gt;"", IFERROR(INDEX('بنود العقد'!D$3:D$388,C111), ""), "")</f>
        <v>م²</v>
      </c>
      <c r="F111" s="9">
        <f>IF(C111&lt;&gt;"", IFERROR(INDEX('بنود العقد'!E$3:E$388,C111), 0), "")</f>
        <v>156</v>
      </c>
      <c r="G111" s="9">
        <f>IF(C111&lt;&gt;"", IFERROR(INDEX('بنود العقد'!F$3:F$388,C111), 0), "")</f>
        <v>6705</v>
      </c>
      <c r="H111" s="18">
        <f t="shared" si="4"/>
        <v>0</v>
      </c>
      <c r="I111" s="7">
        <v>2967.3</v>
      </c>
      <c r="J111" s="18">
        <f t="shared" si="5"/>
        <v>2967.3</v>
      </c>
      <c r="K111" s="10">
        <f t="shared" si="6"/>
        <v>462898.80000000005</v>
      </c>
      <c r="L111" s="21">
        <f t="shared" si="7"/>
        <v>44.255033557046978</v>
      </c>
    </row>
    <row r="112" spans="1:12" ht="25.95" customHeight="1">
      <c r="A112" s="12">
        <v>110</v>
      </c>
      <c r="B112" s="6">
        <v>5</v>
      </c>
      <c r="C112" s="6">
        <v>106</v>
      </c>
      <c r="D112" s="20" t="str">
        <f>IF(C112&lt;&gt;"", IFERROR(INDEX('بنود العقد'!B$3:B$388,C112), "⚠"), "")</f>
        <v>Ref drawing: 07-MRA-DD-(as per floor number)-AR-300 مقاس 500×500 مم لون بيج لمكتب المدير CT-03بلاط - سجاد</v>
      </c>
      <c r="E112" s="12" t="str">
        <f>IF(C112&lt;&gt;"", IFERROR(INDEX('بنود العقد'!D$3:D$388,C112), ""), "")</f>
        <v>م²</v>
      </c>
      <c r="F112" s="9">
        <f>IF(C112&lt;&gt;"", IFERROR(INDEX('بنود العقد'!E$3:E$388,C112), 0), "")</f>
        <v>156</v>
      </c>
      <c r="G112" s="9">
        <f>IF(C112&lt;&gt;"", IFERROR(INDEX('بنود العقد'!F$3:F$388,C112), 0), "")</f>
        <v>1213</v>
      </c>
      <c r="H112" s="18">
        <f t="shared" si="4"/>
        <v>0</v>
      </c>
      <c r="I112" s="7">
        <v>616.47</v>
      </c>
      <c r="J112" s="18">
        <f t="shared" si="5"/>
        <v>616.47</v>
      </c>
      <c r="K112" s="10">
        <f t="shared" si="6"/>
        <v>96169.32</v>
      </c>
      <c r="L112" s="21">
        <f t="shared" si="7"/>
        <v>50.821929101401487</v>
      </c>
    </row>
    <row r="113" spans="1:12" ht="25.95" customHeight="1">
      <c r="A113" s="12">
        <v>111</v>
      </c>
      <c r="B113" s="6">
        <v>5</v>
      </c>
      <c r="C113" s="6">
        <v>108</v>
      </c>
      <c r="D113" s="20" t="str">
        <f>IF(C113&lt;&gt;"", IFERROR(INDEX('بنود العقد'!B$3:B$388,C113), "⚠"), "")</f>
        <v>بلاط - سجاد05-CT مقاس 500×500 مم لغرف خدمة العملاء مع تصميم بشكل مثلث وألوان مختلفة</v>
      </c>
      <c r="E113" s="12" t="str">
        <f>IF(C113&lt;&gt;"", IFERROR(INDEX('بنود العقد'!D$3:D$388,C113), ""), "")</f>
        <v>م²</v>
      </c>
      <c r="F113" s="9">
        <f>IF(C113&lt;&gt;"", IFERROR(INDEX('بنود العقد'!E$3:E$388,C113), 0), "")</f>
        <v>156</v>
      </c>
      <c r="G113" s="9">
        <f>IF(C113&lt;&gt;"", IFERROR(INDEX('بنود العقد'!F$3:F$388,C113), 0), "")</f>
        <v>735</v>
      </c>
      <c r="H113" s="18">
        <f t="shared" si="4"/>
        <v>0</v>
      </c>
      <c r="I113" s="7">
        <v>316.75</v>
      </c>
      <c r="J113" s="18">
        <f t="shared" si="5"/>
        <v>316.75</v>
      </c>
      <c r="K113" s="10">
        <f t="shared" si="6"/>
        <v>49413</v>
      </c>
      <c r="L113" s="21">
        <f t="shared" si="7"/>
        <v>43.095238095238095</v>
      </c>
    </row>
    <row r="114" spans="1:12" ht="25.95" customHeight="1">
      <c r="A114" s="12">
        <v>112</v>
      </c>
      <c r="B114" s="6">
        <v>5</v>
      </c>
      <c r="C114" s="6">
        <v>109</v>
      </c>
      <c r="D114" s="20" t="str">
        <f>IF(C114&lt;&gt;"", IFERROR(INDEX('بنود العقد'!B$3:B$388,C114), "⚠"), "")</f>
        <v>Ref drawing: 07-MRA-DD-(as per floor number)-AR-300 مقاس 500×500 مم لمركز الأعمال CT-06بلاط - سجاد</v>
      </c>
      <c r="E114" s="12" t="str">
        <f>IF(C114&lt;&gt;"", IFERROR(INDEX('بنود العقد'!D$3:D$388,C114), ""), "")</f>
        <v>م²</v>
      </c>
      <c r="F114" s="9">
        <f>IF(C114&lt;&gt;"", IFERROR(INDEX('بنود العقد'!E$3:E$388,C114), 0), "")</f>
        <v>156</v>
      </c>
      <c r="G114" s="9">
        <f>IF(C114&lt;&gt;"", IFERROR(INDEX('بنود العقد'!F$3:F$388,C114), 0), "")</f>
        <v>109</v>
      </c>
      <c r="H114" s="18">
        <f t="shared" si="4"/>
        <v>0</v>
      </c>
      <c r="I114" s="7">
        <v>52.29</v>
      </c>
      <c r="J114" s="18">
        <f t="shared" si="5"/>
        <v>52.29</v>
      </c>
      <c r="K114" s="10">
        <f t="shared" si="6"/>
        <v>8157.24</v>
      </c>
      <c r="L114" s="21">
        <f t="shared" si="7"/>
        <v>47.972477064220179</v>
      </c>
    </row>
    <row r="115" spans="1:12" ht="25.95" customHeight="1">
      <c r="A115" s="12">
        <v>113</v>
      </c>
      <c r="B115" s="6">
        <v>5</v>
      </c>
      <c r="C115" s="6">
        <v>110</v>
      </c>
      <c r="D115" s="20" t="str">
        <f>IF(C115&lt;&gt;"", IFERROR(INDEX('بنود العقد'!B$3:B$388,C115), "⚠"), "")</f>
        <v>بلاط - سجاد 01-CR مقاس 500×500 مم لمكتب الرئيس ونائب الرئيس والصالة والسكرتارية وغرفة الاجتماعات الكبيرة.</v>
      </c>
      <c r="E115" s="12" t="str">
        <f>IF(C115&lt;&gt;"", IFERROR(INDEX('بنود العقد'!D$3:D$388,C115), ""), "")</f>
        <v>م²</v>
      </c>
      <c r="F115" s="9">
        <f>IF(C115&lt;&gt;"", IFERROR(INDEX('بنود العقد'!E$3:E$388,C115), 0), "")</f>
        <v>156</v>
      </c>
      <c r="G115" s="9">
        <f>IF(C115&lt;&gt;"", IFERROR(INDEX('بنود العقد'!F$3:F$388,C115), 0), "")</f>
        <v>2140</v>
      </c>
      <c r="H115" s="18">
        <f t="shared" si="4"/>
        <v>0</v>
      </c>
      <c r="I115" s="7">
        <v>1019.55</v>
      </c>
      <c r="J115" s="18">
        <f t="shared" si="5"/>
        <v>1019.55</v>
      </c>
      <c r="K115" s="10">
        <f t="shared" si="6"/>
        <v>159049.79999999999</v>
      </c>
      <c r="L115" s="21">
        <f t="shared" si="7"/>
        <v>47.642523364485982</v>
      </c>
    </row>
    <row r="116" spans="1:12" ht="25.95" customHeight="1">
      <c r="A116" s="12">
        <v>114</v>
      </c>
      <c r="B116" s="6">
        <v>5</v>
      </c>
      <c r="C116" s="6">
        <v>111</v>
      </c>
      <c r="D116" s="20" t="str">
        <f>IF(C116&lt;&gt;"", IFERROR(INDEX('بنود العقد'!B$3:B$388,C116), "⚠"), "")</f>
        <v>بلاط - سجاد 02-CR مقاس 500×500 مم لمكتب الرئيس ونائب الرئيس على شكل مثلثات لون بيج، رمادي فاتح ورمادي غامق.</v>
      </c>
      <c r="E116" s="12" t="str">
        <f>IF(C116&lt;&gt;"", IFERROR(INDEX('بنود العقد'!D$3:D$388,C116), ""), "")</f>
        <v>م²</v>
      </c>
      <c r="F116" s="9">
        <f>IF(C116&lt;&gt;"", IFERROR(INDEX('بنود العقد'!E$3:E$388,C116), 0), "")</f>
        <v>156</v>
      </c>
      <c r="G116" s="9">
        <f>IF(C116&lt;&gt;"", IFERROR(INDEX('بنود العقد'!F$3:F$388,C116), 0), "")</f>
        <v>303</v>
      </c>
      <c r="H116" s="18">
        <f t="shared" si="4"/>
        <v>0</v>
      </c>
      <c r="I116" s="7">
        <v>133.72999999999999</v>
      </c>
      <c r="J116" s="18">
        <f t="shared" si="5"/>
        <v>133.72999999999999</v>
      </c>
      <c r="K116" s="10">
        <f t="shared" si="6"/>
        <v>20861.879999999997</v>
      </c>
      <c r="L116" s="21">
        <f t="shared" si="7"/>
        <v>44.135313531353134</v>
      </c>
    </row>
    <row r="117" spans="1:12" ht="25.95" customHeight="1">
      <c r="A117" s="12">
        <v>115</v>
      </c>
      <c r="B117" s="6">
        <v>5</v>
      </c>
      <c r="C117" s="6">
        <v>112</v>
      </c>
      <c r="D117" s="20" t="str">
        <f>IF(C117&lt;&gt;"", IFERROR(INDEX('بنود العقد'!B$3:B$388,C117), "⚠"), "")</f>
        <v>300-Ref drawing: 07-MRA-DD-(as per floor number)-ARبلاط - سجاد 03-CR مقاس 500×500 مم للمدير العام ومنطقة السكرتارية</v>
      </c>
      <c r="E117" s="12" t="str">
        <f>IF(C117&lt;&gt;"", IFERROR(INDEX('بنود العقد'!D$3:D$388,C117), ""), "")</f>
        <v>م²</v>
      </c>
      <c r="F117" s="9">
        <f>IF(C117&lt;&gt;"", IFERROR(INDEX('بنود العقد'!E$3:E$388,C117), 0), "")</f>
        <v>156</v>
      </c>
      <c r="G117" s="9">
        <f>IF(C117&lt;&gt;"", IFERROR(INDEX('بنود العقد'!F$3:F$388,C117), 0), "")</f>
        <v>1550</v>
      </c>
      <c r="H117" s="18">
        <f t="shared" si="4"/>
        <v>0</v>
      </c>
      <c r="I117" s="7">
        <v>874.79</v>
      </c>
      <c r="J117" s="18">
        <f t="shared" si="5"/>
        <v>874.79</v>
      </c>
      <c r="K117" s="10">
        <f t="shared" si="6"/>
        <v>136467.24</v>
      </c>
      <c r="L117" s="21">
        <f t="shared" si="7"/>
        <v>56.438064516129025</v>
      </c>
    </row>
    <row r="118" spans="1:12" ht="25.95" customHeight="1">
      <c r="A118" s="12">
        <v>116</v>
      </c>
      <c r="B118" s="6">
        <v>5</v>
      </c>
      <c r="C118" s="6">
        <v>113</v>
      </c>
      <c r="D118" s="20" t="str">
        <f>IF(C118&lt;&gt;"", IFERROR(INDEX('بنود العقد'!B$3:B$388,C118), "⚠"), "")</f>
        <v>Ref drawing: 07-MRA-DD-(as per floor number)-AR-300 لمنطقة الصلاة CR-04 رولات السجاد</v>
      </c>
      <c r="E118" s="12" t="str">
        <f>IF(C118&lt;&gt;"", IFERROR(INDEX('بنود العقد'!D$3:D$388,C118), ""), "")</f>
        <v>م²</v>
      </c>
      <c r="F118" s="9">
        <f>IF(C118&lt;&gt;"", IFERROR(INDEX('بنود العقد'!E$3:E$388,C118), 0), "")</f>
        <v>156</v>
      </c>
      <c r="G118" s="9">
        <f>IF(C118&lt;&gt;"", IFERROR(INDEX('بنود العقد'!F$3:F$388,C118), 0), "")</f>
        <v>129</v>
      </c>
      <c r="H118" s="18">
        <f t="shared" si="4"/>
        <v>0</v>
      </c>
      <c r="I118" s="7">
        <v>62.57</v>
      </c>
      <c r="J118" s="18">
        <f t="shared" si="5"/>
        <v>62.57</v>
      </c>
      <c r="K118" s="10">
        <f t="shared" si="6"/>
        <v>9760.92</v>
      </c>
      <c r="L118" s="21">
        <f t="shared" si="7"/>
        <v>48.503875968992247</v>
      </c>
    </row>
    <row r="119" spans="1:12" ht="25.95" customHeight="1">
      <c r="A119" s="12">
        <v>117</v>
      </c>
      <c r="B119" s="6">
        <v>5</v>
      </c>
      <c r="C119" s="6">
        <v>114</v>
      </c>
      <c r="D119" s="20" t="str">
        <f>IF(C119&lt;&gt;"", IFERROR(INDEX('بنود العقد'!B$3:B$388,C119), "⚠"), "")</f>
        <v>رولات السجاد 05-CR لمدخل معالي الوزير في الدور الارضي، سجادة المراسم الملكية لون بنفسجي مع إضافة إطار بنقشة مزخرفة حسب المناظير الداخلية.</v>
      </c>
      <c r="E119" s="12" t="str">
        <f>IF(C119&lt;&gt;"", IFERROR(INDEX('بنود العقد'!D$3:D$388,C119), ""), "")</f>
        <v>م²</v>
      </c>
      <c r="F119" s="9">
        <f>IF(C119&lt;&gt;"", IFERROR(INDEX('بنود العقد'!E$3:E$388,C119), 0), "")</f>
        <v>228</v>
      </c>
      <c r="G119" s="9">
        <f>IF(C119&lt;&gt;"", IFERROR(INDEX('بنود العقد'!F$3:F$388,C119), 0), "")</f>
        <v>85</v>
      </c>
      <c r="H119" s="18">
        <f t="shared" si="4"/>
        <v>0</v>
      </c>
      <c r="I119" s="7">
        <v>37.229999999999997</v>
      </c>
      <c r="J119" s="18">
        <f t="shared" si="5"/>
        <v>37.229999999999997</v>
      </c>
      <c r="K119" s="10">
        <f t="shared" si="6"/>
        <v>8488.4399999999987</v>
      </c>
      <c r="L119" s="21">
        <f t="shared" si="7"/>
        <v>43.8</v>
      </c>
    </row>
    <row r="120" spans="1:12" ht="25.95" customHeight="1">
      <c r="A120" s="12">
        <v>118</v>
      </c>
      <c r="B120" s="6">
        <v>5</v>
      </c>
      <c r="C120" s="6">
        <v>115</v>
      </c>
      <c r="D120" s="20" t="str">
        <f>IF(C120&lt;&gt;"", IFERROR(INDEX('بنود العقد'!B$3:B$388,C120), "⚠"), "")</f>
        <v>رولات السجاد 06-CR للمدخل الرئيسي والثانوي في الدور الأرضي بلون بيج مع تصميم على شكل مثلثات حسب المناظير الداخلية.</v>
      </c>
      <c r="E120" s="12" t="str">
        <f>IF(C120&lt;&gt;"", IFERROR(INDEX('بنود العقد'!D$3:D$388,C120), ""), "")</f>
        <v>م²</v>
      </c>
      <c r="F120" s="9">
        <f>IF(C120&lt;&gt;"", IFERROR(INDEX('بنود العقد'!E$3:E$388,C120), 0), "")</f>
        <v>216</v>
      </c>
      <c r="G120" s="9">
        <f>IF(C120&lt;&gt;"", IFERROR(INDEX('بنود العقد'!F$3:F$388,C120), 0), "")</f>
        <v>174</v>
      </c>
      <c r="H120" s="18">
        <f t="shared" si="4"/>
        <v>0</v>
      </c>
      <c r="I120" s="7">
        <v>71.16</v>
      </c>
      <c r="J120" s="18">
        <f t="shared" si="5"/>
        <v>71.16</v>
      </c>
      <c r="K120" s="10">
        <f t="shared" si="6"/>
        <v>15370.56</v>
      </c>
      <c r="L120" s="21">
        <f t="shared" si="7"/>
        <v>40.896551724137929</v>
      </c>
    </row>
    <row r="121" spans="1:12" ht="25.95" customHeight="1">
      <c r="A121" s="12">
        <v>119</v>
      </c>
      <c r="B121" s="6">
        <v>5</v>
      </c>
      <c r="C121" s="6">
        <v>116</v>
      </c>
      <c r="D121" s="20" t="str">
        <f>IF(C121&lt;&gt;"", IFERROR(INDEX('بنود العقد'!B$3:B$388,C121), "⚠"), "")</f>
        <v>رولات السجاد 07-CR لمختصر معالي الوزير، غرفة الاجتماعات الخاصة بمعالي الوزير، غرفة الاجتماعات الرئيسية ومدير مكتب معالي الوزير.</v>
      </c>
      <c r="E121" s="12" t="str">
        <f>IF(C121&lt;&gt;"", IFERROR(INDEX('بنود العقد'!D$3:D$388,C121), ""), "")</f>
        <v>م²</v>
      </c>
      <c r="F121" s="9">
        <f>IF(C121&lt;&gt;"", IFERROR(INDEX('بنود العقد'!E$3:E$388,C121), 0), "")</f>
        <v>228</v>
      </c>
      <c r="G121" s="9">
        <f>IF(C121&lt;&gt;"", IFERROR(INDEX('بنود العقد'!F$3:F$388,C121), 0), "")</f>
        <v>215</v>
      </c>
      <c r="H121" s="18">
        <f t="shared" si="4"/>
        <v>0</v>
      </c>
      <c r="I121" s="7">
        <v>133.25</v>
      </c>
      <c r="J121" s="18">
        <f t="shared" si="5"/>
        <v>133.25</v>
      </c>
      <c r="K121" s="10">
        <f t="shared" si="6"/>
        <v>30381</v>
      </c>
      <c r="L121" s="21">
        <f t="shared" si="7"/>
        <v>61.976744186046503</v>
      </c>
    </row>
    <row r="122" spans="1:12" ht="25.95" customHeight="1">
      <c r="A122" s="12">
        <v>120</v>
      </c>
      <c r="B122" s="6">
        <v>5</v>
      </c>
      <c r="C122" s="6">
        <v>117</v>
      </c>
      <c r="D122" s="20" t="str">
        <f>IF(C122&lt;&gt;"", IFERROR(INDEX('بنود العقد'!B$3:B$388,C122), "⚠"), "")</f>
        <v>300-Ref drawing: 07-MRA-DD-(as per floor number)-ARرولات السجاد 08-CR لمنطقة انتظار كبار الشخصيات في الدور السادس</v>
      </c>
      <c r="E122" s="12" t="str">
        <f>IF(C122&lt;&gt;"", IFERROR(INDEX('بنود العقد'!D$3:D$388,C122), ""), "")</f>
        <v>م²</v>
      </c>
      <c r="F122" s="9">
        <f>IF(C122&lt;&gt;"", IFERROR(INDEX('بنود العقد'!E$3:E$388,C122), 0), "")</f>
        <v>156</v>
      </c>
      <c r="G122" s="9">
        <f>IF(C122&lt;&gt;"", IFERROR(INDEX('بنود العقد'!F$3:F$388,C122), 0), "")</f>
        <v>37</v>
      </c>
      <c r="H122" s="18">
        <f t="shared" si="4"/>
        <v>0</v>
      </c>
      <c r="I122" s="7">
        <v>66.72</v>
      </c>
      <c r="J122" s="18">
        <f t="shared" si="5"/>
        <v>66.72</v>
      </c>
      <c r="K122" s="10">
        <f t="shared" si="6"/>
        <v>10408.32</v>
      </c>
      <c r="L122" s="21">
        <f t="shared" si="7"/>
        <v>180.32432432432432</v>
      </c>
    </row>
    <row r="123" spans="1:12" ht="25.95" customHeight="1">
      <c r="A123" s="12">
        <v>121</v>
      </c>
      <c r="B123" s="6">
        <v>5</v>
      </c>
      <c r="C123" s="6">
        <v>118</v>
      </c>
      <c r="D123" s="20" t="str">
        <f>IF(C123&lt;&gt;"", IFERROR(INDEX('بنود العقد'!B$3:B$388,C123), "⚠"), "")</f>
        <v>300-Ref drawing: 07-MRA-DD-(as per floor number)-ARرولات السجاد 09-CR  لمكتب معالي الوزير، السكرتاريا ومنطقة الانتظار</v>
      </c>
      <c r="E123" s="12" t="str">
        <f>IF(C123&lt;&gt;"", IFERROR(INDEX('بنود العقد'!D$3:D$388,C123), ""), "")</f>
        <v>م²</v>
      </c>
      <c r="F123" s="9">
        <f>IF(C123&lt;&gt;"", IFERROR(INDEX('بنود العقد'!E$3:E$388,C123), 0), "")</f>
        <v>228</v>
      </c>
      <c r="G123" s="9">
        <f>IF(C123&lt;&gt;"", IFERROR(INDEX('بنود العقد'!F$3:F$388,C123), 0), "")</f>
        <v>203</v>
      </c>
      <c r="H123" s="18">
        <f t="shared" si="4"/>
        <v>0</v>
      </c>
      <c r="I123" s="7">
        <v>59.61</v>
      </c>
      <c r="J123" s="18">
        <f t="shared" si="5"/>
        <v>59.61</v>
      </c>
      <c r="K123" s="10">
        <f t="shared" si="6"/>
        <v>13591.08</v>
      </c>
      <c r="L123" s="21">
        <f t="shared" si="7"/>
        <v>29.364532019704431</v>
      </c>
    </row>
    <row r="124" spans="1:12" ht="25.95" customHeight="1">
      <c r="A124" s="12">
        <v>122</v>
      </c>
      <c r="B124" s="6">
        <v>5</v>
      </c>
      <c r="C124" s="6">
        <v>119</v>
      </c>
      <c r="D124" s="20" t="str">
        <f>IF(C124&lt;&gt;"", IFERROR(INDEX('بنود العقد'!B$3:B$388,C124), "⚠"), "")</f>
        <v>300-Ref drawing: 07-MRA-DD-(as per floor number)-ARرولات السجاد 10-CR  لغرفة اللاونج في منطقة التنفيذين في الدور السادس</v>
      </c>
      <c r="E124" s="12" t="str">
        <f>IF(C124&lt;&gt;"", IFERROR(INDEX('بنود العقد'!D$3:D$388,C124), ""), "")</f>
        <v>م²</v>
      </c>
      <c r="F124" s="9">
        <f>IF(C124&lt;&gt;"", IFERROR(INDEX('بنود العقد'!E$3:E$388,C124), 0), "")</f>
        <v>156</v>
      </c>
      <c r="G124" s="9">
        <f>IF(C124&lt;&gt;"", IFERROR(INDEX('بنود العقد'!F$3:F$388,C124), 0), "")</f>
        <v>18</v>
      </c>
      <c r="H124" s="18">
        <f t="shared" si="4"/>
        <v>0</v>
      </c>
      <c r="I124" s="7">
        <v>34.44</v>
      </c>
      <c r="J124" s="18">
        <f t="shared" si="5"/>
        <v>34.44</v>
      </c>
      <c r="K124" s="10">
        <f t="shared" si="6"/>
        <v>5372.6399999999994</v>
      </c>
      <c r="L124" s="21">
        <f t="shared" si="7"/>
        <v>191.33333333333331</v>
      </c>
    </row>
    <row r="125" spans="1:12" ht="25.95" customHeight="1">
      <c r="A125" s="12">
        <v>123</v>
      </c>
      <c r="B125" s="6">
        <v>5</v>
      </c>
      <c r="C125" s="6">
        <v>125</v>
      </c>
      <c r="D125" s="20" t="str">
        <f>IF(C125&lt;&gt;"", IFERROR(INDEX('بنود العقد'!B$3:B$388,C125), "⚠"), "")</f>
        <v>دهان بلون رمادي بيج على الألواح الجبسية والألواح الاسمنتية 100-WPF</v>
      </c>
      <c r="E125" s="12" t="str">
        <f>IF(C125&lt;&gt;"", IFERROR(INDEX('بنود العقد'!D$3:D$388,C125), ""), "")</f>
        <v>م²</v>
      </c>
      <c r="F125" s="9">
        <f>IF(C125&lt;&gt;"", IFERROR(INDEX('بنود العقد'!E$3:E$388,C125), 0), "")</f>
        <v>25.2</v>
      </c>
      <c r="G125" s="9">
        <f>IF(C125&lt;&gt;"", IFERROR(INDEX('بنود العقد'!F$3:F$388,C125), 0), "")</f>
        <v>12700</v>
      </c>
      <c r="H125" s="18">
        <f t="shared" si="4"/>
        <v>1039.29</v>
      </c>
      <c r="I125" s="7">
        <v>80</v>
      </c>
      <c r="J125" s="18">
        <f t="shared" si="5"/>
        <v>1119.29</v>
      </c>
      <c r="K125" s="10">
        <f t="shared" si="6"/>
        <v>2016</v>
      </c>
      <c r="L125" s="21">
        <f t="shared" si="7"/>
        <v>8.8133070866141736</v>
      </c>
    </row>
    <row r="126" spans="1:12" ht="25.95" customHeight="1">
      <c r="A126" s="12">
        <v>124</v>
      </c>
      <c r="B126" s="6">
        <v>5</v>
      </c>
      <c r="C126" s="6">
        <v>133</v>
      </c>
      <c r="D126" s="20" t="str">
        <f>IF(C126&lt;&gt;"", IFERROR(INDEX('بنود العقد'!B$3:B$388,C126),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ابيض</v>
      </c>
      <c r="E126" s="12" t="str">
        <f>IF(C126&lt;&gt;"", IFERROR(INDEX('بنود العقد'!D$3:D$388,C126), ""), "")</f>
        <v>م²</v>
      </c>
      <c r="F126" s="9">
        <f>IF(C126&lt;&gt;"", IFERROR(INDEX('بنود العقد'!E$3:E$388,C126), 0), "")</f>
        <v>24</v>
      </c>
      <c r="G126" s="9">
        <f>IF(C126&lt;&gt;"", IFERROR(INDEX('بنود العقد'!F$3:F$388,C126), 0), "")</f>
        <v>25559</v>
      </c>
      <c r="H126" s="18">
        <f t="shared" si="4"/>
        <v>0</v>
      </c>
      <c r="I126" s="7">
        <v>7.57</v>
      </c>
      <c r="J126" s="18">
        <f t="shared" si="5"/>
        <v>7.57</v>
      </c>
      <c r="K126" s="10">
        <f t="shared" si="6"/>
        <v>181.68</v>
      </c>
      <c r="L126" s="21">
        <f t="shared" si="7"/>
        <v>2.9617747173207091E-2</v>
      </c>
    </row>
    <row r="127" spans="1:12" ht="25.95" customHeight="1">
      <c r="A127" s="12">
        <v>125</v>
      </c>
      <c r="B127" s="6">
        <v>5</v>
      </c>
      <c r="C127" s="6">
        <v>137</v>
      </c>
      <c r="D127" s="20" t="str">
        <f>IF(C127&lt;&gt;"", IFERROR(INDEX('بنود العقد'!B$3:B$388,C127), "⚠"), "")</f>
        <v>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 دهان  بلون اسود</v>
      </c>
      <c r="E127" s="12" t="str">
        <f>IF(C127&lt;&gt;"", IFERROR(INDEX('بنود العقد'!D$3:D$388,C127), ""), "")</f>
        <v>م²</v>
      </c>
      <c r="F127" s="9">
        <f>IF(C127&lt;&gt;"", IFERROR(INDEX('بنود العقد'!E$3:E$388,C127), 0), "")</f>
        <v>30</v>
      </c>
      <c r="G127" s="9">
        <f>IF(C127&lt;&gt;"", IFERROR(INDEX('بنود العقد'!F$3:F$388,C127), 0), "")</f>
        <v>9442</v>
      </c>
      <c r="H127" s="18">
        <f t="shared" si="4"/>
        <v>0</v>
      </c>
      <c r="I127" s="7">
        <v>514.98</v>
      </c>
      <c r="J127" s="18">
        <f t="shared" si="5"/>
        <v>514.98</v>
      </c>
      <c r="K127" s="10">
        <f t="shared" si="6"/>
        <v>15449.400000000001</v>
      </c>
      <c r="L127" s="21">
        <f t="shared" si="7"/>
        <v>5.4541410718068208</v>
      </c>
    </row>
    <row r="128" spans="1:12" ht="25.95" customHeight="1">
      <c r="A128" s="12">
        <v>126</v>
      </c>
      <c r="B128" s="6">
        <v>5</v>
      </c>
      <c r="C128" s="6">
        <v>176</v>
      </c>
      <c r="D128" s="20" t="str">
        <f>IF(C128&lt;&gt;"", IFERROR(INDEX('بنود العقد'!B$3:B$388,C128),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128" s="12" t="str">
        <f>IF(C128&lt;&gt;"", IFERROR(INDEX('بنود العقد'!D$3:D$388,C128), ""), "")</f>
        <v>م.ط</v>
      </c>
      <c r="F128" s="9">
        <f>IF(C128&lt;&gt;"", IFERROR(INDEX('بنود العقد'!E$3:E$388,C128), 0), "")</f>
        <v>66</v>
      </c>
      <c r="G128" s="9">
        <f>IF(C128&lt;&gt;"", IFERROR(INDEX('بنود العقد'!F$3:F$388,C128), 0), "")</f>
        <v>532</v>
      </c>
      <c r="H128" s="18">
        <f t="shared" si="4"/>
        <v>113.52</v>
      </c>
      <c r="I128" s="7">
        <v>285.55</v>
      </c>
      <c r="J128" s="18">
        <f t="shared" si="5"/>
        <v>399.07</v>
      </c>
      <c r="K128" s="10">
        <f t="shared" si="6"/>
        <v>18846.3</v>
      </c>
      <c r="L128" s="21">
        <f t="shared" si="7"/>
        <v>75.013157894736835</v>
      </c>
    </row>
    <row r="129" spans="1:12" ht="25.95" customHeight="1">
      <c r="A129" s="12">
        <v>127</v>
      </c>
      <c r="B129" s="6">
        <v>5</v>
      </c>
      <c r="C129" s="6">
        <v>177</v>
      </c>
      <c r="D129" s="20" t="str">
        <f>IF(C129&lt;&gt;"", IFERROR(INDEX('بنود العقد'!B$3:B$388,C129),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E129" s="12" t="str">
        <f>IF(C129&lt;&gt;"", IFERROR(INDEX('بنود العقد'!D$3:D$388,C129), ""), "")</f>
        <v>م.ط</v>
      </c>
      <c r="F129" s="9">
        <f>IF(C129&lt;&gt;"", IFERROR(INDEX('بنود العقد'!E$3:E$388,C129), 0), "")</f>
        <v>70.8</v>
      </c>
      <c r="G129" s="9">
        <f>IF(C129&lt;&gt;"", IFERROR(INDEX('بنود العقد'!F$3:F$388,C129), 0), "")</f>
        <v>221</v>
      </c>
      <c r="H129" s="18">
        <f t="shared" si="4"/>
        <v>40</v>
      </c>
      <c r="I129" s="7">
        <v>6.16</v>
      </c>
      <c r="J129" s="18">
        <f t="shared" si="5"/>
        <v>46.16</v>
      </c>
      <c r="K129" s="10">
        <f t="shared" si="6"/>
        <v>436.12799999999999</v>
      </c>
      <c r="L129" s="21">
        <f t="shared" si="7"/>
        <v>20.886877828054299</v>
      </c>
    </row>
    <row r="130" spans="1:12" ht="25.95" customHeight="1">
      <c r="A130" s="12">
        <v>128</v>
      </c>
      <c r="B130" s="6">
        <v>5</v>
      </c>
      <c r="C130" s="6">
        <v>178</v>
      </c>
      <c r="D130" s="20" t="str">
        <f>IF(C130&lt;&gt;"", IFERROR(INDEX('بنود العقد'!B$3:B$388,C130),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32مم</v>
      </c>
      <c r="E130" s="12" t="str">
        <f>IF(C130&lt;&gt;"", IFERROR(INDEX('بنود العقد'!D$3:D$388,C130), ""), "")</f>
        <v>م.ط</v>
      </c>
      <c r="F130" s="9">
        <f>IF(C130&lt;&gt;"", IFERROR(INDEX('بنود العقد'!E$3:E$388,C130), 0), "")</f>
        <v>102</v>
      </c>
      <c r="G130" s="9">
        <f>IF(C130&lt;&gt;"", IFERROR(INDEX('بنود العقد'!F$3:F$388,C130), 0), "")</f>
        <v>207</v>
      </c>
      <c r="H130" s="18">
        <f t="shared" si="4"/>
        <v>30.64</v>
      </c>
      <c r="I130" s="7">
        <v>31.46</v>
      </c>
      <c r="J130" s="18">
        <f t="shared" si="5"/>
        <v>62.1</v>
      </c>
      <c r="K130" s="10">
        <f t="shared" si="6"/>
        <v>3208.92</v>
      </c>
      <c r="L130" s="21">
        <f t="shared" si="7"/>
        <v>30</v>
      </c>
    </row>
    <row r="131" spans="1:12" ht="25.95" customHeight="1">
      <c r="A131" s="12">
        <v>129</v>
      </c>
      <c r="B131" s="6">
        <v>5</v>
      </c>
      <c r="C131" s="6">
        <v>179</v>
      </c>
      <c r="D131" s="20" t="str">
        <f>IF(C131&lt;&gt;"", IFERROR(INDEX('بنود العقد'!B$3:B$388,C131),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40 مم</v>
      </c>
      <c r="E131" s="12" t="str">
        <f>IF(C131&lt;&gt;"", IFERROR(INDEX('بنود العقد'!D$3:D$388,C131), ""), "")</f>
        <v>م.ط</v>
      </c>
      <c r="F131" s="9">
        <f>IF(C131&lt;&gt;"", IFERROR(INDEX('بنود العقد'!E$3:E$388,C131), 0), "")</f>
        <v>85.2</v>
      </c>
      <c r="G131" s="9">
        <f>IF(C131&lt;&gt;"", IFERROR(INDEX('بنود العقد'!F$3:F$388,C131), 0), "")</f>
        <v>103</v>
      </c>
      <c r="H131" s="18">
        <f t="shared" ref="H131:H194" si="8">IFERROR(SUMIFS(I$3:I$1805, B$3:B$1805, "&lt;"&amp;B131, C$3:C$1805, C131), 0)</f>
        <v>39.200000000000003</v>
      </c>
      <c r="I131" s="7">
        <v>41.35</v>
      </c>
      <c r="J131" s="18">
        <f t="shared" ref="J131:J194" si="9">IF(I131&lt;&gt;"", H131+I131, 0)</f>
        <v>80.550000000000011</v>
      </c>
      <c r="K131" s="10">
        <f t="shared" ref="K131:K194" si="10">IF(AND(I131&lt;&gt;"",F131&lt;&gt;""), I131*F131, "")</f>
        <v>3523.0200000000004</v>
      </c>
      <c r="L131" s="21">
        <f t="shared" ref="L131:L194" si="11">IF(AND(J131&lt;&gt;"",G131&lt;&gt;"",G131&gt;0), J131/G131*100, "")</f>
        <v>78.203883495145647</v>
      </c>
    </row>
    <row r="132" spans="1:12" ht="25.95" customHeight="1">
      <c r="A132" s="12">
        <v>130</v>
      </c>
      <c r="B132" s="6">
        <v>5</v>
      </c>
      <c r="C132" s="6">
        <v>180</v>
      </c>
      <c r="D132" s="20" t="str">
        <f>IF(C132&lt;&gt;"", IFERROR(INDEX('بنود العقد'!B$3:B$388,C132),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الداخلية:قطر 50 مم</v>
      </c>
      <c r="E132" s="12" t="str">
        <f>IF(C132&lt;&gt;"", IFERROR(INDEX('بنود العقد'!D$3:D$388,C132), ""), "")</f>
        <v>م.ط</v>
      </c>
      <c r="F132" s="9">
        <f>IF(C132&lt;&gt;"", IFERROR(INDEX('بنود العقد'!E$3:E$388,C132), 0), "")</f>
        <v>94.8</v>
      </c>
      <c r="G132" s="9">
        <f>IF(C132&lt;&gt;"", IFERROR(INDEX('بنود العقد'!F$3:F$388,C132), 0), "")</f>
        <v>218</v>
      </c>
      <c r="H132" s="18">
        <f t="shared" si="8"/>
        <v>58.16</v>
      </c>
      <c r="I132" s="7">
        <v>32.11</v>
      </c>
      <c r="J132" s="18">
        <f t="shared" si="9"/>
        <v>90.27</v>
      </c>
      <c r="K132" s="10">
        <f t="shared" si="10"/>
        <v>3044.0279999999998</v>
      </c>
      <c r="L132" s="21">
        <f t="shared" si="11"/>
        <v>41.408256880733944</v>
      </c>
    </row>
    <row r="133" spans="1:12" ht="25.95" customHeight="1">
      <c r="A133" s="12">
        <v>131</v>
      </c>
      <c r="B133" s="6">
        <v>5</v>
      </c>
      <c r="C133" s="6">
        <v>181</v>
      </c>
      <c r="D133" s="20" t="str">
        <f>IF(C133&lt;&gt;"", IFERROR(INDEX('بنود العقد'!B$3:B$388,C133),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133" s="12" t="str">
        <f>IF(C133&lt;&gt;"", IFERROR(INDEX('بنود العقد'!D$3:D$388,C133), ""), "")</f>
        <v>م.ط</v>
      </c>
      <c r="F133" s="9">
        <f>IF(C133&lt;&gt;"", IFERROR(INDEX('بنود العقد'!E$3:E$388,C133), 0), "")</f>
        <v>70.8</v>
      </c>
      <c r="G133" s="9">
        <f>IF(C133&lt;&gt;"", IFERROR(INDEX('بنود العقد'!F$3:F$388,C133), 0), "")</f>
        <v>150</v>
      </c>
      <c r="H133" s="18">
        <f t="shared" si="8"/>
        <v>85.2</v>
      </c>
      <c r="I133" s="7">
        <v>178.65</v>
      </c>
      <c r="J133" s="18">
        <f t="shared" si="9"/>
        <v>263.85000000000002</v>
      </c>
      <c r="K133" s="10">
        <f t="shared" si="10"/>
        <v>12648.42</v>
      </c>
      <c r="L133" s="21">
        <f t="shared" si="11"/>
        <v>175.9</v>
      </c>
    </row>
    <row r="134" spans="1:12" ht="25.95" customHeight="1">
      <c r="A134" s="12">
        <v>132</v>
      </c>
      <c r="B134" s="6">
        <v>5</v>
      </c>
      <c r="C134" s="6">
        <v>182</v>
      </c>
      <c r="D134" s="20" t="str">
        <f>IF(C134&lt;&gt;"", IFERROR(INDEX('بنود العقد'!B$3:B$388,C134),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E134" s="12" t="str">
        <f>IF(C134&lt;&gt;"", IFERROR(INDEX('بنود العقد'!D$3:D$388,C134), ""), "")</f>
        <v>م.ط</v>
      </c>
      <c r="F134" s="9">
        <f>IF(C134&lt;&gt;"", IFERROR(INDEX('بنود العقد'!E$3:E$388,C134), 0), "")</f>
        <v>75.599999999999994</v>
      </c>
      <c r="G134" s="9">
        <f>IF(C134&lt;&gt;"", IFERROR(INDEX('بنود العقد'!F$3:F$388,C134), 0), "")</f>
        <v>100</v>
      </c>
      <c r="H134" s="18">
        <f t="shared" si="8"/>
        <v>0</v>
      </c>
      <c r="I134" s="7">
        <v>31.5</v>
      </c>
      <c r="J134" s="18">
        <f t="shared" si="9"/>
        <v>31.5</v>
      </c>
      <c r="K134" s="10">
        <f t="shared" si="10"/>
        <v>2381.3999999999996</v>
      </c>
      <c r="L134" s="21">
        <f t="shared" si="11"/>
        <v>31.5</v>
      </c>
    </row>
    <row r="135" spans="1:12" ht="25.95" customHeight="1">
      <c r="A135" s="12">
        <v>133</v>
      </c>
      <c r="B135" s="6">
        <v>5</v>
      </c>
      <c r="C135" s="6">
        <v>185</v>
      </c>
      <c r="D135" s="20" t="str">
        <f>IF(C135&lt;&gt;"", IFERROR(INDEX('بنود العقد'!B$3:B$388,C135),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v>
      </c>
      <c r="E135" s="12" t="str">
        <f>IF(C135&lt;&gt;"", IFERROR(INDEX('بنود العقد'!D$3:D$388,C135), ""), "")</f>
        <v>م.ط</v>
      </c>
      <c r="F135" s="9">
        <f>IF(C135&lt;&gt;"", IFERROR(INDEX('بنود العقد'!E$3:E$388,C135), 0), "")</f>
        <v>75.599999999999994</v>
      </c>
      <c r="G135" s="9">
        <f>IF(C135&lt;&gt;"", IFERROR(INDEX('بنود العقد'!F$3:F$388,C135), 0), "")</f>
        <v>426</v>
      </c>
      <c r="H135" s="18">
        <f t="shared" si="8"/>
        <v>263.88</v>
      </c>
      <c r="I135" s="7">
        <v>239.5</v>
      </c>
      <c r="J135" s="18">
        <f t="shared" si="9"/>
        <v>503.38</v>
      </c>
      <c r="K135" s="10">
        <f t="shared" si="10"/>
        <v>18106.199999999997</v>
      </c>
      <c r="L135" s="21">
        <f t="shared" si="11"/>
        <v>118.16431924882629</v>
      </c>
    </row>
    <row r="136" spans="1:12" ht="25.95" customHeight="1">
      <c r="A136" s="12">
        <v>134</v>
      </c>
      <c r="B136" s="6">
        <v>5</v>
      </c>
      <c r="C136" s="6">
        <v>186</v>
      </c>
      <c r="D136" s="20" t="str">
        <f>IF(C136&lt;&gt;"", IFERROR(INDEX('بنود العقد'!B$3:B$388,C136),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75 مم</v>
      </c>
      <c r="E136" s="12" t="str">
        <f>IF(C136&lt;&gt;"", IFERROR(INDEX('بنود العقد'!D$3:D$388,C136), ""), "")</f>
        <v>م.ط</v>
      </c>
      <c r="F136" s="9">
        <f>IF(C136&lt;&gt;"", IFERROR(INDEX('بنود العقد'!E$3:E$388,C136), 0), "")</f>
        <v>91.2</v>
      </c>
      <c r="G136" s="9">
        <f>IF(C136&lt;&gt;"", IFERROR(INDEX('بنود العقد'!F$3:F$388,C136), 0), "")</f>
        <v>934</v>
      </c>
      <c r="H136" s="18">
        <f t="shared" si="8"/>
        <v>187.11</v>
      </c>
      <c r="I136" s="7">
        <v>110.34</v>
      </c>
      <c r="J136" s="18">
        <f t="shared" si="9"/>
        <v>297.45000000000005</v>
      </c>
      <c r="K136" s="10">
        <f t="shared" si="10"/>
        <v>10063.008</v>
      </c>
      <c r="L136" s="21">
        <f t="shared" si="11"/>
        <v>31.846895074946474</v>
      </c>
    </row>
    <row r="137" spans="1:12" ht="25.95" customHeight="1">
      <c r="A137" s="12">
        <v>135</v>
      </c>
      <c r="B137" s="6">
        <v>5</v>
      </c>
      <c r="C137" s="6">
        <v>187</v>
      </c>
      <c r="D137" s="20" t="str">
        <f>IF(C137&lt;&gt;"", IFERROR(INDEX('بنود العقد'!B$3:B$388,C137),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v>
      </c>
      <c r="E137" s="12" t="str">
        <f>IF(C137&lt;&gt;"", IFERROR(INDEX('بنود العقد'!D$3:D$388,C137), ""), "")</f>
        <v>م.ط</v>
      </c>
      <c r="F137" s="9">
        <f>IF(C137&lt;&gt;"", IFERROR(INDEX('بنود العقد'!E$3:E$388,C137), 0), "")</f>
        <v>102</v>
      </c>
      <c r="G137" s="9">
        <f>IF(C137&lt;&gt;"", IFERROR(INDEX('بنود العقد'!F$3:F$388,C137), 0), "")</f>
        <v>961</v>
      </c>
      <c r="H137" s="18">
        <f t="shared" si="8"/>
        <v>442.79999999999995</v>
      </c>
      <c r="I137" s="7">
        <v>341.37</v>
      </c>
      <c r="J137" s="18">
        <f t="shared" si="9"/>
        <v>784.17</v>
      </c>
      <c r="K137" s="10">
        <f t="shared" si="10"/>
        <v>34819.74</v>
      </c>
      <c r="L137" s="21">
        <f t="shared" si="11"/>
        <v>81.599375650364209</v>
      </c>
    </row>
    <row r="138" spans="1:12" ht="25.95" customHeight="1">
      <c r="A138" s="12">
        <v>136</v>
      </c>
      <c r="B138" s="6">
        <v>5</v>
      </c>
      <c r="C138" s="6">
        <v>199</v>
      </c>
      <c r="D138" s="20" t="str">
        <f>IF(C138&lt;&gt;"", IFERROR(INDEX('بنود العقد'!B$3:B$388,C138),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E138" s="12" t="str">
        <f>IF(C138&lt;&gt;"", IFERROR(INDEX('بنود العقد'!D$3:D$388,C138), ""), "")</f>
        <v>م.ط</v>
      </c>
      <c r="F138" s="9">
        <f>IF(C138&lt;&gt;"", IFERROR(INDEX('بنود العقد'!E$3:E$388,C138), 0), "")</f>
        <v>108</v>
      </c>
      <c r="G138" s="9">
        <f>IF(C138&lt;&gt;"", IFERROR(INDEX('بنود العقد'!F$3:F$388,C138), 0), "")</f>
        <v>3900</v>
      </c>
      <c r="H138" s="18">
        <f t="shared" si="8"/>
        <v>1273.5999999999999</v>
      </c>
      <c r="I138" s="7">
        <v>409.6</v>
      </c>
      <c r="J138" s="18">
        <f t="shared" si="9"/>
        <v>1683.1999999999998</v>
      </c>
      <c r="K138" s="10">
        <f t="shared" si="10"/>
        <v>44236.800000000003</v>
      </c>
      <c r="L138" s="21">
        <f t="shared" si="11"/>
        <v>43.158974358974355</v>
      </c>
    </row>
    <row r="139" spans="1:12" ht="25.95" customHeight="1">
      <c r="A139" s="12">
        <v>137</v>
      </c>
      <c r="B139" s="6">
        <v>5</v>
      </c>
      <c r="C139" s="6">
        <v>200</v>
      </c>
      <c r="D139" s="20" t="str">
        <f>IF(C139&lt;&gt;"", IFERROR(INDEX('بنود العقد'!B$3:B$388,C139),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28</v>
      </c>
      <c r="E139" s="12" t="str">
        <f>IF(C139&lt;&gt;"", IFERROR(INDEX('بنود العقد'!D$3:D$388,C139), ""), "")</f>
        <v>م.ط</v>
      </c>
      <c r="F139" s="9">
        <f>IF(C139&lt;&gt;"", IFERROR(INDEX('بنود العقد'!E$3:E$388,C139), 0), "")</f>
        <v>138</v>
      </c>
      <c r="G139" s="9">
        <f>IF(C139&lt;&gt;"", IFERROR(INDEX('بنود العقد'!F$3:F$388,C139), 0), "")</f>
        <v>323</v>
      </c>
      <c r="H139" s="18">
        <f t="shared" si="8"/>
        <v>108</v>
      </c>
      <c r="I139" s="7">
        <v>36</v>
      </c>
      <c r="J139" s="18">
        <f t="shared" si="9"/>
        <v>144</v>
      </c>
      <c r="K139" s="10">
        <f t="shared" si="10"/>
        <v>4968</v>
      </c>
      <c r="L139" s="21">
        <f t="shared" si="11"/>
        <v>44.582043343653247</v>
      </c>
    </row>
    <row r="140" spans="1:12" ht="25.95" customHeight="1">
      <c r="A140" s="12">
        <v>138</v>
      </c>
      <c r="B140" s="6">
        <v>5</v>
      </c>
      <c r="C140" s="6">
        <v>201</v>
      </c>
      <c r="D140" s="20" t="str">
        <f>IF(C140&lt;&gt;"", IFERROR(INDEX('بنود العقد'!B$3:B$388,C140),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33</v>
      </c>
      <c r="E140" s="12" t="str">
        <f>IF(C140&lt;&gt;"", IFERROR(INDEX('بنود العقد'!D$3:D$388,C140), ""), "")</f>
        <v>م.ط</v>
      </c>
      <c r="F140" s="9">
        <f>IF(C140&lt;&gt;"", IFERROR(INDEX('بنود العقد'!E$3:E$388,C140), 0), "")</f>
        <v>192</v>
      </c>
      <c r="G140" s="9">
        <f>IF(C140&lt;&gt;"", IFERROR(INDEX('بنود العقد'!F$3:F$388,C140), 0), "")</f>
        <v>660</v>
      </c>
      <c r="H140" s="18">
        <f t="shared" si="8"/>
        <v>167.2</v>
      </c>
      <c r="I140" s="7">
        <v>68.400000000000006</v>
      </c>
      <c r="J140" s="18">
        <f t="shared" si="9"/>
        <v>235.6</v>
      </c>
      <c r="K140" s="10">
        <f t="shared" si="10"/>
        <v>13132.800000000001</v>
      </c>
      <c r="L140" s="21">
        <f t="shared" si="11"/>
        <v>35.696969696969695</v>
      </c>
    </row>
    <row r="141" spans="1:12" ht="25.95" customHeight="1">
      <c r="A141" s="12">
        <v>139</v>
      </c>
      <c r="B141" s="6">
        <v>5</v>
      </c>
      <c r="C141" s="6">
        <v>202</v>
      </c>
      <c r="D141" s="20" t="str">
        <f>IF(C141&lt;&gt;"", IFERROR(INDEX('بنود العقد'!B$3:B$388,C141),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40</v>
      </c>
      <c r="E141" s="12" t="str">
        <f>IF(C141&lt;&gt;"", IFERROR(INDEX('بنود العقد'!D$3:D$388,C141), ""), "")</f>
        <v>م.ط</v>
      </c>
      <c r="F141" s="9">
        <f>IF(C141&lt;&gt;"", IFERROR(INDEX('بنود العقد'!E$3:E$388,C141), 0), "")</f>
        <v>222</v>
      </c>
      <c r="G141" s="9">
        <f>IF(C141&lt;&gt;"", IFERROR(INDEX('بنود العقد'!F$3:F$388,C141), 0), "")</f>
        <v>600</v>
      </c>
      <c r="H141" s="18">
        <f t="shared" si="8"/>
        <v>132.80000000000001</v>
      </c>
      <c r="I141" s="7">
        <v>47.2</v>
      </c>
      <c r="J141" s="18">
        <f t="shared" si="9"/>
        <v>180</v>
      </c>
      <c r="K141" s="10">
        <f t="shared" si="10"/>
        <v>10478.400000000001</v>
      </c>
      <c r="L141" s="21">
        <f t="shared" si="11"/>
        <v>30</v>
      </c>
    </row>
    <row r="142" spans="1:12" ht="25.95" customHeight="1">
      <c r="A142" s="12">
        <v>140</v>
      </c>
      <c r="B142" s="6">
        <v>5</v>
      </c>
      <c r="C142" s="6">
        <v>203</v>
      </c>
      <c r="D142" s="20" t="str">
        <f>IF(C142&lt;&gt;"", IFERROR(INDEX('بنود العقد'!B$3:B$388,C142),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63</v>
      </c>
      <c r="E142" s="12" t="str">
        <f>IF(C142&lt;&gt;"", IFERROR(INDEX('بنود العقد'!D$3:D$388,C142), ""), "")</f>
        <v>م.ط</v>
      </c>
      <c r="F142" s="9">
        <f>IF(C142&lt;&gt;"", IFERROR(INDEX('بنود العقد'!E$3:E$388,C142), 0), "")</f>
        <v>240</v>
      </c>
      <c r="G142" s="9">
        <f>IF(C142&lt;&gt;"", IFERROR(INDEX('بنود العقد'!F$3:F$388,C142), 0), "")</f>
        <v>646</v>
      </c>
      <c r="H142" s="18">
        <f t="shared" si="8"/>
        <v>169.6</v>
      </c>
      <c r="I142" s="7">
        <v>69.599999999999994</v>
      </c>
      <c r="J142" s="18">
        <f t="shared" si="9"/>
        <v>239.2</v>
      </c>
      <c r="K142" s="10">
        <f t="shared" si="10"/>
        <v>16704</v>
      </c>
      <c r="L142" s="21">
        <f t="shared" si="11"/>
        <v>37.027863777089784</v>
      </c>
    </row>
    <row r="143" spans="1:12" ht="25.95" customHeight="1">
      <c r="A143" s="12">
        <v>141</v>
      </c>
      <c r="B143" s="6">
        <v>5</v>
      </c>
      <c r="C143" s="6">
        <v>204</v>
      </c>
      <c r="D143" s="20" t="str">
        <f>IF(C143&lt;&gt;"", IFERROR(INDEX('بنود العقد'!B$3:B$388,C143),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77</v>
      </c>
      <c r="E143" s="12" t="str">
        <f>IF(C143&lt;&gt;"", IFERROR(INDEX('بنود العقد'!D$3:D$388,C143), ""), "")</f>
        <v>م.ط</v>
      </c>
      <c r="F143" s="9">
        <f>IF(C143&lt;&gt;"", IFERROR(INDEX('بنود العقد'!E$3:E$388,C143), 0), "")</f>
        <v>288</v>
      </c>
      <c r="G143" s="9">
        <f>IF(C143&lt;&gt;"", IFERROR(INDEX('بنود العقد'!F$3:F$388,C143), 0), "")</f>
        <v>110</v>
      </c>
      <c r="H143" s="18">
        <f t="shared" si="8"/>
        <v>94.4</v>
      </c>
      <c r="I143" s="7">
        <v>22.4</v>
      </c>
      <c r="J143" s="18">
        <f t="shared" si="9"/>
        <v>116.80000000000001</v>
      </c>
      <c r="K143" s="10">
        <f t="shared" si="10"/>
        <v>6451.2</v>
      </c>
      <c r="L143" s="21">
        <f t="shared" si="11"/>
        <v>106.1818181818182</v>
      </c>
    </row>
    <row r="144" spans="1:12" ht="25.95" customHeight="1">
      <c r="A144" s="12">
        <v>142</v>
      </c>
      <c r="B144" s="6">
        <v>5</v>
      </c>
      <c r="C144" s="6">
        <v>206</v>
      </c>
      <c r="D144" s="20" t="str">
        <f>IF(C144&lt;&gt;"", IFERROR(INDEX('بنود العقد'!B$3:B$388,C144),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141</v>
      </c>
      <c r="E144" s="12" t="str">
        <f>IF(C144&lt;&gt;"", IFERROR(INDEX('بنود العقد'!D$3:D$388,C144), ""), "")</f>
        <v>م.ط</v>
      </c>
      <c r="F144" s="9">
        <f>IF(C144&lt;&gt;"", IFERROR(INDEX('بنود العقد'!E$3:E$388,C144), 0), "")</f>
        <v>360</v>
      </c>
      <c r="G144" s="9">
        <f>IF(C144&lt;&gt;"", IFERROR(INDEX('بنود العقد'!F$3:F$388,C144), 0), "")</f>
        <v>200</v>
      </c>
      <c r="H144" s="18">
        <f t="shared" si="8"/>
        <v>156.80000000000001</v>
      </c>
      <c r="I144" s="7">
        <v>61.6</v>
      </c>
      <c r="J144" s="18">
        <f t="shared" si="9"/>
        <v>218.4</v>
      </c>
      <c r="K144" s="10">
        <f t="shared" si="10"/>
        <v>22176</v>
      </c>
      <c r="L144" s="21">
        <f t="shared" si="11"/>
        <v>109.2</v>
      </c>
    </row>
    <row r="145" spans="1:13" ht="25.95" customHeight="1">
      <c r="A145" s="12">
        <v>143</v>
      </c>
      <c r="B145" s="6">
        <v>5</v>
      </c>
      <c r="C145" s="6">
        <v>221</v>
      </c>
      <c r="D145" s="20" t="str">
        <f>IF(C145&lt;&gt;"", IFERROR(INDEX('بنود العقد'!B$3:B$388,C145),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01-VAV ، اجمالي الهواء 0-250 ) ق/د( استطاعة التخزين 5.1 )ك/و(</v>
      </c>
      <c r="E145" s="12" t="str">
        <f>IF(C145&lt;&gt;"", IFERROR(INDEX('بنود العقد'!D$3:D$388,C145), ""), "")</f>
        <v>عدد</v>
      </c>
      <c r="F145" s="9">
        <f>IF(C145&lt;&gt;"", IFERROR(INDEX('بنود العقد'!E$3:E$388,C145), 0), "")</f>
        <v>6600</v>
      </c>
      <c r="G145" s="9">
        <f>IF(C145&lt;&gt;"", IFERROR(INDEX('بنود العقد'!F$3:F$388,C145), 0), "")</f>
        <v>9</v>
      </c>
      <c r="H145" s="18">
        <f t="shared" si="8"/>
        <v>0</v>
      </c>
      <c r="I145" s="7">
        <v>3</v>
      </c>
      <c r="J145" s="18">
        <f t="shared" si="9"/>
        <v>3</v>
      </c>
      <c r="K145" s="10">
        <f t="shared" si="10"/>
        <v>19800</v>
      </c>
      <c r="L145" s="21">
        <f t="shared" si="11"/>
        <v>33.333333333333329</v>
      </c>
    </row>
    <row r="146" spans="1:13" ht="25.95" customHeight="1">
      <c r="A146" s="12">
        <v>144</v>
      </c>
      <c r="B146" s="6">
        <v>5</v>
      </c>
      <c r="C146" s="6">
        <v>222</v>
      </c>
      <c r="D146" s="20" t="str">
        <f>IF(C146&lt;&gt;"", IFERROR(INDEX('بنود العقد'!B$3:B$388,C146),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02-VAV ، اجمالي الهواء 0-500 ) ق/د( استطاعة التخزين 2 )ك/و(</v>
      </c>
      <c r="E146" s="12" t="str">
        <f>IF(C146&lt;&gt;"", IFERROR(INDEX('بنود العقد'!D$3:D$388,C146), ""), "")</f>
        <v>عدد</v>
      </c>
      <c r="F146" s="9">
        <f>IF(C146&lt;&gt;"", IFERROR(INDEX('بنود العقد'!E$3:E$388,C146), 0), "")</f>
        <v>6960</v>
      </c>
      <c r="G146" s="9">
        <f>IF(C146&lt;&gt;"", IFERROR(INDEX('بنود العقد'!F$3:F$388,C146), 0), "")</f>
        <v>127</v>
      </c>
      <c r="H146" s="18">
        <f t="shared" si="8"/>
        <v>0</v>
      </c>
      <c r="I146" s="7">
        <v>27</v>
      </c>
      <c r="J146" s="18">
        <f t="shared" si="9"/>
        <v>27</v>
      </c>
      <c r="K146" s="10">
        <f t="shared" si="10"/>
        <v>187920</v>
      </c>
      <c r="L146" s="21">
        <f t="shared" si="11"/>
        <v>21.259842519685041</v>
      </c>
    </row>
    <row r="147" spans="1:13" ht="25.95" customHeight="1">
      <c r="A147" s="12">
        <v>145</v>
      </c>
      <c r="B147" s="6">
        <v>5</v>
      </c>
      <c r="C147" s="6">
        <v>223</v>
      </c>
      <c r="D147" s="20" t="str">
        <f>IF(C147&lt;&gt;"", IFERROR(INDEX('بنود العقد'!B$3:B$388,C147), "⚠"), "")</f>
        <v xml:space="preserve">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03-VAV ، اجمالي الهواء 0-750 ) ق/د( استطاعة التخزين 3 )ك/و( </v>
      </c>
      <c r="E147" s="12" t="str">
        <f>IF(C147&lt;&gt;"", IFERROR(INDEX('بنود العقد'!D$3:D$388,C147), ""), "")</f>
        <v>عدد</v>
      </c>
      <c r="F147" s="9">
        <f>IF(C147&lt;&gt;"", IFERROR(INDEX('بنود العقد'!E$3:E$388,C147), 0), "")</f>
        <v>7200</v>
      </c>
      <c r="G147" s="9">
        <f>IF(C147&lt;&gt;"", IFERROR(INDEX('بنود العقد'!F$3:F$388,C147), 0), "")</f>
        <v>51</v>
      </c>
      <c r="H147" s="18">
        <f t="shared" si="8"/>
        <v>0</v>
      </c>
      <c r="I147" s="7">
        <v>18</v>
      </c>
      <c r="J147" s="18">
        <f t="shared" si="9"/>
        <v>18</v>
      </c>
      <c r="K147" s="10">
        <f t="shared" si="10"/>
        <v>129600</v>
      </c>
      <c r="L147" s="21">
        <f t="shared" si="11"/>
        <v>35.294117647058826</v>
      </c>
    </row>
    <row r="148" spans="1:13" ht="25.95" customHeight="1">
      <c r="A148" s="12">
        <v>146</v>
      </c>
      <c r="B148" s="6">
        <v>5</v>
      </c>
      <c r="C148" s="6">
        <v>224</v>
      </c>
      <c r="D148" s="20" t="str">
        <f>IF(C148&lt;&gt;"", IFERROR(INDEX('بنود العقد'!B$3:B$388,C148),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04-VAV ، اجمالي الهواء 0-1000 ) ق/د( استطاعة التخزين 5.3 )ك/و(</v>
      </c>
      <c r="E148" s="12" t="str">
        <f>IF(C148&lt;&gt;"", IFERROR(INDEX('بنود العقد'!D$3:D$388,C148), ""), "")</f>
        <v>عدد</v>
      </c>
      <c r="F148" s="9">
        <f>IF(C148&lt;&gt;"", IFERROR(INDEX('بنود العقد'!E$3:E$388,C148), 0), "")</f>
        <v>7200</v>
      </c>
      <c r="G148" s="9">
        <f>IF(C148&lt;&gt;"", IFERROR(INDEX('بنود العقد'!F$3:F$388,C148), 0), "")</f>
        <v>24</v>
      </c>
      <c r="H148" s="18">
        <f t="shared" si="8"/>
        <v>0</v>
      </c>
      <c r="I148" s="7">
        <v>8</v>
      </c>
      <c r="J148" s="18">
        <f t="shared" si="9"/>
        <v>8</v>
      </c>
      <c r="K148" s="10">
        <f t="shared" si="10"/>
        <v>57600</v>
      </c>
      <c r="L148" s="21">
        <f t="shared" si="11"/>
        <v>33.333333333333329</v>
      </c>
    </row>
    <row r="149" spans="1:13" ht="25.95" customHeight="1">
      <c r="A149" s="12">
        <v>147</v>
      </c>
      <c r="B149" s="6">
        <v>5</v>
      </c>
      <c r="C149" s="6">
        <v>225</v>
      </c>
      <c r="D149" s="20" t="str">
        <f>IF(C149&lt;&gt;"", IFERROR(INDEX('بنود العقد'!B$3:B$388,C149),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05-VAV ، اجمالي الهواء 0-1500 ) ق/د( استطاعة التخزين 5.3 )ك/و(</v>
      </c>
      <c r="E149" s="12" t="str">
        <f>IF(C149&lt;&gt;"", IFERROR(INDEX('بنود العقد'!D$3:D$388,C149), ""), "")</f>
        <v>عدد</v>
      </c>
      <c r="F149" s="9">
        <f>IF(C149&lt;&gt;"", IFERROR(INDEX('بنود العقد'!E$3:E$388,C149), 0), "")</f>
        <v>9000</v>
      </c>
      <c r="G149" s="9">
        <f>IF(C149&lt;&gt;"", IFERROR(INDEX('بنود العقد'!F$3:F$388,C149), 0), "")</f>
        <v>44</v>
      </c>
      <c r="H149" s="18">
        <f t="shared" si="8"/>
        <v>0</v>
      </c>
      <c r="I149" s="7">
        <v>11</v>
      </c>
      <c r="J149" s="18">
        <f t="shared" si="9"/>
        <v>11</v>
      </c>
      <c r="K149" s="10">
        <f t="shared" si="10"/>
        <v>99000</v>
      </c>
      <c r="L149" s="21">
        <f t="shared" si="11"/>
        <v>25</v>
      </c>
    </row>
    <row r="150" spans="1:13" ht="25.95" customHeight="1">
      <c r="A150" s="12">
        <v>148</v>
      </c>
      <c r="B150" s="6">
        <v>5</v>
      </c>
      <c r="C150" s="6">
        <v>226</v>
      </c>
      <c r="D150" s="20" t="str">
        <f>IF(C150&lt;&gt;"", IFERROR(INDEX('بنود العقد'!B$3:B$388,C150),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06-VAV ، اجمالي الهواء 0-2000 ) ق/د( استطاعة التخزين 6.3 )ك/و(</v>
      </c>
      <c r="E150" s="12" t="str">
        <f>IF(C150&lt;&gt;"", IFERROR(INDEX('بنود العقد'!D$3:D$388,C150), ""), "")</f>
        <v>عدد</v>
      </c>
      <c r="F150" s="9">
        <f>IF(C150&lt;&gt;"", IFERROR(INDEX('بنود العقد'!E$3:E$388,C150), 0), "")</f>
        <v>10200</v>
      </c>
      <c r="G150" s="9">
        <f>IF(C150&lt;&gt;"", IFERROR(INDEX('بنود العقد'!F$3:F$388,C150), 0), "")</f>
        <v>49</v>
      </c>
      <c r="H150" s="18">
        <f t="shared" si="8"/>
        <v>0</v>
      </c>
      <c r="I150" s="7">
        <v>7</v>
      </c>
      <c r="J150" s="18">
        <f t="shared" si="9"/>
        <v>7</v>
      </c>
      <c r="K150" s="10">
        <f t="shared" si="10"/>
        <v>71400</v>
      </c>
      <c r="L150" s="21">
        <f t="shared" si="11"/>
        <v>14.285714285714285</v>
      </c>
    </row>
    <row r="151" spans="1:13" ht="25.95" customHeight="1">
      <c r="A151" s="12">
        <v>149</v>
      </c>
      <c r="B151" s="6">
        <v>5</v>
      </c>
      <c r="C151" s="6">
        <v>227</v>
      </c>
      <c r="D151" s="20" t="str">
        <f>IF(C151&lt;&gt;"", IFERROR(INDEX('بنود العقد'!B$3:B$388,C151),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07-VAV ، اجمالي الهواء 0-2500 ) ق/د( استطاعة التخزين 7.3 )ك/و(</v>
      </c>
      <c r="E151" s="12" t="str">
        <f>IF(C151&lt;&gt;"", IFERROR(INDEX('بنود العقد'!D$3:D$388,C151), ""), "")</f>
        <v>عدد</v>
      </c>
      <c r="F151" s="9">
        <f>IF(C151&lt;&gt;"", IFERROR(INDEX('بنود العقد'!E$3:E$388,C151), 0), "")</f>
        <v>10800</v>
      </c>
      <c r="G151" s="9">
        <f>IF(C151&lt;&gt;"", IFERROR(INDEX('بنود العقد'!F$3:F$388,C151), 0), "")</f>
        <v>24</v>
      </c>
      <c r="H151" s="18">
        <f t="shared" si="8"/>
        <v>0</v>
      </c>
      <c r="I151" s="7">
        <v>1</v>
      </c>
      <c r="J151" s="18">
        <f t="shared" si="9"/>
        <v>1</v>
      </c>
      <c r="K151" s="10">
        <f t="shared" si="10"/>
        <v>10800</v>
      </c>
      <c r="L151" s="21">
        <f t="shared" si="11"/>
        <v>4.1666666666666661</v>
      </c>
    </row>
    <row r="152" spans="1:13" ht="25.95" customHeight="1">
      <c r="A152" s="12">
        <v>150</v>
      </c>
      <c r="B152" s="6">
        <v>5</v>
      </c>
      <c r="C152" s="6">
        <v>230</v>
      </c>
      <c r="D152" s="20" t="str">
        <f>IF(C152&lt;&gt;"", IFERROR(INDEX('بنود العقد'!B$3:B$388,C152),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E152" s="12" t="str">
        <f>IF(C152&lt;&gt;"", IFERROR(INDEX('بنود العقد'!D$3:D$388,C152), ""), "")</f>
        <v>م.ط</v>
      </c>
      <c r="F152" s="9">
        <f>IF(C152&lt;&gt;"", IFERROR(INDEX('بنود العقد'!E$3:E$388,C152), 0), "")</f>
        <v>300</v>
      </c>
      <c r="G152" s="9">
        <f>IF(C152&lt;&gt;"", IFERROR(INDEX('بنود العقد'!F$3:F$388,C152), 0), "")</f>
        <v>7000</v>
      </c>
      <c r="H152" s="18">
        <f t="shared" si="8"/>
        <v>1945.75</v>
      </c>
      <c r="I152" s="7">
        <v>619</v>
      </c>
      <c r="J152" s="18">
        <f t="shared" si="9"/>
        <v>2564.75</v>
      </c>
      <c r="K152" s="10">
        <f t="shared" si="10"/>
        <v>185700</v>
      </c>
      <c r="L152" s="21">
        <f t="shared" si="11"/>
        <v>36.639285714285712</v>
      </c>
    </row>
    <row r="153" spans="1:13" ht="25.95" customHeight="1">
      <c r="A153" s="12">
        <v>151</v>
      </c>
      <c r="B153" s="6">
        <v>5</v>
      </c>
      <c r="C153" s="6">
        <v>243</v>
      </c>
      <c r="D153" s="20" t="str">
        <f>IF(C153&lt;&gt;"", IFERROR(INDEX('بنود العقد'!B$3:B$388,C153), "⚠"), "")</f>
        <v>نظام إدارة المبنى BMS    تصميم وتوريد وتركيب نظام لإدارة المبنى أتوماتيكياً على أن يكون نظام التشغيل )OPEN PROTOCOL ( حسب توصيات الاستشارى المشرف وذلك للتحكم في تشغيل ومراقبة الانظمة الميكانيكية والكهربائية التالية :                                                  ـ التشلرات والمراوح ووحدات مناولة الهواء ووحدات ملف المروحة ومضخات المياه ووحدة ضخ الهواء وإنظمة الحريق والتحكم في الأنظمة والمعدات الميكانيكية بالمبنى - والتحكم في تشغيل ومتابعة حالة اللوحات الكهربائية الرئيسية والثانوية والمصاعد وكل الأنظمة التي يراها الاستشاري لأزمة مع الأخذ في الاعتبار قابلية التوسع في المباني المستقبلية .توريد وتركيب وتوصيل نظام إدارة المباني ) BMS ( لأنظمة HVAC ، وأنظمة السباكة ، ونظام الحريق ، والأنظمة الكهربائية والخدمات الخارجية ، كاملة بما في ذلك وحدات التحكم ونقاط التحكم والأسلاك والقنوات وصناديق السحب وصناديق التوصيل الثانوية وجميع عمليات التثبيت الضرورية مستلزمات؛ كل ما هو محدد ومفصل على الرسومات والموصوفة في المواصفات. والنظام يجب ان يتضمن البرامج واجهزة التحكم واجهزة المواقع ونقاط التحكم والاسلاك المتصلة بباقي الانظمة والمواسير وعلب السحب وعلب التوصيل الثانوية وجميع اكسسوارات ومتطلبات التركيبات الضرورية وهذه الاجهزة يجب ان يتم توصيلها مع جميع انظمة شبكة IP سواء من خلال تمكين اجهزة IP او من خلال بوابة IP او الموزع ويجب ان تشمل وحدات التحكم الطرفية التركيبات الضرورية والبرمجة والدمج عند اللزوم لتأسيس الاتصال والتعامل بين اجهزة التركيبات الالكتروميكانيكية وانظمة السلامة وانظمة الامن حسب اوامر ونظام التشغيل ووفقا لنظام وحسب تعليمات مهندس المشرف و يجب ان يتوافق النظام مع الانظمة الحالية للترشيد و المراقبة و يكون النظام لكامل المبني</v>
      </c>
      <c r="E153" s="12" t="str">
        <f>IF(C153&lt;&gt;"", IFERROR(INDEX('بنود العقد'!D$3:D$388,C153), ""), "")</f>
        <v>عدد</v>
      </c>
      <c r="F153" s="9">
        <f>IF(C153&lt;&gt;"", IFERROR(INDEX('بنود العقد'!E$3:E$388,C153), 0), "")</f>
        <v>2520000</v>
      </c>
      <c r="G153" s="9">
        <f>IF(C153&lt;&gt;"", IFERROR(INDEX('بنود العقد'!F$3:F$388,C153), 0), "")</f>
        <v>1</v>
      </c>
      <c r="H153" s="18">
        <f t="shared" si="8"/>
        <v>0</v>
      </c>
      <c r="I153" s="7">
        <v>0.25</v>
      </c>
      <c r="J153" s="18">
        <f t="shared" si="9"/>
        <v>0.25</v>
      </c>
      <c r="K153" s="10">
        <f t="shared" si="10"/>
        <v>630000</v>
      </c>
      <c r="L153" s="21">
        <f t="shared" si="11"/>
        <v>25</v>
      </c>
    </row>
    <row r="154" spans="1:13" ht="25.95" customHeight="1">
      <c r="A154" s="12">
        <v>152</v>
      </c>
      <c r="B154" s="6">
        <v>5</v>
      </c>
      <c r="C154" s="6">
        <v>249</v>
      </c>
      <c r="D154" s="20" t="str">
        <f>IF(C154&lt;&gt;"", IFERROR(INDEX('بنود العقد'!B$3:B$388,C154),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مقبس ثنائي سقفى، من النوع المؤرض، 15 أمبير، 230 فولت، طور واحد، قطبين، 3 أسلاك.</v>
      </c>
      <c r="E154" s="12" t="str">
        <f>IF(C154&lt;&gt;"", IFERROR(INDEX('بنود العقد'!D$3:D$388,C154), ""), "")</f>
        <v>عدد</v>
      </c>
      <c r="F154" s="9">
        <f>IF(C154&lt;&gt;"", IFERROR(INDEX('بنود العقد'!E$3:E$388,C154), 0), "")</f>
        <v>216</v>
      </c>
      <c r="G154" s="9">
        <f>IF(C154&lt;&gt;"", IFERROR(INDEX('بنود العقد'!F$3:F$388,C154), 0), "")</f>
        <v>126</v>
      </c>
      <c r="H154" s="18">
        <f t="shared" si="8"/>
        <v>8</v>
      </c>
      <c r="I154" s="7">
        <v>4</v>
      </c>
      <c r="J154" s="18">
        <f t="shared" si="9"/>
        <v>12</v>
      </c>
      <c r="K154" s="10">
        <f t="shared" si="10"/>
        <v>864</v>
      </c>
      <c r="L154" s="21">
        <f t="shared" si="11"/>
        <v>9.5238095238095237</v>
      </c>
    </row>
    <row r="155" spans="1:13" ht="25.95" customHeight="1">
      <c r="A155" s="12">
        <v>153</v>
      </c>
      <c r="B155" s="6">
        <v>5</v>
      </c>
      <c r="C155" s="6">
        <v>261</v>
      </c>
      <c r="D155" s="20" t="str">
        <f>IF(C155&lt;&gt;"", IFERROR(INDEX('بنود العقد'!B$3:B$388,C155), "⚠"), "")</f>
        <v xml:space="preserve"> توريد وتركيب واختبار والتشغيل التجريبي لمفاتيح فصل على الحمل من النوع عالية التحمل مع ماسورة  التثبيت المعدنية المرنة والمانعة لنفاذ السوائل، وقطع الإكسسوارعلى المقاول المعاينة و فحص الشبكة الحالية و الاستفادة من التمديدات الحالية و دمجها مع التركيبات الجديدة بعد عمل الاختبارات اللازمة و بعدالموافقة من مهندس المشرف  وبالإستطاعات التالية 30 A, 250 V, 2P</v>
      </c>
      <c r="E155" s="12" t="str">
        <f>IF(C155&lt;&gt;"", IFERROR(INDEX('بنود العقد'!D$3:D$388,C155), ""), "")</f>
        <v>عدد</v>
      </c>
      <c r="F155" s="9">
        <f>IF(C155&lt;&gt;"", IFERROR(INDEX('بنود العقد'!E$3:E$388,C155), 0), "")</f>
        <v>384</v>
      </c>
      <c r="G155" s="9">
        <f>IF(C155&lt;&gt;"", IFERROR(INDEX('بنود العقد'!F$3:F$388,C155), 0), "")</f>
        <v>445</v>
      </c>
      <c r="H155" s="18">
        <f t="shared" si="8"/>
        <v>0</v>
      </c>
      <c r="I155" s="7">
        <v>57</v>
      </c>
      <c r="J155" s="18">
        <f t="shared" si="9"/>
        <v>57</v>
      </c>
      <c r="K155" s="10">
        <f t="shared" si="10"/>
        <v>21888</v>
      </c>
      <c r="L155" s="21">
        <f t="shared" si="11"/>
        <v>12.808988764044942</v>
      </c>
    </row>
    <row r="156" spans="1:13" ht="25.95" customHeight="1">
      <c r="A156" s="12">
        <v>154</v>
      </c>
      <c r="B156" s="6">
        <v>5</v>
      </c>
      <c r="C156" s="6">
        <v>303</v>
      </c>
      <c r="D156" s="20" t="str">
        <f>IF(C156&lt;&gt;"", IFERROR(INDEX('بنود العقد'!B$3:B$388,C156),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مفتاح أحادي ، أحادي الكباّس، 10 أمبير</v>
      </c>
      <c r="E156" s="12" t="str">
        <f>IF(C156&lt;&gt;"", IFERROR(INDEX('بنود العقد'!D$3:D$388,C156), ""), "")</f>
        <v>عدد</v>
      </c>
      <c r="F156" s="9">
        <f>IF(C156&lt;&gt;"", IFERROR(INDEX('بنود العقد'!E$3:E$388,C156), 0), "")</f>
        <v>216</v>
      </c>
      <c r="G156" s="9">
        <f>IF(C156&lt;&gt;"", IFERROR(INDEX('بنود العقد'!F$3:F$388,C156), 0), "")</f>
        <v>226</v>
      </c>
      <c r="H156" s="18">
        <f t="shared" si="8"/>
        <v>0</v>
      </c>
      <c r="I156" s="7">
        <v>12</v>
      </c>
      <c r="J156" s="18">
        <f t="shared" si="9"/>
        <v>12</v>
      </c>
      <c r="K156" s="10">
        <f t="shared" si="10"/>
        <v>2592</v>
      </c>
      <c r="L156" s="21">
        <f t="shared" si="11"/>
        <v>5.3097345132743365</v>
      </c>
    </row>
    <row r="157" spans="1:13" ht="25.95" customHeight="1">
      <c r="A157" s="12">
        <v>155</v>
      </c>
      <c r="B157" s="6">
        <v>5</v>
      </c>
      <c r="C157" s="6">
        <v>306</v>
      </c>
      <c r="D157" s="20" t="str">
        <f>IF(C157&lt;&gt;"", IFERROR(INDEX('بنود العقد'!B$3:B$388,C157),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ثنائي ، ثنائي الكباّس، 10 أمبير</v>
      </c>
      <c r="E157" s="12" t="str">
        <f>IF(C157&lt;&gt;"", IFERROR(INDEX('بنود العقد'!D$3:D$388,C157), ""), "")</f>
        <v>عدد</v>
      </c>
      <c r="F157" s="9">
        <f>IF(C157&lt;&gt;"", IFERROR(INDEX('بنود العقد'!E$3:E$388,C157), 0), "")</f>
        <v>216</v>
      </c>
      <c r="G157" s="9">
        <f>IF(C157&lt;&gt;"", IFERROR(INDEX('بنود العقد'!F$3:F$388,C157), 0), "")</f>
        <v>66</v>
      </c>
      <c r="H157" s="18">
        <f t="shared" si="8"/>
        <v>0</v>
      </c>
      <c r="I157" s="7">
        <v>6</v>
      </c>
      <c r="J157" s="18">
        <f t="shared" si="9"/>
        <v>6</v>
      </c>
      <c r="K157" s="10">
        <f t="shared" si="10"/>
        <v>1296</v>
      </c>
      <c r="L157" s="21">
        <f t="shared" si="11"/>
        <v>9.0909090909090917</v>
      </c>
    </row>
    <row r="158" spans="1:13" ht="25.95" customHeight="1">
      <c r="A158" s="12">
        <v>156</v>
      </c>
      <c r="B158" s="6">
        <v>5</v>
      </c>
      <c r="C158" s="6">
        <v>327</v>
      </c>
      <c r="D158" s="20" t="str">
        <f>IF(C158&lt;&gt;"", IFERROR(INDEX('بنود العقد'!B$3:B$388,C158), "⚠"), "")</f>
        <v xml:space="preserve">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فردي حائطي مزود بعدد واحد مأخذ RJ-45
</v>
      </c>
      <c r="E158" s="12" t="str">
        <f>IF(C158&lt;&gt;"", IFERROR(INDEX('بنود العقد'!D$3:D$388,C158), ""), "")</f>
        <v>عدد</v>
      </c>
      <c r="F158" s="9">
        <f>IF(C158&lt;&gt;"", IFERROR(INDEX('بنود العقد'!E$3:E$388,C158), 0), "")</f>
        <v>432</v>
      </c>
      <c r="G158" s="9">
        <f>IF(C158&lt;&gt;"", IFERROR(INDEX('بنود العقد'!F$3:F$388,C158), 0), "")</f>
        <v>206</v>
      </c>
      <c r="H158" s="18">
        <f t="shared" si="8"/>
        <v>8</v>
      </c>
      <c r="I158" s="7">
        <v>4</v>
      </c>
      <c r="J158" s="18">
        <f t="shared" si="9"/>
        <v>12</v>
      </c>
      <c r="K158" s="10">
        <f t="shared" si="10"/>
        <v>1728</v>
      </c>
      <c r="L158" s="21">
        <f t="shared" si="11"/>
        <v>5.825242718446602</v>
      </c>
    </row>
    <row r="159" spans="1:13" ht="25.95" customHeight="1">
      <c r="A159" s="12">
        <v>157</v>
      </c>
      <c r="B159" s="6">
        <v>6</v>
      </c>
      <c r="C159" s="6">
        <v>5</v>
      </c>
      <c r="D159" s="20" t="str">
        <f>IF(C159&lt;&gt;"", IFERROR(INDEX('بنود العقد'!B$3:B$388,C159), "⚠"), "")</f>
        <v>صبة أسمنتية كطبقة حماية للعزل في الأماكن الرطبة. ويشمل السعر وأي مواد أو أعمال يتطلبها تنفيذ العمل حسب المواصفات والمخططات وتعليمات المهندس المشرف.</v>
      </c>
      <c r="E159" s="12" t="str">
        <f>IF(C159&lt;&gt;"", IFERROR(INDEX('بنود العقد'!D$3:D$388,C159), ""), "")</f>
        <v>م3</v>
      </c>
      <c r="F159" s="9">
        <f>IF(C159&lt;&gt;"", IFERROR(INDEX('بنود العقد'!E$3:E$388,C159), 0), "")</f>
        <v>366</v>
      </c>
      <c r="G159" s="9">
        <f>IF(C159&lt;&gt;"", IFERROR(INDEX('بنود العقد'!F$3:F$388,C159), 0), "")</f>
        <v>1345</v>
      </c>
      <c r="H159" s="18">
        <f t="shared" si="8"/>
        <v>101.28999999999999</v>
      </c>
      <c r="I159" s="7">
        <v>49.55</v>
      </c>
      <c r="J159" s="18">
        <f t="shared" si="9"/>
        <v>150.83999999999997</v>
      </c>
      <c r="K159" s="10">
        <f t="shared" si="10"/>
        <v>18135.3</v>
      </c>
      <c r="L159" s="21">
        <f t="shared" si="11"/>
        <v>11.214869888475834</v>
      </c>
    </row>
    <row r="160" spans="1:13" ht="25.95" customHeight="1">
      <c r="A160" s="12">
        <v>158</v>
      </c>
      <c r="B160" s="6">
        <v>6</v>
      </c>
      <c r="C160" s="6">
        <v>6</v>
      </c>
      <c r="D160" s="20" t="str">
        <f>IF(C160&lt;&gt;"", IFERROR(INDEX('بنود العقد'!B$3:B$388,C160),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v>
      </c>
      <c r="E160" s="12" t="str">
        <f>IF(C160&lt;&gt;"", IFERROR(INDEX('بنود العقد'!D$3:D$388,C160), ""), "")</f>
        <v>م2</v>
      </c>
      <c r="F160" s="9">
        <f>IF(C160&lt;&gt;"", IFERROR(INDEX('بنود العقد'!E$3:E$388,C160), 0), "")</f>
        <v>150</v>
      </c>
      <c r="G160" s="9">
        <f>IF(C160&lt;&gt;"", IFERROR(INDEX('بنود العقد'!F$3:F$388,C160), 0), "")</f>
        <v>450</v>
      </c>
      <c r="H160" s="18">
        <f t="shared" si="8"/>
        <v>1948.23</v>
      </c>
      <c r="I160" s="7">
        <v>64.86</v>
      </c>
      <c r="J160" s="18">
        <f t="shared" si="9"/>
        <v>2013.09</v>
      </c>
      <c r="K160" s="10">
        <f t="shared" si="10"/>
        <v>9729</v>
      </c>
      <c r="L160" s="21">
        <f t="shared" si="11"/>
        <v>447.3533333333333</v>
      </c>
      <c r="M160" s="74"/>
    </row>
    <row r="161" spans="1:13" ht="25.95" customHeight="1">
      <c r="A161" s="12">
        <v>159</v>
      </c>
      <c r="B161" s="6">
        <v>6</v>
      </c>
      <c r="C161" s="6">
        <v>25</v>
      </c>
      <c r="D161" s="20" t="str">
        <f>IF(C161&lt;&gt;"", IFERROR(INDEX('بنود العقد'!B$3:B$388,C161), "⚠"), "")</f>
        <v>تصنيع وتركيب لوح خشبي بشكل طولي من  الـ )Mdf(  مع قشرة الجوز او ما يتناسب مع العينة المتفق عليها طول 25سم وعرض 10سم وارتفاع 270 سم الى جانب الابواب الزجاجية حسب المناظير والرسومات وتعليمات المهندس المشرف.Code: WDP2-08</v>
      </c>
      <c r="E161" s="12" t="str">
        <f>IF(C161&lt;&gt;"", IFERROR(INDEX('بنود العقد'!D$3:D$388,C161), ""), "")</f>
        <v>عدد</v>
      </c>
      <c r="F161" s="9">
        <f>IF(C161&lt;&gt;"", IFERROR(INDEX('بنود العقد'!E$3:E$388,C161), 0), "")</f>
        <v>240</v>
      </c>
      <c r="G161" s="9">
        <f>IF(C161&lt;&gt;"", IFERROR(INDEX('بنود العقد'!F$3:F$388,C161), 0), "")</f>
        <v>248</v>
      </c>
      <c r="H161" s="18">
        <f t="shared" si="8"/>
        <v>0</v>
      </c>
      <c r="I161" s="7">
        <v>9</v>
      </c>
      <c r="J161" s="18">
        <f t="shared" si="9"/>
        <v>9</v>
      </c>
      <c r="K161" s="10">
        <f t="shared" si="10"/>
        <v>2160</v>
      </c>
      <c r="L161" s="21">
        <f t="shared" si="11"/>
        <v>3.6290322580645165</v>
      </c>
      <c r="M161" s="74"/>
    </row>
    <row r="162" spans="1:13" ht="25.95" customHeight="1">
      <c r="A162" s="12">
        <v>160</v>
      </c>
      <c r="B162" s="6">
        <v>6</v>
      </c>
      <c r="C162" s="6">
        <v>45</v>
      </c>
      <c r="D162" s="20" t="str">
        <f>IF(C162&lt;&gt;"", IFERROR(INDEX('بنود العقد'!B$3:B$388,C162), "⚠"), "")</f>
        <v xml:space="preserve"> توريد وتنفيذ طبقتين من غشاء عازل للمياه من الـبيتومين ثخانة 4 مم للأماكن الرطبة وحتى ارتفاع 10   سم على الجدران المحيطة ويشمل تحضير السطوح ومواد حشو الزوايا وطبقات الحماية جيوتكستايل الأفُقية والعمودية. ويشمل السعر أي مواد وأعمال مطلوبة لاستكمال العمل حسب المواصفات والمخططات.وتعليمات المهندس المشرف</v>
      </c>
      <c r="E162" s="12" t="str">
        <f>IF(C162&lt;&gt;"", IFERROR(INDEX('بنود العقد'!D$3:D$388,C162), ""), "")</f>
        <v>م2</v>
      </c>
      <c r="F162" s="9">
        <f>IF(C162&lt;&gt;"", IFERROR(INDEX('بنود العقد'!E$3:E$388,C162), 0), "")</f>
        <v>78</v>
      </c>
      <c r="G162" s="9">
        <f>IF(C162&lt;&gt;"", IFERROR(INDEX('بنود العقد'!F$3:F$388,C162), 0), "")</f>
        <v>1345</v>
      </c>
      <c r="H162" s="18">
        <f t="shared" si="8"/>
        <v>0</v>
      </c>
      <c r="I162" s="7">
        <v>263.14999999999998</v>
      </c>
      <c r="J162" s="18">
        <f t="shared" si="9"/>
        <v>263.14999999999998</v>
      </c>
      <c r="K162" s="10">
        <f t="shared" si="10"/>
        <v>20525.699999999997</v>
      </c>
      <c r="L162" s="21">
        <f t="shared" si="11"/>
        <v>19.56505576208178</v>
      </c>
      <c r="M162" s="75"/>
    </row>
    <row r="163" spans="1:13" ht="25.95" customHeight="1">
      <c r="A163" s="12">
        <v>161</v>
      </c>
      <c r="B163" s="6">
        <v>6</v>
      </c>
      <c r="C163" s="6">
        <v>72</v>
      </c>
      <c r="D163" s="20" t="str">
        <f>IF(C163&lt;&gt;"", IFERROR(INDEX('بنود العقد'!B$3:B$388,C163), "⚠"), "")</f>
        <v>طبقة من اللياسة الأسمنتية فوق الأسطح الخرسانية والجدران الداخلية  بسمك متوسط 20 مم على طبقات  طرطشة بسمك 5 مم وضهارة 15 مم حسب المواصفات مع المعالجة اليومية  بالمياه لمنع التنميلات ويتم عمل افريز بين البلوك والخرسانة يملئ بمواد قابلة للدهان والسعر يشمل كامل الأكسسوارات اللازمة من شبك معدني ممدد وزوايا ونهايات معدنية  ومواد الترابط  وعمل تجاويف في طبقة اللياسة بعمق 10مم عرض 10مم  في الاعمدة  وفي الجدران ان وجدت حسب الرسومات والمناظير وتعليمات المهندس المشرف ذلك حسب الاصول الفنية وتعليمات المهندس المشرف. لياسة الجدران والأعمدة الداخلية  وتشمل جميع الإكسسوارات بإرتفاع 20 سم أعلي الأسقف الجبسيه لزوم الجدران الداخلية</v>
      </c>
      <c r="E163" s="12" t="str">
        <f>IF(C163&lt;&gt;"", IFERROR(INDEX('بنود العقد'!D$3:D$388,C163), ""), "")</f>
        <v>م²</v>
      </c>
      <c r="F163" s="9">
        <f>IF(C163&lt;&gt;"", IFERROR(INDEX('بنود العقد'!E$3:E$388,C163), 0), "")</f>
        <v>42</v>
      </c>
      <c r="G163" s="9">
        <f>IF(C163&lt;&gt;"", IFERROR(INDEX('بنود العقد'!F$3:F$388,C163), 0), "")</f>
        <v>758</v>
      </c>
      <c r="H163" s="18">
        <f t="shared" si="8"/>
        <v>3878.4</v>
      </c>
      <c r="I163" s="7">
        <v>318.024</v>
      </c>
      <c r="J163" s="18">
        <f t="shared" si="9"/>
        <v>4196.424</v>
      </c>
      <c r="K163" s="10">
        <f t="shared" si="10"/>
        <v>13357.008</v>
      </c>
      <c r="L163" s="21">
        <f t="shared" si="11"/>
        <v>553.61794195250661</v>
      </c>
      <c r="M163" s="74"/>
    </row>
    <row r="164" spans="1:13" ht="25.95" customHeight="1">
      <c r="A164" s="12">
        <v>162</v>
      </c>
      <c r="B164" s="6">
        <v>6</v>
      </c>
      <c r="C164" s="6">
        <v>81</v>
      </c>
      <c r="D164" s="20" t="str">
        <f>IF(C164&lt;&gt;"", IFERROR(INDEX('بنود العقد'!B$3:B$388,C164), "⚠"), "")</f>
        <v xml:space="preserve"> أرضيات بورسلان03-PT مقاس 600×600×12مم فرز ثاني بالمقاسات والالوان المطلوبة لدورات المياة العامة  طبقاً للمخططات والمواصفات.</v>
      </c>
      <c r="E164" s="12" t="str">
        <f>IF(C164&lt;&gt;"", IFERROR(INDEX('بنود العقد'!D$3:D$388,C164), ""), "")</f>
        <v>م²</v>
      </c>
      <c r="F164" s="9">
        <f>IF(C164&lt;&gt;"", IFERROR(INDEX('بنود العقد'!E$3:E$388,C164), 0), "")</f>
        <v>120</v>
      </c>
      <c r="G164" s="9">
        <f>IF(C164&lt;&gt;"", IFERROR(INDEX('بنود العقد'!F$3:F$388,C164), 0), "")</f>
        <v>1407</v>
      </c>
      <c r="H164" s="18">
        <f t="shared" si="8"/>
        <v>0</v>
      </c>
      <c r="I164" s="7">
        <v>485.93025</v>
      </c>
      <c r="J164" s="18">
        <f t="shared" si="9"/>
        <v>485.93025</v>
      </c>
      <c r="K164" s="10">
        <f t="shared" si="10"/>
        <v>58311.63</v>
      </c>
      <c r="L164" s="21">
        <f t="shared" si="11"/>
        <v>34.536620469083154</v>
      </c>
      <c r="M164" s="74"/>
    </row>
    <row r="165" spans="1:13" ht="25.95" customHeight="1">
      <c r="A165" s="12">
        <v>163</v>
      </c>
      <c r="B165" s="6">
        <v>6</v>
      </c>
      <c r="C165" s="6">
        <v>125</v>
      </c>
      <c r="D165" s="20" t="str">
        <f>IF(C165&lt;&gt;"", IFERROR(INDEX('بنود العقد'!B$3:B$388,C165), "⚠"), "")</f>
        <v>دهان بلون رمادي بيج على الألواح الجبسية والألواح الاسمنتية 100-WPF</v>
      </c>
      <c r="E165" s="12" t="str">
        <f>IF(C165&lt;&gt;"", IFERROR(INDEX('بنود العقد'!D$3:D$388,C165), ""), "")</f>
        <v>م²</v>
      </c>
      <c r="F165" s="9">
        <f>IF(C165&lt;&gt;"", IFERROR(INDEX('بنود العقد'!E$3:E$388,C165), 0), "")</f>
        <v>25.2</v>
      </c>
      <c r="G165" s="9">
        <f>IF(C165&lt;&gt;"", IFERROR(INDEX('بنود العقد'!F$3:F$388,C165), 0), "")</f>
        <v>12700</v>
      </c>
      <c r="H165" s="18">
        <f t="shared" si="8"/>
        <v>1119.29</v>
      </c>
      <c r="I165" s="7">
        <v>584.73400000000004</v>
      </c>
      <c r="J165" s="18">
        <f t="shared" si="9"/>
        <v>1704.0239999999999</v>
      </c>
      <c r="K165" s="10">
        <f t="shared" si="10"/>
        <v>14735.2968</v>
      </c>
      <c r="L165" s="21">
        <f t="shared" si="11"/>
        <v>13.417511811023623</v>
      </c>
      <c r="M165" s="74"/>
    </row>
    <row r="166" spans="1:13" ht="25.95" customHeight="1">
      <c r="A166" s="12">
        <v>164</v>
      </c>
      <c r="B166" s="6">
        <v>6</v>
      </c>
      <c r="C166" s="6">
        <v>133</v>
      </c>
      <c r="D166" s="20" t="str">
        <f>IF(C166&lt;&gt;"", IFERROR(INDEX('بنود العقد'!B$3:B$388,C166),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ابيض</v>
      </c>
      <c r="E166" s="12" t="str">
        <f>IF(C166&lt;&gt;"", IFERROR(INDEX('بنود العقد'!D$3:D$388,C166), ""), "")</f>
        <v>م²</v>
      </c>
      <c r="F166" s="9">
        <f>IF(C166&lt;&gt;"", IFERROR(INDEX('بنود العقد'!E$3:E$388,C166), 0), "")</f>
        <v>24</v>
      </c>
      <c r="G166" s="9">
        <f>IF(C166&lt;&gt;"", IFERROR(INDEX('بنود العقد'!F$3:F$388,C166), 0), "")</f>
        <v>25559</v>
      </c>
      <c r="H166" s="18">
        <f t="shared" si="8"/>
        <v>7.57</v>
      </c>
      <c r="I166" s="7">
        <v>7.6139999999999999</v>
      </c>
      <c r="J166" s="18">
        <f t="shared" si="9"/>
        <v>15.184000000000001</v>
      </c>
      <c r="K166" s="10">
        <f t="shared" si="10"/>
        <v>182.73599999999999</v>
      </c>
      <c r="L166" s="21">
        <f t="shared" si="11"/>
        <v>5.9407645056535861E-2</v>
      </c>
      <c r="M166" s="74"/>
    </row>
    <row r="167" spans="1:13" ht="25.95" customHeight="1">
      <c r="A167" s="12">
        <v>165</v>
      </c>
      <c r="B167" s="6">
        <v>6</v>
      </c>
      <c r="C167" s="6">
        <v>176</v>
      </c>
      <c r="D167" s="20" t="str">
        <f>IF(C167&lt;&gt;"", IFERROR(INDEX('بنود العقد'!B$3:B$388,C167),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167" s="12" t="str">
        <f>IF(C167&lt;&gt;"", IFERROR(INDEX('بنود العقد'!D$3:D$388,C167), ""), "")</f>
        <v>م.ط</v>
      </c>
      <c r="F167" s="9">
        <f>IF(C167&lt;&gt;"", IFERROR(INDEX('بنود العقد'!E$3:E$388,C167), 0), "")</f>
        <v>66</v>
      </c>
      <c r="G167" s="9">
        <f>IF(C167&lt;&gt;"", IFERROR(INDEX('بنود العقد'!F$3:F$388,C167), 0), "")</f>
        <v>532</v>
      </c>
      <c r="H167" s="18">
        <f t="shared" si="8"/>
        <v>399.07</v>
      </c>
      <c r="I167" s="7">
        <v>170.92</v>
      </c>
      <c r="J167" s="18">
        <f t="shared" si="9"/>
        <v>569.99</v>
      </c>
      <c r="K167" s="10">
        <f t="shared" si="10"/>
        <v>11280.72</v>
      </c>
      <c r="L167" s="21">
        <f t="shared" si="11"/>
        <v>107.14097744360902</v>
      </c>
      <c r="M167" s="74"/>
    </row>
    <row r="168" spans="1:13" ht="25.95" customHeight="1">
      <c r="A168" s="12">
        <v>166</v>
      </c>
      <c r="B168" s="6">
        <v>6</v>
      </c>
      <c r="C168" s="6">
        <v>177</v>
      </c>
      <c r="D168" s="20" t="str">
        <f>IF(C168&lt;&gt;"", IFERROR(INDEX('بنود العقد'!B$3:B$388,C168),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E168" s="12" t="str">
        <f>IF(C168&lt;&gt;"", IFERROR(INDEX('بنود العقد'!D$3:D$388,C168), ""), "")</f>
        <v>م.ط</v>
      </c>
      <c r="F168" s="9">
        <f>IF(C168&lt;&gt;"", IFERROR(INDEX('بنود العقد'!E$3:E$388,C168), 0), "")</f>
        <v>70.8</v>
      </c>
      <c r="G168" s="9">
        <f>IF(C168&lt;&gt;"", IFERROR(INDEX('بنود العقد'!F$3:F$388,C168), 0), "")</f>
        <v>221</v>
      </c>
      <c r="H168" s="18">
        <f t="shared" si="8"/>
        <v>46.16</v>
      </c>
      <c r="I168" s="7">
        <v>18.809999999999999</v>
      </c>
      <c r="J168" s="18">
        <f t="shared" si="9"/>
        <v>64.97</v>
      </c>
      <c r="K168" s="10">
        <f t="shared" si="10"/>
        <v>1331.7479999999998</v>
      </c>
      <c r="L168" s="21">
        <f t="shared" si="11"/>
        <v>29.398190045248867</v>
      </c>
      <c r="M168" s="74"/>
    </row>
    <row r="169" spans="1:13" ht="25.95" customHeight="1">
      <c r="A169" s="12">
        <v>167</v>
      </c>
      <c r="B169" s="6">
        <v>6</v>
      </c>
      <c r="C169" s="6">
        <v>178</v>
      </c>
      <c r="D169" s="20" t="str">
        <f>IF(C169&lt;&gt;"", IFERROR(INDEX('بنود العقد'!B$3:B$388,C169),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32مم</v>
      </c>
      <c r="E169" s="12" t="str">
        <f>IF(C169&lt;&gt;"", IFERROR(INDEX('بنود العقد'!D$3:D$388,C169), ""), "")</f>
        <v>م.ط</v>
      </c>
      <c r="F169" s="9">
        <f>IF(C169&lt;&gt;"", IFERROR(INDEX('بنود العقد'!E$3:E$388,C169), 0), "")</f>
        <v>102</v>
      </c>
      <c r="G169" s="9">
        <f>IF(C169&lt;&gt;"", IFERROR(INDEX('بنود العقد'!F$3:F$388,C169), 0), "")</f>
        <v>207</v>
      </c>
      <c r="H169" s="18">
        <f t="shared" si="8"/>
        <v>62.1</v>
      </c>
      <c r="I169" s="7">
        <v>57.74</v>
      </c>
      <c r="J169" s="18">
        <f t="shared" si="9"/>
        <v>119.84</v>
      </c>
      <c r="K169" s="10">
        <f t="shared" si="10"/>
        <v>5889.4800000000005</v>
      </c>
      <c r="L169" s="21">
        <f t="shared" si="11"/>
        <v>57.893719806763286</v>
      </c>
      <c r="M169" s="74"/>
    </row>
    <row r="170" spans="1:13" ht="25.95" customHeight="1">
      <c r="A170" s="12">
        <v>168</v>
      </c>
      <c r="B170" s="6">
        <v>6</v>
      </c>
      <c r="C170" s="6">
        <v>179</v>
      </c>
      <c r="D170" s="20" t="str">
        <f>IF(C170&lt;&gt;"", IFERROR(INDEX('بنود العقد'!B$3:B$388,C170),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40 مم</v>
      </c>
      <c r="E170" s="12" t="str">
        <f>IF(C170&lt;&gt;"", IFERROR(INDEX('بنود العقد'!D$3:D$388,C170), ""), "")</f>
        <v>م.ط</v>
      </c>
      <c r="F170" s="9">
        <f>IF(C170&lt;&gt;"", IFERROR(INDEX('بنود العقد'!E$3:E$388,C170), 0), "")</f>
        <v>85.2</v>
      </c>
      <c r="G170" s="9">
        <f>IF(C170&lt;&gt;"", IFERROR(INDEX('بنود العقد'!F$3:F$388,C170), 0), "")</f>
        <v>103</v>
      </c>
      <c r="H170" s="18">
        <f t="shared" si="8"/>
        <v>80.550000000000011</v>
      </c>
      <c r="I170" s="7">
        <v>60.12</v>
      </c>
      <c r="J170" s="18">
        <f t="shared" si="9"/>
        <v>140.67000000000002</v>
      </c>
      <c r="K170" s="10">
        <f t="shared" si="10"/>
        <v>5122.2240000000002</v>
      </c>
      <c r="L170" s="21">
        <f t="shared" si="11"/>
        <v>136.57281553398059</v>
      </c>
      <c r="M170" s="74"/>
    </row>
    <row r="171" spans="1:13" ht="25.95" customHeight="1">
      <c r="A171" s="12">
        <v>169</v>
      </c>
      <c r="B171" s="6">
        <v>6</v>
      </c>
      <c r="C171" s="6">
        <v>180</v>
      </c>
      <c r="D171" s="20" t="str">
        <f>IF(C171&lt;&gt;"", IFERROR(INDEX('بنود العقد'!B$3:B$388,C171),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الداخلية:قطر 50 مم</v>
      </c>
      <c r="E171" s="12" t="str">
        <f>IF(C171&lt;&gt;"", IFERROR(INDEX('بنود العقد'!D$3:D$388,C171), ""), "")</f>
        <v>م.ط</v>
      </c>
      <c r="F171" s="9">
        <f>IF(C171&lt;&gt;"", IFERROR(INDEX('بنود العقد'!E$3:E$388,C171), 0), "")</f>
        <v>94.8</v>
      </c>
      <c r="G171" s="9">
        <f>IF(C171&lt;&gt;"", IFERROR(INDEX('بنود العقد'!F$3:F$388,C171), 0), "")</f>
        <v>218</v>
      </c>
      <c r="H171" s="18">
        <f t="shared" si="8"/>
        <v>90.27</v>
      </c>
      <c r="I171" s="7">
        <v>31.82</v>
      </c>
      <c r="J171" s="18">
        <f t="shared" si="9"/>
        <v>122.09</v>
      </c>
      <c r="K171" s="10">
        <f t="shared" si="10"/>
        <v>3016.5360000000001</v>
      </c>
      <c r="L171" s="21">
        <f t="shared" si="11"/>
        <v>56.004587155963307</v>
      </c>
      <c r="M171" s="74"/>
    </row>
    <row r="172" spans="1:13" ht="25.95" customHeight="1">
      <c r="A172" s="12">
        <v>170</v>
      </c>
      <c r="B172" s="6">
        <v>6</v>
      </c>
      <c r="C172" s="6">
        <v>181</v>
      </c>
      <c r="D172" s="20" t="str">
        <f>IF(C172&lt;&gt;"", IFERROR(INDEX('بنود العقد'!B$3:B$388,C172),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172" s="12" t="str">
        <f>IF(C172&lt;&gt;"", IFERROR(INDEX('بنود العقد'!D$3:D$388,C172), ""), "")</f>
        <v>م.ط</v>
      </c>
      <c r="F172" s="9">
        <f>IF(C172&lt;&gt;"", IFERROR(INDEX('بنود العقد'!E$3:E$388,C172), 0), "")</f>
        <v>70.8</v>
      </c>
      <c r="G172" s="9">
        <f>IF(C172&lt;&gt;"", IFERROR(INDEX('بنود العقد'!F$3:F$388,C172), 0), "")</f>
        <v>150</v>
      </c>
      <c r="H172" s="18">
        <f t="shared" si="8"/>
        <v>263.85000000000002</v>
      </c>
      <c r="I172" s="7">
        <v>39.78</v>
      </c>
      <c r="J172" s="18">
        <f t="shared" si="9"/>
        <v>303.63</v>
      </c>
      <c r="K172" s="10">
        <f t="shared" si="10"/>
        <v>2816.424</v>
      </c>
      <c r="L172" s="21">
        <f t="shared" si="11"/>
        <v>202.42</v>
      </c>
      <c r="M172" s="74"/>
    </row>
    <row r="173" spans="1:13" ht="25.95" customHeight="1">
      <c r="A173" s="12">
        <v>171</v>
      </c>
      <c r="B173" s="6">
        <v>6</v>
      </c>
      <c r="C173" s="6">
        <v>185</v>
      </c>
      <c r="D173" s="20" t="str">
        <f>IF(C173&lt;&gt;"", IFERROR(INDEX('بنود العقد'!B$3:B$388,C173),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v>
      </c>
      <c r="E173" s="12" t="str">
        <f>IF(C173&lt;&gt;"", IFERROR(INDEX('بنود العقد'!D$3:D$388,C173), ""), "")</f>
        <v>م.ط</v>
      </c>
      <c r="F173" s="9">
        <f>IF(C173&lt;&gt;"", IFERROR(INDEX('بنود العقد'!E$3:E$388,C173), 0), "")</f>
        <v>75.599999999999994</v>
      </c>
      <c r="G173" s="9">
        <f>IF(C173&lt;&gt;"", IFERROR(INDEX('بنود العقد'!F$3:F$388,C173), 0), "")</f>
        <v>426</v>
      </c>
      <c r="H173" s="18">
        <f t="shared" si="8"/>
        <v>503.38</v>
      </c>
      <c r="I173" s="7">
        <v>210.51</v>
      </c>
      <c r="J173" s="18">
        <f t="shared" si="9"/>
        <v>713.89</v>
      </c>
      <c r="K173" s="10">
        <f t="shared" si="10"/>
        <v>15914.555999999999</v>
      </c>
      <c r="L173" s="21">
        <f t="shared" si="11"/>
        <v>167.57981220657277</v>
      </c>
      <c r="M173" s="74"/>
    </row>
    <row r="174" spans="1:13" ht="25.95" customHeight="1">
      <c r="A174" s="12">
        <v>172</v>
      </c>
      <c r="B174" s="6">
        <v>6</v>
      </c>
      <c r="C174" s="6">
        <v>186</v>
      </c>
      <c r="D174" s="20" t="str">
        <f>IF(C174&lt;&gt;"", IFERROR(INDEX('بنود العقد'!B$3:B$388,C174),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75 مم</v>
      </c>
      <c r="E174" s="12" t="str">
        <f>IF(C174&lt;&gt;"", IFERROR(INDEX('بنود العقد'!D$3:D$388,C174), ""), "")</f>
        <v>م.ط</v>
      </c>
      <c r="F174" s="9">
        <f>IF(C174&lt;&gt;"", IFERROR(INDEX('بنود العقد'!E$3:E$388,C174), 0), "")</f>
        <v>91.2</v>
      </c>
      <c r="G174" s="9">
        <f>IF(C174&lt;&gt;"", IFERROR(INDEX('بنود العقد'!F$3:F$388,C174), 0), "")</f>
        <v>934</v>
      </c>
      <c r="H174" s="18">
        <f t="shared" si="8"/>
        <v>297.45000000000005</v>
      </c>
      <c r="I174" s="7">
        <v>80.459999999999994</v>
      </c>
      <c r="J174" s="18">
        <f t="shared" si="9"/>
        <v>377.91</v>
      </c>
      <c r="K174" s="10">
        <f t="shared" si="10"/>
        <v>7337.9519999999993</v>
      </c>
      <c r="L174" s="21">
        <f t="shared" si="11"/>
        <v>40.461456102783728</v>
      </c>
      <c r="M174" s="74"/>
    </row>
    <row r="175" spans="1:13" ht="25.95" customHeight="1">
      <c r="A175" s="12">
        <v>173</v>
      </c>
      <c r="B175" s="6">
        <v>6</v>
      </c>
      <c r="C175" s="6">
        <v>187</v>
      </c>
      <c r="D175" s="20" t="str">
        <f>IF(C175&lt;&gt;"", IFERROR(INDEX('بنود العقد'!B$3:B$388,C175),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v>
      </c>
      <c r="E175" s="12" t="str">
        <f>IF(C175&lt;&gt;"", IFERROR(INDEX('بنود العقد'!D$3:D$388,C175), ""), "")</f>
        <v>م.ط</v>
      </c>
      <c r="F175" s="9">
        <f>IF(C175&lt;&gt;"", IFERROR(INDEX('بنود العقد'!E$3:E$388,C175), 0), "")</f>
        <v>102</v>
      </c>
      <c r="G175" s="9">
        <f>IF(C175&lt;&gt;"", IFERROR(INDEX('بنود العقد'!F$3:F$388,C175), 0), "")</f>
        <v>961</v>
      </c>
      <c r="H175" s="18">
        <f t="shared" si="8"/>
        <v>784.17</v>
      </c>
      <c r="I175" s="7">
        <v>324.75</v>
      </c>
      <c r="J175" s="18">
        <f t="shared" si="9"/>
        <v>1108.92</v>
      </c>
      <c r="K175" s="10">
        <f t="shared" si="10"/>
        <v>33124.5</v>
      </c>
      <c r="L175" s="21">
        <f t="shared" si="11"/>
        <v>115.39229968782519</v>
      </c>
      <c r="M175" s="74"/>
    </row>
    <row r="176" spans="1:13" ht="25.95" customHeight="1">
      <c r="A176" s="12">
        <v>174</v>
      </c>
      <c r="B176" s="6">
        <v>6</v>
      </c>
      <c r="C176" s="6">
        <v>215</v>
      </c>
      <c r="D176" s="20" t="str">
        <f>IF(C176&lt;&gt;"", IFERROR(INDEX('بنود العقد'!B$3:B$388,C176), "⚠"), "")</f>
        <v>توريد و تركيب و اختبار رشاشات آلية اوتوماتيكية كما هو موصف رشاشات من النوع المخفي، ذات فتحة 2/1 بوصة، ومعامل 5.6 =K   ودرجة حرارة تشغيل 68 درجة مئوية</v>
      </c>
      <c r="E176" s="12" t="str">
        <f>IF(C176&lt;&gt;"", IFERROR(INDEX('بنود العقد'!D$3:D$388,C176), ""), "")</f>
        <v>عدد</v>
      </c>
      <c r="F176" s="9">
        <f>IF(C176&lt;&gt;"", IFERROR(INDEX('بنود العقد'!E$3:E$388,C176), 0), "")</f>
        <v>90</v>
      </c>
      <c r="G176" s="9">
        <f>IF(C176&lt;&gt;"", IFERROR(INDEX('بنود العقد'!F$3:F$388,C176), 0), "")</f>
        <v>1000</v>
      </c>
      <c r="H176" s="18">
        <f t="shared" si="8"/>
        <v>0</v>
      </c>
      <c r="I176" s="7">
        <v>235</v>
      </c>
      <c r="J176" s="18">
        <f t="shared" si="9"/>
        <v>235</v>
      </c>
      <c r="K176" s="10">
        <f t="shared" si="10"/>
        <v>21150</v>
      </c>
      <c r="L176" s="21">
        <f t="shared" si="11"/>
        <v>23.5</v>
      </c>
      <c r="M176" s="74"/>
    </row>
    <row r="177" spans="1:13" ht="25.95" customHeight="1">
      <c r="A177" s="12">
        <v>175</v>
      </c>
      <c r="B177" s="6">
        <v>6</v>
      </c>
      <c r="C177" s="6">
        <v>221</v>
      </c>
      <c r="D177" s="20" t="str">
        <f>IF(C177&lt;&gt;"", IFERROR(INDEX('بنود العقد'!B$3:B$388,C177),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01-VAV ، اجمالي الهواء 0-250 ) ق/د( استطاعة التخزين 5.1 )ك/و(</v>
      </c>
      <c r="E177" s="12" t="str">
        <f>IF(C177&lt;&gt;"", IFERROR(INDEX('بنود العقد'!D$3:D$388,C177), ""), "")</f>
        <v>عدد</v>
      </c>
      <c r="F177" s="9">
        <f>IF(C177&lt;&gt;"", IFERROR(INDEX('بنود العقد'!E$3:E$388,C177), 0), "")</f>
        <v>6600</v>
      </c>
      <c r="G177" s="9">
        <f>IF(C177&lt;&gt;"", IFERROR(INDEX('بنود العقد'!F$3:F$388,C177), 0), "")</f>
        <v>9</v>
      </c>
      <c r="H177" s="18">
        <f t="shared" si="8"/>
        <v>3</v>
      </c>
      <c r="I177" s="7">
        <v>1</v>
      </c>
      <c r="J177" s="18">
        <f t="shared" si="9"/>
        <v>4</v>
      </c>
      <c r="K177" s="10">
        <f t="shared" si="10"/>
        <v>6600</v>
      </c>
      <c r="L177" s="21">
        <f t="shared" si="11"/>
        <v>44.444444444444443</v>
      </c>
      <c r="M177" s="74"/>
    </row>
    <row r="178" spans="1:13" ht="25.95" customHeight="1">
      <c r="A178" s="12">
        <v>176</v>
      </c>
      <c r="B178" s="6">
        <v>6</v>
      </c>
      <c r="C178" s="6">
        <v>222</v>
      </c>
      <c r="D178" s="20" t="str">
        <f>IF(C178&lt;&gt;"", IFERROR(INDEX('بنود العقد'!B$3:B$388,C178),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02-VAV ، اجمالي الهواء 0-500 ) ق/د( استطاعة التخزين 2 )ك/و(</v>
      </c>
      <c r="E178" s="12" t="str">
        <f>IF(C178&lt;&gt;"", IFERROR(INDEX('بنود العقد'!D$3:D$388,C178), ""), "")</f>
        <v>عدد</v>
      </c>
      <c r="F178" s="9">
        <f>IF(C178&lt;&gt;"", IFERROR(INDEX('بنود العقد'!E$3:E$388,C178), 0), "")</f>
        <v>6960</v>
      </c>
      <c r="G178" s="9">
        <f>IF(C178&lt;&gt;"", IFERROR(INDEX('بنود العقد'!F$3:F$388,C178), 0), "")</f>
        <v>127</v>
      </c>
      <c r="H178" s="18">
        <f t="shared" si="8"/>
        <v>27</v>
      </c>
      <c r="I178" s="7">
        <v>5</v>
      </c>
      <c r="J178" s="18">
        <f t="shared" si="9"/>
        <v>32</v>
      </c>
      <c r="K178" s="10">
        <f t="shared" si="10"/>
        <v>34800</v>
      </c>
      <c r="L178" s="21">
        <f t="shared" si="11"/>
        <v>25.196850393700785</v>
      </c>
      <c r="M178" s="74"/>
    </row>
    <row r="179" spans="1:13" ht="25.95" customHeight="1">
      <c r="A179" s="12">
        <v>177</v>
      </c>
      <c r="B179" s="6">
        <v>6</v>
      </c>
      <c r="C179" s="6">
        <v>223</v>
      </c>
      <c r="D179" s="20" t="str">
        <f>IF(C179&lt;&gt;"", IFERROR(INDEX('بنود العقد'!B$3:B$388,C179), "⚠"), "")</f>
        <v xml:space="preserve">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03-VAV ، اجمالي الهواء 0-750 ) ق/د( استطاعة التخزين 3 )ك/و( </v>
      </c>
      <c r="E179" s="12" t="str">
        <f>IF(C179&lt;&gt;"", IFERROR(INDEX('بنود العقد'!D$3:D$388,C179), ""), "")</f>
        <v>عدد</v>
      </c>
      <c r="F179" s="9">
        <f>IF(C179&lt;&gt;"", IFERROR(INDEX('بنود العقد'!E$3:E$388,C179), 0), "")</f>
        <v>7200</v>
      </c>
      <c r="G179" s="9">
        <f>IF(C179&lt;&gt;"", IFERROR(INDEX('بنود العقد'!F$3:F$388,C179), 0), "")</f>
        <v>51</v>
      </c>
      <c r="H179" s="18">
        <f t="shared" si="8"/>
        <v>18</v>
      </c>
      <c r="I179" s="7">
        <v>3</v>
      </c>
      <c r="J179" s="18">
        <f t="shared" si="9"/>
        <v>21</v>
      </c>
      <c r="K179" s="10">
        <f t="shared" si="10"/>
        <v>21600</v>
      </c>
      <c r="L179" s="21">
        <f t="shared" si="11"/>
        <v>41.17647058823529</v>
      </c>
      <c r="M179" s="74"/>
    </row>
    <row r="180" spans="1:13" ht="25.95" customHeight="1">
      <c r="A180" s="12">
        <v>178</v>
      </c>
      <c r="B180" s="6">
        <v>6</v>
      </c>
      <c r="C180" s="6">
        <v>224</v>
      </c>
      <c r="D180" s="20" t="str">
        <f>IF(C180&lt;&gt;"", IFERROR(INDEX('بنود العقد'!B$3:B$388,C180),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04-VAV ، اجمالي الهواء 0-1000 ) ق/د( استطاعة التخزين 5.3 )ك/و(</v>
      </c>
      <c r="E180" s="12" t="str">
        <f>IF(C180&lt;&gt;"", IFERROR(INDEX('بنود العقد'!D$3:D$388,C180), ""), "")</f>
        <v>عدد</v>
      </c>
      <c r="F180" s="9">
        <f>IF(C180&lt;&gt;"", IFERROR(INDEX('بنود العقد'!E$3:E$388,C180), 0), "")</f>
        <v>7200</v>
      </c>
      <c r="G180" s="9">
        <f>IF(C180&lt;&gt;"", IFERROR(INDEX('بنود العقد'!F$3:F$388,C180), 0), "")</f>
        <v>24</v>
      </c>
      <c r="H180" s="18">
        <f t="shared" si="8"/>
        <v>8</v>
      </c>
      <c r="I180" s="7">
        <v>2</v>
      </c>
      <c r="J180" s="18">
        <f t="shared" si="9"/>
        <v>10</v>
      </c>
      <c r="K180" s="10">
        <f t="shared" si="10"/>
        <v>14400</v>
      </c>
      <c r="L180" s="21">
        <f t="shared" si="11"/>
        <v>41.666666666666671</v>
      </c>
      <c r="M180" s="74"/>
    </row>
    <row r="181" spans="1:13" ht="25.95" customHeight="1">
      <c r="A181" s="12">
        <v>179</v>
      </c>
      <c r="B181" s="6">
        <v>6</v>
      </c>
      <c r="C181" s="6">
        <v>225</v>
      </c>
      <c r="D181" s="20" t="str">
        <f>IF(C181&lt;&gt;"", IFERROR(INDEX('بنود العقد'!B$3:B$388,C181),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05-VAV ، اجمالي الهواء 0-1500 ) ق/د( استطاعة التخزين 5.3 )ك/و(</v>
      </c>
      <c r="E181" s="12" t="str">
        <f>IF(C181&lt;&gt;"", IFERROR(INDEX('بنود العقد'!D$3:D$388,C181), ""), "")</f>
        <v>عدد</v>
      </c>
      <c r="F181" s="9">
        <f>IF(C181&lt;&gt;"", IFERROR(INDEX('بنود العقد'!E$3:E$388,C181), 0), "")</f>
        <v>9000</v>
      </c>
      <c r="G181" s="9">
        <f>IF(C181&lt;&gt;"", IFERROR(INDEX('بنود العقد'!F$3:F$388,C181), 0), "")</f>
        <v>44</v>
      </c>
      <c r="H181" s="18">
        <f t="shared" si="8"/>
        <v>11</v>
      </c>
      <c r="I181" s="7">
        <v>1</v>
      </c>
      <c r="J181" s="18">
        <f t="shared" si="9"/>
        <v>12</v>
      </c>
      <c r="K181" s="10">
        <f t="shared" si="10"/>
        <v>9000</v>
      </c>
      <c r="L181" s="21">
        <f t="shared" si="11"/>
        <v>27.27272727272727</v>
      </c>
      <c r="M181" s="74"/>
    </row>
    <row r="182" spans="1:13" ht="25.95" customHeight="1">
      <c r="A182" s="12">
        <v>180</v>
      </c>
      <c r="B182" s="6">
        <v>6</v>
      </c>
      <c r="C182" s="6">
        <v>226</v>
      </c>
      <c r="D182" s="20" t="str">
        <f>IF(C182&lt;&gt;"", IFERROR(INDEX('بنود العقد'!B$3:B$388,C182),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06-VAV ، اجمالي الهواء 0-2000 ) ق/د( استطاعة التخزين 6.3 )ك/و(</v>
      </c>
      <c r="E182" s="12" t="str">
        <f>IF(C182&lt;&gt;"", IFERROR(INDEX('بنود العقد'!D$3:D$388,C182), ""), "")</f>
        <v>عدد</v>
      </c>
      <c r="F182" s="9">
        <f>IF(C182&lt;&gt;"", IFERROR(INDEX('بنود العقد'!E$3:E$388,C182), 0), "")</f>
        <v>10200</v>
      </c>
      <c r="G182" s="9">
        <f>IF(C182&lt;&gt;"", IFERROR(INDEX('بنود العقد'!F$3:F$388,C182), 0), "")</f>
        <v>49</v>
      </c>
      <c r="H182" s="18">
        <f t="shared" si="8"/>
        <v>7</v>
      </c>
      <c r="I182" s="7">
        <v>1</v>
      </c>
      <c r="J182" s="18">
        <f t="shared" si="9"/>
        <v>8</v>
      </c>
      <c r="K182" s="10">
        <f t="shared" si="10"/>
        <v>10200</v>
      </c>
      <c r="L182" s="21">
        <f t="shared" si="11"/>
        <v>16.326530612244898</v>
      </c>
      <c r="M182" s="74"/>
    </row>
    <row r="183" spans="1:13" ht="25.95" customHeight="1">
      <c r="A183" s="12">
        <v>181</v>
      </c>
      <c r="B183" s="6">
        <v>6</v>
      </c>
      <c r="C183" s="6">
        <v>230</v>
      </c>
      <c r="D183" s="20" t="str">
        <f>IF(C183&lt;&gt;"", IFERROR(INDEX('بنود العقد'!B$3:B$388,C183),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E183" s="12" t="str">
        <f>IF(C183&lt;&gt;"", IFERROR(INDEX('بنود العقد'!D$3:D$388,C183), ""), "")</f>
        <v>م.ط</v>
      </c>
      <c r="F183" s="9">
        <f>IF(C183&lt;&gt;"", IFERROR(INDEX('بنود العقد'!E$3:E$388,C183), 0), "")</f>
        <v>300</v>
      </c>
      <c r="G183" s="9">
        <f>IF(C183&lt;&gt;"", IFERROR(INDEX('بنود العقد'!F$3:F$388,C183), 0), "")</f>
        <v>7000</v>
      </c>
      <c r="H183" s="18">
        <f t="shared" si="8"/>
        <v>2564.75</v>
      </c>
      <c r="I183" s="7">
        <v>1147.1500000000001</v>
      </c>
      <c r="J183" s="18">
        <f t="shared" si="9"/>
        <v>3711.9</v>
      </c>
      <c r="K183" s="10">
        <f t="shared" si="10"/>
        <v>344145</v>
      </c>
      <c r="L183" s="21">
        <f t="shared" si="11"/>
        <v>53.027142857142863</v>
      </c>
      <c r="M183" s="74"/>
    </row>
    <row r="184" spans="1:13" ht="25.95" customHeight="1">
      <c r="A184" s="12">
        <v>182</v>
      </c>
      <c r="B184" s="6">
        <v>6</v>
      </c>
      <c r="C184" s="6">
        <v>231</v>
      </c>
      <c r="D184" s="20" t="str">
        <f>IF(C184&lt;&gt;"", IFERROR(INDEX('بنود العقد'!B$3:B$388,C184), "⚠"), "")</f>
        <v>ناشرة هواء ذات فتحات طولية  للهواء الداخل مصنعة من الألمنيوم المشكل بالبثق ومطلية بمسحوق البولستركاملة، مخمدات صوت ذات أرياش متضادّة ،وصندوق حجمى معزول من الداخل بعازل صوتى وميكانيزم للتحكم فى الهواء من واجهة الناشر وكل قطع الأكسسوار حسب المواصفات والمخططات مع توفير عينات للاعتماد من مهندس المشرف. ثلاثة فتحات / ثقب 25مم عرض</v>
      </c>
      <c r="E184" s="12" t="str">
        <f>IF(C184&lt;&gt;"", IFERROR(INDEX('بنود العقد'!D$3:D$388,C184), ""), "")</f>
        <v>م.ط</v>
      </c>
      <c r="F184" s="9">
        <f>IF(C184&lt;&gt;"", IFERROR(INDEX('بنود العقد'!E$3:E$388,C184), 0), "")</f>
        <v>480</v>
      </c>
      <c r="G184" s="9">
        <f>IF(C184&lt;&gt;"", IFERROR(INDEX('بنود العقد'!F$3:F$388,C184), 0), "")</f>
        <v>1925</v>
      </c>
      <c r="H184" s="18">
        <f t="shared" si="8"/>
        <v>0</v>
      </c>
      <c r="I184" s="7">
        <v>82.02</v>
      </c>
      <c r="J184" s="18">
        <f t="shared" si="9"/>
        <v>82.02</v>
      </c>
      <c r="K184" s="10">
        <f t="shared" si="10"/>
        <v>39369.599999999999</v>
      </c>
      <c r="L184" s="21">
        <f t="shared" si="11"/>
        <v>4.2607792207792201</v>
      </c>
      <c r="M184" s="74"/>
    </row>
    <row r="185" spans="1:13" ht="25.95" customHeight="1">
      <c r="A185" s="12">
        <v>183</v>
      </c>
      <c r="B185" s="6">
        <v>6</v>
      </c>
      <c r="C185" s="6">
        <v>232</v>
      </c>
      <c r="D185" s="20" t="str">
        <f>IF(C185&lt;&gt;"", IFERROR(INDEX('بنود العقد'!B$3:B$388,C185), "⚠"), "")</f>
        <v>ناشرة هواء ذات فتحات طولية للهواء الراجع مصنعة من الألمنيوم المشكل بالبثق ومطلية بمسحوق البولستركاملة، وكل قطع الأكسسوار حسب المواصفات والمخططات مع توفير عينات للاعتماد من مهندس المشرف. ثلاثة فتحات / ثقب 25مم عرض</v>
      </c>
      <c r="E185" s="12" t="str">
        <f>IF(C185&lt;&gt;"", IFERROR(INDEX('بنود العقد'!D$3:D$388,C185), ""), "")</f>
        <v>م.ط</v>
      </c>
      <c r="F185" s="9">
        <f>IF(C185&lt;&gt;"", IFERROR(INDEX('بنود العقد'!E$3:E$388,C185), 0), "")</f>
        <v>480</v>
      </c>
      <c r="G185" s="9">
        <f>IF(C185&lt;&gt;"", IFERROR(INDEX('بنود العقد'!F$3:F$388,C185), 0), "")</f>
        <v>1925</v>
      </c>
      <c r="H185" s="18">
        <f t="shared" si="8"/>
        <v>0</v>
      </c>
      <c r="I185" s="7">
        <v>82.02</v>
      </c>
      <c r="J185" s="18">
        <f t="shared" si="9"/>
        <v>82.02</v>
      </c>
      <c r="K185" s="10">
        <f t="shared" si="10"/>
        <v>39369.599999999999</v>
      </c>
      <c r="L185" s="21">
        <f t="shared" si="11"/>
        <v>4.2607792207792201</v>
      </c>
      <c r="M185" s="74"/>
    </row>
    <row r="186" spans="1:13" ht="25.95" customHeight="1">
      <c r="A186" s="12">
        <v>184</v>
      </c>
      <c r="B186" s="6">
        <v>6</v>
      </c>
      <c r="C186" s="6">
        <v>233</v>
      </c>
      <c r="D186" s="20" t="str">
        <f>IF(C186&lt;&gt;"", IFERROR(INDEX('بنود العقد'!B$3:B$388,C186), "⚠"), "")</f>
        <v xml:space="preserve"> جريلات تغذية من الالومينيوم مغطاة ببودرة البوليستر كاملة وجميع الملحقات حسب المخططات..والمواصفات مع توفير عينات للاعتماد من مهندس المشرف 600mm X 600mm</v>
      </c>
      <c r="E186" s="12" t="str">
        <f>IF(C186&lt;&gt;"", IFERROR(INDEX('بنود العقد'!D$3:D$388,C186), ""), "")</f>
        <v>عدد</v>
      </c>
      <c r="F186" s="9">
        <f>IF(C186&lt;&gt;"", IFERROR(INDEX('بنود العقد'!E$3:E$388,C186), 0), "")</f>
        <v>456</v>
      </c>
      <c r="G186" s="9">
        <f>IF(C186&lt;&gt;"", IFERROR(INDEX('بنود العقد'!F$3:F$388,C186), 0), "")</f>
        <v>724</v>
      </c>
      <c r="H186" s="18">
        <f t="shared" si="8"/>
        <v>0</v>
      </c>
      <c r="I186" s="7">
        <v>25</v>
      </c>
      <c r="J186" s="18">
        <f t="shared" si="9"/>
        <v>25</v>
      </c>
      <c r="K186" s="10">
        <f t="shared" si="10"/>
        <v>11400</v>
      </c>
      <c r="L186" s="21">
        <f t="shared" si="11"/>
        <v>3.4530386740331496</v>
      </c>
      <c r="M186" s="74"/>
    </row>
    <row r="187" spans="1:13" ht="25.95" customHeight="1">
      <c r="A187" s="12">
        <v>185</v>
      </c>
      <c r="B187" s="6">
        <v>6</v>
      </c>
      <c r="C187" s="6">
        <v>234</v>
      </c>
      <c r="D187" s="20" t="str">
        <f>IF(C187&lt;&gt;"", IFERROR(INDEX('بنود العقد'!B$3:B$388,C187), "⚠"), "")</f>
        <v xml:space="preserve"> جريلات رجوع من الالومينيوم مغطاة ببودرة البوليستر كاملة وجميع الملحقات حسب المخططات.والمواصفات مع توفير عينات للاعتماد من مهندس المشرف 600mm X 600mm</v>
      </c>
      <c r="E187" s="12" t="str">
        <f>IF(C187&lt;&gt;"", IFERROR(INDEX('بنود العقد'!D$3:D$388,C187), ""), "")</f>
        <v>عدد</v>
      </c>
      <c r="F187" s="9">
        <f>IF(C187&lt;&gt;"", IFERROR(INDEX('بنود العقد'!E$3:E$388,C187), 0), "")</f>
        <v>264</v>
      </c>
      <c r="G187" s="9">
        <f>IF(C187&lt;&gt;"", IFERROR(INDEX('بنود العقد'!F$3:F$388,C187), 0), "")</f>
        <v>724</v>
      </c>
      <c r="H187" s="18">
        <f t="shared" si="8"/>
        <v>0</v>
      </c>
      <c r="I187" s="7">
        <v>25</v>
      </c>
      <c r="J187" s="18">
        <f t="shared" si="9"/>
        <v>25</v>
      </c>
      <c r="K187" s="10">
        <f t="shared" si="10"/>
        <v>6600</v>
      </c>
      <c r="L187" s="21">
        <f t="shared" si="11"/>
        <v>3.4530386740331496</v>
      </c>
      <c r="M187" s="74"/>
    </row>
    <row r="188" spans="1:13" ht="25.95" customHeight="1">
      <c r="A188" s="12">
        <v>186</v>
      </c>
      <c r="B188" s="6">
        <v>6</v>
      </c>
      <c r="C188" s="6">
        <v>243</v>
      </c>
      <c r="D188" s="20" t="str">
        <f>IF(C188&lt;&gt;"", IFERROR(INDEX('بنود العقد'!B$3:B$388,C188), "⚠"), "")</f>
        <v>نظام إدارة المبنى BMS    تصميم وتوريد وتركيب نظام لإدارة المبنى أتوماتيكياً على أن يكون نظام التشغيل )OPEN PROTOCOL ( حسب توصيات الاستشارى المشرف وذلك للتحكم في تشغيل ومراقبة الانظمة الميكانيكية والكهربائية التالية :                                                  ـ التشلرات والمراوح ووحدات مناولة الهواء ووحدات ملف المروحة ومضخات المياه ووحدة ضخ الهواء وإنظمة الحريق والتحكم في الأنظمة والمعدات الميكانيكية بالمبنى - والتحكم في تشغيل ومتابعة حالة اللوحات الكهربائية الرئيسية والثانوية والمصاعد وكل الأنظمة التي يراها الاستشاري لأزمة مع الأخذ في الاعتبار قابلية التوسع في المباني المستقبلية .توريد وتركيب وتوصيل نظام إدارة المباني ) BMS ( لأنظمة HVAC ، وأنظمة السباكة ، ونظام الحريق ، والأنظمة الكهربائية والخدمات الخارجية ، كاملة بما في ذلك وحدات التحكم ونقاط التحكم والأسلاك والقنوات وصناديق السحب وصناديق التوصيل الثانوية وجميع عمليات التثبيت الضرورية مستلزمات؛ كل ما هو محدد ومفصل على الرسومات والموصوفة في المواصفات. والنظام يجب ان يتضمن البرامج واجهزة التحكم واجهزة المواقع ونقاط التحكم والاسلاك المتصلة بباقي الانظمة والمواسير وعلب السحب وعلب التوصيل الثانوية وجميع اكسسوارات ومتطلبات التركيبات الضرورية وهذه الاجهزة يجب ان يتم توصيلها مع جميع انظمة شبكة IP سواء من خلال تمكين اجهزة IP او من خلال بوابة IP او الموزع ويجب ان تشمل وحدات التحكم الطرفية التركيبات الضرورية والبرمجة والدمج عند اللزوم لتأسيس الاتصال والتعامل بين اجهزة التركيبات الالكتروميكانيكية وانظمة السلامة وانظمة الامن حسب اوامر ونظام التشغيل ووفقا لنظام وحسب تعليمات مهندس المشرف و يجب ان يتوافق النظام مع الانظمة الحالية للترشيد و المراقبة و يكون النظام لكامل المبني</v>
      </c>
      <c r="E188" s="12" t="str">
        <f>IF(C188&lt;&gt;"", IFERROR(INDEX('بنود العقد'!D$3:D$388,C188), ""), "")</f>
        <v>عدد</v>
      </c>
      <c r="F188" s="9">
        <f>IF(C188&lt;&gt;"", IFERROR(INDEX('بنود العقد'!E$3:E$388,C188), 0), "")</f>
        <v>2520000</v>
      </c>
      <c r="G188" s="9">
        <f>IF(C188&lt;&gt;"", IFERROR(INDEX('بنود العقد'!F$3:F$388,C188), 0), "")</f>
        <v>1</v>
      </c>
      <c r="H188" s="18">
        <f t="shared" si="8"/>
        <v>0.25</v>
      </c>
      <c r="I188" s="7">
        <v>9.4999999999999998E-3</v>
      </c>
      <c r="J188" s="18">
        <f t="shared" si="9"/>
        <v>0.25950000000000001</v>
      </c>
      <c r="K188" s="10">
        <f t="shared" si="10"/>
        <v>23940</v>
      </c>
      <c r="L188" s="21">
        <f t="shared" si="11"/>
        <v>25.95</v>
      </c>
      <c r="M188" s="75"/>
    </row>
    <row r="189" spans="1:13" ht="25.95" customHeight="1">
      <c r="A189" s="12">
        <v>187</v>
      </c>
      <c r="B189" s="6">
        <v>6</v>
      </c>
      <c r="C189" s="6">
        <v>254</v>
      </c>
      <c r="D189" s="20" t="str">
        <f>IF(C189&lt;&gt;"", IFERROR(INDEX('بنود العقد'!B$3:B$388,C189),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)A(  )تحتوى على  4 قوى &amp; 4 داتا (</v>
      </c>
      <c r="E189" s="12" t="str">
        <f>IF(C189&lt;&gt;"", IFERROR(INDEX('بنود العقد'!D$3:D$388,C189), ""), "")</f>
        <v>عدد</v>
      </c>
      <c r="F189" s="9">
        <f>IF(C189&lt;&gt;"", IFERROR(INDEX('بنود العقد'!E$3:E$388,C189), 0), "")</f>
        <v>2160</v>
      </c>
      <c r="G189" s="9">
        <f>IF(C189&lt;&gt;"", IFERROR(INDEX('بنود العقد'!F$3:F$388,C189), 0), "")</f>
        <v>286</v>
      </c>
      <c r="H189" s="18">
        <f t="shared" si="8"/>
        <v>35</v>
      </c>
      <c r="I189" s="7">
        <v>88</v>
      </c>
      <c r="J189" s="18">
        <f t="shared" si="9"/>
        <v>123</v>
      </c>
      <c r="K189" s="10">
        <f t="shared" si="10"/>
        <v>190080</v>
      </c>
      <c r="L189" s="21">
        <f t="shared" si="11"/>
        <v>43.006993006993007</v>
      </c>
      <c r="M189" s="74"/>
    </row>
    <row r="190" spans="1:13" ht="25.95" customHeight="1">
      <c r="A190" s="12">
        <v>188</v>
      </c>
      <c r="B190" s="6">
        <v>6</v>
      </c>
      <c r="C190" s="6">
        <v>255</v>
      </c>
      <c r="D190" s="20" t="str">
        <f>IF(C190&lt;&gt;"", IFERROR(INDEX('بنود العقد'!B$3:B$388,C190),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)B(   )تحتوى على 2 قوى &amp; 2 داتا (</v>
      </c>
      <c r="E190" s="12" t="str">
        <f>IF(C190&lt;&gt;"", IFERROR(INDEX('بنود العقد'!D$3:D$388,C190), ""), "")</f>
        <v>عدد</v>
      </c>
      <c r="F190" s="9">
        <f>IF(C190&lt;&gt;"", IFERROR(INDEX('بنود العقد'!E$3:E$388,C190), 0), "")</f>
        <v>1800</v>
      </c>
      <c r="G190" s="9">
        <f>IF(C190&lt;&gt;"", IFERROR(INDEX('بنود العقد'!F$3:F$388,C190), 0), "")</f>
        <v>20</v>
      </c>
      <c r="H190" s="18">
        <f t="shared" si="8"/>
        <v>19</v>
      </c>
      <c r="I190" s="7">
        <v>102</v>
      </c>
      <c r="J190" s="18">
        <f t="shared" si="9"/>
        <v>121</v>
      </c>
      <c r="K190" s="10">
        <f t="shared" si="10"/>
        <v>183600</v>
      </c>
      <c r="L190" s="21">
        <f t="shared" si="11"/>
        <v>605</v>
      </c>
      <c r="M190" s="74"/>
    </row>
    <row r="191" spans="1:13" ht="25.95" customHeight="1">
      <c r="A191" s="12">
        <v>189</v>
      </c>
      <c r="B191" s="6">
        <v>6</v>
      </c>
      <c r="C191" s="6">
        <v>256</v>
      </c>
      <c r="D191" s="20" t="str">
        <f>IF(C191&lt;&gt;"", IFERROR(INDEX('بنود العقد'!B$3:B$388,C191),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)1FB(   )تحتوى على 1 قوى (</v>
      </c>
      <c r="E191" s="12" t="str">
        <f>IF(C191&lt;&gt;"", IFERROR(INDEX('بنود العقد'!D$3:D$388,C191), ""), "")</f>
        <v>عدد</v>
      </c>
      <c r="F191" s="9">
        <f>IF(C191&lt;&gt;"", IFERROR(INDEX('بنود العقد'!E$3:E$388,C191), 0), "")</f>
        <v>720</v>
      </c>
      <c r="G191" s="9">
        <f>IF(C191&lt;&gt;"", IFERROR(INDEX('بنود العقد'!F$3:F$388,C191), 0), "")</f>
        <v>141</v>
      </c>
      <c r="H191" s="18">
        <f t="shared" si="8"/>
        <v>9</v>
      </c>
      <c r="I191" s="7">
        <v>12</v>
      </c>
      <c r="J191" s="18">
        <f t="shared" si="9"/>
        <v>21</v>
      </c>
      <c r="K191" s="10">
        <f t="shared" si="10"/>
        <v>8640</v>
      </c>
      <c r="L191" s="21">
        <f t="shared" si="11"/>
        <v>14.893617021276595</v>
      </c>
      <c r="M191" s="74"/>
    </row>
    <row r="192" spans="1:13" ht="25.95" customHeight="1">
      <c r="A192" s="12">
        <v>190</v>
      </c>
      <c r="B192" s="6">
        <v>6</v>
      </c>
      <c r="C192" s="6">
        <v>261</v>
      </c>
      <c r="D192" s="20" t="str">
        <f>IF(C192&lt;&gt;"", IFERROR(INDEX('بنود العقد'!B$3:B$388,C192), "⚠"), "")</f>
        <v xml:space="preserve"> توريد وتركيب واختبار والتشغيل التجريبي لمفاتيح فصل على الحمل من النوع عالية التحمل مع ماسورة  التثبيت المعدنية المرنة والمانعة لنفاذ السوائل، وقطع الإكسسوارعلى المقاول المعاينة و فحص الشبكة الحالية و الاستفادة من التمديدات الحالية و دمجها مع التركيبات الجديدة بعد عمل الاختبارات اللازمة و بعدالموافقة من مهندس المشرف  وبالإستطاعات التالية 30 A, 250 V, 2P</v>
      </c>
      <c r="E192" s="12" t="str">
        <f>IF(C192&lt;&gt;"", IFERROR(INDEX('بنود العقد'!D$3:D$388,C192), ""), "")</f>
        <v>عدد</v>
      </c>
      <c r="F192" s="9">
        <f>IF(C192&lt;&gt;"", IFERROR(INDEX('بنود العقد'!E$3:E$388,C192), 0), "")</f>
        <v>384</v>
      </c>
      <c r="G192" s="9">
        <f>IF(C192&lt;&gt;"", IFERROR(INDEX('بنود العقد'!F$3:F$388,C192), 0), "")</f>
        <v>445</v>
      </c>
      <c r="H192" s="18">
        <f t="shared" si="8"/>
        <v>57</v>
      </c>
      <c r="I192" s="7">
        <v>32</v>
      </c>
      <c r="J192" s="18">
        <f t="shared" si="9"/>
        <v>89</v>
      </c>
      <c r="K192" s="10">
        <f t="shared" si="10"/>
        <v>12288</v>
      </c>
      <c r="L192" s="21">
        <f t="shared" si="11"/>
        <v>20</v>
      </c>
      <c r="M192" s="74"/>
    </row>
    <row r="193" spans="1:13" ht="25.95" customHeight="1">
      <c r="A193" s="12">
        <v>191</v>
      </c>
      <c r="B193" s="6">
        <v>6</v>
      </c>
      <c r="C193" s="6">
        <v>304</v>
      </c>
      <c r="D193" s="20" t="str">
        <f>IF(C193&lt;&gt;"", IFERROR(INDEX('بنود العقد'!B$3:B$388,C193),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أحادي ، ثنائي الكباّس، 10 أمبير</v>
      </c>
      <c r="E193" s="12" t="str">
        <f>IF(C193&lt;&gt;"", IFERROR(INDEX('بنود العقد'!D$3:D$388,C193), ""), "")</f>
        <v>عدد</v>
      </c>
      <c r="F193" s="9">
        <f>IF(C193&lt;&gt;"", IFERROR(INDEX('بنود العقد'!E$3:E$388,C193), 0), "")</f>
        <v>216</v>
      </c>
      <c r="G193" s="9">
        <f>IF(C193&lt;&gt;"", IFERROR(INDEX('بنود العقد'!F$3:F$388,C193), 0), "")</f>
        <v>490</v>
      </c>
      <c r="H193" s="18">
        <f t="shared" si="8"/>
        <v>8</v>
      </c>
      <c r="I193" s="7">
        <v>11</v>
      </c>
      <c r="J193" s="18">
        <f t="shared" si="9"/>
        <v>19</v>
      </c>
      <c r="K193" s="10">
        <f t="shared" si="10"/>
        <v>2376</v>
      </c>
      <c r="L193" s="21">
        <f t="shared" si="11"/>
        <v>3.8775510204081631</v>
      </c>
      <c r="M193" s="74"/>
    </row>
    <row r="194" spans="1:13" ht="25.95" customHeight="1">
      <c r="A194" s="12">
        <v>192</v>
      </c>
      <c r="B194" s="6">
        <v>6</v>
      </c>
      <c r="C194" s="6">
        <v>319</v>
      </c>
      <c r="D194" s="20" t="str">
        <f>IF(C194&lt;&gt;"", IFERROR(INDEX('بنود العقد'!B$3:B$388,C194), "⚠"), "")</f>
        <v>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قارىء من النوع التقاربى      ( reader card Proximity )</v>
      </c>
      <c r="E194" s="12" t="str">
        <f>IF(C194&lt;&gt;"", IFERROR(INDEX('بنود العقد'!D$3:D$388,C194), ""), "")</f>
        <v>عدد</v>
      </c>
      <c r="F194" s="9">
        <f>IF(C194&lt;&gt;"", IFERROR(INDEX('بنود العقد'!E$3:E$388,C194), 0), "")</f>
        <v>990</v>
      </c>
      <c r="G194" s="9">
        <f>IF(C194&lt;&gt;"", IFERROR(INDEX('بنود العقد'!F$3:F$388,C194), 0), "")</f>
        <v>182</v>
      </c>
      <c r="H194" s="18">
        <f t="shared" si="8"/>
        <v>0</v>
      </c>
      <c r="I194" s="7">
        <v>1</v>
      </c>
      <c r="J194" s="18">
        <f t="shared" si="9"/>
        <v>1</v>
      </c>
      <c r="K194" s="10">
        <f t="shared" si="10"/>
        <v>990</v>
      </c>
      <c r="L194" s="21">
        <f t="shared" si="11"/>
        <v>0.5494505494505495</v>
      </c>
      <c r="M194" s="74"/>
    </row>
    <row r="195" spans="1:13" ht="25.95" customHeight="1">
      <c r="A195" s="12">
        <v>193</v>
      </c>
      <c r="B195" s="6">
        <v>6</v>
      </c>
      <c r="C195" s="6">
        <v>323</v>
      </c>
      <c r="D195" s="20" t="str">
        <f>IF(C195&lt;&gt;"", IFERROR(INDEX('بنود العقد'!B$3:B$388,C195), "⚠"),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زر خروج من النوع button( )Push</v>
      </c>
      <c r="E195" s="12" t="str">
        <f>IF(C195&lt;&gt;"", IFERROR(INDEX('بنود العقد'!D$3:D$388,C195), ""), "")</f>
        <v>عدد</v>
      </c>
      <c r="F195" s="9">
        <f>IF(C195&lt;&gt;"", IFERROR(INDEX('بنود العقد'!E$3:E$388,C195), 0), "")</f>
        <v>606</v>
      </c>
      <c r="G195" s="9">
        <f>IF(C195&lt;&gt;"", IFERROR(INDEX('بنود العقد'!F$3:F$388,C195), 0), "")</f>
        <v>218</v>
      </c>
      <c r="H195" s="18">
        <f t="shared" ref="H195:H258" si="12">IFERROR(SUMIFS(I$3:I$1805, B$3:B$1805, "&lt;"&amp;B195, C$3:C$1805, C195), 0)</f>
        <v>0</v>
      </c>
      <c r="I195" s="7">
        <v>1</v>
      </c>
      <c r="J195" s="18">
        <f t="shared" ref="J195:J258" si="13">IF(I195&lt;&gt;"", H195+I195, 0)</f>
        <v>1</v>
      </c>
      <c r="K195" s="10">
        <f t="shared" ref="K195:K258" si="14">IF(AND(I195&lt;&gt;"",F195&lt;&gt;""), I195*F195, "")</f>
        <v>606</v>
      </c>
      <c r="L195" s="21">
        <f t="shared" ref="L195:L258" si="15">IF(AND(J195&lt;&gt;"",G195&lt;&gt;"",G195&gt;0), J195/G195*100, "")</f>
        <v>0.45871559633027525</v>
      </c>
      <c r="M195" s="74"/>
    </row>
    <row r="196" spans="1:13" ht="25.95" customHeight="1">
      <c r="A196" s="12">
        <v>194</v>
      </c>
      <c r="B196" s="6">
        <v>6</v>
      </c>
      <c r="C196" s="6">
        <v>330</v>
      </c>
      <c r="D196" s="20" t="str">
        <f>IF(C196&lt;&gt;"", IFERROR(INDEX('بنود العقد'!B$3:B$388,C196), "⚠"), "")</f>
        <v>خزانة تجهيزات 42 U مقاس 2000×1000×800 ملم من أجود األنواع العالمية مع جميع االكسسوارات الالزمة من قاطع رئيسي 32( أمبير) وموزعات و مراوح و منظمات مسير الكوابل و كل
ما يلزم التمام العمل وحسب مواصفات وتعليمات إدارة الـ IT بالوزارة.</v>
      </c>
      <c r="E196" s="12" t="str">
        <f>IF(C196&lt;&gt;"", IFERROR(INDEX('بنود العقد'!D$3:D$388,C196), ""), "")</f>
        <v>عدد</v>
      </c>
      <c r="F196" s="9">
        <f>IF(C196&lt;&gt;"", IFERROR(INDEX('بنود العقد'!E$3:E$388,C196), 0), "")</f>
        <v>66000</v>
      </c>
      <c r="G196" s="9">
        <f>IF(C196&lt;&gt;"", IFERROR(INDEX('بنود العقد'!F$3:F$388,C196), 0), "")</f>
        <v>12</v>
      </c>
      <c r="H196" s="18">
        <f t="shared" si="12"/>
        <v>0</v>
      </c>
      <c r="I196" s="7">
        <v>4</v>
      </c>
      <c r="J196" s="18">
        <f t="shared" si="13"/>
        <v>4</v>
      </c>
      <c r="K196" s="10">
        <f t="shared" si="14"/>
        <v>264000</v>
      </c>
      <c r="L196" s="21">
        <f t="shared" si="15"/>
        <v>33.333333333333329</v>
      </c>
      <c r="M196" s="74"/>
    </row>
    <row r="197" spans="1:13" ht="25.95" customHeight="1">
      <c r="A197" s="12">
        <v>195</v>
      </c>
      <c r="B197" s="6">
        <v>6</v>
      </c>
      <c r="C197" s="6">
        <v>332</v>
      </c>
      <c r="D197" s="20" t="str">
        <f>IF(C197&lt;&gt;"", IFERROR(INDEX('بنود العقد'!B$3:B$388,C197), "⚠"), "")</f>
        <v>لوحات توزيع كابالت نحاسية Panel Patch a 6 CAT مع الوصالت لعدد 24 مخرج</v>
      </c>
      <c r="E197" s="12" t="str">
        <f>IF(C197&lt;&gt;"", IFERROR(INDEX('بنود العقد'!D$3:D$388,C197), ""), "")</f>
        <v>عدد</v>
      </c>
      <c r="F197" s="9">
        <f>IF(C197&lt;&gt;"", IFERROR(INDEX('بنود العقد'!E$3:E$388,C197), 0), "")</f>
        <v>2400</v>
      </c>
      <c r="G197" s="9">
        <f>IF(C197&lt;&gt;"", IFERROR(INDEX('بنود العقد'!F$3:F$388,C197), 0), "")</f>
        <v>55</v>
      </c>
      <c r="H197" s="18">
        <f t="shared" si="12"/>
        <v>0</v>
      </c>
      <c r="I197" s="7">
        <v>24</v>
      </c>
      <c r="J197" s="18">
        <f t="shared" si="13"/>
        <v>24</v>
      </c>
      <c r="K197" s="10">
        <f t="shared" si="14"/>
        <v>57600</v>
      </c>
      <c r="L197" s="21">
        <f t="shared" si="15"/>
        <v>43.636363636363633</v>
      </c>
      <c r="M197" s="74"/>
    </row>
    <row r="198" spans="1:13" ht="25.95" customHeight="1">
      <c r="A198" s="12">
        <v>196</v>
      </c>
      <c r="B198" s="6">
        <v>7</v>
      </c>
      <c r="C198" s="6">
        <v>5</v>
      </c>
      <c r="D198" s="20" t="str">
        <f>IF(C198&lt;&gt;"", IFERROR(INDEX('بنود العقد'!B$3:B$388,C198), "⚠"), "")</f>
        <v>صبة أسمنتية كطبقة حماية للعزل في الأماكن الرطبة. ويشمل السعر وأي مواد أو أعمال يتطلبها تنفيذ العمل حسب المواصفات والمخططات وتعليمات المهندس المشرف.</v>
      </c>
      <c r="E198" s="12" t="str">
        <f>IF(C198&lt;&gt;"", IFERROR(INDEX('بنود العقد'!D$3:D$388,C198), ""), "")</f>
        <v>م3</v>
      </c>
      <c r="F198" s="9">
        <f>IF(C198&lt;&gt;"", IFERROR(INDEX('بنود العقد'!E$3:E$388,C198), 0), "")</f>
        <v>366</v>
      </c>
      <c r="G198" s="9">
        <f>IF(C198&lt;&gt;"", IFERROR(INDEX('بنود العقد'!F$3:F$388,C198), 0), "")</f>
        <v>1345</v>
      </c>
      <c r="H198" s="18">
        <f t="shared" si="12"/>
        <v>150.83999999999997</v>
      </c>
      <c r="I198" s="7">
        <v>7.99</v>
      </c>
      <c r="J198" s="18">
        <f t="shared" si="13"/>
        <v>158.82999999999998</v>
      </c>
      <c r="K198" s="10">
        <f t="shared" si="14"/>
        <v>2924.34</v>
      </c>
      <c r="L198" s="21">
        <f t="shared" si="15"/>
        <v>11.8089219330855</v>
      </c>
      <c r="M198" s="73"/>
    </row>
    <row r="199" spans="1:13" ht="25.95" customHeight="1">
      <c r="A199" s="12">
        <v>197</v>
      </c>
      <c r="B199" s="6">
        <v>7</v>
      </c>
      <c r="C199" s="6">
        <v>6</v>
      </c>
      <c r="D199" s="20" t="str">
        <f>IF(C199&lt;&gt;"", IFERROR(INDEX('بنود العقد'!B$3:B$388,C199),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v>
      </c>
      <c r="E199" s="12" t="str">
        <f>IF(C199&lt;&gt;"", IFERROR(INDEX('بنود العقد'!D$3:D$388,C199), ""), "")</f>
        <v>م2</v>
      </c>
      <c r="F199" s="9">
        <f>IF(C199&lt;&gt;"", IFERROR(INDEX('بنود العقد'!E$3:E$388,C199), 0), "")</f>
        <v>150</v>
      </c>
      <c r="G199" s="9">
        <f>IF(C199&lt;&gt;"", IFERROR(INDEX('بنود العقد'!F$3:F$388,C199), 0), "")</f>
        <v>450</v>
      </c>
      <c r="H199" s="18">
        <f t="shared" si="12"/>
        <v>2013.09</v>
      </c>
      <c r="I199" s="7">
        <v>254.33</v>
      </c>
      <c r="J199" s="18">
        <f t="shared" si="13"/>
        <v>2267.42</v>
      </c>
      <c r="K199" s="10">
        <f t="shared" si="14"/>
        <v>38149.5</v>
      </c>
      <c r="L199" s="21">
        <f t="shared" si="15"/>
        <v>503.87111111111113</v>
      </c>
      <c r="M199" s="73"/>
    </row>
    <row r="200" spans="1:13" ht="25.95" customHeight="1">
      <c r="A200" s="12">
        <v>198</v>
      </c>
      <c r="B200" s="6">
        <v>7</v>
      </c>
      <c r="C200" s="6">
        <v>25</v>
      </c>
      <c r="D200" s="20" t="str">
        <f>IF(C200&lt;&gt;"", IFERROR(INDEX('بنود العقد'!B$3:B$388,C200), "⚠"), "")</f>
        <v>تصنيع وتركيب لوح خشبي بشكل طولي من  الـ )Mdf(  مع قشرة الجوز او ما يتناسب مع العينة المتفق عليها طول 25سم وعرض 10سم وارتفاع 270 سم الى جانب الابواب الزجاجية حسب المناظير والرسومات وتعليمات المهندس المشرف.Code: WDP2-08</v>
      </c>
      <c r="E200" s="12" t="str">
        <f>IF(C200&lt;&gt;"", IFERROR(INDEX('بنود العقد'!D$3:D$388,C200), ""), "")</f>
        <v>عدد</v>
      </c>
      <c r="F200" s="9">
        <f>IF(C200&lt;&gt;"", IFERROR(INDEX('بنود العقد'!E$3:E$388,C200), 0), "")</f>
        <v>240</v>
      </c>
      <c r="G200" s="9">
        <f>IF(C200&lt;&gt;"", IFERROR(INDEX('بنود العقد'!F$3:F$388,C200), 0), "")</f>
        <v>248</v>
      </c>
      <c r="H200" s="18">
        <f t="shared" si="12"/>
        <v>9</v>
      </c>
      <c r="I200" s="7">
        <v>31</v>
      </c>
      <c r="J200" s="18">
        <f t="shared" si="13"/>
        <v>40</v>
      </c>
      <c r="K200" s="10">
        <f t="shared" si="14"/>
        <v>7440</v>
      </c>
      <c r="L200" s="21">
        <f t="shared" si="15"/>
        <v>16.129032258064516</v>
      </c>
      <c r="M200" s="73"/>
    </row>
    <row r="201" spans="1:13" ht="25.95" customHeight="1">
      <c r="A201" s="12">
        <v>199</v>
      </c>
      <c r="B201" s="6">
        <v>7</v>
      </c>
      <c r="C201" s="6">
        <v>26</v>
      </c>
      <c r="D201" s="20" t="str">
        <f>IF(C201&lt;&gt;"", IFERROR(INDEX('بنود العقد'!B$3:B$388,C201),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العامود الخرساني بدهان رمادي على شكل وهيئة الأسطح الاسمنتية )matt( بتصميم مع غروف حسب الرسومات والمناظير وتعليمات المهندس المشرف.Code: WDP3-04</v>
      </c>
      <c r="E201" s="12" t="str">
        <f>IF(C201&lt;&gt;"", IFERROR(INDEX('بنود العقد'!D$3:D$388,C201), ""), "")</f>
        <v>م2</v>
      </c>
      <c r="F201" s="9">
        <f>IF(C201&lt;&gt;"", IFERROR(INDEX('بنود العقد'!E$3:E$388,C201), 0), "")</f>
        <v>528</v>
      </c>
      <c r="G201" s="9">
        <f>IF(C201&lt;&gt;"", IFERROR(INDEX('بنود العقد'!F$3:F$388,C201), 0), "")</f>
        <v>345</v>
      </c>
      <c r="H201" s="18">
        <f t="shared" si="12"/>
        <v>0</v>
      </c>
      <c r="I201" s="7">
        <v>92.27</v>
      </c>
      <c r="J201" s="18">
        <f t="shared" si="13"/>
        <v>92.27</v>
      </c>
      <c r="K201" s="10">
        <f t="shared" si="14"/>
        <v>48718.559999999998</v>
      </c>
      <c r="L201" s="21">
        <f t="shared" si="15"/>
        <v>26.744927536231884</v>
      </c>
      <c r="M201" s="73"/>
    </row>
    <row r="202" spans="1:13" ht="25.95" customHeight="1">
      <c r="A202" s="12">
        <v>200</v>
      </c>
      <c r="B202" s="6">
        <v>7</v>
      </c>
      <c r="C202" s="6">
        <v>27</v>
      </c>
      <c r="D202" s="20" t="str">
        <f>IF(C202&lt;&gt;"", IFERROR(INDEX('بنود العقد'!B$3:B$388,C202),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القواطع الجبسية بدهان رمادي بيج  )matt( ، وبتصميم مع غروف حسب الرسومات والمناظير وتعليمات المهندس المشرف.Code: WPD4-01,WDP4-01.A</v>
      </c>
      <c r="E202" s="12" t="str">
        <f>IF(C202&lt;&gt;"", IFERROR(INDEX('بنود العقد'!D$3:D$388,C202), ""), "")</f>
        <v>م2</v>
      </c>
      <c r="F202" s="9">
        <f>IF(C202&lt;&gt;"", IFERROR(INDEX('بنود العقد'!E$3:E$388,C202), 0), "")</f>
        <v>528</v>
      </c>
      <c r="G202" s="9">
        <f>IF(C202&lt;&gt;"", IFERROR(INDEX('بنود العقد'!F$3:F$388,C202), 0), "")</f>
        <v>331</v>
      </c>
      <c r="H202" s="18">
        <f t="shared" si="12"/>
        <v>0</v>
      </c>
      <c r="I202" s="7">
        <v>39.67</v>
      </c>
      <c r="J202" s="18">
        <f t="shared" si="13"/>
        <v>39.67</v>
      </c>
      <c r="K202" s="10">
        <f t="shared" si="14"/>
        <v>20945.760000000002</v>
      </c>
      <c r="L202" s="21">
        <f t="shared" si="15"/>
        <v>11.984894259818732</v>
      </c>
      <c r="M202" s="73"/>
    </row>
    <row r="203" spans="1:13" ht="25.95" customHeight="1">
      <c r="A203" s="12">
        <v>201</v>
      </c>
      <c r="B203" s="6">
        <v>7</v>
      </c>
      <c r="C203" s="6">
        <v>28</v>
      </c>
      <c r="D203" s="20" t="str">
        <f>IF(C203&lt;&gt;"", IFERROR(INDEX('بنود العقد'!B$3:B$388,C203),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مثبتة على القواطع الجبسية مع قشرة صناعية بحسب العينة الموافق عليها وغروف حسب الرسومات والمناظير وتعليمات المهندس المشرفCode: WDP2</v>
      </c>
      <c r="E203" s="12" t="str">
        <f>IF(C203&lt;&gt;"", IFERROR(INDEX('بنود العقد'!D$3:D$388,C203), ""), "")</f>
        <v>م2</v>
      </c>
      <c r="F203" s="9">
        <f>IF(C203&lt;&gt;"", IFERROR(INDEX('بنود العقد'!E$3:E$388,C203), 0), "")</f>
        <v>528</v>
      </c>
      <c r="G203" s="9">
        <f>IF(C203&lt;&gt;"", IFERROR(INDEX('بنود العقد'!F$3:F$388,C203), 0), "")</f>
        <v>2517</v>
      </c>
      <c r="H203" s="18">
        <f t="shared" si="12"/>
        <v>0</v>
      </c>
      <c r="I203" s="7">
        <v>228.77</v>
      </c>
      <c r="J203" s="18">
        <f t="shared" si="13"/>
        <v>228.77</v>
      </c>
      <c r="K203" s="10">
        <f t="shared" si="14"/>
        <v>120790.56000000001</v>
      </c>
      <c r="L203" s="21">
        <f t="shared" si="15"/>
        <v>9.0889948351211771</v>
      </c>
      <c r="M203" s="73"/>
    </row>
    <row r="204" spans="1:13" ht="25.95" customHeight="1">
      <c r="A204" s="12">
        <v>202</v>
      </c>
      <c r="B204" s="6">
        <v>7</v>
      </c>
      <c r="C204" s="6">
        <v>29</v>
      </c>
      <c r="D204" s="20" t="str">
        <f>IF(C204&lt;&gt;"", IFERROR(INDEX('بنود العقد'!B$3:B$388,C204),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االقواطع الجبسية بدهان رمادي على شكل وهيئة الأسطح الاسمنتية ) matt( مع تصميم بفتحات حسب الرسومات والمناظير وتعليمات المهندس المشرف.Code: WDP3-01, WDP3-02, WDP3-03</v>
      </c>
      <c r="E204" s="12" t="str">
        <f>IF(C204&lt;&gt;"", IFERROR(INDEX('بنود العقد'!D$3:D$388,C204), ""), "")</f>
        <v>م2</v>
      </c>
      <c r="F204" s="9">
        <f>IF(C204&lt;&gt;"", IFERROR(INDEX('بنود العقد'!E$3:E$388,C204), 0), "")</f>
        <v>528</v>
      </c>
      <c r="G204" s="9">
        <f>IF(C204&lt;&gt;"", IFERROR(INDEX('بنود العقد'!F$3:F$388,C204), 0), "")</f>
        <v>846</v>
      </c>
      <c r="H204" s="18">
        <f t="shared" si="12"/>
        <v>0</v>
      </c>
      <c r="I204" s="7">
        <v>142.97</v>
      </c>
      <c r="J204" s="18">
        <f t="shared" si="13"/>
        <v>142.97</v>
      </c>
      <c r="K204" s="10">
        <f t="shared" si="14"/>
        <v>75488.160000000003</v>
      </c>
      <c r="L204" s="21">
        <f t="shared" si="15"/>
        <v>16.89952718676123</v>
      </c>
      <c r="M204" s="73"/>
    </row>
    <row r="205" spans="1:13" ht="25.95" customHeight="1">
      <c r="A205" s="12">
        <v>203</v>
      </c>
      <c r="B205" s="6">
        <v>7</v>
      </c>
      <c r="C205" s="6">
        <v>30</v>
      </c>
      <c r="D205" s="20" t="str">
        <f>IF(C205&lt;&gt;"", IFERROR(INDEX('بنود العقد'!B$3:B$388,C205),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مع قشرة السنديان المطلي بدهان ابيض  مع غروف وفتحات إضاءة مخفية مغلفة من الداخل بطبقة Acrylic مغشى  حسب الرسومات والمناظير وتعليمات المهندس المشرف.Code: WDP1-03, WDP1-04, WDP1-05, WDP1-06</v>
      </c>
      <c r="E205" s="12" t="str">
        <f>IF(C205&lt;&gt;"", IFERROR(INDEX('بنود العقد'!D$3:D$388,C205), ""), "")</f>
        <v>م2</v>
      </c>
      <c r="F205" s="9">
        <f>IF(C205&lt;&gt;"", IFERROR(INDEX('بنود العقد'!E$3:E$388,C205), 0), "")</f>
        <v>570</v>
      </c>
      <c r="G205" s="9">
        <f>IF(C205&lt;&gt;"", IFERROR(INDEX('بنود العقد'!F$3:F$388,C205), 0), "")</f>
        <v>456</v>
      </c>
      <c r="H205" s="18">
        <f t="shared" si="12"/>
        <v>0</v>
      </c>
      <c r="I205" s="7">
        <v>89.4</v>
      </c>
      <c r="J205" s="18">
        <f t="shared" si="13"/>
        <v>89.4</v>
      </c>
      <c r="K205" s="10">
        <f t="shared" si="14"/>
        <v>50958</v>
      </c>
      <c r="L205" s="21">
        <f t="shared" si="15"/>
        <v>19.605263157894736</v>
      </c>
      <c r="M205" s="73"/>
    </row>
    <row r="206" spans="1:13" ht="25.95" customHeight="1">
      <c r="A206" s="12">
        <v>204</v>
      </c>
      <c r="B206" s="6">
        <v>7</v>
      </c>
      <c r="C206" s="6">
        <v>38</v>
      </c>
      <c r="D206" s="20" t="str">
        <f>IF(C206&lt;&gt;"", IFERROR(INDEX('بنود العقد'!B$3:B$388,C206), "⚠"), "")</f>
        <v>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 من من خشب الـ)Mdf(  مع قشرة صناعية بحسب العينة الموافق عليها وغروف مثبتة بنظام تعليق متصلة بالسقف الخرساني حسب الرسومات والمناظير وتعليمات المهندس المشرف.Code: WDC-01 &amp; WDC-02</v>
      </c>
      <c r="E206" s="12" t="str">
        <f>IF(C206&lt;&gt;"", IFERROR(INDEX('بنود العقد'!D$3:D$388,C206), ""), "")</f>
        <v>م2</v>
      </c>
      <c r="F206" s="9">
        <f>IF(C206&lt;&gt;"", IFERROR(INDEX('بنود العقد'!E$3:E$388,C206), 0), "")</f>
        <v>840</v>
      </c>
      <c r="G206" s="9">
        <f>IF(C206&lt;&gt;"", IFERROR(INDEX('بنود العقد'!F$3:F$388,C206), 0), "")</f>
        <v>684</v>
      </c>
      <c r="H206" s="18">
        <f t="shared" si="12"/>
        <v>0</v>
      </c>
      <c r="I206" s="7">
        <v>128.86000000000001</v>
      </c>
      <c r="J206" s="18">
        <f t="shared" si="13"/>
        <v>128.86000000000001</v>
      </c>
      <c r="K206" s="10">
        <f t="shared" si="14"/>
        <v>108242.40000000001</v>
      </c>
      <c r="L206" s="21">
        <f t="shared" si="15"/>
        <v>18.839181286549707</v>
      </c>
      <c r="M206" s="73"/>
    </row>
    <row r="207" spans="1:13" ht="25.95" customHeight="1">
      <c r="A207" s="12">
        <v>205</v>
      </c>
      <c r="B207" s="6">
        <v>7</v>
      </c>
      <c r="C207" s="6">
        <v>40</v>
      </c>
      <c r="D207" s="20" t="str">
        <f>IF(C207&lt;&gt;"", IFERROR(INDEX('بنود العقد'!B$3:B$388,C207),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خشبية01-WDC و 02-WDC من خشب الـ ) Mdf ( متداخلة الالوان من قشرة صناعية بحسب  العينة الموافق عليها والدهان الرمادي  على شكل وهيئة الاسطح الاسمنتية مثبتة على القواطع الجبسية مع اضاءة مخفية ومفصلات ومقابض مخفية وتصميم حسب الرسومات والمناظير وتعليمات المهندس المشرف.</v>
      </c>
      <c r="E207" s="12" t="str">
        <f>IF(C207&lt;&gt;"", IFERROR(INDEX('بنود العقد'!D$3:D$388,C207), ""), "")</f>
        <v>م2</v>
      </c>
      <c r="F207" s="9">
        <f>IF(C207&lt;&gt;"", IFERROR(INDEX('بنود العقد'!E$3:E$388,C207), 0), "")</f>
        <v>1440</v>
      </c>
      <c r="G207" s="9">
        <f>IF(C207&lt;&gt;"", IFERROR(INDEX('بنود العقد'!F$3:F$388,C207), 0), "")</f>
        <v>72</v>
      </c>
      <c r="H207" s="18">
        <f t="shared" si="12"/>
        <v>0</v>
      </c>
      <c r="I207" s="7">
        <v>8.93</v>
      </c>
      <c r="J207" s="18">
        <f t="shared" si="13"/>
        <v>8.93</v>
      </c>
      <c r="K207" s="10">
        <f t="shared" si="14"/>
        <v>12859.199999999999</v>
      </c>
      <c r="L207" s="21">
        <f t="shared" si="15"/>
        <v>12.402777777777779</v>
      </c>
      <c r="M207" s="73"/>
    </row>
    <row r="208" spans="1:13" ht="25.95" customHeight="1">
      <c r="A208" s="12">
        <v>206</v>
      </c>
      <c r="B208" s="6">
        <v>7</v>
      </c>
      <c r="C208" s="6">
        <v>41</v>
      </c>
      <c r="D208" s="20" t="str">
        <f>IF(C208&lt;&gt;"", IFERROR(INDEX('بنود العقد'!B$3:B$388,C208),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خشبية03-WDC  من خشب الـ ) Mdf (  مع قشرة صناعية بحسب العينة الموافق عليها مثبتة على القواطع الجبسية  مع غروف ومفصلات ومقابض مخفية ،  حسب الرسومات والمناظير</v>
      </c>
      <c r="E208" s="12" t="str">
        <f>IF(C208&lt;&gt;"", IFERROR(INDEX('بنود العقد'!D$3:D$388,C208), ""), "")</f>
        <v>م2</v>
      </c>
      <c r="F208" s="9">
        <f>IF(C208&lt;&gt;"", IFERROR(INDEX('بنود العقد'!E$3:E$388,C208), 0), "")</f>
        <v>1440</v>
      </c>
      <c r="G208" s="9">
        <f>IF(C208&lt;&gt;"", IFERROR(INDEX('بنود العقد'!F$3:F$388,C208), 0), "")</f>
        <v>78</v>
      </c>
      <c r="H208" s="18">
        <f t="shared" si="12"/>
        <v>0</v>
      </c>
      <c r="I208" s="7">
        <v>10.81</v>
      </c>
      <c r="J208" s="18">
        <f t="shared" si="13"/>
        <v>10.81</v>
      </c>
      <c r="K208" s="10">
        <f t="shared" si="14"/>
        <v>15566.400000000001</v>
      </c>
      <c r="L208" s="21">
        <f t="shared" si="15"/>
        <v>13.858974358974359</v>
      </c>
      <c r="M208" s="73"/>
    </row>
    <row r="209" spans="1:13" ht="25.95" customHeight="1">
      <c r="A209" s="12">
        <v>207</v>
      </c>
      <c r="B209" s="6">
        <v>7</v>
      </c>
      <c r="C209" s="6">
        <v>42</v>
      </c>
      <c r="D209" s="20" t="str">
        <f>IF(C209&lt;&gt;"", IFERROR(INDEX('بنود العقد'!B$3:B$388,C209),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خشبية04-WDC   من خشب الـ ) Mdf (  مطلية بدهان رمادي على شكل وهيئة الاسطح الاسمنتية مع غروف ومفصلات ومقابض مخفية ، وارفف مفتوحة من قشرة الجوز ،واضاءة مخفية ، مثبتة على الجدار الخارجي حسب الرسومات والمناظير  وتعليمات المهندس المشرف.</v>
      </c>
      <c r="E209" s="12" t="str">
        <f>IF(C209&lt;&gt;"", IFERROR(INDEX('بنود العقد'!D$3:D$388,C209), ""), "")</f>
        <v>م2</v>
      </c>
      <c r="F209" s="9">
        <f>IF(C209&lt;&gt;"", IFERROR(INDEX('بنود العقد'!E$3:E$388,C209), 0), "")</f>
        <v>1200</v>
      </c>
      <c r="G209" s="9">
        <f>IF(C209&lt;&gt;"", IFERROR(INDEX('بنود العقد'!F$3:F$388,C209), 0), "")</f>
        <v>297</v>
      </c>
      <c r="H209" s="18">
        <f t="shared" si="12"/>
        <v>0</v>
      </c>
      <c r="I209" s="7">
        <v>42.42</v>
      </c>
      <c r="J209" s="18">
        <f t="shared" si="13"/>
        <v>42.42</v>
      </c>
      <c r="K209" s="10">
        <f t="shared" si="14"/>
        <v>50904</v>
      </c>
      <c r="L209" s="21">
        <f t="shared" si="15"/>
        <v>14.282828282828284</v>
      </c>
      <c r="M209" s="73"/>
    </row>
    <row r="210" spans="1:13" ht="25.95" customHeight="1">
      <c r="A210" s="12">
        <v>208</v>
      </c>
      <c r="B210" s="6">
        <v>7</v>
      </c>
      <c r="C210" s="6">
        <v>43</v>
      </c>
      <c r="D210" s="20" t="str">
        <f>IF(C210&lt;&gt;"", IFERROR(INDEX('بنود العقد'!B$3:B$388,C210),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 خزانة خشبية05-WDC  من خشب الـ ) Mdf (  مع قشرة الوينغي الداكنة مع أرفف وإضاءة مخفية، أبواب الخزائن زجاجية   ribbed glass(مع إيطار خشبي وغروف ومفصلات ومقابض مخفية لمنطقة معالي الوزير حسب الرسومات والمناظير وتعليمات المهندس المشرف.</v>
      </c>
      <c r="E210" s="12" t="str">
        <f>IF(C210&lt;&gt;"", IFERROR(INDEX('بنود العقد'!D$3:D$388,C210), ""), "")</f>
        <v>م2</v>
      </c>
      <c r="F210" s="9">
        <f>IF(C210&lt;&gt;"", IFERROR(INDEX('بنود العقد'!E$3:E$388,C210), 0), "")</f>
        <v>1440</v>
      </c>
      <c r="G210" s="9">
        <f>IF(C210&lt;&gt;"", IFERROR(INDEX('بنود العقد'!F$3:F$388,C210), 0), "")</f>
        <v>69</v>
      </c>
      <c r="H210" s="18">
        <f t="shared" si="12"/>
        <v>0</v>
      </c>
      <c r="I210" s="7">
        <v>17.96</v>
      </c>
      <c r="J210" s="18">
        <f t="shared" si="13"/>
        <v>17.96</v>
      </c>
      <c r="K210" s="10">
        <f t="shared" si="14"/>
        <v>25862.400000000001</v>
      </c>
      <c r="L210" s="21">
        <f t="shared" si="15"/>
        <v>26.028985507246379</v>
      </c>
      <c r="M210" s="73"/>
    </row>
    <row r="211" spans="1:13" ht="25.95" customHeight="1">
      <c r="A211" s="12">
        <v>209</v>
      </c>
      <c r="B211" s="6">
        <v>7</v>
      </c>
      <c r="C211" s="6">
        <v>45</v>
      </c>
      <c r="D211" s="20" t="str">
        <f>IF(C211&lt;&gt;"", IFERROR(INDEX('بنود العقد'!B$3:B$388,C211), "⚠"), "")</f>
        <v xml:space="preserve"> توريد وتنفيذ طبقتين من غشاء عازل للمياه من الـبيتومين ثخانة 4 مم للأماكن الرطبة وحتى ارتفاع 10   سم على الجدران المحيطة ويشمل تحضير السطوح ومواد حشو الزوايا وطبقات الحماية جيوتكستايل الأفُقية والعمودية. ويشمل السعر أي مواد وأعمال مطلوبة لاستكمال العمل حسب المواصفات والمخططات.وتعليمات المهندس المشرف</v>
      </c>
      <c r="E211" s="12" t="str">
        <f>IF(C211&lt;&gt;"", IFERROR(INDEX('بنود العقد'!D$3:D$388,C211), ""), "")</f>
        <v>م2</v>
      </c>
      <c r="F211" s="9">
        <f>IF(C211&lt;&gt;"", IFERROR(INDEX('بنود العقد'!E$3:E$388,C211), 0), "")</f>
        <v>78</v>
      </c>
      <c r="G211" s="9">
        <f>IF(C211&lt;&gt;"", IFERROR(INDEX('بنود العقد'!F$3:F$388,C211), 0), "")</f>
        <v>1345</v>
      </c>
      <c r="H211" s="18">
        <f t="shared" si="12"/>
        <v>263.14999999999998</v>
      </c>
      <c r="I211" s="7">
        <v>225.69</v>
      </c>
      <c r="J211" s="18">
        <f t="shared" si="13"/>
        <v>488.84</v>
      </c>
      <c r="K211" s="10">
        <f t="shared" si="14"/>
        <v>17603.82</v>
      </c>
      <c r="L211" s="21">
        <f t="shared" si="15"/>
        <v>36.344981412639406</v>
      </c>
      <c r="M211" s="73"/>
    </row>
    <row r="212" spans="1:13" ht="25.95" customHeight="1">
      <c r="A212" s="12">
        <v>210</v>
      </c>
      <c r="B212" s="6">
        <v>7</v>
      </c>
      <c r="C212" s="6">
        <v>66</v>
      </c>
      <c r="D212" s="20" t="str">
        <f>IF(C212&lt;&gt;"", IFERROR(INDEX('بنود العقد'!B$3:B$388,C212), "⚠"),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E212" s="12" t="str">
        <f>IF(C212&lt;&gt;"", IFERROR(INDEX('بنود العقد'!D$3:D$388,C212), ""), "")</f>
        <v>م²</v>
      </c>
      <c r="F212" s="9">
        <f>IF(C212&lt;&gt;"", IFERROR(INDEX('بنود العقد'!E$3:E$388,C212), 0), "")</f>
        <v>900</v>
      </c>
      <c r="G212" s="9">
        <f>IF(C212&lt;&gt;"", IFERROR(INDEX('بنود العقد'!F$3:F$388,C212), 0), "")</f>
        <v>4000</v>
      </c>
      <c r="H212" s="18">
        <f t="shared" si="12"/>
        <v>312.23</v>
      </c>
      <c r="I212" s="7">
        <v>319.14</v>
      </c>
      <c r="J212" s="18">
        <f t="shared" si="13"/>
        <v>631.37</v>
      </c>
      <c r="K212" s="10">
        <f t="shared" si="14"/>
        <v>287226</v>
      </c>
      <c r="L212" s="21">
        <f t="shared" si="15"/>
        <v>15.78425</v>
      </c>
      <c r="M212" s="73"/>
    </row>
    <row r="213" spans="1:13" ht="25.95" customHeight="1">
      <c r="A213" s="12">
        <v>211</v>
      </c>
      <c r="B213" s="6">
        <v>7</v>
      </c>
      <c r="C213" s="6">
        <v>72</v>
      </c>
      <c r="D213" s="20" t="str">
        <f>IF(C213&lt;&gt;"", IFERROR(INDEX('بنود العقد'!B$3:B$388,C213), "⚠"), "")</f>
        <v>طبقة من اللياسة الأسمنتية فوق الأسطح الخرسانية والجدران الداخلية  بسمك متوسط 20 مم على طبقات  طرطشة بسمك 5 مم وضهارة 15 مم حسب المواصفات مع المعالجة اليومية  بالمياه لمنع التنميلات ويتم عمل افريز بين البلوك والخرسانة يملئ بمواد قابلة للدهان والسعر يشمل كامل الأكسسوارات اللازمة من شبك معدني ممدد وزوايا ونهايات معدنية  ومواد الترابط  وعمل تجاويف في طبقة اللياسة بعمق 10مم عرض 10مم  في الاعمدة  وفي الجدران ان وجدت حسب الرسومات والمناظير وتعليمات المهندس المشرف ذلك حسب الاصول الفنية وتعليمات المهندس المشرف. لياسة الجدران والأعمدة الداخلية  وتشمل جميع الإكسسوارات بإرتفاع 20 سم أعلي الأسقف الجبسيه لزوم الجدران الداخلية</v>
      </c>
      <c r="E213" s="12" t="str">
        <f>IF(C213&lt;&gt;"", IFERROR(INDEX('بنود العقد'!D$3:D$388,C213), ""), "")</f>
        <v>م²</v>
      </c>
      <c r="F213" s="9">
        <f>IF(C213&lt;&gt;"", IFERROR(INDEX('بنود العقد'!E$3:E$388,C213), 0), "")</f>
        <v>42</v>
      </c>
      <c r="G213" s="9">
        <f>IF(C213&lt;&gt;"", IFERROR(INDEX('بنود العقد'!F$3:F$388,C213), 0), "")</f>
        <v>758</v>
      </c>
      <c r="H213" s="18">
        <f t="shared" si="12"/>
        <v>4196.424</v>
      </c>
      <c r="I213" s="7">
        <v>360</v>
      </c>
      <c r="J213" s="18">
        <f t="shared" si="13"/>
        <v>4556.424</v>
      </c>
      <c r="K213" s="10">
        <f t="shared" si="14"/>
        <v>15120</v>
      </c>
      <c r="L213" s="21">
        <f t="shared" si="15"/>
        <v>601.11134564643805</v>
      </c>
      <c r="M213" s="73"/>
    </row>
    <row r="214" spans="1:13" ht="25.95" customHeight="1">
      <c r="A214" s="12">
        <v>212</v>
      </c>
      <c r="B214" s="6">
        <v>7</v>
      </c>
      <c r="C214" s="6">
        <v>74</v>
      </c>
      <c r="D214" s="20" t="str">
        <f>IF(C214&lt;&gt;"", IFERROR(INDEX('بنود العقد'!B$3:B$388,C214), "⚠"), "")</f>
        <v>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v>
      </c>
      <c r="E214" s="12" t="str">
        <f>IF(C214&lt;&gt;"", IFERROR(INDEX('بنود العقد'!D$3:D$388,C214), ""), "")</f>
        <v>م²</v>
      </c>
      <c r="F214" s="9">
        <f>IF(C214&lt;&gt;"", IFERROR(INDEX('بنود العقد'!E$3:E$388,C214), 0), "")</f>
        <v>180</v>
      </c>
      <c r="G214" s="9">
        <f>IF(C214&lt;&gt;"", IFERROR(INDEX('بنود العقد'!F$3:F$388,C214), 0), "")</f>
        <v>12526</v>
      </c>
      <c r="H214" s="18">
        <f t="shared" si="12"/>
        <v>2619.1</v>
      </c>
      <c r="I214" s="7">
        <v>485</v>
      </c>
      <c r="J214" s="18">
        <f t="shared" si="13"/>
        <v>3104.1</v>
      </c>
      <c r="K214" s="10">
        <f t="shared" si="14"/>
        <v>87300</v>
      </c>
      <c r="L214" s="21">
        <f t="shared" si="15"/>
        <v>24.781254989621587</v>
      </c>
      <c r="M214" s="73"/>
    </row>
    <row r="215" spans="1:13" ht="25.95" customHeight="1">
      <c r="A215" s="12">
        <v>213</v>
      </c>
      <c r="B215" s="6">
        <v>7</v>
      </c>
      <c r="C215" s="6">
        <v>75</v>
      </c>
      <c r="D215" s="20" t="str">
        <f>IF(C215&lt;&gt;"", IFERROR(INDEX('بنود العقد'!B$3:B$388,C215), "⚠"), "")</f>
        <v>توريد وتركيب أسقف معلقة من الالواح الجبسيه )01-GBC( ثخانة 12 مم المقاومة للحريق شاملة نظام التعليق وضبط الحواف والزوايا وأبواب لفتحات الكشف بالأسقف لأعمال الصيانة )أبواب جاهزة من النوع السهل الاستعمال والمزود بمفصلات مخفية( والإكسسوارات. ويشمل السعر أي مواد أو أعمال يتطلبها استكمال العمل حسب المواصفات والمخططات.</v>
      </c>
      <c r="E215" s="12" t="str">
        <f>IF(C215&lt;&gt;"", IFERROR(INDEX('بنود العقد'!D$3:D$388,C215), ""), "")</f>
        <v>م²</v>
      </c>
      <c r="F215" s="9">
        <f>IF(C215&lt;&gt;"", IFERROR(INDEX('بنود العقد'!E$3:E$388,C215), 0), "")</f>
        <v>150</v>
      </c>
      <c r="G215" s="9">
        <f>IF(C215&lt;&gt;"", IFERROR(INDEX('بنود العقد'!F$3:F$388,C215), 0), "")</f>
        <v>24468</v>
      </c>
      <c r="H215" s="18">
        <f t="shared" si="12"/>
        <v>15.180070000000001</v>
      </c>
      <c r="I215" s="7">
        <v>2671.42</v>
      </c>
      <c r="J215" s="18">
        <f t="shared" si="13"/>
        <v>2686.60007</v>
      </c>
      <c r="K215" s="10">
        <f t="shared" si="14"/>
        <v>400713</v>
      </c>
      <c r="L215" s="21">
        <f t="shared" si="15"/>
        <v>10.980055868889979</v>
      </c>
      <c r="M215" s="73"/>
    </row>
    <row r="216" spans="1:13" ht="25.95" customHeight="1">
      <c r="A216" s="12">
        <v>214</v>
      </c>
      <c r="B216" s="6">
        <v>7</v>
      </c>
      <c r="C216" s="6">
        <v>76</v>
      </c>
      <c r="D216" s="20" t="str">
        <f>IF(C216&lt;&gt;"", IFERROR(INDEX('بنود العقد'!B$3:B$388,C216), "⚠"), "")</f>
        <v>توريد وتركيب أسقف معلقة من الالواح الجبسيه  )02-GBC( ثخانة 12 مم المقاومة للرطوبة شاملة نظام التعليق وضبط الحواف والزوايا وأبواب لفتحات الكشف بالأسقف لأعمال الصيانة )أبواب جاهزة من النوع السهل الاستعمال والمزود بمفصلات مخفية( واالإكسسوارات. ويشمل السعر أي مواد أو أعمال يتطلبها استكمال العمل حسب المواصفات والمخططات وتعليمات المهندس المشرف.</v>
      </c>
      <c r="E216" s="12" t="str">
        <f>IF(C216&lt;&gt;"", IFERROR(INDEX('بنود العقد'!D$3:D$388,C216), ""), "")</f>
        <v>م²</v>
      </c>
      <c r="F216" s="9">
        <f>IF(C216&lt;&gt;"", IFERROR(INDEX('بنود العقد'!E$3:E$388,C216), 0), "")</f>
        <v>150</v>
      </c>
      <c r="G216" s="9">
        <f>IF(C216&lt;&gt;"", IFERROR(INDEX('بنود العقد'!F$3:F$388,C216), 0), "")</f>
        <v>1091</v>
      </c>
      <c r="H216" s="18">
        <f t="shared" si="12"/>
        <v>0</v>
      </c>
      <c r="I216" s="7">
        <v>61.19</v>
      </c>
      <c r="J216" s="18">
        <f t="shared" si="13"/>
        <v>61.19</v>
      </c>
      <c r="K216" s="10">
        <f t="shared" si="14"/>
        <v>9178.5</v>
      </c>
      <c r="L216" s="21">
        <f t="shared" si="15"/>
        <v>5.6086159486709439</v>
      </c>
      <c r="M216" s="73"/>
    </row>
    <row r="217" spans="1:13" ht="25.95" customHeight="1">
      <c r="A217" s="12">
        <v>215</v>
      </c>
      <c r="B217" s="6">
        <v>7</v>
      </c>
      <c r="C217" s="6">
        <v>77</v>
      </c>
      <c r="D217" s="20" t="str">
        <f>IF(C217&lt;&gt;"", IFERROR(INDEX('بنود العقد'!B$3:B$388,C217), "⚠"), "")</f>
        <v>600×600مم توريد وتركيب اسقف اصطناعية  والسعر يشمل نظام التعليق من الحديد المجفلن مع جميع الاكسسوارات وكل مايلزم حسب المواصفات والمخططات وتعليمات الشركة المصنعة .</v>
      </c>
      <c r="E217" s="12" t="str">
        <f>IF(C217&lt;&gt;"", IFERROR(INDEX('بنود العقد'!D$3:D$388,C217), ""), "")</f>
        <v>م²</v>
      </c>
      <c r="F217" s="9">
        <f>IF(C217&lt;&gt;"", IFERROR(INDEX('بنود العقد'!E$3:E$388,C217), 0), "")</f>
        <v>150</v>
      </c>
      <c r="G217" s="9">
        <f>IF(C217&lt;&gt;"", IFERROR(INDEX('بنود العقد'!F$3:F$388,C217), 0), "")</f>
        <v>3323</v>
      </c>
      <c r="H217" s="18">
        <f t="shared" si="12"/>
        <v>0</v>
      </c>
      <c r="I217" s="7">
        <v>961.63</v>
      </c>
      <c r="J217" s="18">
        <f t="shared" si="13"/>
        <v>961.63</v>
      </c>
      <c r="K217" s="10">
        <f t="shared" si="14"/>
        <v>144244.5</v>
      </c>
      <c r="L217" s="21">
        <f t="shared" si="15"/>
        <v>28.938609690039119</v>
      </c>
      <c r="M217" s="73"/>
    </row>
    <row r="218" spans="1:13" ht="25.95" customHeight="1">
      <c r="A218" s="12">
        <v>216</v>
      </c>
      <c r="B218" s="6">
        <v>7</v>
      </c>
      <c r="C218" s="6">
        <v>104</v>
      </c>
      <c r="D218" s="20" t="str">
        <f>IF(C218&lt;&gt;"", IFERROR(INDEX('بنود العقد'!B$3:B$388,C218), "⚠"), "")</f>
        <v>Ref drawing: 07-MRA-DD-(as per floor number)-AR-300 مقاس 500×500 مم  لون رمادي لمنطقة المرور CT-01بلاط - سجاد</v>
      </c>
      <c r="E218" s="12" t="str">
        <f>IF(C218&lt;&gt;"", IFERROR(INDEX('بنود العقد'!D$3:D$388,C218), ""), "")</f>
        <v>م²</v>
      </c>
      <c r="F218" s="9">
        <f>IF(C218&lt;&gt;"", IFERROR(INDEX('بنود العقد'!E$3:E$388,C218), 0), "")</f>
        <v>156</v>
      </c>
      <c r="G218" s="9">
        <f>IF(C218&lt;&gt;"", IFERROR(INDEX('بنود العقد'!F$3:F$388,C218), 0), "")</f>
        <v>3600</v>
      </c>
      <c r="H218" s="18">
        <f t="shared" si="12"/>
        <v>1732</v>
      </c>
      <c r="I218" s="7">
        <v>251.08</v>
      </c>
      <c r="J218" s="18">
        <f t="shared" si="13"/>
        <v>1983.08</v>
      </c>
      <c r="K218" s="10">
        <f t="shared" si="14"/>
        <v>39168.480000000003</v>
      </c>
      <c r="L218" s="21">
        <f t="shared" si="15"/>
        <v>55.085555555555551</v>
      </c>
      <c r="M218" s="73"/>
    </row>
    <row r="219" spans="1:13" ht="25.95" customHeight="1">
      <c r="A219" s="12">
        <v>217</v>
      </c>
      <c r="B219" s="6">
        <v>7</v>
      </c>
      <c r="C219" s="6">
        <v>105</v>
      </c>
      <c r="D219" s="20" t="str">
        <f>IF(C219&lt;&gt;"", IFERROR(INDEX('بنود العقد'!B$3:B$388,C219), "⚠"), "")</f>
        <v>بلاط - سجاد 02-CT مقاس 500× 500 مم لون أزرق فاتح لمحطة العمل وغرفة الاجتماعات</v>
      </c>
      <c r="E219" s="12" t="str">
        <f>IF(C219&lt;&gt;"", IFERROR(INDEX('بنود العقد'!D$3:D$388,C219), ""), "")</f>
        <v>م²</v>
      </c>
      <c r="F219" s="9">
        <f>IF(C219&lt;&gt;"", IFERROR(INDEX('بنود العقد'!E$3:E$388,C219), 0), "")</f>
        <v>156</v>
      </c>
      <c r="G219" s="9">
        <f>IF(C219&lt;&gt;"", IFERROR(INDEX('بنود العقد'!F$3:F$388,C219), 0), "")</f>
        <v>6705</v>
      </c>
      <c r="H219" s="18">
        <f t="shared" si="12"/>
        <v>2967.3</v>
      </c>
      <c r="I219" s="7">
        <v>516.32000000000005</v>
      </c>
      <c r="J219" s="18">
        <f t="shared" si="13"/>
        <v>3483.6200000000003</v>
      </c>
      <c r="K219" s="10">
        <f t="shared" si="14"/>
        <v>80545.920000000013</v>
      </c>
      <c r="L219" s="21">
        <f t="shared" si="15"/>
        <v>51.955555555555563</v>
      </c>
      <c r="M219" s="73"/>
    </row>
    <row r="220" spans="1:13" ht="25.95" customHeight="1">
      <c r="A220" s="12">
        <v>218</v>
      </c>
      <c r="B220" s="6">
        <v>7</v>
      </c>
      <c r="C220" s="6">
        <v>106</v>
      </c>
      <c r="D220" s="20" t="str">
        <f>IF(C220&lt;&gt;"", IFERROR(INDEX('بنود العقد'!B$3:B$388,C220), "⚠"), "")</f>
        <v>Ref drawing: 07-MRA-DD-(as per floor number)-AR-300 مقاس 500×500 مم لون بيج لمكتب المدير CT-03بلاط - سجاد</v>
      </c>
      <c r="E220" s="12" t="str">
        <f>IF(C220&lt;&gt;"", IFERROR(INDEX('بنود العقد'!D$3:D$388,C220), ""), "")</f>
        <v>م²</v>
      </c>
      <c r="F220" s="9">
        <f>IF(C220&lt;&gt;"", IFERROR(INDEX('بنود العقد'!E$3:E$388,C220), 0), "")</f>
        <v>156</v>
      </c>
      <c r="G220" s="9">
        <f>IF(C220&lt;&gt;"", IFERROR(INDEX('بنود العقد'!F$3:F$388,C220), 0), "")</f>
        <v>1213</v>
      </c>
      <c r="H220" s="18">
        <f t="shared" si="12"/>
        <v>616.47</v>
      </c>
      <c r="I220" s="7">
        <v>81.96</v>
      </c>
      <c r="J220" s="18">
        <f t="shared" si="13"/>
        <v>698.43000000000006</v>
      </c>
      <c r="K220" s="10">
        <f t="shared" si="14"/>
        <v>12785.759999999998</v>
      </c>
      <c r="L220" s="21">
        <f t="shared" si="15"/>
        <v>57.578730420445176</v>
      </c>
      <c r="M220" s="73"/>
    </row>
    <row r="221" spans="1:13" ht="25.95" customHeight="1">
      <c r="A221" s="12">
        <v>219</v>
      </c>
      <c r="B221" s="6">
        <v>7</v>
      </c>
      <c r="C221" s="6">
        <v>110</v>
      </c>
      <c r="D221" s="20" t="str">
        <f>IF(C221&lt;&gt;"", IFERROR(INDEX('بنود العقد'!B$3:B$388,C221), "⚠"), "")</f>
        <v>بلاط - سجاد 01-CR مقاس 500×500 مم لمكتب الرئيس ونائب الرئيس والصالة والسكرتارية وغرفة الاجتماعات الكبيرة.</v>
      </c>
      <c r="E221" s="12" t="str">
        <f>IF(C221&lt;&gt;"", IFERROR(INDEX('بنود العقد'!D$3:D$388,C221), ""), "")</f>
        <v>م²</v>
      </c>
      <c r="F221" s="9">
        <f>IF(C221&lt;&gt;"", IFERROR(INDEX('بنود العقد'!E$3:E$388,C221), 0), "")</f>
        <v>156</v>
      </c>
      <c r="G221" s="9">
        <f>IF(C221&lt;&gt;"", IFERROR(INDEX('بنود العقد'!F$3:F$388,C221), 0), "")</f>
        <v>2140</v>
      </c>
      <c r="H221" s="18">
        <f t="shared" si="12"/>
        <v>1019.55</v>
      </c>
      <c r="I221" s="7">
        <v>158.32</v>
      </c>
      <c r="J221" s="18">
        <f t="shared" si="13"/>
        <v>1177.8699999999999</v>
      </c>
      <c r="K221" s="10">
        <f t="shared" si="14"/>
        <v>24697.919999999998</v>
      </c>
      <c r="L221" s="21">
        <f t="shared" si="15"/>
        <v>55.040654205607474</v>
      </c>
      <c r="M221" s="73"/>
    </row>
    <row r="222" spans="1:13" ht="25.95" customHeight="1">
      <c r="A222" s="12">
        <v>220</v>
      </c>
      <c r="B222" s="6">
        <v>7</v>
      </c>
      <c r="C222" s="6">
        <v>111</v>
      </c>
      <c r="D222" s="20" t="str">
        <f>IF(C222&lt;&gt;"", IFERROR(INDEX('بنود العقد'!B$3:B$388,C222), "⚠"), "")</f>
        <v>بلاط - سجاد 02-CR مقاس 500×500 مم لمكتب الرئيس ونائب الرئيس على شكل مثلثات لون بيج، رمادي فاتح ورمادي غامق.</v>
      </c>
      <c r="E222" s="12" t="str">
        <f>IF(C222&lt;&gt;"", IFERROR(INDEX('بنود العقد'!D$3:D$388,C222), ""), "")</f>
        <v>م²</v>
      </c>
      <c r="F222" s="9">
        <f>IF(C222&lt;&gt;"", IFERROR(INDEX('بنود العقد'!E$3:E$388,C222), 0), "")</f>
        <v>156</v>
      </c>
      <c r="G222" s="9">
        <f>IF(C222&lt;&gt;"", IFERROR(INDEX('بنود العقد'!F$3:F$388,C222), 0), "")</f>
        <v>303</v>
      </c>
      <c r="H222" s="18">
        <f t="shared" si="12"/>
        <v>133.72999999999999</v>
      </c>
      <c r="I222" s="7">
        <v>23.78</v>
      </c>
      <c r="J222" s="18">
        <f t="shared" si="13"/>
        <v>157.51</v>
      </c>
      <c r="K222" s="10">
        <f t="shared" si="14"/>
        <v>3709.6800000000003</v>
      </c>
      <c r="L222" s="21">
        <f t="shared" si="15"/>
        <v>51.983498349834974</v>
      </c>
      <c r="M222" s="73"/>
    </row>
    <row r="223" spans="1:13" ht="25.95" customHeight="1">
      <c r="A223" s="12">
        <v>221</v>
      </c>
      <c r="B223" s="6">
        <v>7</v>
      </c>
      <c r="C223" s="6">
        <v>112</v>
      </c>
      <c r="D223" s="20" t="str">
        <f>IF(C223&lt;&gt;"", IFERROR(INDEX('بنود العقد'!B$3:B$388,C223), "⚠"), "")</f>
        <v>300-Ref drawing: 07-MRA-DD-(as per floor number)-ARبلاط - سجاد 03-CR مقاس 500×500 مم للمدير العام ومنطقة السكرتارية</v>
      </c>
      <c r="E223" s="12" t="str">
        <f>IF(C223&lt;&gt;"", IFERROR(INDEX('بنود العقد'!D$3:D$388,C223), ""), "")</f>
        <v>م²</v>
      </c>
      <c r="F223" s="9">
        <f>IF(C223&lt;&gt;"", IFERROR(INDEX('بنود العقد'!E$3:E$388,C223), 0), "")</f>
        <v>156</v>
      </c>
      <c r="G223" s="9">
        <f>IF(C223&lt;&gt;"", IFERROR(INDEX('بنود العقد'!F$3:F$388,C223), 0), "")</f>
        <v>1550</v>
      </c>
      <c r="H223" s="18">
        <f t="shared" si="12"/>
        <v>874.79</v>
      </c>
      <c r="I223" s="7">
        <v>118.09</v>
      </c>
      <c r="J223" s="18">
        <f t="shared" si="13"/>
        <v>992.88</v>
      </c>
      <c r="K223" s="10">
        <f t="shared" si="14"/>
        <v>18422.04</v>
      </c>
      <c r="L223" s="21">
        <f t="shared" si="15"/>
        <v>64.056774193548378</v>
      </c>
      <c r="M223" s="73"/>
    </row>
    <row r="224" spans="1:13" ht="25.95" customHeight="1">
      <c r="A224" s="12">
        <v>222</v>
      </c>
      <c r="B224" s="6">
        <v>7</v>
      </c>
      <c r="C224" s="6">
        <v>113</v>
      </c>
      <c r="D224" s="20" t="str">
        <f>IF(C224&lt;&gt;"", IFERROR(INDEX('بنود العقد'!B$3:B$388,C224), "⚠"), "")</f>
        <v>Ref drawing: 07-MRA-DD-(as per floor number)-AR-300 لمنطقة الصلاة CR-04 رولات السجاد</v>
      </c>
      <c r="E224" s="12" t="str">
        <f>IF(C224&lt;&gt;"", IFERROR(INDEX('بنود العقد'!D$3:D$388,C224), ""), "")</f>
        <v>م²</v>
      </c>
      <c r="F224" s="9">
        <f>IF(C224&lt;&gt;"", IFERROR(INDEX('بنود العقد'!E$3:E$388,C224), 0), "")</f>
        <v>156</v>
      </c>
      <c r="G224" s="9">
        <f>IF(C224&lt;&gt;"", IFERROR(INDEX('بنود العقد'!F$3:F$388,C224), 0), "")</f>
        <v>129</v>
      </c>
      <c r="H224" s="18">
        <f t="shared" si="12"/>
        <v>62.57</v>
      </c>
      <c r="I224" s="7">
        <v>11.68</v>
      </c>
      <c r="J224" s="18">
        <f t="shared" si="13"/>
        <v>74.25</v>
      </c>
      <c r="K224" s="10">
        <f t="shared" si="14"/>
        <v>1822.08</v>
      </c>
      <c r="L224" s="21">
        <f t="shared" si="15"/>
        <v>57.558139534883722</v>
      </c>
      <c r="M224" s="73"/>
    </row>
    <row r="225" spans="1:13" ht="25.95" customHeight="1">
      <c r="A225" s="12">
        <v>223</v>
      </c>
      <c r="B225" s="6">
        <v>7</v>
      </c>
      <c r="C225" s="6">
        <v>125</v>
      </c>
      <c r="D225" s="20" t="str">
        <f>IF(C225&lt;&gt;"", IFERROR(INDEX('بنود العقد'!B$3:B$388,C225), "⚠"), "")</f>
        <v>دهان بلون رمادي بيج على الألواح الجبسية والألواح الاسمنتية 100-WPF</v>
      </c>
      <c r="E225" s="12" t="str">
        <f>IF(C225&lt;&gt;"", IFERROR(INDEX('بنود العقد'!D$3:D$388,C225), ""), "")</f>
        <v>م²</v>
      </c>
      <c r="F225" s="9">
        <f>IF(C225&lt;&gt;"", IFERROR(INDEX('بنود العقد'!E$3:E$388,C225), 0), "")</f>
        <v>25.2</v>
      </c>
      <c r="G225" s="9">
        <f>IF(C225&lt;&gt;"", IFERROR(INDEX('بنود العقد'!F$3:F$388,C225), 0), "")</f>
        <v>12700</v>
      </c>
      <c r="H225" s="18">
        <f t="shared" si="12"/>
        <v>1704.0239999999999</v>
      </c>
      <c r="I225" s="7">
        <v>5.13</v>
      </c>
      <c r="J225" s="18">
        <f t="shared" si="13"/>
        <v>1709.154</v>
      </c>
      <c r="K225" s="10">
        <f t="shared" si="14"/>
        <v>129.27599999999998</v>
      </c>
      <c r="L225" s="21">
        <f t="shared" si="15"/>
        <v>13.457905511811024</v>
      </c>
      <c r="M225" s="73"/>
    </row>
    <row r="226" spans="1:13" ht="25.95" customHeight="1">
      <c r="A226" s="12">
        <v>224</v>
      </c>
      <c r="B226" s="6">
        <v>7</v>
      </c>
      <c r="C226" s="6">
        <v>128</v>
      </c>
      <c r="D226" s="20" t="str">
        <f>IF(C226&lt;&gt;"", IFERROR(INDEX('بنود العقد'!B$3:B$388,C226), "⚠"), "")</f>
        <v>.دهان بلون رمادي اسمنتي على الألواح الجبسية والألواح الاسمنتية 200-WPF</v>
      </c>
      <c r="E226" s="12" t="str">
        <f>IF(C226&lt;&gt;"", IFERROR(INDEX('بنود العقد'!D$3:D$388,C226), ""), "")</f>
        <v>م²</v>
      </c>
      <c r="F226" s="9">
        <f>IF(C226&lt;&gt;"", IFERROR(INDEX('بنود العقد'!E$3:E$388,C226), 0), "")</f>
        <v>30</v>
      </c>
      <c r="G226" s="9">
        <f>IF(C226&lt;&gt;"", IFERROR(INDEX('بنود العقد'!F$3:F$388,C226), 0), "")</f>
        <v>2088</v>
      </c>
      <c r="H226" s="18">
        <f t="shared" si="12"/>
        <v>118.72</v>
      </c>
      <c r="I226" s="7">
        <v>47.864699999999999</v>
      </c>
      <c r="J226" s="18">
        <f t="shared" si="13"/>
        <v>166.5847</v>
      </c>
      <c r="K226" s="10">
        <f t="shared" si="14"/>
        <v>1435.941</v>
      </c>
      <c r="L226" s="21">
        <f t="shared" si="15"/>
        <v>7.978194444444445</v>
      </c>
      <c r="M226" s="73"/>
    </row>
    <row r="227" spans="1:13" ht="25.95" customHeight="1">
      <c r="A227" s="12">
        <v>225</v>
      </c>
      <c r="B227" s="6">
        <v>7</v>
      </c>
      <c r="C227" s="6">
        <v>176</v>
      </c>
      <c r="D227" s="20" t="str">
        <f>IF(C227&lt;&gt;"", IFERROR(INDEX('بنود العقد'!B$3:B$388,C227),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227" s="12" t="str">
        <f>IF(C227&lt;&gt;"", IFERROR(INDEX('بنود العقد'!D$3:D$388,C227), ""), "")</f>
        <v>م.ط</v>
      </c>
      <c r="F227" s="9">
        <f>IF(C227&lt;&gt;"", IFERROR(INDEX('بنود العقد'!E$3:E$388,C227), 0), "")</f>
        <v>66</v>
      </c>
      <c r="G227" s="9">
        <f>IF(C227&lt;&gt;"", IFERROR(INDEX('بنود العقد'!F$3:F$388,C227), 0), "")</f>
        <v>532</v>
      </c>
      <c r="H227" s="18">
        <f t="shared" si="12"/>
        <v>569.99</v>
      </c>
      <c r="I227" s="7">
        <v>290.35000000000002</v>
      </c>
      <c r="J227" s="18">
        <f t="shared" si="13"/>
        <v>860.34</v>
      </c>
      <c r="K227" s="10">
        <f t="shared" si="14"/>
        <v>19163.100000000002</v>
      </c>
      <c r="L227" s="21">
        <f t="shared" si="15"/>
        <v>161.71804511278197</v>
      </c>
      <c r="M227" s="73"/>
    </row>
    <row r="228" spans="1:13" ht="25.95" customHeight="1">
      <c r="A228" s="12">
        <v>226</v>
      </c>
      <c r="B228" s="6">
        <v>7</v>
      </c>
      <c r="C228" s="6">
        <v>177</v>
      </c>
      <c r="D228" s="20" t="str">
        <f>IF(C228&lt;&gt;"", IFERROR(INDEX('بنود العقد'!B$3:B$388,C228),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E228" s="12" t="str">
        <f>IF(C228&lt;&gt;"", IFERROR(INDEX('بنود العقد'!D$3:D$388,C228), ""), "")</f>
        <v>م.ط</v>
      </c>
      <c r="F228" s="9">
        <f>IF(C228&lt;&gt;"", IFERROR(INDEX('بنود العقد'!E$3:E$388,C228), 0), "")</f>
        <v>70.8</v>
      </c>
      <c r="G228" s="9">
        <f>IF(C228&lt;&gt;"", IFERROR(INDEX('بنود العقد'!F$3:F$388,C228), 0), "")</f>
        <v>221</v>
      </c>
      <c r="H228" s="18">
        <f t="shared" si="12"/>
        <v>64.97</v>
      </c>
      <c r="I228" s="7">
        <v>142.16999999999999</v>
      </c>
      <c r="J228" s="18">
        <f t="shared" si="13"/>
        <v>207.14</v>
      </c>
      <c r="K228" s="10">
        <f t="shared" si="14"/>
        <v>10065.635999999999</v>
      </c>
      <c r="L228" s="21">
        <f t="shared" si="15"/>
        <v>93.728506787330318</v>
      </c>
      <c r="M228" s="73"/>
    </row>
    <row r="229" spans="1:13" ht="25.95" customHeight="1">
      <c r="A229" s="12">
        <v>227</v>
      </c>
      <c r="B229" s="6">
        <v>7</v>
      </c>
      <c r="C229" s="6">
        <v>178</v>
      </c>
      <c r="D229" s="20" t="str">
        <f>IF(C229&lt;&gt;"", IFERROR(INDEX('بنود العقد'!B$3:B$388,C229),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32مم</v>
      </c>
      <c r="E229" s="12" t="str">
        <f>IF(C229&lt;&gt;"", IFERROR(INDEX('بنود العقد'!D$3:D$388,C229), ""), "")</f>
        <v>م.ط</v>
      </c>
      <c r="F229" s="9">
        <f>IF(C229&lt;&gt;"", IFERROR(INDEX('بنود العقد'!E$3:E$388,C229), 0), "")</f>
        <v>102</v>
      </c>
      <c r="G229" s="9">
        <f>IF(C229&lt;&gt;"", IFERROR(INDEX('بنود العقد'!F$3:F$388,C229), 0), "")</f>
        <v>207</v>
      </c>
      <c r="H229" s="18">
        <f t="shared" si="12"/>
        <v>119.84</v>
      </c>
      <c r="I229" s="7">
        <v>8.5500000000000007</v>
      </c>
      <c r="J229" s="18">
        <f t="shared" si="13"/>
        <v>128.39000000000001</v>
      </c>
      <c r="K229" s="10">
        <f t="shared" si="14"/>
        <v>872.1</v>
      </c>
      <c r="L229" s="21">
        <f t="shared" si="15"/>
        <v>62.024154589371982</v>
      </c>
      <c r="M229" s="73"/>
    </row>
    <row r="230" spans="1:13" ht="25.95" customHeight="1">
      <c r="A230" s="12">
        <v>228</v>
      </c>
      <c r="B230" s="6">
        <v>7</v>
      </c>
      <c r="C230" s="6">
        <v>179</v>
      </c>
      <c r="D230" s="20" t="str">
        <f>IF(C230&lt;&gt;"", IFERROR(INDEX('بنود العقد'!B$3:B$388,C230),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40 مم</v>
      </c>
      <c r="E230" s="12" t="str">
        <f>IF(C230&lt;&gt;"", IFERROR(INDEX('بنود العقد'!D$3:D$388,C230), ""), "")</f>
        <v>م.ط</v>
      </c>
      <c r="F230" s="9">
        <f>IF(C230&lt;&gt;"", IFERROR(INDEX('بنود العقد'!E$3:E$388,C230), 0), "")</f>
        <v>85.2</v>
      </c>
      <c r="G230" s="9">
        <f>IF(C230&lt;&gt;"", IFERROR(INDEX('بنود العقد'!F$3:F$388,C230), 0), "")</f>
        <v>103</v>
      </c>
      <c r="H230" s="18">
        <f t="shared" si="12"/>
        <v>140.67000000000002</v>
      </c>
      <c r="I230" s="7">
        <v>94.33</v>
      </c>
      <c r="J230" s="18">
        <f t="shared" si="13"/>
        <v>235</v>
      </c>
      <c r="K230" s="10">
        <f t="shared" si="14"/>
        <v>8036.9160000000002</v>
      </c>
      <c r="L230" s="21">
        <f t="shared" si="15"/>
        <v>228.15533980582524</v>
      </c>
      <c r="M230" s="73"/>
    </row>
    <row r="231" spans="1:13" ht="25.95" customHeight="1">
      <c r="A231" s="12">
        <v>229</v>
      </c>
      <c r="B231" s="6">
        <v>7</v>
      </c>
      <c r="C231" s="6">
        <v>180</v>
      </c>
      <c r="D231" s="20" t="str">
        <f>IF(C231&lt;&gt;"", IFERROR(INDEX('بنود العقد'!B$3:B$388,C231),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الداخلية:قطر 50 مم</v>
      </c>
      <c r="E231" s="12" t="str">
        <f>IF(C231&lt;&gt;"", IFERROR(INDEX('بنود العقد'!D$3:D$388,C231), ""), "")</f>
        <v>م.ط</v>
      </c>
      <c r="F231" s="9">
        <f>IF(C231&lt;&gt;"", IFERROR(INDEX('بنود العقد'!E$3:E$388,C231), 0), "")</f>
        <v>94.8</v>
      </c>
      <c r="G231" s="9">
        <f>IF(C231&lt;&gt;"", IFERROR(INDEX('بنود العقد'!F$3:F$388,C231), 0), "")</f>
        <v>218</v>
      </c>
      <c r="H231" s="18">
        <f t="shared" si="12"/>
        <v>122.09</v>
      </c>
      <c r="I231" s="7">
        <v>18.71</v>
      </c>
      <c r="J231" s="18">
        <f t="shared" si="13"/>
        <v>140.80000000000001</v>
      </c>
      <c r="K231" s="10">
        <f t="shared" si="14"/>
        <v>1773.7080000000001</v>
      </c>
      <c r="L231" s="21">
        <f t="shared" si="15"/>
        <v>64.587155963302763</v>
      </c>
      <c r="M231" s="73"/>
    </row>
    <row r="232" spans="1:13" ht="25.95" customHeight="1">
      <c r="A232" s="12">
        <v>230</v>
      </c>
      <c r="B232" s="6">
        <v>7</v>
      </c>
      <c r="C232" s="6">
        <v>181</v>
      </c>
      <c r="D232" s="20" t="str">
        <f>IF(C232&lt;&gt;"", IFERROR(INDEX('بنود العقد'!B$3:B$388,C232),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232" s="12" t="str">
        <f>IF(C232&lt;&gt;"", IFERROR(INDEX('بنود العقد'!D$3:D$388,C232), ""), "")</f>
        <v>م.ط</v>
      </c>
      <c r="F232" s="9">
        <f>IF(C232&lt;&gt;"", IFERROR(INDEX('بنود العقد'!E$3:E$388,C232), 0), "")</f>
        <v>70.8</v>
      </c>
      <c r="G232" s="9">
        <f>IF(C232&lt;&gt;"", IFERROR(INDEX('بنود العقد'!F$3:F$388,C232), 0), "")</f>
        <v>150</v>
      </c>
      <c r="H232" s="18">
        <f t="shared" si="12"/>
        <v>303.63</v>
      </c>
      <c r="I232" s="7">
        <v>180.07</v>
      </c>
      <c r="J232" s="18">
        <f t="shared" si="13"/>
        <v>483.7</v>
      </c>
      <c r="K232" s="10">
        <f t="shared" si="14"/>
        <v>12748.955999999998</v>
      </c>
      <c r="L232" s="21">
        <f t="shared" si="15"/>
        <v>322.4666666666667</v>
      </c>
      <c r="M232" s="73"/>
    </row>
    <row r="233" spans="1:13" ht="25.95" customHeight="1">
      <c r="A233" s="12">
        <v>231</v>
      </c>
      <c r="B233" s="6">
        <v>7</v>
      </c>
      <c r="C233" s="6">
        <v>182</v>
      </c>
      <c r="D233" s="20" t="str">
        <f>IF(C233&lt;&gt;"", IFERROR(INDEX('بنود العقد'!B$3:B$388,C233),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E233" s="12" t="str">
        <f>IF(C233&lt;&gt;"", IFERROR(INDEX('بنود العقد'!D$3:D$388,C233), ""), "")</f>
        <v>م.ط</v>
      </c>
      <c r="F233" s="9">
        <f>IF(C233&lt;&gt;"", IFERROR(INDEX('بنود العقد'!E$3:E$388,C233), 0), "")</f>
        <v>75.599999999999994</v>
      </c>
      <c r="G233" s="9">
        <f>IF(C233&lt;&gt;"", IFERROR(INDEX('بنود العقد'!F$3:F$388,C233), 0), "")</f>
        <v>100</v>
      </c>
      <c r="H233" s="18">
        <f t="shared" si="12"/>
        <v>31.5</v>
      </c>
      <c r="I233" s="7">
        <v>23.6</v>
      </c>
      <c r="J233" s="18">
        <f t="shared" si="13"/>
        <v>55.1</v>
      </c>
      <c r="K233" s="10">
        <f t="shared" si="14"/>
        <v>1784.16</v>
      </c>
      <c r="L233" s="21">
        <f t="shared" si="15"/>
        <v>55.1</v>
      </c>
      <c r="M233" s="73"/>
    </row>
    <row r="234" spans="1:13" ht="25.95" customHeight="1">
      <c r="A234" s="12">
        <v>232</v>
      </c>
      <c r="B234" s="6">
        <v>7</v>
      </c>
      <c r="C234" s="6">
        <v>183</v>
      </c>
      <c r="D234" s="20" t="str">
        <f>IF(C234&lt;&gt;"", IFERROR(INDEX('بنود العقد'!B$3:B$388,C234), "⚠"), "")</f>
        <v>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التالية:توريد و تركيب و اختبار سخان بسعة 30 لتر، وقدرة 2.1  كيلو وات، مرجع     1-EWH</v>
      </c>
      <c r="E234" s="12" t="str">
        <f>IF(C234&lt;&gt;"", IFERROR(INDEX('بنود العقد'!D$3:D$388,C234), ""), "")</f>
        <v>عدد</v>
      </c>
      <c r="F234" s="9">
        <f>IF(C234&lt;&gt;"", IFERROR(INDEX('بنود العقد'!E$3:E$388,C234), 0), "")</f>
        <v>672</v>
      </c>
      <c r="G234" s="9">
        <f>IF(C234&lt;&gt;"", IFERROR(INDEX('بنود العقد'!F$3:F$388,C234), 0), "")</f>
        <v>77</v>
      </c>
      <c r="H234" s="18">
        <f t="shared" si="12"/>
        <v>0</v>
      </c>
      <c r="I234" s="7">
        <v>29</v>
      </c>
      <c r="J234" s="18">
        <f t="shared" si="13"/>
        <v>29</v>
      </c>
      <c r="K234" s="10">
        <f t="shared" si="14"/>
        <v>19488</v>
      </c>
      <c r="L234" s="21">
        <f t="shared" si="15"/>
        <v>37.662337662337663</v>
      </c>
      <c r="M234" s="73"/>
    </row>
    <row r="235" spans="1:13" ht="25.95" customHeight="1">
      <c r="A235" s="12">
        <v>233</v>
      </c>
      <c r="B235" s="6">
        <v>7</v>
      </c>
      <c r="C235" s="6">
        <v>184</v>
      </c>
      <c r="D235" s="20" t="str">
        <f>IF(C235&lt;&gt;"", IFERROR(INDEX('بنود العقد'!B$3:B$388,C235), "⚠"), "")</f>
        <v>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التالية:اعادة تركيب و اختبار السخان الحالي بسعة 100 ليتر   بعد الكشف و المعاينة و الفحص حسب تعليمات مهندس المشرف</v>
      </c>
      <c r="E235" s="12" t="str">
        <f>IF(C235&lt;&gt;"", IFERROR(INDEX('بنود العقد'!D$3:D$388,C235), ""), "")</f>
        <v>عدد</v>
      </c>
      <c r="F235" s="9">
        <f>IF(C235&lt;&gt;"", IFERROR(INDEX('بنود العقد'!E$3:E$388,C235), 0), "")</f>
        <v>816</v>
      </c>
      <c r="G235" s="9">
        <f>IF(C235&lt;&gt;"", IFERROR(INDEX('بنود العقد'!F$3:F$388,C235), 0), "")</f>
        <v>24</v>
      </c>
      <c r="H235" s="18">
        <f t="shared" si="12"/>
        <v>0</v>
      </c>
      <c r="I235" s="7">
        <v>7</v>
      </c>
      <c r="J235" s="18">
        <f t="shared" si="13"/>
        <v>7</v>
      </c>
      <c r="K235" s="10">
        <f t="shared" si="14"/>
        <v>5712</v>
      </c>
      <c r="L235" s="21">
        <f t="shared" si="15"/>
        <v>29.166666666666668</v>
      </c>
      <c r="M235" s="73"/>
    </row>
    <row r="236" spans="1:13" ht="25.95" customHeight="1">
      <c r="A236" s="12">
        <v>234</v>
      </c>
      <c r="B236" s="6">
        <v>7</v>
      </c>
      <c r="C236" s="6">
        <v>185</v>
      </c>
      <c r="D236" s="20" t="str">
        <f>IF(C236&lt;&gt;"", IFERROR(INDEX('بنود العقد'!B$3:B$388,C236),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v>
      </c>
      <c r="E236" s="12" t="str">
        <f>IF(C236&lt;&gt;"", IFERROR(INDEX('بنود العقد'!D$3:D$388,C236), ""), "")</f>
        <v>م.ط</v>
      </c>
      <c r="F236" s="9">
        <f>IF(C236&lt;&gt;"", IFERROR(INDEX('بنود العقد'!E$3:E$388,C236), 0), "")</f>
        <v>75.599999999999994</v>
      </c>
      <c r="G236" s="9">
        <f>IF(C236&lt;&gt;"", IFERROR(INDEX('بنود العقد'!F$3:F$388,C236), 0), "")</f>
        <v>426</v>
      </c>
      <c r="H236" s="18">
        <f t="shared" si="12"/>
        <v>713.89</v>
      </c>
      <c r="I236" s="7">
        <v>26.91</v>
      </c>
      <c r="J236" s="18">
        <f t="shared" si="13"/>
        <v>740.8</v>
      </c>
      <c r="K236" s="10">
        <f t="shared" si="14"/>
        <v>2034.396</v>
      </c>
      <c r="L236" s="21">
        <f t="shared" si="15"/>
        <v>173.89671361502346</v>
      </c>
      <c r="M236" s="73"/>
    </row>
    <row r="237" spans="1:13" ht="25.95" customHeight="1">
      <c r="A237" s="12">
        <v>235</v>
      </c>
      <c r="B237" s="6">
        <v>7</v>
      </c>
      <c r="C237" s="6">
        <v>186</v>
      </c>
      <c r="D237" s="20" t="str">
        <f>IF(C237&lt;&gt;"", IFERROR(INDEX('بنود العقد'!B$3:B$388,C237),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75 مم</v>
      </c>
      <c r="E237" s="12" t="str">
        <f>IF(C237&lt;&gt;"", IFERROR(INDEX('بنود العقد'!D$3:D$388,C237), ""), "")</f>
        <v>م.ط</v>
      </c>
      <c r="F237" s="9">
        <f>IF(C237&lt;&gt;"", IFERROR(INDEX('بنود العقد'!E$3:E$388,C237), 0), "")</f>
        <v>91.2</v>
      </c>
      <c r="G237" s="9">
        <f>IF(C237&lt;&gt;"", IFERROR(INDEX('بنود العقد'!F$3:F$388,C237), 0), "")</f>
        <v>934</v>
      </c>
      <c r="H237" s="18">
        <f t="shared" si="12"/>
        <v>377.91</v>
      </c>
      <c r="I237" s="7">
        <v>17.190000000000001</v>
      </c>
      <c r="J237" s="18">
        <f t="shared" si="13"/>
        <v>395.1</v>
      </c>
      <c r="K237" s="10">
        <f t="shared" si="14"/>
        <v>1567.7280000000001</v>
      </c>
      <c r="L237" s="21">
        <f t="shared" si="15"/>
        <v>42.301927194860816</v>
      </c>
      <c r="M237" s="73"/>
    </row>
    <row r="238" spans="1:13" ht="25.95" customHeight="1">
      <c r="A238" s="12">
        <v>236</v>
      </c>
      <c r="B238" s="6">
        <v>7</v>
      </c>
      <c r="C238" s="6">
        <v>187</v>
      </c>
      <c r="D238" s="20" t="str">
        <f>IF(C238&lt;&gt;"", IFERROR(INDEX('بنود العقد'!B$3:B$388,C238),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v>
      </c>
      <c r="E238" s="12" t="str">
        <f>IF(C238&lt;&gt;"", IFERROR(INDEX('بنود العقد'!D$3:D$388,C238), ""), "")</f>
        <v>م.ط</v>
      </c>
      <c r="F238" s="9">
        <f>IF(C238&lt;&gt;"", IFERROR(INDEX('بنود العقد'!E$3:E$388,C238), 0), "")</f>
        <v>102</v>
      </c>
      <c r="G238" s="9">
        <f>IF(C238&lt;&gt;"", IFERROR(INDEX('بنود العقد'!F$3:F$388,C238), 0), "")</f>
        <v>961</v>
      </c>
      <c r="H238" s="18">
        <f t="shared" si="12"/>
        <v>1108.92</v>
      </c>
      <c r="I238" s="7">
        <v>157.72</v>
      </c>
      <c r="J238" s="18">
        <f t="shared" si="13"/>
        <v>1266.6400000000001</v>
      </c>
      <c r="K238" s="10">
        <f t="shared" si="14"/>
        <v>16087.44</v>
      </c>
      <c r="L238" s="21">
        <f t="shared" si="15"/>
        <v>131.80437044745059</v>
      </c>
      <c r="M238" s="73"/>
    </row>
    <row r="239" spans="1:13" ht="25.95" customHeight="1">
      <c r="A239" s="12">
        <v>237</v>
      </c>
      <c r="B239" s="6">
        <v>7</v>
      </c>
      <c r="C239" s="6">
        <v>188</v>
      </c>
      <c r="D239" s="20" t="str">
        <f>IF(C239&lt;&gt;"", IFERROR(INDEX('بنود العقد'!B$3:B$388,C239), "⚠"), "")</f>
        <v>صفاية أرضية )FD(، من PVC مع مصفاة معدنية  مطلية بالكروم شاملة سيفون كما هو موصف بالمقاسات التالية:مخرج قطر 75 مم</v>
      </c>
      <c r="E239" s="12" t="str">
        <f>IF(C239&lt;&gt;"", IFERROR(INDEX('بنود العقد'!D$3:D$388,C239), ""), "")</f>
        <v>عدد</v>
      </c>
      <c r="F239" s="9">
        <f>IF(C239&lt;&gt;"", IFERROR(INDEX('بنود العقد'!E$3:E$388,C239), 0), "")</f>
        <v>300</v>
      </c>
      <c r="G239" s="9">
        <f>IF(C239&lt;&gt;"", IFERROR(INDEX('بنود العقد'!F$3:F$388,C239), 0), "")</f>
        <v>161</v>
      </c>
      <c r="H239" s="18">
        <f t="shared" si="12"/>
        <v>0</v>
      </c>
      <c r="I239" s="7">
        <v>37</v>
      </c>
      <c r="J239" s="18">
        <f t="shared" si="13"/>
        <v>37</v>
      </c>
      <c r="K239" s="10">
        <f t="shared" si="14"/>
        <v>11100</v>
      </c>
      <c r="L239" s="21">
        <f t="shared" si="15"/>
        <v>22.981366459627328</v>
      </c>
      <c r="M239" s="73"/>
    </row>
    <row r="240" spans="1:13" ht="25.95" customHeight="1">
      <c r="A240" s="12">
        <v>238</v>
      </c>
      <c r="B240" s="6">
        <v>7</v>
      </c>
      <c r="C240" s="6">
        <v>189</v>
      </c>
      <c r="D240" s="20" t="str">
        <f>IF(C240&lt;&gt;"", IFERROR(INDEX('بنود العقد'!B$3:B$388,C240), "⚠"), "")</f>
        <v>صفاية أرضية )FD(، من PVC مع مصفاة معدنية  مطلية بالكروم شاملة سيفون كما هو موصف بالمقاسات التالية:صفاية' طولية أرضية )SD(،مع مصفاة  معدنية مطلية بالكروم شاملة سيفون مخرج قطر 50 مم</v>
      </c>
      <c r="E240" s="12" t="str">
        <f>IF(C240&lt;&gt;"", IFERROR(INDEX('بنود العقد'!D$3:D$388,C240), ""), "")</f>
        <v>عدد</v>
      </c>
      <c r="F240" s="9">
        <f>IF(C240&lt;&gt;"", IFERROR(INDEX('بنود العقد'!E$3:E$388,C240), 0), "")</f>
        <v>300</v>
      </c>
      <c r="G240" s="9">
        <f>IF(C240&lt;&gt;"", IFERROR(INDEX('بنود العقد'!F$3:F$388,C240), 0), "")</f>
        <v>20</v>
      </c>
      <c r="H240" s="18">
        <f t="shared" si="12"/>
        <v>0</v>
      </c>
      <c r="I240" s="7">
        <v>3</v>
      </c>
      <c r="J240" s="18">
        <f t="shared" si="13"/>
        <v>3</v>
      </c>
      <c r="K240" s="10">
        <f t="shared" si="14"/>
        <v>900</v>
      </c>
      <c r="L240" s="21">
        <f t="shared" si="15"/>
        <v>15</v>
      </c>
      <c r="M240" s="73"/>
    </row>
    <row r="241" spans="1:13" ht="25.95" customHeight="1">
      <c r="A241" s="12">
        <v>239</v>
      </c>
      <c r="B241" s="6">
        <v>7</v>
      </c>
      <c r="C241" s="6">
        <v>193</v>
      </c>
      <c r="D241" s="20" t="str">
        <f>IF(C241&lt;&gt;"", IFERROR(INDEX('بنود العقد'!B$3:B$388,C241), "⚠"), "")</f>
        <v>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وجه يركب على الكاونتر )مرجع 3-LAV (</v>
      </c>
      <c r="E241" s="12" t="str">
        <f>IF(C241&lt;&gt;"", IFERROR(INDEX('بنود العقد'!D$3:D$388,C241), ""), "")</f>
        <v>عدد</v>
      </c>
      <c r="F241" s="9">
        <f>IF(C241&lt;&gt;"", IFERROR(INDEX('بنود العقد'!E$3:E$388,C241), 0), "")</f>
        <v>2220</v>
      </c>
      <c r="G241" s="9">
        <f>IF(C241&lt;&gt;"", IFERROR(INDEX('بنود العقد'!F$3:F$388,C241), 0), "")</f>
        <v>92</v>
      </c>
      <c r="H241" s="18">
        <f t="shared" si="12"/>
        <v>0</v>
      </c>
      <c r="I241" s="7">
        <v>4</v>
      </c>
      <c r="J241" s="18">
        <f t="shared" si="13"/>
        <v>4</v>
      </c>
      <c r="K241" s="10">
        <f t="shared" si="14"/>
        <v>8880</v>
      </c>
      <c r="L241" s="21">
        <f t="shared" si="15"/>
        <v>4.3478260869565215</v>
      </c>
      <c r="M241" s="73"/>
    </row>
    <row r="242" spans="1:13" ht="25.95" customHeight="1">
      <c r="A242" s="12">
        <v>240</v>
      </c>
      <c r="B242" s="6">
        <v>7</v>
      </c>
      <c r="C242" s="6">
        <v>197</v>
      </c>
      <c r="D242" s="20" t="str">
        <f>IF(C242&lt;&gt;"", IFERROR(INDEX('بنود العقد'!B$3:B$388,C242),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:مقبض رشاش مع الخرطوم وأداة التعليق، مرجع PS</v>
      </c>
      <c r="E242" s="12" t="str">
        <f>IF(C242&lt;&gt;"", IFERROR(INDEX('بنود العقد'!D$3:D$388,C242), ""), "")</f>
        <v>عدد</v>
      </c>
      <c r="F242" s="9">
        <f>IF(C242&lt;&gt;"", IFERROR(INDEX('بنود العقد'!E$3:E$388,C242), 0), "")</f>
        <v>180</v>
      </c>
      <c r="G242" s="9">
        <f>IF(C242&lt;&gt;"", IFERROR(INDEX('بنود العقد'!F$3:F$388,C242), 0), "")</f>
        <v>191</v>
      </c>
      <c r="H242" s="18">
        <f t="shared" si="12"/>
        <v>0</v>
      </c>
      <c r="I242" s="7">
        <v>26</v>
      </c>
      <c r="J242" s="18">
        <f t="shared" si="13"/>
        <v>26</v>
      </c>
      <c r="K242" s="10">
        <f t="shared" si="14"/>
        <v>4680</v>
      </c>
      <c r="L242" s="21">
        <f t="shared" si="15"/>
        <v>13.612565445026178</v>
      </c>
      <c r="M242" s="73"/>
    </row>
    <row r="243" spans="1:13" ht="25.95" customHeight="1">
      <c r="A243" s="12">
        <v>241</v>
      </c>
      <c r="B243" s="6">
        <v>7</v>
      </c>
      <c r="C243" s="6">
        <v>198</v>
      </c>
      <c r="D243" s="20" t="str">
        <f>IF(C243&lt;&gt;"", IFERROR(INDEX('بنود العقد'!B$3:B$388,C243),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:خلاط مياة  يركب على الحوض</v>
      </c>
      <c r="E243" s="12" t="str">
        <f>IF(C243&lt;&gt;"", IFERROR(INDEX('بنود العقد'!D$3:D$388,C243), ""), "")</f>
        <v>عدد</v>
      </c>
      <c r="F243" s="9">
        <f>IF(C243&lt;&gt;"", IFERROR(INDEX('بنود العقد'!E$3:E$388,C243), 0), "")</f>
        <v>1080</v>
      </c>
      <c r="G243" s="9">
        <f>IF(C243&lt;&gt;"", IFERROR(INDEX('بنود العقد'!F$3:F$388,C243), 0), "")</f>
        <v>208</v>
      </c>
      <c r="H243" s="18">
        <f t="shared" si="12"/>
        <v>0</v>
      </c>
      <c r="I243" s="7">
        <v>4</v>
      </c>
      <c r="J243" s="18">
        <f t="shared" si="13"/>
        <v>4</v>
      </c>
      <c r="K243" s="10">
        <f t="shared" si="14"/>
        <v>4320</v>
      </c>
      <c r="L243" s="21">
        <f t="shared" si="15"/>
        <v>1.9230769230769231</v>
      </c>
      <c r="M243" s="73"/>
    </row>
    <row r="244" spans="1:13" ht="25.95" customHeight="1">
      <c r="A244" s="12">
        <v>242</v>
      </c>
      <c r="B244" s="6">
        <v>7</v>
      </c>
      <c r="C244" s="6">
        <v>199</v>
      </c>
      <c r="D244" s="20" t="str">
        <f>IF(C244&lt;&gt;"", IFERROR(INDEX('بنود العقد'!B$3:B$388,C244),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E244" s="12" t="str">
        <f>IF(C244&lt;&gt;"", IFERROR(INDEX('بنود العقد'!D$3:D$388,C244), ""), "")</f>
        <v>م.ط</v>
      </c>
      <c r="F244" s="9">
        <f>IF(C244&lt;&gt;"", IFERROR(INDEX('بنود العقد'!E$3:E$388,C244), 0), "")</f>
        <v>108</v>
      </c>
      <c r="G244" s="9">
        <f>IF(C244&lt;&gt;"", IFERROR(INDEX('بنود العقد'!F$3:F$388,C244), 0), "")</f>
        <v>3900</v>
      </c>
      <c r="H244" s="18">
        <f t="shared" si="12"/>
        <v>1683.1999999999998</v>
      </c>
      <c r="I244" s="7">
        <v>514.26</v>
      </c>
      <c r="J244" s="18">
        <f t="shared" si="13"/>
        <v>2197.46</v>
      </c>
      <c r="K244" s="10">
        <f t="shared" si="14"/>
        <v>55540.08</v>
      </c>
      <c r="L244" s="21">
        <f t="shared" si="15"/>
        <v>56.345128205128205</v>
      </c>
      <c r="M244" s="73"/>
    </row>
    <row r="245" spans="1:13" ht="25.95" customHeight="1">
      <c r="A245" s="12">
        <v>243</v>
      </c>
      <c r="B245" s="6">
        <v>7</v>
      </c>
      <c r="C245" s="6">
        <v>215</v>
      </c>
      <c r="D245" s="20" t="str">
        <f>IF(C245&lt;&gt;"", IFERROR(INDEX('بنود العقد'!B$3:B$388,C245), "⚠"), "")</f>
        <v>توريد و تركيب و اختبار رشاشات آلية اوتوماتيكية كما هو موصف رشاشات من النوع المخفي، ذات فتحة 2/1 بوصة، ومعامل 5.6 =K   ودرجة حرارة تشغيل 68 درجة مئوية</v>
      </c>
      <c r="E245" s="12" t="str">
        <f>IF(C245&lt;&gt;"", IFERROR(INDEX('بنود العقد'!D$3:D$388,C245), ""), "")</f>
        <v>عدد</v>
      </c>
      <c r="F245" s="9">
        <f>IF(C245&lt;&gt;"", IFERROR(INDEX('بنود العقد'!E$3:E$388,C245), 0), "")</f>
        <v>90</v>
      </c>
      <c r="G245" s="9">
        <f>IF(C245&lt;&gt;"", IFERROR(INDEX('بنود العقد'!F$3:F$388,C245), 0), "")</f>
        <v>1000</v>
      </c>
      <c r="H245" s="18">
        <f t="shared" si="12"/>
        <v>235</v>
      </c>
      <c r="I245" s="7">
        <v>25</v>
      </c>
      <c r="J245" s="18">
        <f t="shared" si="13"/>
        <v>260</v>
      </c>
      <c r="K245" s="10">
        <f t="shared" si="14"/>
        <v>2250</v>
      </c>
      <c r="L245" s="21">
        <f t="shared" si="15"/>
        <v>26</v>
      </c>
      <c r="M245" s="73"/>
    </row>
    <row r="246" spans="1:13" ht="25.95" customHeight="1">
      <c r="A246" s="12">
        <v>244</v>
      </c>
      <c r="B246" s="6">
        <v>7</v>
      </c>
      <c r="C246" s="6">
        <v>216</v>
      </c>
      <c r="D246" s="20" t="str">
        <f>IF(C246&lt;&gt;"", IFERROR(INDEX('بنود العقد'!B$3:B$388,C246), "⚠"), "")</f>
        <v>توريد و تركيب و اختبار رشاشات آلية اوتوماتيكية كما هو موصف رشاشات عامودية، ذات فتحة 2/1 بوصة، ومعامل 5.6 =K   ودرجة حرارة تشغيل 68 درجة مئوية</v>
      </c>
      <c r="E246" s="12" t="str">
        <f>IF(C246&lt;&gt;"", IFERROR(INDEX('بنود العقد'!D$3:D$388,C246), ""), "")</f>
        <v>عدد</v>
      </c>
      <c r="F246" s="9">
        <f>IF(C246&lt;&gt;"", IFERROR(INDEX('بنود العقد'!E$3:E$388,C246), 0), "")</f>
        <v>90</v>
      </c>
      <c r="G246" s="9">
        <f>IF(C246&lt;&gt;"", IFERROR(INDEX('بنود العقد'!F$3:F$388,C246), 0), "")</f>
        <v>508</v>
      </c>
      <c r="H246" s="18">
        <f t="shared" si="12"/>
        <v>0</v>
      </c>
      <c r="I246" s="7">
        <v>92</v>
      </c>
      <c r="J246" s="18">
        <f t="shared" si="13"/>
        <v>92</v>
      </c>
      <c r="K246" s="10">
        <f t="shared" si="14"/>
        <v>8280</v>
      </c>
      <c r="L246" s="21">
        <f t="shared" si="15"/>
        <v>18.110236220472441</v>
      </c>
      <c r="M246" s="73"/>
    </row>
    <row r="247" spans="1:13" ht="25.95" customHeight="1">
      <c r="A247" s="12">
        <v>245</v>
      </c>
      <c r="B247" s="6">
        <v>7</v>
      </c>
      <c r="C247" s="6">
        <v>218</v>
      </c>
      <c r="D247" s="20" t="str">
        <f>IF(C247&lt;&gt;"", IFERROR(INDEX('بنود العقد'!B$3:B$388,C247), "⚠"), "")</f>
        <v>توريد و تركيب نظام  غازي200FM لغرف الكهرباء و السنترال و ما يتطلبه النظام من تعديلاتمعمارية على ان يتم تقديمها للاعتماد من قبل مهندس المشرف  ،  مرجع 3-FE</v>
      </c>
      <c r="E247" s="12" t="str">
        <f>IF(C247&lt;&gt;"", IFERROR(INDEX('بنود العقد'!D$3:D$388,C247), ""), "")</f>
        <v>عدد</v>
      </c>
      <c r="F247" s="9">
        <f>IF(C247&lt;&gt;"", IFERROR(INDEX('بنود العقد'!E$3:E$388,C247), 0), "")</f>
        <v>54000</v>
      </c>
      <c r="G247" s="9">
        <f>IF(C247&lt;&gt;"", IFERROR(INDEX('بنود العقد'!F$3:F$388,C247), 0), "")</f>
        <v>36</v>
      </c>
      <c r="H247" s="18">
        <f t="shared" si="12"/>
        <v>0</v>
      </c>
      <c r="I247" s="7">
        <v>4</v>
      </c>
      <c r="J247" s="18">
        <f t="shared" si="13"/>
        <v>4</v>
      </c>
      <c r="K247" s="10">
        <f t="shared" si="14"/>
        <v>216000</v>
      </c>
      <c r="L247" s="21">
        <f t="shared" si="15"/>
        <v>11.111111111111111</v>
      </c>
      <c r="M247" s="73"/>
    </row>
    <row r="248" spans="1:13" ht="25.95" customHeight="1">
      <c r="A248" s="12">
        <v>246</v>
      </c>
      <c r="B248" s="6">
        <v>7</v>
      </c>
      <c r="C248" s="6">
        <v>227</v>
      </c>
      <c r="D248" s="20" t="str">
        <f>IF(C248&lt;&gt;"", IFERROR(INDEX('بنود العقد'!B$3:B$388,C248),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07-VAV ، اجمالي الهواء 0-2500 ) ق/د( استطاعة التخزين 7.3 )ك/و(</v>
      </c>
      <c r="E248" s="12" t="str">
        <f>IF(C248&lt;&gt;"", IFERROR(INDEX('بنود العقد'!D$3:D$388,C248), ""), "")</f>
        <v>عدد</v>
      </c>
      <c r="F248" s="9">
        <f>IF(C248&lt;&gt;"", IFERROR(INDEX('بنود العقد'!E$3:E$388,C248), 0), "")</f>
        <v>10800</v>
      </c>
      <c r="G248" s="9">
        <f>IF(C248&lt;&gt;"", IFERROR(INDEX('بنود العقد'!F$3:F$388,C248), 0), "")</f>
        <v>24</v>
      </c>
      <c r="H248" s="18">
        <f t="shared" si="12"/>
        <v>1</v>
      </c>
      <c r="I248" s="7">
        <v>6</v>
      </c>
      <c r="J248" s="18">
        <f t="shared" si="13"/>
        <v>7</v>
      </c>
      <c r="K248" s="10">
        <f t="shared" si="14"/>
        <v>64800</v>
      </c>
      <c r="L248" s="21">
        <f t="shared" si="15"/>
        <v>29.166666666666668</v>
      </c>
      <c r="M248" s="73"/>
    </row>
    <row r="249" spans="1:13" ht="25.95" customHeight="1">
      <c r="A249" s="12">
        <v>247</v>
      </c>
      <c r="B249" s="6">
        <v>7</v>
      </c>
      <c r="C249" s="6">
        <v>230</v>
      </c>
      <c r="D249" s="20" t="str">
        <f>IF(C249&lt;&gt;"", IFERROR(INDEX('بنود العقد'!B$3:B$388,C249),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E249" s="12" t="str">
        <f>IF(C249&lt;&gt;"", IFERROR(INDEX('بنود العقد'!D$3:D$388,C249), ""), "")</f>
        <v>م.ط</v>
      </c>
      <c r="F249" s="9">
        <f>IF(C249&lt;&gt;"", IFERROR(INDEX('بنود العقد'!E$3:E$388,C249), 0), "")</f>
        <v>300</v>
      </c>
      <c r="G249" s="9">
        <f>IF(C249&lt;&gt;"", IFERROR(INDEX('بنود العقد'!F$3:F$388,C249), 0), "")</f>
        <v>7000</v>
      </c>
      <c r="H249" s="18">
        <f t="shared" si="12"/>
        <v>3711.9</v>
      </c>
      <c r="I249" s="7">
        <v>23</v>
      </c>
      <c r="J249" s="18">
        <f t="shared" si="13"/>
        <v>3734.9</v>
      </c>
      <c r="K249" s="10">
        <f t="shared" si="14"/>
        <v>6900</v>
      </c>
      <c r="L249" s="21">
        <f t="shared" si="15"/>
        <v>53.355714285714285</v>
      </c>
      <c r="M249" s="73"/>
    </row>
    <row r="250" spans="1:13" ht="25.95" customHeight="1">
      <c r="A250" s="12">
        <v>248</v>
      </c>
      <c r="B250" s="6">
        <v>7</v>
      </c>
      <c r="C250" s="6">
        <v>231</v>
      </c>
      <c r="D250" s="20" t="str">
        <f>IF(C250&lt;&gt;"", IFERROR(INDEX('بنود العقد'!B$3:B$388,C250), "⚠"), "")</f>
        <v>ناشرة هواء ذات فتحات طولية  للهواء الداخل مصنعة من الألمنيوم المشكل بالبثق ومطلية بمسحوق البولستركاملة، مخمدات صوت ذات أرياش متضادّة ،وصندوق حجمى معزول من الداخل بعازل صوتى وميكانيزم للتحكم فى الهواء من واجهة الناشر وكل قطع الأكسسوار حسب المواصفات والمخططات مع توفير عينات للاعتماد من مهندس المشرف. ثلاثة فتحات / ثقب 25مم عرض</v>
      </c>
      <c r="E250" s="12" t="str">
        <f>IF(C250&lt;&gt;"", IFERROR(INDEX('بنود العقد'!D$3:D$388,C250), ""), "")</f>
        <v>م.ط</v>
      </c>
      <c r="F250" s="9">
        <f>IF(C250&lt;&gt;"", IFERROR(INDEX('بنود العقد'!E$3:E$388,C250), 0), "")</f>
        <v>480</v>
      </c>
      <c r="G250" s="9">
        <f>IF(C250&lt;&gt;"", IFERROR(INDEX('بنود العقد'!F$3:F$388,C250), 0), "")</f>
        <v>1925</v>
      </c>
      <c r="H250" s="18">
        <f t="shared" si="12"/>
        <v>82.02</v>
      </c>
      <c r="I250" s="7">
        <v>54.9</v>
      </c>
      <c r="J250" s="18">
        <f t="shared" si="13"/>
        <v>136.91999999999999</v>
      </c>
      <c r="K250" s="10">
        <f t="shared" si="14"/>
        <v>26352</v>
      </c>
      <c r="L250" s="21">
        <f t="shared" si="15"/>
        <v>7.1127272727272723</v>
      </c>
      <c r="M250" s="73"/>
    </row>
    <row r="251" spans="1:13" ht="25.95" customHeight="1">
      <c r="A251" s="12">
        <v>249</v>
      </c>
      <c r="B251" s="6">
        <v>7</v>
      </c>
      <c r="C251" s="6">
        <v>232</v>
      </c>
      <c r="D251" s="20" t="str">
        <f>IF(C251&lt;&gt;"", IFERROR(INDEX('بنود العقد'!B$3:B$388,C251), "⚠"), "")</f>
        <v>ناشرة هواء ذات فتحات طولية للهواء الراجع مصنعة من الألمنيوم المشكل بالبثق ومطلية بمسحوق البولستركاملة، وكل قطع الأكسسوار حسب المواصفات والمخططات مع توفير عينات للاعتماد من مهندس المشرف. ثلاثة فتحات / ثقب 25مم عرض</v>
      </c>
      <c r="E251" s="12" t="str">
        <f>IF(C251&lt;&gt;"", IFERROR(INDEX('بنود العقد'!D$3:D$388,C251), ""), "")</f>
        <v>م.ط</v>
      </c>
      <c r="F251" s="9">
        <f>IF(C251&lt;&gt;"", IFERROR(INDEX('بنود العقد'!E$3:E$388,C251), 0), "")</f>
        <v>480</v>
      </c>
      <c r="G251" s="9">
        <f>IF(C251&lt;&gt;"", IFERROR(INDEX('بنود العقد'!F$3:F$388,C251), 0), "")</f>
        <v>1925</v>
      </c>
      <c r="H251" s="18">
        <f t="shared" si="12"/>
        <v>82.02</v>
      </c>
      <c r="I251" s="7">
        <v>57.05</v>
      </c>
      <c r="J251" s="18">
        <f t="shared" si="13"/>
        <v>139.07</v>
      </c>
      <c r="K251" s="10">
        <f t="shared" si="14"/>
        <v>27384</v>
      </c>
      <c r="L251" s="21">
        <f t="shared" si="15"/>
        <v>7.2244155844155848</v>
      </c>
      <c r="M251" s="73"/>
    </row>
    <row r="252" spans="1:13" ht="25.95" customHeight="1">
      <c r="A252" s="12">
        <v>250</v>
      </c>
      <c r="B252" s="6">
        <v>7</v>
      </c>
      <c r="C252" s="6">
        <v>233</v>
      </c>
      <c r="D252" s="20" t="str">
        <f>IF(C252&lt;&gt;"", IFERROR(INDEX('بنود العقد'!B$3:B$388,C252), "⚠"), "")</f>
        <v xml:space="preserve"> جريلات تغذية من الالومينيوم مغطاة ببودرة البوليستر كاملة وجميع الملحقات حسب المخططات..والمواصفات مع توفير عينات للاعتماد من مهندس المشرف 600mm X 600mm</v>
      </c>
      <c r="E252" s="12" t="str">
        <f>IF(C252&lt;&gt;"", IFERROR(INDEX('بنود العقد'!D$3:D$388,C252), ""), "")</f>
        <v>عدد</v>
      </c>
      <c r="F252" s="9">
        <f>IF(C252&lt;&gt;"", IFERROR(INDEX('بنود العقد'!E$3:E$388,C252), 0), "")</f>
        <v>456</v>
      </c>
      <c r="G252" s="9">
        <f>IF(C252&lt;&gt;"", IFERROR(INDEX('بنود العقد'!F$3:F$388,C252), 0), "")</f>
        <v>724</v>
      </c>
      <c r="H252" s="18">
        <f t="shared" si="12"/>
        <v>25</v>
      </c>
      <c r="I252" s="7">
        <v>49</v>
      </c>
      <c r="J252" s="18">
        <f t="shared" si="13"/>
        <v>74</v>
      </c>
      <c r="K252" s="10">
        <f t="shared" si="14"/>
        <v>22344</v>
      </c>
      <c r="L252" s="21">
        <f t="shared" si="15"/>
        <v>10.220994475138122</v>
      </c>
      <c r="M252" s="73"/>
    </row>
    <row r="253" spans="1:13" ht="25.95" customHeight="1">
      <c r="A253" s="12">
        <v>251</v>
      </c>
      <c r="B253" s="6">
        <v>7</v>
      </c>
      <c r="C253" s="6">
        <v>234</v>
      </c>
      <c r="D253" s="20" t="str">
        <f>IF(C253&lt;&gt;"", IFERROR(INDEX('بنود العقد'!B$3:B$388,C253), "⚠"), "")</f>
        <v xml:space="preserve"> جريلات رجوع من الالومينيوم مغطاة ببودرة البوليستر كاملة وجميع الملحقات حسب المخططات.والمواصفات مع توفير عينات للاعتماد من مهندس المشرف 600mm X 600mm</v>
      </c>
      <c r="E253" s="12" t="str">
        <f>IF(C253&lt;&gt;"", IFERROR(INDEX('بنود العقد'!D$3:D$388,C253), ""), "")</f>
        <v>عدد</v>
      </c>
      <c r="F253" s="9">
        <f>IF(C253&lt;&gt;"", IFERROR(INDEX('بنود العقد'!E$3:E$388,C253), 0), "")</f>
        <v>264</v>
      </c>
      <c r="G253" s="9">
        <f>IF(C253&lt;&gt;"", IFERROR(INDEX('بنود العقد'!F$3:F$388,C253), 0), "")</f>
        <v>724</v>
      </c>
      <c r="H253" s="18">
        <f t="shared" si="12"/>
        <v>25</v>
      </c>
      <c r="I253" s="7">
        <v>14</v>
      </c>
      <c r="J253" s="18">
        <f t="shared" si="13"/>
        <v>39</v>
      </c>
      <c r="K253" s="10">
        <f t="shared" si="14"/>
        <v>3696</v>
      </c>
      <c r="L253" s="21">
        <f t="shared" si="15"/>
        <v>5.3867403314917128</v>
      </c>
      <c r="M253" s="73"/>
    </row>
    <row r="254" spans="1:13" ht="25.95" customHeight="1">
      <c r="A254" s="12">
        <v>252</v>
      </c>
      <c r="B254" s="6">
        <v>7</v>
      </c>
      <c r="C254" s="6">
        <v>235</v>
      </c>
      <c r="D254" s="20" t="str">
        <f>IF(C254&lt;&gt;"", IFERROR(INDEX('بنود العقد'!B$3:B$388,C254), "⚠"), "")</f>
        <v xml:space="preserve"> جريلات لسحب الهواء من الالمونيوم مغطاة ببودرة البوليستر كاملة بجميع ملحقات التركيب وحسب.المخططات والمواصفات مع توفير عينات للاعتماد من مهندس المشرف 150mm X 150MM</v>
      </c>
      <c r="E254" s="12" t="str">
        <f>IF(C254&lt;&gt;"", IFERROR(INDEX('بنود العقد'!D$3:D$388,C254), ""), "")</f>
        <v>عدد</v>
      </c>
      <c r="F254" s="9">
        <f>IF(C254&lt;&gt;"", IFERROR(INDEX('بنود العقد'!E$3:E$388,C254), 0), "")</f>
        <v>210</v>
      </c>
      <c r="G254" s="9">
        <f>IF(C254&lt;&gt;"", IFERROR(INDEX('بنود العقد'!F$3:F$388,C254), 0), "")</f>
        <v>102</v>
      </c>
      <c r="H254" s="18">
        <f t="shared" si="12"/>
        <v>0</v>
      </c>
      <c r="I254" s="7">
        <v>41</v>
      </c>
      <c r="J254" s="18">
        <f t="shared" si="13"/>
        <v>41</v>
      </c>
      <c r="K254" s="10">
        <f t="shared" si="14"/>
        <v>8610</v>
      </c>
      <c r="L254" s="21">
        <f t="shared" si="15"/>
        <v>40.196078431372548</v>
      </c>
      <c r="M254" s="73"/>
    </row>
    <row r="255" spans="1:13" ht="25.95" customHeight="1">
      <c r="A255" s="12">
        <v>253</v>
      </c>
      <c r="B255" s="6">
        <v>7</v>
      </c>
      <c r="C255" s="6">
        <v>236</v>
      </c>
      <c r="D255" s="20" t="str">
        <f>IF(C255&lt;&gt;"", IFERROR(INDEX('بنود العقد'!B$3:B$388,C255),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المشرف.Dia 150 mm</v>
      </c>
      <c r="E255" s="12" t="str">
        <f>IF(C255&lt;&gt;"", IFERROR(INDEX('بنود العقد'!D$3:D$388,C255), ""), "")</f>
        <v>م.ط</v>
      </c>
      <c r="F255" s="9">
        <f>IF(C255&lt;&gt;"", IFERROR(INDEX('بنود العقد'!E$3:E$388,C255), 0), "")</f>
        <v>45.6</v>
      </c>
      <c r="G255" s="9">
        <f>IF(C255&lt;&gt;"", IFERROR(INDEX('بنود العقد'!F$3:F$388,C255), 0), "")</f>
        <v>240</v>
      </c>
      <c r="H255" s="18">
        <f t="shared" si="12"/>
        <v>0</v>
      </c>
      <c r="I255" s="7">
        <v>39.6</v>
      </c>
      <c r="J255" s="18">
        <f t="shared" si="13"/>
        <v>39.6</v>
      </c>
      <c r="K255" s="10">
        <f t="shared" si="14"/>
        <v>1805.7600000000002</v>
      </c>
      <c r="L255" s="21">
        <f t="shared" si="15"/>
        <v>16.5</v>
      </c>
      <c r="M255" s="73"/>
    </row>
    <row r="256" spans="1:13" ht="25.95" customHeight="1">
      <c r="A256" s="12">
        <v>254</v>
      </c>
      <c r="B256" s="6">
        <v>7</v>
      </c>
      <c r="C256" s="6">
        <v>237</v>
      </c>
      <c r="D256" s="20" t="str">
        <f>IF(C256&lt;&gt;"", IFERROR(INDEX('بنود العقد'!B$3:B$388,C256),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200 mm</v>
      </c>
      <c r="E256" s="12" t="str">
        <f>IF(C256&lt;&gt;"", IFERROR(INDEX('بنود العقد'!D$3:D$388,C256), ""), "")</f>
        <v>م.ط</v>
      </c>
      <c r="F256" s="9">
        <f>IF(C256&lt;&gt;"", IFERROR(INDEX('بنود العقد'!E$3:E$388,C256), 0), "")</f>
        <v>54</v>
      </c>
      <c r="G256" s="9">
        <f>IF(C256&lt;&gt;"", IFERROR(INDEX('بنود العقد'!F$3:F$388,C256), 0), "")</f>
        <v>2964</v>
      </c>
      <c r="H256" s="18">
        <f t="shared" si="12"/>
        <v>0</v>
      </c>
      <c r="I256" s="7">
        <v>115.2</v>
      </c>
      <c r="J256" s="18">
        <f t="shared" si="13"/>
        <v>115.2</v>
      </c>
      <c r="K256" s="10">
        <f t="shared" si="14"/>
        <v>6220.8</v>
      </c>
      <c r="L256" s="21">
        <f t="shared" si="15"/>
        <v>3.8866396761133606</v>
      </c>
      <c r="M256" s="73"/>
    </row>
    <row r="257" spans="1:13" ht="25.95" customHeight="1">
      <c r="A257" s="12">
        <v>255</v>
      </c>
      <c r="B257" s="6">
        <v>7</v>
      </c>
      <c r="C257" s="6">
        <v>238</v>
      </c>
      <c r="D257" s="20" t="str">
        <f>IF(C257&lt;&gt;"", IFERROR(INDEX('بنود العقد'!B$3:B$388,C257),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250 mm</v>
      </c>
      <c r="E257" s="12" t="str">
        <f>IF(C257&lt;&gt;"", IFERROR(INDEX('بنود العقد'!D$3:D$388,C257), ""), "")</f>
        <v>م.ط</v>
      </c>
      <c r="F257" s="9">
        <f>IF(C257&lt;&gt;"", IFERROR(INDEX('بنود العقد'!E$3:E$388,C257), 0), "")</f>
        <v>66</v>
      </c>
      <c r="G257" s="9">
        <f>IF(C257&lt;&gt;"", IFERROR(INDEX('بنود العقد'!F$3:F$388,C257), 0), "")</f>
        <v>60</v>
      </c>
      <c r="H257" s="18">
        <f t="shared" si="12"/>
        <v>0</v>
      </c>
      <c r="I257" s="7">
        <v>82.8</v>
      </c>
      <c r="J257" s="18">
        <f t="shared" si="13"/>
        <v>82.8</v>
      </c>
      <c r="K257" s="10">
        <f t="shared" si="14"/>
        <v>5464.8</v>
      </c>
      <c r="L257" s="21">
        <f t="shared" si="15"/>
        <v>138</v>
      </c>
      <c r="M257" s="73"/>
    </row>
    <row r="258" spans="1:13" ht="25.95" customHeight="1">
      <c r="A258" s="12">
        <v>256</v>
      </c>
      <c r="B258" s="6">
        <v>7</v>
      </c>
      <c r="C258" s="6">
        <v>243</v>
      </c>
      <c r="D258" s="20" t="str">
        <f>IF(C258&lt;&gt;"", IFERROR(INDEX('بنود العقد'!B$3:B$388,C258), "⚠"), "")</f>
        <v>نظام إدارة المبنى BMS    تصميم وتوريد وتركيب نظام لإدارة المبنى أتوماتيكياً على أن يكون نظام التشغيل )OPEN PROTOCOL ( حسب توصيات الاستشارى المشرف وذلك للتحكم في تشغيل ومراقبة الانظمة الميكانيكية والكهربائية التالية :                                                  ـ التشلرات والمراوح ووحدات مناولة الهواء ووحدات ملف المروحة ومضخات المياه ووحدة ضخ الهواء وإنظمة الحريق والتحكم في الأنظمة والمعدات الميكانيكية بالمبنى - والتحكم في تشغيل ومتابعة حالة اللوحات الكهربائية الرئيسية والثانوية والمصاعد وكل الأنظمة التي يراها الاستشاري لأزمة مع الأخذ في الاعتبار قابلية التوسع في المباني المستقبلية .توريد وتركيب وتوصيل نظام إدارة المباني ) BMS ( لأنظمة HVAC ، وأنظمة السباكة ، ونظام الحريق ، والأنظمة الكهربائية والخدمات الخارجية ، كاملة بما في ذلك وحدات التحكم ونقاط التحكم والأسلاك والقنوات وصناديق السحب وصناديق التوصيل الثانوية وجميع عمليات التثبيت الضرورية مستلزمات؛ كل ما هو محدد ومفصل على الرسومات والموصوفة في المواصفات. والنظام يجب ان يتضمن البرامج واجهزة التحكم واجهزة المواقع ونقاط التحكم والاسلاك المتصلة بباقي الانظمة والمواسير وعلب السحب وعلب التوصيل الثانوية وجميع اكسسوارات ومتطلبات التركيبات الضرورية وهذه الاجهزة يجب ان يتم توصيلها مع جميع انظمة شبكة IP سواء من خلال تمكين اجهزة IP او من خلال بوابة IP او الموزع ويجب ان تشمل وحدات التحكم الطرفية التركيبات الضرورية والبرمجة والدمج عند اللزوم لتأسيس الاتصال والتعامل بين اجهزة التركيبات الالكتروميكانيكية وانظمة السلامة وانظمة الامن حسب اوامر ونظام التشغيل ووفقا لنظام وحسب تعليمات مهندس المشرف و يجب ان يتوافق النظام مع الانظمة الحالية للترشيد و المراقبة و يكون النظام لكامل المبني</v>
      </c>
      <c r="E258" s="12" t="str">
        <f>IF(C258&lt;&gt;"", IFERROR(INDEX('بنود العقد'!D$3:D$388,C258), ""), "")</f>
        <v>عدد</v>
      </c>
      <c r="F258" s="9">
        <f>IF(C258&lt;&gt;"", IFERROR(INDEX('بنود العقد'!E$3:E$388,C258), 0), "")</f>
        <v>2520000</v>
      </c>
      <c r="G258" s="9">
        <f>IF(C258&lt;&gt;"", IFERROR(INDEX('بنود العقد'!F$3:F$388,C258), 0), "")</f>
        <v>1</v>
      </c>
      <c r="H258" s="18">
        <f t="shared" si="12"/>
        <v>0.25950000000000001</v>
      </c>
      <c r="I258" s="7">
        <v>7.0499999999999993E-2</v>
      </c>
      <c r="J258" s="18">
        <f t="shared" si="13"/>
        <v>0.33</v>
      </c>
      <c r="K258" s="10">
        <f t="shared" si="14"/>
        <v>177659.99999999997</v>
      </c>
      <c r="L258" s="21">
        <f t="shared" si="15"/>
        <v>33</v>
      </c>
      <c r="M258" s="73"/>
    </row>
    <row r="259" spans="1:13" ht="25.95" customHeight="1">
      <c r="A259" s="12">
        <v>257</v>
      </c>
      <c r="B259" s="6">
        <v>7</v>
      </c>
      <c r="C259" s="6">
        <v>248</v>
      </c>
      <c r="D259" s="20" t="str">
        <f>IF(C259&lt;&gt;"", IFERROR(INDEX('بنود العقد'!B$3:B$388,C259),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v>
      </c>
      <c r="E259" s="12" t="str">
        <f>IF(C259&lt;&gt;"", IFERROR(INDEX('بنود العقد'!D$3:D$388,C259), ""), "")</f>
        <v>عدد</v>
      </c>
      <c r="F259" s="9">
        <f>IF(C259&lt;&gt;"", IFERROR(INDEX('بنود العقد'!E$3:E$388,C259), 0), "")</f>
        <v>216</v>
      </c>
      <c r="G259" s="9">
        <f>IF(C259&lt;&gt;"", IFERROR(INDEX('بنود العقد'!F$3:F$388,C259), 0), "")</f>
        <v>282</v>
      </c>
      <c r="H259" s="18">
        <f t="shared" ref="H259:H322" si="16">IFERROR(SUMIFS(I$3:I$1805, B$3:B$1805, "&lt;"&amp;B259, C$3:C$1805, C259), 0)</f>
        <v>0</v>
      </c>
      <c r="I259" s="7">
        <v>24</v>
      </c>
      <c r="J259" s="18">
        <f t="shared" ref="J259:J428" si="17">IF(I259&lt;&gt;"", H259+I259, 0)</f>
        <v>24</v>
      </c>
      <c r="K259" s="10">
        <f t="shared" ref="K259:K465" si="18">IF(AND(I259&lt;&gt;"",F259&lt;&gt;""), I259*F259, "")</f>
        <v>5184</v>
      </c>
      <c r="L259" s="21">
        <f t="shared" ref="L259:L462" si="19">IF(AND(J259&lt;&gt;"",G259&lt;&gt;"",G259&gt;0), J259/G259*100, "")</f>
        <v>8.5106382978723403</v>
      </c>
      <c r="M259" s="73"/>
    </row>
    <row r="260" spans="1:13" ht="25.95" customHeight="1">
      <c r="A260" s="12">
        <v>258</v>
      </c>
      <c r="B260" s="6">
        <v>7</v>
      </c>
      <c r="C260" s="6">
        <v>249</v>
      </c>
      <c r="D260" s="20" t="str">
        <f>IF(C260&lt;&gt;"", IFERROR(INDEX('بنود العقد'!B$3:B$388,C260),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مقبس ثنائي سقفى، من النوع المؤرض، 15 أمبير، 230 فولت، طور واحد، قطبين، 3 أسلاك.</v>
      </c>
      <c r="E260" s="12" t="str">
        <f>IF(C260&lt;&gt;"", IFERROR(INDEX('بنود العقد'!D$3:D$388,C260), ""), "")</f>
        <v>عدد</v>
      </c>
      <c r="F260" s="9">
        <f>IF(C260&lt;&gt;"", IFERROR(INDEX('بنود العقد'!E$3:E$388,C260), 0), "")</f>
        <v>216</v>
      </c>
      <c r="G260" s="9">
        <f>IF(C260&lt;&gt;"", IFERROR(INDEX('بنود العقد'!F$3:F$388,C260), 0), "")</f>
        <v>126</v>
      </c>
      <c r="H260" s="18">
        <f t="shared" si="16"/>
        <v>12</v>
      </c>
      <c r="I260" s="7">
        <v>9</v>
      </c>
      <c r="J260" s="18">
        <f t="shared" si="17"/>
        <v>21</v>
      </c>
      <c r="K260" s="10">
        <f t="shared" si="18"/>
        <v>1944</v>
      </c>
      <c r="L260" s="21">
        <f t="shared" si="19"/>
        <v>16.666666666666664</v>
      </c>
      <c r="M260" s="73"/>
    </row>
    <row r="261" spans="1:13" ht="25.95" customHeight="1">
      <c r="A261" s="12">
        <v>259</v>
      </c>
      <c r="B261" s="6">
        <v>7</v>
      </c>
      <c r="C261" s="6">
        <v>253</v>
      </c>
      <c r="D261" s="20" t="str">
        <f>IF(C261&lt;&gt;"", IFERROR(INDEX('بنود العقد'!B$3:B$388,C261), "⚠"), "")</f>
        <v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المشرفمخرج  ومؤرض 30 أمبير ، 230 فولت 3 أسلاك ، 1 فاز لمجفف الأيدي</v>
      </c>
      <c r="E261" s="12" t="str">
        <f>IF(C261&lt;&gt;"", IFERROR(INDEX('بنود العقد'!D$3:D$388,C261), ""), "")</f>
        <v>عدد</v>
      </c>
      <c r="F261" s="9">
        <f>IF(C261&lt;&gt;"", IFERROR(INDEX('بنود العقد'!E$3:E$388,C261), 0), "")</f>
        <v>264</v>
      </c>
      <c r="G261" s="9">
        <f>IF(C261&lt;&gt;"", IFERROR(INDEX('بنود العقد'!F$3:F$388,C261), 0), "")</f>
        <v>72</v>
      </c>
      <c r="H261" s="18">
        <f t="shared" si="16"/>
        <v>0</v>
      </c>
      <c r="I261" s="7">
        <v>6</v>
      </c>
      <c r="J261" s="18">
        <f t="shared" si="17"/>
        <v>6</v>
      </c>
      <c r="K261" s="10">
        <f t="shared" si="18"/>
        <v>1584</v>
      </c>
      <c r="L261" s="21">
        <f t="shared" si="19"/>
        <v>8.3333333333333321</v>
      </c>
      <c r="M261" s="73"/>
    </row>
    <row r="262" spans="1:13" ht="25.95" customHeight="1">
      <c r="A262" s="12">
        <v>260</v>
      </c>
      <c r="B262" s="6">
        <v>7</v>
      </c>
      <c r="C262" s="6">
        <v>254</v>
      </c>
      <c r="D262" s="20" t="str">
        <f>IF(C262&lt;&gt;"", IFERROR(INDEX('بنود العقد'!B$3:B$388,C262),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)A(  )تحتوى على  4 قوى &amp; 4 داتا (</v>
      </c>
      <c r="E262" s="12" t="str">
        <f>IF(C262&lt;&gt;"", IFERROR(INDEX('بنود العقد'!D$3:D$388,C262), ""), "")</f>
        <v>عدد</v>
      </c>
      <c r="F262" s="9">
        <f>IF(C262&lt;&gt;"", IFERROR(INDEX('بنود العقد'!E$3:E$388,C262), 0), "")</f>
        <v>2160</v>
      </c>
      <c r="G262" s="9">
        <f>IF(C262&lt;&gt;"", IFERROR(INDEX('بنود العقد'!F$3:F$388,C262), 0), "")</f>
        <v>286</v>
      </c>
      <c r="H262" s="18">
        <f t="shared" si="16"/>
        <v>123</v>
      </c>
      <c r="I262" s="7">
        <v>38</v>
      </c>
      <c r="J262" s="18">
        <f t="shared" si="17"/>
        <v>161</v>
      </c>
      <c r="K262" s="10">
        <f t="shared" si="18"/>
        <v>82080</v>
      </c>
      <c r="L262" s="21">
        <f t="shared" si="19"/>
        <v>56.293706293706293</v>
      </c>
      <c r="M262" s="73"/>
    </row>
    <row r="263" spans="1:13" ht="25.95" customHeight="1">
      <c r="A263" s="12">
        <v>261</v>
      </c>
      <c r="B263" s="6">
        <v>7</v>
      </c>
      <c r="C263" s="6">
        <v>255</v>
      </c>
      <c r="D263" s="20" t="str">
        <f>IF(C263&lt;&gt;"", IFERROR(INDEX('بنود العقد'!B$3:B$388,C263),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)B(   )تحتوى على 2 قوى &amp; 2 داتا (</v>
      </c>
      <c r="E263" s="12" t="str">
        <f>IF(C263&lt;&gt;"", IFERROR(INDEX('بنود العقد'!D$3:D$388,C263), ""), "")</f>
        <v>عدد</v>
      </c>
      <c r="F263" s="9">
        <f>IF(C263&lt;&gt;"", IFERROR(INDEX('بنود العقد'!E$3:E$388,C263), 0), "")</f>
        <v>1800</v>
      </c>
      <c r="G263" s="9">
        <f>IF(C263&lt;&gt;"", IFERROR(INDEX('بنود العقد'!F$3:F$388,C263), 0), "")</f>
        <v>20</v>
      </c>
      <c r="H263" s="18">
        <f t="shared" si="16"/>
        <v>121</v>
      </c>
      <c r="I263" s="7">
        <v>24</v>
      </c>
      <c r="J263" s="18">
        <f t="shared" si="17"/>
        <v>145</v>
      </c>
      <c r="K263" s="10">
        <f t="shared" si="18"/>
        <v>43200</v>
      </c>
      <c r="L263" s="21">
        <f t="shared" si="19"/>
        <v>725</v>
      </c>
      <c r="M263" s="73"/>
    </row>
    <row r="264" spans="1:13" ht="25.95" customHeight="1">
      <c r="A264" s="12">
        <v>262</v>
      </c>
      <c r="B264" s="6">
        <v>7</v>
      </c>
      <c r="C264" s="6">
        <v>262</v>
      </c>
      <c r="D264" s="20" t="str">
        <f>IF(C264&lt;&gt;"", IFERROR(INDEX('بنود العقد'!B$3:B$388,C264),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v>
      </c>
      <c r="E264" s="12" t="str">
        <f>IF(C264&lt;&gt;"", IFERROR(INDEX('بنود العقد'!D$3:D$388,C264), ""), "")</f>
        <v>عدد</v>
      </c>
      <c r="F264" s="9">
        <f>IF(C264&lt;&gt;"", IFERROR(INDEX('بنود العقد'!E$3:E$388,C264), 0), "")</f>
        <v>348</v>
      </c>
      <c r="G264" s="9">
        <f>IF(C264&lt;&gt;"", IFERROR(INDEX('بنود العقد'!F$3:F$388,C264), 0), "")</f>
        <v>530</v>
      </c>
      <c r="H264" s="18">
        <f t="shared" si="16"/>
        <v>13</v>
      </c>
      <c r="I264" s="7">
        <v>17</v>
      </c>
      <c r="J264" s="18">
        <f t="shared" si="17"/>
        <v>30</v>
      </c>
      <c r="K264" s="10">
        <f t="shared" si="18"/>
        <v>5916</v>
      </c>
      <c r="L264" s="21">
        <f t="shared" si="19"/>
        <v>5.6603773584905666</v>
      </c>
      <c r="M264" s="73"/>
    </row>
    <row r="265" spans="1:13" ht="25.95" customHeight="1">
      <c r="A265" s="12">
        <v>263</v>
      </c>
      <c r="B265" s="6">
        <v>7</v>
      </c>
      <c r="C265" s="6">
        <v>263</v>
      </c>
      <c r="D265" s="20" t="str">
        <f>IF(C265&lt;&gt;"", IFERROR(INDEX('بنود العقد'!B$3:B$388,C265),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A1E</v>
      </c>
      <c r="E265" s="12" t="str">
        <f>IF(C265&lt;&gt;"", IFERROR(INDEX('بنود العقد'!D$3:D$388,C265), ""), "")</f>
        <v>عدد</v>
      </c>
      <c r="F265" s="9">
        <f>IF(C265&lt;&gt;"", IFERROR(INDEX('بنود العقد'!E$3:E$388,C265), 0), "")</f>
        <v>660</v>
      </c>
      <c r="G265" s="9">
        <f>IF(C265&lt;&gt;"", IFERROR(INDEX('بنود العقد'!F$3:F$388,C265), 0), "")</f>
        <v>241</v>
      </c>
      <c r="H265" s="18">
        <f t="shared" si="16"/>
        <v>6</v>
      </c>
      <c r="I265" s="7">
        <v>19</v>
      </c>
      <c r="J265" s="18">
        <f t="shared" si="17"/>
        <v>25</v>
      </c>
      <c r="K265" s="10">
        <f t="shared" si="18"/>
        <v>12540</v>
      </c>
      <c r="L265" s="21">
        <f t="shared" si="19"/>
        <v>10.37344398340249</v>
      </c>
      <c r="M265" s="73"/>
    </row>
    <row r="266" spans="1:13" ht="25.95" customHeight="1">
      <c r="A266" s="12">
        <v>264</v>
      </c>
      <c r="B266" s="6">
        <v>7</v>
      </c>
      <c r="C266" s="6">
        <v>272</v>
      </c>
      <c r="D266" s="20" t="str">
        <f>IF(C266&lt;&gt;"", IFERROR(INDEX('بنود العقد'!B$3:B$388,C266),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B1</v>
      </c>
      <c r="E266" s="12" t="str">
        <f>IF(C266&lt;&gt;"", IFERROR(INDEX('بنود العقد'!D$3:D$388,C266), ""), "")</f>
        <v>عدد</v>
      </c>
      <c r="F266" s="9">
        <f>IF(C266&lt;&gt;"", IFERROR(INDEX('بنود العقد'!E$3:E$388,C266), 0), "")</f>
        <v>720</v>
      </c>
      <c r="G266" s="9">
        <f>IF(C266&lt;&gt;"", IFERROR(INDEX('بنود العقد'!F$3:F$388,C266), 0), "")</f>
        <v>343</v>
      </c>
      <c r="H266" s="18">
        <f t="shared" si="16"/>
        <v>13</v>
      </c>
      <c r="I266" s="7">
        <v>4</v>
      </c>
      <c r="J266" s="18">
        <f t="shared" si="17"/>
        <v>17</v>
      </c>
      <c r="K266" s="10">
        <f t="shared" si="18"/>
        <v>2880</v>
      </c>
      <c r="L266" s="21">
        <f t="shared" si="19"/>
        <v>4.9562682215743443</v>
      </c>
      <c r="M266" s="73"/>
    </row>
    <row r="267" spans="1:13" ht="25.95" customHeight="1">
      <c r="A267" s="12">
        <v>265</v>
      </c>
      <c r="B267" s="6">
        <v>7</v>
      </c>
      <c r="C267" s="6">
        <v>274</v>
      </c>
      <c r="D267" s="20" t="str">
        <f>IF(C267&lt;&gt;"", IFERROR(INDEX('بنود العقد'!B$3:B$388,C267),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C1</v>
      </c>
      <c r="E267" s="12" t="str">
        <f>IF(C267&lt;&gt;"", IFERROR(INDEX('بنود العقد'!D$3:D$388,C267), ""), "")</f>
        <v>عدد</v>
      </c>
      <c r="F267" s="9">
        <f>IF(C267&lt;&gt;"", IFERROR(INDEX('بنود العقد'!E$3:E$388,C267), 0), "")</f>
        <v>1128</v>
      </c>
      <c r="G267" s="9">
        <f>IF(C267&lt;&gt;"", IFERROR(INDEX('بنود العقد'!F$3:F$388,C267), 0), "")</f>
        <v>172</v>
      </c>
      <c r="H267" s="18">
        <f t="shared" si="16"/>
        <v>13</v>
      </c>
      <c r="I267" s="7">
        <v>4</v>
      </c>
      <c r="J267" s="18">
        <f t="shared" si="17"/>
        <v>17</v>
      </c>
      <c r="K267" s="10">
        <f t="shared" si="18"/>
        <v>4512</v>
      </c>
      <c r="L267" s="21">
        <f t="shared" si="19"/>
        <v>9.8837209302325579</v>
      </c>
      <c r="M267" s="73"/>
    </row>
    <row r="268" spans="1:13" ht="25.95" customHeight="1">
      <c r="A268" s="12">
        <v>266</v>
      </c>
      <c r="B268" s="6">
        <v>7</v>
      </c>
      <c r="C268" s="6">
        <v>276</v>
      </c>
      <c r="D268" s="20" t="str">
        <f>IF(C268&lt;&gt;"", IFERROR(INDEX('بنود العقد'!B$3:B$388,C268),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v>
      </c>
      <c r="E268" s="12" t="str">
        <f>IF(C268&lt;&gt;"", IFERROR(INDEX('بنود العقد'!D$3:D$388,C268), ""), "")</f>
        <v>عدد</v>
      </c>
      <c r="F268" s="9">
        <f>IF(C268&lt;&gt;"", IFERROR(INDEX('بنود العقد'!E$3:E$388,C268), 0), "")</f>
        <v>444</v>
      </c>
      <c r="G268" s="9">
        <f>IF(C268&lt;&gt;"", IFERROR(INDEX('بنود العقد'!F$3:F$388,C268), 0), "")</f>
        <v>1062</v>
      </c>
      <c r="H268" s="18">
        <f t="shared" si="16"/>
        <v>123</v>
      </c>
      <c r="I268" s="7">
        <v>46</v>
      </c>
      <c r="J268" s="18">
        <f t="shared" si="17"/>
        <v>169</v>
      </c>
      <c r="K268" s="10">
        <f t="shared" si="18"/>
        <v>20424</v>
      </c>
      <c r="L268" s="21">
        <f t="shared" si="19"/>
        <v>15.913370998116761</v>
      </c>
      <c r="M268" s="73"/>
    </row>
    <row r="269" spans="1:13" ht="25.95" customHeight="1">
      <c r="A269" s="12">
        <v>267</v>
      </c>
      <c r="B269" s="6">
        <v>7</v>
      </c>
      <c r="C269" s="6">
        <v>277</v>
      </c>
      <c r="D269" s="20" t="str">
        <f>IF(C269&lt;&gt;"", IFERROR(INDEX('بنود العقد'!B$3:B$388,C269),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v>
      </c>
      <c r="E269" s="12" t="str">
        <f>IF(C269&lt;&gt;"", IFERROR(INDEX('بنود العقد'!D$3:D$388,C269), ""), "")</f>
        <v>عدد</v>
      </c>
      <c r="F269" s="9">
        <f>IF(C269&lt;&gt;"", IFERROR(INDEX('بنود العقد'!E$3:E$388,C269), 0), "")</f>
        <v>300</v>
      </c>
      <c r="G269" s="9">
        <f>IF(C269&lt;&gt;"", IFERROR(INDEX('بنود العقد'!F$3:F$388,C269), 0), "")</f>
        <v>284</v>
      </c>
      <c r="H269" s="18">
        <f t="shared" si="16"/>
        <v>28</v>
      </c>
      <c r="I269" s="7">
        <v>5</v>
      </c>
      <c r="J269" s="18">
        <f t="shared" si="17"/>
        <v>33</v>
      </c>
      <c r="K269" s="10">
        <f t="shared" si="18"/>
        <v>1500</v>
      </c>
      <c r="L269" s="21">
        <f t="shared" si="19"/>
        <v>11.619718309859154</v>
      </c>
      <c r="M269" s="73"/>
    </row>
    <row r="270" spans="1:13" ht="25.95" customHeight="1">
      <c r="A270" s="12">
        <v>268</v>
      </c>
      <c r="B270" s="6">
        <v>7</v>
      </c>
      <c r="C270" s="6">
        <v>278</v>
      </c>
      <c r="D270" s="20" t="str">
        <f>IF(C270&lt;&gt;"", IFERROR(INDEX('بنود العقد'!B$3:B$388,C270),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C5</v>
      </c>
      <c r="E270" s="12" t="str">
        <f>IF(C270&lt;&gt;"", IFERROR(INDEX('بنود العقد'!D$3:D$388,C270), ""), "")</f>
        <v>عدد</v>
      </c>
      <c r="F270" s="9">
        <f>IF(C270&lt;&gt;"", IFERROR(INDEX('بنود العقد'!E$3:E$388,C270), 0), "")</f>
        <v>438</v>
      </c>
      <c r="G270" s="9">
        <f>IF(C270&lt;&gt;"", IFERROR(INDEX('بنود العقد'!F$3:F$388,C270), 0), "")</f>
        <v>149</v>
      </c>
      <c r="H270" s="18">
        <f t="shared" si="16"/>
        <v>18</v>
      </c>
      <c r="I270" s="7">
        <v>2</v>
      </c>
      <c r="J270" s="18">
        <f t="shared" si="17"/>
        <v>20</v>
      </c>
      <c r="K270" s="10">
        <f t="shared" si="18"/>
        <v>876</v>
      </c>
      <c r="L270" s="21">
        <f t="shared" si="19"/>
        <v>13.422818791946309</v>
      </c>
      <c r="M270" s="73"/>
    </row>
    <row r="271" spans="1:13" ht="25.95" customHeight="1">
      <c r="A271" s="12">
        <v>269</v>
      </c>
      <c r="B271" s="6">
        <v>7</v>
      </c>
      <c r="C271" s="6">
        <v>279</v>
      </c>
      <c r="D271" s="20" t="str">
        <f>IF(C271&lt;&gt;"", IFERROR(INDEX('بنود العقد'!B$3:B$388,C271),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C6</v>
      </c>
      <c r="E271" s="12" t="str">
        <f>IF(C271&lt;&gt;"", IFERROR(INDEX('بنود العقد'!D$3:D$388,C271), ""), "")</f>
        <v>عدد</v>
      </c>
      <c r="F271" s="9">
        <f>IF(C271&lt;&gt;"", IFERROR(INDEX('بنود العقد'!E$3:E$388,C271), 0), "")</f>
        <v>288</v>
      </c>
      <c r="G271" s="9">
        <f>IF(C271&lt;&gt;"", IFERROR(INDEX('بنود العقد'!F$3:F$388,C271), 0), "")</f>
        <v>158</v>
      </c>
      <c r="H271" s="18">
        <f t="shared" si="16"/>
        <v>25</v>
      </c>
      <c r="I271" s="7">
        <v>11</v>
      </c>
      <c r="J271" s="18">
        <f t="shared" si="17"/>
        <v>36</v>
      </c>
      <c r="K271" s="10">
        <f t="shared" si="18"/>
        <v>3168</v>
      </c>
      <c r="L271" s="21">
        <f t="shared" si="19"/>
        <v>22.784810126582279</v>
      </c>
      <c r="M271" s="73"/>
    </row>
    <row r="272" spans="1:13" ht="25.95" customHeight="1">
      <c r="A272" s="12">
        <v>270</v>
      </c>
      <c r="B272" s="6">
        <v>7</v>
      </c>
      <c r="C272" s="6">
        <v>281</v>
      </c>
      <c r="D272" s="20" t="str">
        <f>IF(C272&lt;&gt;"", IFERROR(INDEX('بنود العقد'!B$3:B$388,C272),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D1</v>
      </c>
      <c r="E272" s="12" t="str">
        <f>IF(C272&lt;&gt;"", IFERROR(INDEX('بنود العقد'!D$3:D$388,C272), ""), "")</f>
        <v>عدد</v>
      </c>
      <c r="F272" s="9">
        <f>IF(C272&lt;&gt;"", IFERROR(INDEX('بنود العقد'!E$3:E$388,C272), 0), "")</f>
        <v>936</v>
      </c>
      <c r="G272" s="9">
        <f>IF(C272&lt;&gt;"", IFERROR(INDEX('بنود العقد'!F$3:F$388,C272), 0), "")</f>
        <v>56</v>
      </c>
      <c r="H272" s="18">
        <f t="shared" si="16"/>
        <v>6</v>
      </c>
      <c r="I272" s="7">
        <v>4</v>
      </c>
      <c r="J272" s="18">
        <f t="shared" si="17"/>
        <v>10</v>
      </c>
      <c r="K272" s="10">
        <f t="shared" si="18"/>
        <v>3744</v>
      </c>
      <c r="L272" s="21">
        <f t="shared" si="19"/>
        <v>17.857142857142858</v>
      </c>
      <c r="M272" s="73"/>
    </row>
    <row r="273" spans="1:13" ht="25.95" customHeight="1">
      <c r="A273" s="12">
        <v>271</v>
      </c>
      <c r="B273" s="6">
        <v>7</v>
      </c>
      <c r="C273" s="6">
        <v>286</v>
      </c>
      <c r="D273" s="20" t="str">
        <f>IF(C273&lt;&gt;"", IFERROR(INDEX('بنود العقد'!B$3:B$388,C273),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E2</v>
      </c>
      <c r="E273" s="12" t="str">
        <f>IF(C273&lt;&gt;"", IFERROR(INDEX('بنود العقد'!D$3:D$388,C273), ""), "")</f>
        <v>عدد</v>
      </c>
      <c r="F273" s="9">
        <f>IF(C273&lt;&gt;"", IFERROR(INDEX('بنود العقد'!E$3:E$388,C273), 0), "")</f>
        <v>504</v>
      </c>
      <c r="G273" s="9">
        <f>IF(C273&lt;&gt;"", IFERROR(INDEX('بنود العقد'!F$3:F$388,C273), 0), "")</f>
        <v>186</v>
      </c>
      <c r="H273" s="18">
        <f t="shared" si="16"/>
        <v>29</v>
      </c>
      <c r="I273" s="7">
        <v>19</v>
      </c>
      <c r="J273" s="18">
        <f t="shared" si="17"/>
        <v>48</v>
      </c>
      <c r="K273" s="10">
        <f t="shared" si="18"/>
        <v>9576</v>
      </c>
      <c r="L273" s="21">
        <f t="shared" si="19"/>
        <v>25.806451612903224</v>
      </c>
      <c r="M273" s="73"/>
    </row>
    <row r="274" spans="1:13" ht="25.95" customHeight="1">
      <c r="A274" s="12">
        <v>272</v>
      </c>
      <c r="B274" s="6">
        <v>7</v>
      </c>
      <c r="C274" s="6">
        <v>289</v>
      </c>
      <c r="D274" s="20" t="str">
        <f>IF(C274&lt;&gt;"", IFERROR(INDEX('بنود العقد'!B$3:B$388,C274),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LB2</v>
      </c>
      <c r="E274" s="12" t="str">
        <f>IF(C274&lt;&gt;"", IFERROR(INDEX('بنود العقد'!D$3:D$388,C274), ""), "")</f>
        <v>عدد</v>
      </c>
      <c r="F274" s="9">
        <f>IF(C274&lt;&gt;"", IFERROR(INDEX('بنود العقد'!E$3:E$388,C274), 0), "")</f>
        <v>13800</v>
      </c>
      <c r="G274" s="9">
        <f>IF(C274&lt;&gt;"", IFERROR(INDEX('بنود العقد'!F$3:F$388,C274), 0), "")</f>
        <v>14</v>
      </c>
      <c r="H274" s="18">
        <f t="shared" si="16"/>
        <v>0</v>
      </c>
      <c r="I274" s="7">
        <v>4</v>
      </c>
      <c r="J274" s="18">
        <f t="shared" si="17"/>
        <v>4</v>
      </c>
      <c r="K274" s="10">
        <f t="shared" si="18"/>
        <v>55200</v>
      </c>
      <c r="L274" s="21">
        <f t="shared" si="19"/>
        <v>28.571428571428569</v>
      </c>
      <c r="M274" s="73"/>
    </row>
    <row r="275" spans="1:13" ht="25.95" customHeight="1">
      <c r="A275" s="12">
        <v>273</v>
      </c>
      <c r="B275" s="6">
        <v>7</v>
      </c>
      <c r="C275" s="6">
        <v>290</v>
      </c>
      <c r="D275" s="20" t="str">
        <f>IF(C275&lt;&gt;"", IFERROR(INDEX('بنود العقد'!B$3:B$388,C275),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LB3</v>
      </c>
      <c r="E275" s="12" t="str">
        <f>IF(C275&lt;&gt;"", IFERROR(INDEX('بنود العقد'!D$3:D$388,C275), ""), "")</f>
        <v>عدد</v>
      </c>
      <c r="F275" s="9">
        <f>IF(C275&lt;&gt;"", IFERROR(INDEX('بنود العقد'!E$3:E$388,C275), 0), "")</f>
        <v>900</v>
      </c>
      <c r="G275" s="9">
        <f>IF(C275&lt;&gt;"", IFERROR(INDEX('بنود العقد'!F$3:F$388,C275), 0), "")</f>
        <v>237</v>
      </c>
      <c r="H275" s="18">
        <f t="shared" si="16"/>
        <v>0</v>
      </c>
      <c r="I275" s="7">
        <v>18</v>
      </c>
      <c r="J275" s="18">
        <f t="shared" si="17"/>
        <v>18</v>
      </c>
      <c r="K275" s="10">
        <f t="shared" si="18"/>
        <v>16200</v>
      </c>
      <c r="L275" s="21">
        <f t="shared" si="19"/>
        <v>7.59493670886076</v>
      </c>
      <c r="M275" s="73"/>
    </row>
    <row r="276" spans="1:13" ht="25.95" customHeight="1">
      <c r="A276" s="12">
        <v>274</v>
      </c>
      <c r="B276" s="6">
        <v>7</v>
      </c>
      <c r="C276" s="6">
        <v>291</v>
      </c>
      <c r="D276" s="20" t="str">
        <f>IF(C276&lt;&gt;"", IFERROR(INDEX('بنود العقد'!B$3:B$388,C276),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LB4</v>
      </c>
      <c r="E276" s="12" t="str">
        <f>IF(C276&lt;&gt;"", IFERROR(INDEX('بنود العقد'!D$3:D$388,C276), ""), "")</f>
        <v>عدد</v>
      </c>
      <c r="F276" s="9">
        <f>IF(C276&lt;&gt;"", IFERROR(INDEX('بنود العقد'!E$3:E$388,C276), 0), "")</f>
        <v>1104</v>
      </c>
      <c r="G276" s="9">
        <f>IF(C276&lt;&gt;"", IFERROR(INDEX('بنود العقد'!F$3:F$388,C276), 0), "")</f>
        <v>132</v>
      </c>
      <c r="H276" s="18">
        <f t="shared" si="16"/>
        <v>10</v>
      </c>
      <c r="I276" s="7">
        <v>8</v>
      </c>
      <c r="J276" s="18">
        <f t="shared" si="17"/>
        <v>18</v>
      </c>
      <c r="K276" s="10">
        <f t="shared" si="18"/>
        <v>8832</v>
      </c>
      <c r="L276" s="21">
        <f t="shared" si="19"/>
        <v>13.636363636363635</v>
      </c>
      <c r="M276" s="73"/>
    </row>
    <row r="277" spans="1:13" ht="25.95" customHeight="1">
      <c r="A277" s="12">
        <v>275</v>
      </c>
      <c r="B277" s="6">
        <v>7</v>
      </c>
      <c r="C277" s="6">
        <v>295</v>
      </c>
      <c r="D277" s="20" t="str">
        <f>IF(C277&lt;&gt;"", IFERROR(INDEX('بنود العقد'!B$3:B$388,C277),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ES-1</v>
      </c>
      <c r="E277" s="12" t="str">
        <f>IF(C277&lt;&gt;"", IFERROR(INDEX('بنود العقد'!D$3:D$388,C277), ""), "")</f>
        <v>عدد</v>
      </c>
      <c r="F277" s="9">
        <f>IF(C277&lt;&gt;"", IFERROR(INDEX('بنود العقد'!E$3:E$388,C277), 0), "")</f>
        <v>360</v>
      </c>
      <c r="G277" s="9">
        <f>IF(C277&lt;&gt;"", IFERROR(INDEX('بنود العقد'!F$3:F$388,C277), 0), "")</f>
        <v>430</v>
      </c>
      <c r="H277" s="18">
        <f t="shared" si="16"/>
        <v>28</v>
      </c>
      <c r="I277" s="7">
        <v>21</v>
      </c>
      <c r="J277" s="18">
        <f t="shared" si="17"/>
        <v>49</v>
      </c>
      <c r="K277" s="10">
        <f t="shared" si="18"/>
        <v>7560</v>
      </c>
      <c r="L277" s="21">
        <f t="shared" si="19"/>
        <v>11.395348837209303</v>
      </c>
      <c r="M277" s="73"/>
    </row>
    <row r="278" spans="1:13" ht="25.95" customHeight="1">
      <c r="A278" s="12">
        <v>276</v>
      </c>
      <c r="B278" s="6">
        <v>7</v>
      </c>
      <c r="C278" s="6">
        <v>306</v>
      </c>
      <c r="D278" s="20" t="str">
        <f>IF(C278&lt;&gt;"", IFERROR(INDEX('بنود العقد'!B$3:B$388,C278),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ثنائي ، ثنائي الكباّس، 10 أمبير</v>
      </c>
      <c r="E278" s="12" t="str">
        <f>IF(C278&lt;&gt;"", IFERROR(INDEX('بنود العقد'!D$3:D$388,C278), ""), "")</f>
        <v>عدد</v>
      </c>
      <c r="F278" s="9">
        <f>IF(C278&lt;&gt;"", IFERROR(INDEX('بنود العقد'!E$3:E$388,C278), 0), "")</f>
        <v>216</v>
      </c>
      <c r="G278" s="9">
        <f>IF(C278&lt;&gt;"", IFERROR(INDEX('بنود العقد'!F$3:F$388,C278), 0), "")</f>
        <v>66</v>
      </c>
      <c r="H278" s="18">
        <f t="shared" si="16"/>
        <v>6</v>
      </c>
      <c r="I278" s="7">
        <v>1</v>
      </c>
      <c r="J278" s="18">
        <f t="shared" si="17"/>
        <v>7</v>
      </c>
      <c r="K278" s="10">
        <f t="shared" si="18"/>
        <v>216</v>
      </c>
      <c r="L278" s="21">
        <f t="shared" si="19"/>
        <v>10.606060606060606</v>
      </c>
      <c r="M278" s="73"/>
    </row>
    <row r="279" spans="1:13" ht="25.95" customHeight="1">
      <c r="A279" s="12">
        <v>277</v>
      </c>
      <c r="B279" s="6">
        <v>7</v>
      </c>
      <c r="C279" s="6">
        <v>309</v>
      </c>
      <c r="D279" s="20" t="str">
        <f>IF(C279&lt;&gt;"", IFERROR(INDEX('بنود العقد'!B$3:B$388,C279), "⚠"), "")</f>
        <v xml:space="preserve"> كاشف انذار دخان من النوع المعنون طبقا للمخططات  ومواصفات المشروع</v>
      </c>
      <c r="E279" s="12" t="str">
        <f>IF(C279&lt;&gt;"", IFERROR(INDEX('بنود العقد'!D$3:D$388,C279), ""), "")</f>
        <v>عدد</v>
      </c>
      <c r="F279" s="9">
        <f>IF(C279&lt;&gt;"", IFERROR(INDEX('بنود العقد'!E$3:E$388,C279), 0), "")</f>
        <v>276</v>
      </c>
      <c r="G279" s="9">
        <f>IF(C279&lt;&gt;"", IFERROR(INDEX('بنود العقد'!F$3:F$388,C279), 0), "")</f>
        <v>715</v>
      </c>
      <c r="H279" s="18">
        <f t="shared" si="16"/>
        <v>68</v>
      </c>
      <c r="I279" s="7">
        <v>6</v>
      </c>
      <c r="J279" s="18">
        <f t="shared" si="17"/>
        <v>74</v>
      </c>
      <c r="K279" s="10">
        <f t="shared" si="18"/>
        <v>1656</v>
      </c>
      <c r="L279" s="21">
        <f t="shared" si="19"/>
        <v>10.34965034965035</v>
      </c>
      <c r="M279" s="73"/>
    </row>
    <row r="280" spans="1:13" ht="25.95" customHeight="1">
      <c r="A280" s="12">
        <v>278</v>
      </c>
      <c r="B280" s="6">
        <v>7</v>
      </c>
      <c r="C280" s="6">
        <v>311</v>
      </c>
      <c r="D280" s="20" t="str">
        <f>IF(C280&lt;&gt;"", IFERROR(INDEX('بنود العقد'!B$3:B$388,C280), "⚠"), "")</f>
        <v xml:space="preserve"> وحدة إنذار حريق يدوية من النوع المعنون طبقا للمخططات  ومواصفات المشروع</v>
      </c>
      <c r="E280" s="12" t="str">
        <f>IF(C280&lt;&gt;"", IFERROR(INDEX('بنود العقد'!D$3:D$388,C280), ""), "")</f>
        <v>عدد</v>
      </c>
      <c r="F280" s="9">
        <f>IF(C280&lt;&gt;"", IFERROR(INDEX('بنود العقد'!E$3:E$388,C280), 0), "")</f>
        <v>384</v>
      </c>
      <c r="G280" s="9">
        <f>IF(C280&lt;&gt;"", IFERROR(INDEX('بنود العقد'!F$3:F$388,C280), 0), "")</f>
        <v>54</v>
      </c>
      <c r="H280" s="18">
        <f t="shared" si="16"/>
        <v>2</v>
      </c>
      <c r="I280" s="7">
        <v>1</v>
      </c>
      <c r="J280" s="18">
        <f t="shared" si="17"/>
        <v>3</v>
      </c>
      <c r="K280" s="10">
        <f t="shared" si="18"/>
        <v>384</v>
      </c>
      <c r="L280" s="21">
        <f t="shared" si="19"/>
        <v>5.5555555555555554</v>
      </c>
      <c r="M280" s="73"/>
    </row>
    <row r="281" spans="1:13" ht="25.95" customHeight="1">
      <c r="A281" s="12">
        <v>279</v>
      </c>
      <c r="B281" s="6">
        <v>7</v>
      </c>
      <c r="C281" s="6">
        <v>313</v>
      </c>
      <c r="D281" s="20" t="str">
        <f>IF(C281&lt;&gt;"", IFERROR(INDEX('بنود العقد'!B$3:B$388,C281), "⚠"), "")</f>
        <v>وحدة تحكم  )Control module( من النوع المعنون طبقا للمخططات  ومواصفات المشروع</v>
      </c>
      <c r="E281" s="12" t="str">
        <f>IF(C281&lt;&gt;"", IFERROR(INDEX('بنود العقد'!D$3:D$388,C281), ""), "")</f>
        <v>عدد</v>
      </c>
      <c r="F281" s="9">
        <f>IF(C281&lt;&gt;"", IFERROR(INDEX('بنود العقد'!E$3:E$388,C281), 0), "")</f>
        <v>420</v>
      </c>
      <c r="G281" s="9">
        <f>IF(C281&lt;&gt;"", IFERROR(INDEX('بنود العقد'!F$3:F$388,C281), 0), "")</f>
        <v>69</v>
      </c>
      <c r="H281" s="18">
        <f t="shared" si="16"/>
        <v>0</v>
      </c>
      <c r="I281" s="7">
        <v>10</v>
      </c>
      <c r="J281" s="18">
        <f t="shared" si="17"/>
        <v>10</v>
      </c>
      <c r="K281" s="10">
        <f t="shared" si="18"/>
        <v>4200</v>
      </c>
      <c r="L281" s="21">
        <f t="shared" si="19"/>
        <v>14.492753623188406</v>
      </c>
      <c r="M281" s="73"/>
    </row>
    <row r="282" spans="1:13" ht="25.95" customHeight="1">
      <c r="A282" s="12">
        <v>280</v>
      </c>
      <c r="B282" s="6">
        <v>7</v>
      </c>
      <c r="C282" s="6">
        <v>314</v>
      </c>
      <c r="D282" s="20" t="str">
        <f>IF(C282&lt;&gt;"", IFERROR(INDEX('بنود العقد'!B$3:B$388,C282), "⚠"), "")</f>
        <v>وحدة جرس إنذار حريق داخلى طبقا للمخططات  ومواصفات المشروع</v>
      </c>
      <c r="E282" s="12" t="str">
        <f>IF(C282&lt;&gt;"", IFERROR(INDEX('بنود العقد'!D$3:D$388,C282), ""), "")</f>
        <v>عدد</v>
      </c>
      <c r="F282" s="9">
        <f>IF(C282&lt;&gt;"", IFERROR(INDEX('بنود العقد'!E$3:E$388,C282), 0), "")</f>
        <v>576</v>
      </c>
      <c r="G282" s="9">
        <f>IF(C282&lt;&gt;"", IFERROR(INDEX('بنود العقد'!F$3:F$388,C282), 0), "")</f>
        <v>24</v>
      </c>
      <c r="H282" s="18">
        <f t="shared" si="16"/>
        <v>2</v>
      </c>
      <c r="I282" s="7">
        <v>1</v>
      </c>
      <c r="J282" s="18">
        <f t="shared" si="17"/>
        <v>3</v>
      </c>
      <c r="K282" s="10">
        <f t="shared" si="18"/>
        <v>576</v>
      </c>
      <c r="L282" s="21">
        <f t="shared" si="19"/>
        <v>12.5</v>
      </c>
      <c r="M282" s="73"/>
    </row>
    <row r="283" spans="1:13" ht="25.95" customHeight="1">
      <c r="A283" s="12">
        <v>281</v>
      </c>
      <c r="B283" s="6">
        <v>7</v>
      </c>
      <c r="C283" s="6">
        <v>316</v>
      </c>
      <c r="D283" s="20" t="str">
        <f>IF(C283&lt;&gt;"", IFERROR(INDEX('بنود العقد'!B$3:B$388,C283), "⚠"), "")</f>
        <v>وحدات لاسلكية لتوفير خدمة شبكة المعلومات )Wireless Access Points(</v>
      </c>
      <c r="E283" s="12" t="str">
        <f>IF(C283&lt;&gt;"", IFERROR(INDEX('بنود العقد'!D$3:D$388,C283), ""), "")</f>
        <v>عدد</v>
      </c>
      <c r="F283" s="9">
        <f>IF(C283&lt;&gt;"", IFERROR(INDEX('بنود العقد'!E$3:E$388,C283), 0), "")</f>
        <v>1080</v>
      </c>
      <c r="G283" s="9">
        <f>IF(C283&lt;&gt;"", IFERROR(INDEX('بنود العقد'!F$3:F$388,C283), 0), "")</f>
        <v>181</v>
      </c>
      <c r="H283" s="18">
        <f t="shared" si="16"/>
        <v>16</v>
      </c>
      <c r="I283" s="7">
        <v>8</v>
      </c>
      <c r="J283" s="18">
        <f t="shared" si="17"/>
        <v>24</v>
      </c>
      <c r="K283" s="10">
        <f t="shared" si="18"/>
        <v>8640</v>
      </c>
      <c r="L283" s="21">
        <f t="shared" si="19"/>
        <v>13.259668508287293</v>
      </c>
      <c r="M283" s="73"/>
    </row>
    <row r="284" spans="1:13" ht="25.95" customHeight="1">
      <c r="A284" s="12">
        <v>282</v>
      </c>
      <c r="B284" s="6">
        <v>7</v>
      </c>
      <c r="C284" s="6">
        <v>317</v>
      </c>
      <c r="D284" s="20" t="str">
        <f>IF(C284&lt;&gt;"", IFERROR(INDEX('بنود العقد'!B$3:B$388,C284), "⚠"), "")</f>
        <v>عن طريق مقاول متخصص ذو خبرة كبيرة في هذا المجال ويقدم للاعتماد من إدارة الـ IT بالوزارة و يربط النظام مع الانظمة المعنية بالتحكم و الموازنة و يشمل البند جميع الوصلات و الكابلات و غيرها من المتطلبات الخاصة بنهو النظام كاملا توريد وتركيب واختبارنقاط كاميرا مراقبة داخلية سقفية و جميع ما يلزم من توصيلات و تركيبات و خلافة  لنهو النظام .</v>
      </c>
      <c r="E284" s="12" t="str">
        <f>IF(C284&lt;&gt;"", IFERROR(INDEX('بنود العقد'!D$3:D$388,C284), ""), "")</f>
        <v>عدد</v>
      </c>
      <c r="F284" s="9">
        <f>IF(C284&lt;&gt;"", IFERROR(INDEX('بنود العقد'!E$3:E$388,C284), 0), "")</f>
        <v>2640</v>
      </c>
      <c r="G284" s="9">
        <f>IF(C284&lt;&gt;"", IFERROR(INDEX('بنود العقد'!F$3:F$388,C284), 0), "")</f>
        <v>258</v>
      </c>
      <c r="H284" s="18">
        <f t="shared" si="16"/>
        <v>27</v>
      </c>
      <c r="I284" s="7">
        <v>17</v>
      </c>
      <c r="J284" s="18">
        <f t="shared" si="17"/>
        <v>44</v>
      </c>
      <c r="K284" s="10">
        <f t="shared" si="18"/>
        <v>44880</v>
      </c>
      <c r="L284" s="21">
        <f t="shared" si="19"/>
        <v>17.054263565891471</v>
      </c>
      <c r="M284" s="73"/>
    </row>
    <row r="285" spans="1:13" ht="25.95" customHeight="1">
      <c r="A285" s="12">
        <v>283</v>
      </c>
      <c r="B285" s="6">
        <v>7</v>
      </c>
      <c r="C285" s="6">
        <v>324</v>
      </c>
      <c r="D285" s="20" t="str">
        <f>IF(C285&lt;&gt;"", IFERROR(INDEX('بنود العقد'!B$3:B$388,C285), "⚠"), "")</f>
        <v xml:space="preserve">توريد وتركيب وإختبار نظام النداء الصوتي العام يتضمن كافة الكابالت و المواسير و العلب و النهايات مع كامل اكسسوارات التركيب الالزمة وتشغيل تجهيزات الصوت و تركيب المعدات الرئيسية بغرفة التحكم حسب المخططات و المواصفات وتعليمات الشركة المصنعة مشتمال على كل ما يلزم التمام العمل
و ربطه مع نظام الحريق و ادارة المبنى و يتكون من االتي -:
سماعة سقفية 6 وات
</v>
      </c>
      <c r="E285" s="12" t="str">
        <f>IF(C285&lt;&gt;"", IFERROR(INDEX('بنود العقد'!D$3:D$388,C285), ""), "")</f>
        <v>عدد</v>
      </c>
      <c r="F285" s="9">
        <f>IF(C285&lt;&gt;"", IFERROR(INDEX('بنود العقد'!E$3:E$388,C285), 0), "")</f>
        <v>420</v>
      </c>
      <c r="G285" s="9">
        <f>IF(C285&lt;&gt;"", IFERROR(INDEX('بنود العقد'!F$3:F$388,C285), 0), "")</f>
        <v>252</v>
      </c>
      <c r="H285" s="18">
        <f t="shared" si="16"/>
        <v>20</v>
      </c>
      <c r="I285" s="7">
        <v>14</v>
      </c>
      <c r="J285" s="18">
        <f t="shared" si="17"/>
        <v>34</v>
      </c>
      <c r="K285" s="10">
        <f t="shared" si="18"/>
        <v>5880</v>
      </c>
      <c r="L285" s="21">
        <f t="shared" si="19"/>
        <v>13.492063492063492</v>
      </c>
      <c r="M285" s="73"/>
    </row>
    <row r="286" spans="1:13" ht="25.95" customHeight="1">
      <c r="A286" s="12">
        <v>284</v>
      </c>
      <c r="B286" s="6">
        <v>7</v>
      </c>
      <c r="C286" s="6">
        <v>330</v>
      </c>
      <c r="D286" s="20" t="str">
        <f>IF(C286&lt;&gt;"", IFERROR(INDEX('بنود العقد'!B$3:B$388,C286), "⚠"), "")</f>
        <v>خزانة تجهيزات 42 U مقاس 2000×1000×800 ملم من أجود األنواع العالمية مع جميع االكسسوارات الالزمة من قاطع رئيسي 32( أمبير) وموزعات و مراوح و منظمات مسير الكوابل و كل
ما يلزم التمام العمل وحسب مواصفات وتعليمات إدارة الـ IT بالوزارة.</v>
      </c>
      <c r="E286" s="12" t="str">
        <f>IF(C286&lt;&gt;"", IFERROR(INDEX('بنود العقد'!D$3:D$388,C286), ""), "")</f>
        <v>عدد</v>
      </c>
      <c r="F286" s="9">
        <f>IF(C286&lt;&gt;"", IFERROR(INDEX('بنود العقد'!E$3:E$388,C286), 0), "")</f>
        <v>66000</v>
      </c>
      <c r="G286" s="9">
        <f>IF(C286&lt;&gt;"", IFERROR(INDEX('بنود العقد'!F$3:F$388,C286), 0), "")</f>
        <v>12</v>
      </c>
      <c r="H286" s="18">
        <f t="shared" si="16"/>
        <v>4</v>
      </c>
      <c r="I286" s="7">
        <v>1</v>
      </c>
      <c r="J286" s="18">
        <f t="shared" si="17"/>
        <v>5</v>
      </c>
      <c r="K286" s="10">
        <f t="shared" si="18"/>
        <v>66000</v>
      </c>
      <c r="L286" s="21">
        <f t="shared" si="19"/>
        <v>41.666666666666671</v>
      </c>
      <c r="M286" s="73"/>
    </row>
    <row r="287" spans="1:13" ht="25.95" customHeight="1">
      <c r="A287" s="12">
        <v>285</v>
      </c>
      <c r="B287" s="6">
        <v>8</v>
      </c>
      <c r="C287" s="6">
        <v>5</v>
      </c>
      <c r="D287" s="20" t="str">
        <f>IF(C287&lt;&gt;"", IFERROR(INDEX('بنود العقد'!B$3:B$388,C287), "⚠"), "")</f>
        <v>صبة أسمنتية كطبقة حماية للعزل في الأماكن الرطبة. ويشمل السعر وأي مواد أو أعمال يتطلبها تنفيذ العمل حسب المواصفات والمخططات وتعليمات المهندس المشرف.</v>
      </c>
      <c r="E287" s="12" t="str">
        <f>IF(C287&lt;&gt;"", IFERROR(INDEX('بنود العقد'!D$3:D$388,C287), ""), "")</f>
        <v>م3</v>
      </c>
      <c r="F287" s="9">
        <f>IF(C287&lt;&gt;"", IFERROR(INDEX('بنود العقد'!E$3:E$388,C287), 0), "")</f>
        <v>366</v>
      </c>
      <c r="G287" s="9">
        <f>IF(C287&lt;&gt;"", IFERROR(INDEX('بنود العقد'!F$3:F$388,C287), 0), "")</f>
        <v>1345</v>
      </c>
      <c r="H287" s="18">
        <f t="shared" si="16"/>
        <v>158.82999999999998</v>
      </c>
      <c r="I287" s="7">
        <v>4.6500000000000004</v>
      </c>
      <c r="J287" s="18">
        <f t="shared" si="17"/>
        <v>163.47999999999999</v>
      </c>
      <c r="K287" s="10">
        <f t="shared" si="18"/>
        <v>1701.9</v>
      </c>
      <c r="L287" s="21">
        <f t="shared" si="19"/>
        <v>12.154646840148699</v>
      </c>
    </row>
    <row r="288" spans="1:13" ht="25.95" customHeight="1">
      <c r="A288" s="12">
        <v>286</v>
      </c>
      <c r="B288" s="6">
        <v>8</v>
      </c>
      <c r="C288" s="6">
        <v>6</v>
      </c>
      <c r="D288" s="20" t="str">
        <f>IF(C288&lt;&gt;"", IFERROR(INDEX('بنود العقد'!B$3:B$388,C288),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v>
      </c>
      <c r="E288" s="12" t="str">
        <f>IF(C288&lt;&gt;"", IFERROR(INDEX('بنود العقد'!D$3:D$388,C288), ""), "")</f>
        <v>م2</v>
      </c>
      <c r="F288" s="9">
        <f>IF(C288&lt;&gt;"", IFERROR(INDEX('بنود العقد'!E$3:E$388,C288), 0), "")</f>
        <v>150</v>
      </c>
      <c r="G288" s="9">
        <f>IF(C288&lt;&gt;"", IFERROR(INDEX('بنود العقد'!F$3:F$388,C288), 0), "")</f>
        <v>450</v>
      </c>
      <c r="H288" s="18">
        <f t="shared" si="16"/>
        <v>2267.42</v>
      </c>
      <c r="I288" s="7">
        <v>35.5</v>
      </c>
      <c r="J288" s="18">
        <f t="shared" si="17"/>
        <v>2302.92</v>
      </c>
      <c r="K288" s="10">
        <f t="shared" si="18"/>
        <v>5325</v>
      </c>
      <c r="L288" s="21">
        <f t="shared" si="19"/>
        <v>511.76000000000005</v>
      </c>
    </row>
    <row r="289" spans="1:12" ht="25.95" customHeight="1">
      <c r="A289" s="12">
        <v>287</v>
      </c>
      <c r="B289" s="6">
        <v>8</v>
      </c>
      <c r="C289" s="6">
        <v>26</v>
      </c>
      <c r="D289" s="20" t="str">
        <f>IF(C289&lt;&gt;"", IFERROR(INDEX('بنود العقد'!B$3:B$388,C289),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العامود الخرساني بدهان رمادي على شكل وهيئة الأسطح الاسمنتية )matt( بتصميم مع غروف حسب الرسومات والمناظير وتعليمات المهندس المشرف.Code: WDP3-04</v>
      </c>
      <c r="E289" s="12" t="str">
        <f>IF(C289&lt;&gt;"", IFERROR(INDEX('بنود العقد'!D$3:D$388,C289), ""), "")</f>
        <v>م2</v>
      </c>
      <c r="F289" s="9">
        <f>IF(C289&lt;&gt;"", IFERROR(INDEX('بنود العقد'!E$3:E$388,C289), 0), "")</f>
        <v>528</v>
      </c>
      <c r="G289" s="9">
        <f>IF(C289&lt;&gt;"", IFERROR(INDEX('بنود العقد'!F$3:F$388,C289), 0), "")</f>
        <v>345</v>
      </c>
      <c r="H289" s="18">
        <f t="shared" si="16"/>
        <v>92.27</v>
      </c>
      <c r="I289" s="7">
        <v>5.29</v>
      </c>
      <c r="J289" s="18">
        <f t="shared" si="17"/>
        <v>97.56</v>
      </c>
      <c r="K289" s="10">
        <f t="shared" si="18"/>
        <v>2793.12</v>
      </c>
      <c r="L289" s="21">
        <f t="shared" si="19"/>
        <v>28.278260869565219</v>
      </c>
    </row>
    <row r="290" spans="1:12" ht="25.95" customHeight="1">
      <c r="A290" s="12">
        <v>288</v>
      </c>
      <c r="B290" s="6">
        <v>8</v>
      </c>
      <c r="C290" s="6">
        <v>30</v>
      </c>
      <c r="D290" s="20" t="str">
        <f>IF(C290&lt;&gt;"", IFERROR(INDEX('بنود العقد'!B$3:B$388,C290),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مع قشرة السنديان المطلي بدهان ابيض  مع غروف وفتحات إضاءة مخفية مغلفة من الداخل بطبقة Acrylic مغشى  حسب الرسومات والمناظير وتعليمات المهندس المشرف.Code: WDP1-03, WDP1-04, WDP1-05, WDP1-06</v>
      </c>
      <c r="E290" s="12" t="str">
        <f>IF(C290&lt;&gt;"", IFERROR(INDEX('بنود العقد'!D$3:D$388,C290), ""), "")</f>
        <v>م2</v>
      </c>
      <c r="F290" s="9">
        <f>IF(C290&lt;&gt;"", IFERROR(INDEX('بنود العقد'!E$3:E$388,C290), 0), "")</f>
        <v>570</v>
      </c>
      <c r="G290" s="9">
        <f>IF(C290&lt;&gt;"", IFERROR(INDEX('بنود العقد'!F$3:F$388,C290), 0), "")</f>
        <v>456</v>
      </c>
      <c r="H290" s="18">
        <f t="shared" si="16"/>
        <v>89.4</v>
      </c>
      <c r="I290" s="7">
        <v>11.92</v>
      </c>
      <c r="J290" s="18">
        <f t="shared" si="17"/>
        <v>101.32000000000001</v>
      </c>
      <c r="K290" s="10">
        <f t="shared" si="18"/>
        <v>6794.4</v>
      </c>
      <c r="L290" s="21">
        <f t="shared" si="19"/>
        <v>22.219298245614034</v>
      </c>
    </row>
    <row r="291" spans="1:12" s="72" customFormat="1" ht="25.95" customHeight="1">
      <c r="A291" s="12">
        <v>289</v>
      </c>
      <c r="B291" s="6">
        <v>8</v>
      </c>
      <c r="C291" s="6">
        <v>39</v>
      </c>
      <c r="D291" s="20" t="str">
        <f>IF(C291&lt;&gt;"", IFERROR(INDEX('بنود العقد'!B$3:B$388,C291), "⚠"), "")</f>
        <v>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خشبي03-WDC من من خشب الـ)Mdf( على شكل مربعات بسماكة تصميم  5سم، وفتحات على شكل مثلث مع اضاءة مخفية مغلفة من الاعلى بطبقة Acrylic شفاف مغشى سماكة 4مم مثبتة بنظام تعليق متصلة بالسقف الخرساني حسب الرسومات والمناظير وتعليمات المهندس المشرف.Code: WDC-03</v>
      </c>
      <c r="E291" s="12" t="str">
        <f>IF(C291&lt;&gt;"", IFERROR(INDEX('بنود العقد'!D$3:D$388,C291), ""), "")</f>
        <v>م2</v>
      </c>
      <c r="F291" s="9">
        <f>IF(C291&lt;&gt;"", IFERROR(INDEX('بنود العقد'!E$3:E$388,C291), 0), "")</f>
        <v>780</v>
      </c>
      <c r="G291" s="9">
        <f>IF(C291&lt;&gt;"", IFERROR(INDEX('بنود العقد'!F$3:F$388,C291), 0), "")</f>
        <v>64</v>
      </c>
      <c r="H291" s="18">
        <f t="shared" si="16"/>
        <v>0</v>
      </c>
      <c r="I291" s="7">
        <v>14.68</v>
      </c>
      <c r="J291" s="18">
        <f t="shared" si="17"/>
        <v>14.68</v>
      </c>
      <c r="K291" s="10">
        <f t="shared" si="18"/>
        <v>11450.4</v>
      </c>
      <c r="L291" s="21">
        <f t="shared" si="19"/>
        <v>22.9375</v>
      </c>
    </row>
    <row r="292" spans="1:12" s="72" customFormat="1" ht="25.95" customHeight="1">
      <c r="A292" s="12">
        <v>290</v>
      </c>
      <c r="B292" s="6">
        <v>8</v>
      </c>
      <c r="C292" s="6">
        <v>42</v>
      </c>
      <c r="D292" s="20" t="str">
        <f>IF(C292&lt;&gt;"", IFERROR(INDEX('بنود العقد'!B$3:B$388,C292),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خشبية04-WDC   من خشب الـ ) Mdf (  مطلية بدهان رمادي على شكل وهيئة الاسطح الاسمنتية مع غروف ومفصلات ومقابض مخفية ، وارفف مفتوحة من قشرة الجوز ،واضاءة مخفية ، مثبتة على الجدار الخارجي حسب الرسومات والمناظير  وتعليمات المهندس المشرف.</v>
      </c>
      <c r="E292" s="12" t="str">
        <f>IF(C292&lt;&gt;"", IFERROR(INDEX('بنود العقد'!D$3:D$388,C292), ""), "")</f>
        <v>م2</v>
      </c>
      <c r="F292" s="9">
        <f>IF(C292&lt;&gt;"", IFERROR(INDEX('بنود العقد'!E$3:E$388,C292), 0), "")</f>
        <v>1200</v>
      </c>
      <c r="G292" s="9">
        <f>IF(C292&lt;&gt;"", IFERROR(INDEX('بنود العقد'!F$3:F$388,C292), 0), "")</f>
        <v>297</v>
      </c>
      <c r="H292" s="18">
        <f t="shared" si="16"/>
        <v>42.42</v>
      </c>
      <c r="I292" s="7">
        <v>3.34</v>
      </c>
      <c r="J292" s="18">
        <f t="shared" si="17"/>
        <v>45.760000000000005</v>
      </c>
      <c r="K292" s="10">
        <f t="shared" si="18"/>
        <v>4008</v>
      </c>
      <c r="L292" s="21">
        <f t="shared" si="19"/>
        <v>15.407407407407408</v>
      </c>
    </row>
    <row r="293" spans="1:12" s="72" customFormat="1" ht="25.95" customHeight="1">
      <c r="A293" s="12">
        <v>291</v>
      </c>
      <c r="B293" s="6">
        <v>8</v>
      </c>
      <c r="C293" s="6">
        <v>45</v>
      </c>
      <c r="D293" s="20" t="str">
        <f>IF(C293&lt;&gt;"", IFERROR(INDEX('بنود العقد'!B$3:B$388,C293), "⚠"), "")</f>
        <v xml:space="preserve"> توريد وتنفيذ طبقتين من غشاء عازل للمياه من الـبيتومين ثخانة 4 مم للأماكن الرطبة وحتى ارتفاع 10   سم على الجدران المحيطة ويشمل تحضير السطوح ومواد حشو الزوايا وطبقات الحماية جيوتكستايل الأفُقية والعمودية. ويشمل السعر أي مواد وأعمال مطلوبة لاستكمال العمل حسب المواصفات والمخططات.وتعليمات المهندس المشرف</v>
      </c>
      <c r="E293" s="12" t="str">
        <f>IF(C293&lt;&gt;"", IFERROR(INDEX('بنود العقد'!D$3:D$388,C293), ""), "")</f>
        <v>م2</v>
      </c>
      <c r="F293" s="9">
        <f>IF(C293&lt;&gt;"", IFERROR(INDEX('بنود العقد'!E$3:E$388,C293), 0), "")</f>
        <v>78</v>
      </c>
      <c r="G293" s="9">
        <f>IF(C293&lt;&gt;"", IFERROR(INDEX('بنود العقد'!F$3:F$388,C293), 0), "")</f>
        <v>1345</v>
      </c>
      <c r="H293" s="18">
        <f t="shared" si="16"/>
        <v>488.84</v>
      </c>
      <c r="I293" s="7">
        <v>48.9</v>
      </c>
      <c r="J293" s="18">
        <f t="shared" si="17"/>
        <v>537.74</v>
      </c>
      <c r="K293" s="10">
        <f t="shared" si="18"/>
        <v>3814.2</v>
      </c>
      <c r="L293" s="21">
        <f t="shared" si="19"/>
        <v>39.980669144981412</v>
      </c>
    </row>
    <row r="294" spans="1:12" s="72" customFormat="1" ht="25.95" customHeight="1">
      <c r="A294" s="12">
        <v>292</v>
      </c>
      <c r="B294" s="6">
        <v>8</v>
      </c>
      <c r="C294" s="6">
        <v>46</v>
      </c>
      <c r="D294" s="20" t="str">
        <f>IF(C294&lt;&gt;"", IFERROR(INDEX('بنود العقد'!B$3:B$388,C294), "⚠"), "")</f>
        <v>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المشرف.Ref drawing: 07-MRA-DD-(as per floor number)-AR-801 بعرض 1000 مم وارتفاع 2700 مم  GD01باب ضلفة واحدة  نموذج</v>
      </c>
      <c r="E294" s="12" t="str">
        <f>IF(C294&lt;&gt;"", IFERROR(INDEX('بنود العقد'!D$3:D$388,C294), ""), "")</f>
        <v>عدد</v>
      </c>
      <c r="F294" s="9">
        <f>IF(C294&lt;&gt;"", IFERROR(INDEX('بنود العقد'!E$3:E$388,C294), 0), "")</f>
        <v>2580</v>
      </c>
      <c r="G294" s="9">
        <f>IF(C294&lt;&gt;"", IFERROR(INDEX('بنود العقد'!F$3:F$388,C294), 0), "")</f>
        <v>238</v>
      </c>
      <c r="H294" s="18">
        <f t="shared" si="16"/>
        <v>12</v>
      </c>
      <c r="I294" s="7">
        <v>42</v>
      </c>
      <c r="J294" s="18">
        <f t="shared" si="17"/>
        <v>54</v>
      </c>
      <c r="K294" s="10">
        <f t="shared" si="18"/>
        <v>108360</v>
      </c>
      <c r="L294" s="21">
        <f t="shared" si="19"/>
        <v>22.689075630252102</v>
      </c>
    </row>
    <row r="295" spans="1:12" s="72" customFormat="1" ht="25.95" customHeight="1">
      <c r="A295" s="12">
        <v>293</v>
      </c>
      <c r="B295" s="6">
        <v>8</v>
      </c>
      <c r="C295" s="6">
        <v>47</v>
      </c>
      <c r="D295" s="20" t="str">
        <f>IF(C295&lt;&gt;"", IFERROR(INDEX('بنود العقد'!B$3:B$388,C295), "⚠"), "")</f>
        <v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2600 مم  GD02باب ضلفتين  نموذج </v>
      </c>
      <c r="E295" s="12" t="str">
        <f>IF(C295&lt;&gt;"", IFERROR(INDEX('بنود العقد'!D$3:D$388,C295), ""), "")</f>
        <v>عدد</v>
      </c>
      <c r="F295" s="9">
        <f>IF(C295&lt;&gt;"", IFERROR(INDEX('بنود العقد'!E$3:E$388,C295), 0), "")</f>
        <v>4020</v>
      </c>
      <c r="G295" s="9">
        <f>IF(C295&lt;&gt;"", IFERROR(INDEX('بنود العقد'!F$3:F$388,C295), 0), "")</f>
        <v>37</v>
      </c>
      <c r="H295" s="18">
        <f t="shared" si="16"/>
        <v>2</v>
      </c>
      <c r="I295" s="7">
        <v>8</v>
      </c>
      <c r="J295" s="18">
        <f t="shared" si="17"/>
        <v>10</v>
      </c>
      <c r="K295" s="10">
        <f t="shared" si="18"/>
        <v>32160</v>
      </c>
      <c r="L295" s="21">
        <f t="shared" si="19"/>
        <v>27.027027027027028</v>
      </c>
    </row>
    <row r="296" spans="1:12" s="72" customFormat="1" ht="25.95" customHeight="1">
      <c r="A296" s="12">
        <v>294</v>
      </c>
      <c r="B296" s="6">
        <v>8</v>
      </c>
      <c r="C296" s="6">
        <v>48</v>
      </c>
      <c r="D296" s="20" t="str">
        <f>IF(C296&lt;&gt;"", IFERROR(INDEX('بنود العقد'!B$3:B$388,C296), "⚠"), "")</f>
        <v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2100 مم  GD03باب ضلفتين  نموذج </v>
      </c>
      <c r="E296" s="12" t="str">
        <f>IF(C296&lt;&gt;"", IFERROR(INDEX('بنود العقد'!D$3:D$388,C296), ""), "")</f>
        <v>عدد</v>
      </c>
      <c r="F296" s="9">
        <f>IF(C296&lt;&gt;"", IFERROR(INDEX('بنود العقد'!E$3:E$388,C296), 0), "")</f>
        <v>3600</v>
      </c>
      <c r="G296" s="9">
        <f>IF(C296&lt;&gt;"", IFERROR(INDEX('بنود العقد'!F$3:F$388,C296), 0), "")</f>
        <v>5</v>
      </c>
      <c r="H296" s="18">
        <f t="shared" si="16"/>
        <v>0</v>
      </c>
      <c r="I296" s="7">
        <v>1</v>
      </c>
      <c r="J296" s="18">
        <f t="shared" si="17"/>
        <v>1</v>
      </c>
      <c r="K296" s="10">
        <f t="shared" si="18"/>
        <v>3600</v>
      </c>
      <c r="L296" s="21">
        <f t="shared" si="19"/>
        <v>20</v>
      </c>
    </row>
    <row r="297" spans="1:12" s="72" customFormat="1" ht="25.95" customHeight="1">
      <c r="A297" s="12">
        <v>295</v>
      </c>
      <c r="B297" s="6">
        <v>8</v>
      </c>
      <c r="C297" s="6">
        <v>49</v>
      </c>
      <c r="D297" s="20" t="str">
        <f>IF(C297&lt;&gt;"", IFERROR(INDEX('بنود العقد'!B$3:B$388,C297),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2000 مم وارتفاع 2200 مم  WD07باب مروحة ضلفتين  نموذج </v>
      </c>
      <c r="E297" s="12" t="str">
        <f>IF(C297&lt;&gt;"", IFERROR(INDEX('بنود العقد'!D$3:D$388,C297), ""), "")</f>
        <v>عدد</v>
      </c>
      <c r="F297" s="9">
        <f>IF(C297&lt;&gt;"", IFERROR(INDEX('بنود العقد'!E$3:E$388,C297), 0), "")</f>
        <v>5280</v>
      </c>
      <c r="G297" s="9">
        <f>IF(C297&lt;&gt;"", IFERROR(INDEX('بنود العقد'!F$3:F$388,C297), 0), "")</f>
        <v>13</v>
      </c>
      <c r="H297" s="18">
        <f t="shared" si="16"/>
        <v>0</v>
      </c>
      <c r="I297" s="7">
        <v>2</v>
      </c>
      <c r="J297" s="18">
        <f t="shared" si="17"/>
        <v>2</v>
      </c>
      <c r="K297" s="10">
        <f t="shared" si="18"/>
        <v>10560</v>
      </c>
      <c r="L297" s="21">
        <f t="shared" si="19"/>
        <v>15.384615384615385</v>
      </c>
    </row>
    <row r="298" spans="1:12" s="72" customFormat="1" ht="25.95" customHeight="1">
      <c r="A298" s="12">
        <v>296</v>
      </c>
      <c r="B298" s="6">
        <v>8</v>
      </c>
      <c r="C298" s="6">
        <v>50</v>
      </c>
      <c r="D298" s="20" t="str">
        <f>IF(C298&lt;&gt;"", IFERROR(INDEX('بنود العقد'!B$3:B$388,C298),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بعرض1000 مم وارتفاع 2200 مم  WD06باب مروحة ضلفة واحدة  نموذج </v>
      </c>
      <c r="E298" s="12" t="str">
        <f>IF(C298&lt;&gt;"", IFERROR(INDEX('بنود العقد'!D$3:D$388,C298), ""), "")</f>
        <v>عدد</v>
      </c>
      <c r="F298" s="9">
        <f>IF(C298&lt;&gt;"", IFERROR(INDEX('بنود العقد'!E$3:E$388,C298), 0), "")</f>
        <v>2400</v>
      </c>
      <c r="G298" s="9">
        <f>IF(C298&lt;&gt;"", IFERROR(INDEX('بنود العقد'!F$3:F$388,C298), 0), "")</f>
        <v>13</v>
      </c>
      <c r="H298" s="18">
        <f t="shared" si="16"/>
        <v>0</v>
      </c>
      <c r="I298" s="7">
        <v>2</v>
      </c>
      <c r="J298" s="18">
        <f t="shared" si="17"/>
        <v>2</v>
      </c>
      <c r="K298" s="10">
        <f t="shared" si="18"/>
        <v>4800</v>
      </c>
      <c r="L298" s="21">
        <f t="shared" si="19"/>
        <v>15.384615384615385</v>
      </c>
    </row>
    <row r="299" spans="1:12" s="72" customFormat="1" ht="25.95" customHeight="1">
      <c r="A299" s="12">
        <v>297</v>
      </c>
      <c r="B299" s="6">
        <v>8</v>
      </c>
      <c r="C299" s="6">
        <v>51</v>
      </c>
      <c r="D299" s="20" t="str">
        <f>IF(C299&lt;&gt;"", IFERROR(INDEX('بنود العقد'!B$3:B$388,C299),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WD05باب مروحة ضلفة واحدة  نموذج </v>
      </c>
      <c r="E299" s="12" t="str">
        <f>IF(C299&lt;&gt;"", IFERROR(INDEX('بنود العقد'!D$3:D$388,C299), ""), "")</f>
        <v>عدد</v>
      </c>
      <c r="F299" s="9">
        <f>IF(C299&lt;&gt;"", IFERROR(INDEX('بنود العقد'!E$3:E$388,C299), 0), "")</f>
        <v>2400</v>
      </c>
      <c r="G299" s="9">
        <f>IF(C299&lt;&gt;"", IFERROR(INDEX('بنود العقد'!F$3:F$388,C299), 0), "")</f>
        <v>47</v>
      </c>
      <c r="H299" s="18">
        <f t="shared" si="16"/>
        <v>0</v>
      </c>
      <c r="I299" s="7">
        <v>7</v>
      </c>
      <c r="J299" s="18">
        <f t="shared" si="17"/>
        <v>7</v>
      </c>
      <c r="K299" s="10">
        <f t="shared" si="18"/>
        <v>16800</v>
      </c>
      <c r="L299" s="21">
        <f t="shared" si="19"/>
        <v>14.893617021276595</v>
      </c>
    </row>
    <row r="300" spans="1:12" s="72" customFormat="1" ht="25.95" customHeight="1">
      <c r="A300" s="12">
        <v>298</v>
      </c>
      <c r="B300" s="6">
        <v>8</v>
      </c>
      <c r="C300" s="6">
        <v>52</v>
      </c>
      <c r="D300" s="20" t="str">
        <f>IF(C300&lt;&gt;"", IFERROR(INDEX('بنود العقد'!B$3:B$388,C300),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800 مم وارتفاع 2200 مم  WD04باب مروحة ضلفة واحدة  نموذج </v>
      </c>
      <c r="E300" s="12" t="str">
        <f>IF(C300&lt;&gt;"", IFERROR(INDEX('بنود العقد'!D$3:D$388,C300), ""), "")</f>
        <v>عدد</v>
      </c>
      <c r="F300" s="9">
        <f>IF(C300&lt;&gt;"", IFERROR(INDEX('بنود العقد'!E$3:E$388,C300), 0), "")</f>
        <v>2400</v>
      </c>
      <c r="G300" s="9">
        <f>IF(C300&lt;&gt;"", IFERROR(INDEX('بنود العقد'!F$3:F$388,C300), 0), "")</f>
        <v>48</v>
      </c>
      <c r="H300" s="18">
        <f t="shared" si="16"/>
        <v>0</v>
      </c>
      <c r="I300" s="7">
        <v>8</v>
      </c>
      <c r="J300" s="18">
        <f t="shared" si="17"/>
        <v>8</v>
      </c>
      <c r="K300" s="10">
        <f t="shared" si="18"/>
        <v>19200</v>
      </c>
      <c r="L300" s="21">
        <f t="shared" si="19"/>
        <v>16.666666666666664</v>
      </c>
    </row>
    <row r="301" spans="1:12" s="72" customFormat="1" ht="25.95" customHeight="1">
      <c r="A301" s="12">
        <v>299</v>
      </c>
      <c r="B301" s="6">
        <v>8</v>
      </c>
      <c r="C301" s="6">
        <v>55</v>
      </c>
      <c r="D301" s="20" t="str">
        <f>IF(C301&lt;&gt;"", IFERROR(INDEX('بنود العقد'!B$3:B$388,C301), "⚠"), "")</f>
        <v xml:space="preserve">توريد وتركيب باب من قطاعات الخشب شبه المصمت بسمك 44مم مكون من قواطيع خشب داخليه بحشو خفيف mdfوالمطلي بدهان رمادي على هيئة الأسطح الاسمنتية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WD01باب مروحة ضلفة واحدة  نموذج </v>
      </c>
      <c r="E301" s="12" t="str">
        <f>IF(C301&lt;&gt;"", IFERROR(INDEX('بنود العقد'!D$3:D$388,C301), ""), "")</f>
        <v>عدد</v>
      </c>
      <c r="F301" s="9">
        <f>IF(C301&lt;&gt;"", IFERROR(INDEX('بنود العقد'!E$3:E$388,C301), 0), "")</f>
        <v>2400</v>
      </c>
      <c r="G301" s="9">
        <f>IF(C301&lt;&gt;"", IFERROR(INDEX('بنود العقد'!F$3:F$388,C301), 0), "")</f>
        <v>14</v>
      </c>
      <c r="H301" s="18">
        <f t="shared" si="16"/>
        <v>0</v>
      </c>
      <c r="I301" s="7">
        <v>3</v>
      </c>
      <c r="J301" s="18">
        <f t="shared" si="17"/>
        <v>3</v>
      </c>
      <c r="K301" s="10">
        <f t="shared" si="18"/>
        <v>7200</v>
      </c>
      <c r="L301" s="21">
        <f t="shared" si="19"/>
        <v>21.428571428571427</v>
      </c>
    </row>
    <row r="302" spans="1:12" s="72" customFormat="1" ht="25.95" customHeight="1">
      <c r="A302" s="12">
        <v>300</v>
      </c>
      <c r="B302" s="6">
        <v>8</v>
      </c>
      <c r="C302" s="6">
        <v>56</v>
      </c>
      <c r="D302" s="20" t="str">
        <f>IF(C302&lt;&gt;"", IFERROR(INDEX('بنود العقد'!B$3:B$388,C302), "⚠"), "")</f>
        <v xml:space="preserve">توريد وتركيب باب من قطاعات الخشب شبه المصمت بسمك 44مم مكون من قواطيع خشب داخليه بحشو  mdfوالمطلي بدهان رمادي بيج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بعرض900 مم وارتفاع 2200 مم  WD03باب مروحة ضلفة واحدة  نموذج </v>
      </c>
      <c r="E302" s="12" t="str">
        <f>IF(C302&lt;&gt;"", IFERROR(INDEX('بنود العقد'!D$3:D$388,C302), ""), "")</f>
        <v>عدد</v>
      </c>
      <c r="F302" s="9">
        <f>IF(C302&lt;&gt;"", IFERROR(INDEX('بنود العقد'!E$3:E$388,C302), 0), "")</f>
        <v>2400</v>
      </c>
      <c r="G302" s="9">
        <f>IF(C302&lt;&gt;"", IFERROR(INDEX('بنود العقد'!F$3:F$388,C302), 0), "")</f>
        <v>32</v>
      </c>
      <c r="H302" s="18">
        <f t="shared" si="16"/>
        <v>0</v>
      </c>
      <c r="I302" s="7">
        <v>6</v>
      </c>
      <c r="J302" s="18">
        <f t="shared" si="17"/>
        <v>6</v>
      </c>
      <c r="K302" s="10">
        <f t="shared" si="18"/>
        <v>14400</v>
      </c>
      <c r="L302" s="21">
        <f t="shared" si="19"/>
        <v>18.75</v>
      </c>
    </row>
    <row r="303" spans="1:12" s="72" customFormat="1" ht="25.95" customHeight="1">
      <c r="A303" s="12">
        <v>301</v>
      </c>
      <c r="B303" s="6">
        <v>8</v>
      </c>
      <c r="C303" s="6">
        <v>66</v>
      </c>
      <c r="D303" s="20" t="str">
        <f>IF(C303&lt;&gt;"", IFERROR(INDEX('بنود العقد'!B$3:B$388,C303), "⚠"),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E303" s="12" t="str">
        <f>IF(C303&lt;&gt;"", IFERROR(INDEX('بنود العقد'!D$3:D$388,C303), ""), "")</f>
        <v>م²</v>
      </c>
      <c r="F303" s="9">
        <f>IF(C303&lt;&gt;"", IFERROR(INDEX('بنود العقد'!E$3:E$388,C303), 0), "")</f>
        <v>900</v>
      </c>
      <c r="G303" s="9">
        <f>IF(C303&lt;&gt;"", IFERROR(INDEX('بنود العقد'!F$3:F$388,C303), 0), "")</f>
        <v>4000</v>
      </c>
      <c r="H303" s="18">
        <f t="shared" si="16"/>
        <v>631.37</v>
      </c>
      <c r="I303" s="7">
        <v>404.1</v>
      </c>
      <c r="J303" s="18">
        <f t="shared" si="17"/>
        <v>1035.47</v>
      </c>
      <c r="K303" s="10">
        <f t="shared" si="18"/>
        <v>363690</v>
      </c>
      <c r="L303" s="21">
        <f t="shared" si="19"/>
        <v>25.886750000000003</v>
      </c>
    </row>
    <row r="304" spans="1:12" s="72" customFormat="1" ht="25.95" customHeight="1">
      <c r="A304" s="12">
        <v>302</v>
      </c>
      <c r="B304" s="6">
        <v>8</v>
      </c>
      <c r="C304" s="6">
        <v>67</v>
      </c>
      <c r="D304" s="20" t="str">
        <f>IF(C304&lt;&gt;"", IFERROR(INDEX('بنود العقد'!B$3:B$388,C304), "⚠"), "")</f>
        <v xml:space="preserve">توريد وتركيب باب من قطاعات الحديد  بسمك 45 مم مقاوم للحريق 90 دقيقة،  مع طبقة من الصاج سماكة 2مم من الجهتين على اطار معدنى مجوف والسعر يشمل التكسية الخشبية بقشرة الجوز لضلفة الباب والإطار من جهة واحدة..ويشمل التوريد والتركيب والتثبيت  والمفصلات والمقابض   والدفاش والاكسسوارت من اجود الانواع  وكل مايلزم لانهاء العمل على اكمل وجه ة حسب المخططات وتعليمات االمهندس المشرف. Ref. drawing: 07-MRA-DD-(as per floor number)-AR-804 ضلفة واحدة عرض1000مم وإرتفاع 2200مم SD01 باب نموذج </v>
      </c>
      <c r="E304" s="12" t="str">
        <f>IF(C304&lt;&gt;"", IFERROR(INDEX('بنود العقد'!D$3:D$388,C304), ""), "")</f>
        <v>م²</v>
      </c>
      <c r="F304" s="9">
        <f>IF(C304&lt;&gt;"", IFERROR(INDEX('بنود العقد'!E$3:E$388,C304), 0), "")</f>
        <v>3000</v>
      </c>
      <c r="G304" s="9">
        <f>IF(C304&lt;&gt;"", IFERROR(INDEX('بنود العقد'!F$3:F$388,C304), 0), "")</f>
        <v>58</v>
      </c>
      <c r="H304" s="18">
        <f t="shared" si="16"/>
        <v>0</v>
      </c>
      <c r="I304" s="7">
        <v>8</v>
      </c>
      <c r="J304" s="18">
        <f t="shared" si="17"/>
        <v>8</v>
      </c>
      <c r="K304" s="10">
        <f t="shared" si="18"/>
        <v>24000</v>
      </c>
      <c r="L304" s="21">
        <f t="shared" si="19"/>
        <v>13.793103448275861</v>
      </c>
    </row>
    <row r="305" spans="1:12" s="72" customFormat="1" ht="25.95" customHeight="1">
      <c r="A305" s="12">
        <v>303</v>
      </c>
      <c r="B305" s="6">
        <v>8</v>
      </c>
      <c r="C305" s="6">
        <v>75</v>
      </c>
      <c r="D305" s="20" t="str">
        <f>IF(C305&lt;&gt;"", IFERROR(INDEX('بنود العقد'!B$3:B$388,C305), "⚠"), "")</f>
        <v>توريد وتركيب أسقف معلقة من الالواح الجبسيه )01-GBC( ثخانة 12 مم المقاومة للحريق شاملة نظام التعليق وضبط الحواف والزوايا وأبواب لفتحات الكشف بالأسقف لأعمال الصيانة )أبواب جاهزة من النوع السهل الاستعمال والمزود بمفصلات مخفية( والإكسسوارات. ويشمل السعر أي مواد أو أعمال يتطلبها استكمال العمل حسب المواصفات والمخططات.</v>
      </c>
      <c r="E305" s="12" t="str">
        <f>IF(C305&lt;&gt;"", IFERROR(INDEX('بنود العقد'!D$3:D$388,C305), ""), "")</f>
        <v>م²</v>
      </c>
      <c r="F305" s="9">
        <f>IF(C305&lt;&gt;"", IFERROR(INDEX('بنود العقد'!E$3:E$388,C305), 0), "")</f>
        <v>150</v>
      </c>
      <c r="G305" s="9">
        <f>IF(C305&lt;&gt;"", IFERROR(INDEX('بنود العقد'!F$3:F$388,C305), 0), "")</f>
        <v>24468</v>
      </c>
      <c r="H305" s="18">
        <f t="shared" si="16"/>
        <v>2686.60007</v>
      </c>
      <c r="I305" s="7">
        <v>1419.5</v>
      </c>
      <c r="J305" s="18">
        <f t="shared" si="17"/>
        <v>4106.1000700000004</v>
      </c>
      <c r="K305" s="10">
        <f t="shared" si="18"/>
        <v>212925</v>
      </c>
      <c r="L305" s="21">
        <f t="shared" si="19"/>
        <v>16.781510830472453</v>
      </c>
    </row>
    <row r="306" spans="1:12" s="72" customFormat="1" ht="25.95" customHeight="1">
      <c r="A306" s="12">
        <v>304</v>
      </c>
      <c r="B306" s="6">
        <v>8</v>
      </c>
      <c r="C306" s="6">
        <v>76</v>
      </c>
      <c r="D306" s="20" t="str">
        <f>IF(C306&lt;&gt;"", IFERROR(INDEX('بنود العقد'!B$3:B$388,C306), "⚠"), "")</f>
        <v>توريد وتركيب أسقف معلقة من الالواح الجبسيه  )02-GBC( ثخانة 12 مم المقاومة للرطوبة شاملة نظام التعليق وضبط الحواف والزوايا وأبواب لفتحات الكشف بالأسقف لأعمال الصيانة )أبواب جاهزة من النوع السهل الاستعمال والمزود بمفصلات مخفية( واالإكسسوارات. ويشمل السعر أي مواد أو أعمال يتطلبها استكمال العمل حسب المواصفات والمخططات وتعليمات المهندس المشرف.</v>
      </c>
      <c r="E306" s="12" t="str">
        <f>IF(C306&lt;&gt;"", IFERROR(INDEX('بنود العقد'!D$3:D$388,C306), ""), "")</f>
        <v>م²</v>
      </c>
      <c r="F306" s="9">
        <f>IF(C306&lt;&gt;"", IFERROR(INDEX('بنود العقد'!E$3:E$388,C306), 0), "")</f>
        <v>150</v>
      </c>
      <c r="G306" s="9">
        <f>IF(C306&lt;&gt;"", IFERROR(INDEX('بنود العقد'!F$3:F$388,C306), 0), "")</f>
        <v>1091</v>
      </c>
      <c r="H306" s="18">
        <f t="shared" si="16"/>
        <v>61.19</v>
      </c>
      <c r="I306" s="7">
        <v>220.67</v>
      </c>
      <c r="J306" s="18">
        <f t="shared" si="17"/>
        <v>281.86</v>
      </c>
      <c r="K306" s="10">
        <f t="shared" si="18"/>
        <v>33100.5</v>
      </c>
      <c r="L306" s="21">
        <f t="shared" si="19"/>
        <v>25.835013748854262</v>
      </c>
    </row>
    <row r="307" spans="1:12" s="72" customFormat="1" ht="25.95" customHeight="1">
      <c r="A307" s="12">
        <v>305</v>
      </c>
      <c r="B307" s="6">
        <v>8</v>
      </c>
      <c r="C307" s="6">
        <v>77</v>
      </c>
      <c r="D307" s="20" t="str">
        <f>IF(C307&lt;&gt;"", IFERROR(INDEX('بنود العقد'!B$3:B$388,C307), "⚠"), "")</f>
        <v>600×600مم توريد وتركيب اسقف اصطناعية  والسعر يشمل نظام التعليق من الحديد المجفلن مع جميع الاكسسوارات وكل مايلزم حسب المواصفات والمخططات وتعليمات الشركة المصنعة .</v>
      </c>
      <c r="E307" s="12" t="str">
        <f>IF(C307&lt;&gt;"", IFERROR(INDEX('بنود العقد'!D$3:D$388,C307), ""), "")</f>
        <v>م²</v>
      </c>
      <c r="F307" s="9">
        <f>IF(C307&lt;&gt;"", IFERROR(INDEX('بنود العقد'!E$3:E$388,C307), 0), "")</f>
        <v>150</v>
      </c>
      <c r="G307" s="9">
        <f>IF(C307&lt;&gt;"", IFERROR(INDEX('بنود العقد'!F$3:F$388,C307), 0), "")</f>
        <v>3323</v>
      </c>
      <c r="H307" s="18">
        <f t="shared" si="16"/>
        <v>961.63</v>
      </c>
      <c r="I307" s="7">
        <v>278.72000000000003</v>
      </c>
      <c r="J307" s="18">
        <f t="shared" si="17"/>
        <v>1240.3499999999999</v>
      </c>
      <c r="K307" s="10">
        <f t="shared" si="18"/>
        <v>41808.000000000007</v>
      </c>
      <c r="L307" s="21">
        <f t="shared" si="19"/>
        <v>37.326211254890154</v>
      </c>
    </row>
    <row r="308" spans="1:12" s="72" customFormat="1" ht="25.95" customHeight="1">
      <c r="A308" s="12">
        <v>306</v>
      </c>
      <c r="B308" s="6">
        <v>8</v>
      </c>
      <c r="C308" s="6">
        <v>81</v>
      </c>
      <c r="D308" s="20" t="str">
        <f>IF(C308&lt;&gt;"", IFERROR(INDEX('بنود العقد'!B$3:B$388,C308), "⚠"), "")</f>
        <v xml:space="preserve"> أرضيات بورسلان03-PT مقاس 600×600×12مم فرز ثاني بالمقاسات والالوان المطلوبة لدورات المياة العامة  طبقاً للمخططات والمواصفات.</v>
      </c>
      <c r="E308" s="12" t="str">
        <f>IF(C308&lt;&gt;"", IFERROR(INDEX('بنود العقد'!D$3:D$388,C308), ""), "")</f>
        <v>م²</v>
      </c>
      <c r="F308" s="9">
        <f>IF(C308&lt;&gt;"", IFERROR(INDEX('بنود العقد'!E$3:E$388,C308), 0), "")</f>
        <v>120</v>
      </c>
      <c r="G308" s="9">
        <f>IF(C308&lt;&gt;"", IFERROR(INDEX('بنود العقد'!F$3:F$388,C308), 0), "")</f>
        <v>1407</v>
      </c>
      <c r="H308" s="18">
        <f t="shared" si="16"/>
        <v>485.93025</v>
      </c>
      <c r="I308" s="7">
        <v>113</v>
      </c>
      <c r="J308" s="18">
        <f t="shared" si="17"/>
        <v>598.93025</v>
      </c>
      <c r="K308" s="10">
        <f t="shared" si="18"/>
        <v>13560</v>
      </c>
      <c r="L308" s="21">
        <f t="shared" si="19"/>
        <v>42.567892679459845</v>
      </c>
    </row>
    <row r="309" spans="1:12" s="72" customFormat="1" ht="25.95" customHeight="1">
      <c r="A309" s="12">
        <v>307</v>
      </c>
      <c r="B309" s="6">
        <v>8</v>
      </c>
      <c r="C309" s="6">
        <v>82</v>
      </c>
      <c r="D309" s="20" t="str">
        <f>IF(C309&lt;&gt;"", IFERROR(INDEX('بنود العقد'!B$3:B$388,C309), "⚠"), "")</f>
        <v xml:space="preserve"> أرضيات بورسلان04-PT مقاس 600×600×12مم فرز ثاني بالمقاسات والالوان المطلوبة لغرف الأرشيف والمخازن والمطبخ طبقاً للمخططات والمواصفات.</v>
      </c>
      <c r="E309" s="12" t="str">
        <f>IF(C309&lt;&gt;"", IFERROR(INDEX('بنود العقد'!D$3:D$388,C309), ""), "")</f>
        <v>م²</v>
      </c>
      <c r="F309" s="9">
        <f>IF(C309&lt;&gt;"", IFERROR(INDEX('بنود العقد'!E$3:E$388,C309), 0), "")</f>
        <v>120</v>
      </c>
      <c r="G309" s="9">
        <f>IF(C309&lt;&gt;"", IFERROR(INDEX('بنود العقد'!F$3:F$388,C309), 0), "")</f>
        <v>735</v>
      </c>
      <c r="H309" s="18">
        <f t="shared" si="16"/>
        <v>0</v>
      </c>
      <c r="I309" s="7">
        <v>33.979999999999997</v>
      </c>
      <c r="J309" s="18">
        <f t="shared" si="17"/>
        <v>33.979999999999997</v>
      </c>
      <c r="K309" s="10">
        <f t="shared" si="18"/>
        <v>4077.5999999999995</v>
      </c>
      <c r="L309" s="21">
        <f t="shared" si="19"/>
        <v>4.6231292517006795</v>
      </c>
    </row>
    <row r="310" spans="1:12" s="72" customFormat="1" ht="25.95" customHeight="1">
      <c r="A310" s="12">
        <v>308</v>
      </c>
      <c r="B310" s="6">
        <v>8</v>
      </c>
      <c r="C310" s="6">
        <v>85</v>
      </c>
      <c r="D310" s="20" t="str">
        <f>IF(C310&lt;&gt;"", IFERROR(INDEX('بنود العقد'!B$3:B$388,C310), "⚠"), "")</f>
        <v xml:space="preserve"> جدران بورسلان (PW-03(type A&amp;B  مقاس 600×300×12مم فرز ثاني بالمقاسات والالوان المطلوبة لدورات المياة العامة  طبقاً للمخططات والمواصفات.</v>
      </c>
      <c r="E310" s="12" t="str">
        <f>IF(C310&lt;&gt;"", IFERROR(INDEX('بنود العقد'!D$3:D$388,C310), ""), "")</f>
        <v>م²</v>
      </c>
      <c r="F310" s="9">
        <f>IF(C310&lt;&gt;"", IFERROR(INDEX('بنود العقد'!E$3:E$388,C310), 0), "")</f>
        <v>96</v>
      </c>
      <c r="G310" s="9">
        <f>IF(C310&lt;&gt;"", IFERROR(INDEX('بنود العقد'!F$3:F$388,C310), 0), "")</f>
        <v>2648</v>
      </c>
      <c r="H310" s="18">
        <f t="shared" si="16"/>
        <v>0</v>
      </c>
      <c r="I310" s="7">
        <v>98.6</v>
      </c>
      <c r="J310" s="18">
        <f t="shared" si="17"/>
        <v>98.6</v>
      </c>
      <c r="K310" s="10">
        <f t="shared" si="18"/>
        <v>9465.5999999999985</v>
      </c>
      <c r="L310" s="21">
        <f t="shared" si="19"/>
        <v>3.7235649546827796</v>
      </c>
    </row>
    <row r="311" spans="1:12" s="72" customFormat="1" ht="25.95" customHeight="1">
      <c r="A311" s="12">
        <v>309</v>
      </c>
      <c r="B311" s="6">
        <v>8</v>
      </c>
      <c r="C311" s="6">
        <v>95</v>
      </c>
      <c r="D311" s="20" t="str">
        <f>IF(C311&lt;&gt;"", IFERROR(INDEX('بنود العقد'!B$3:B$388,C311), "⚠"), "")</f>
        <v>معالجة وتنظيف وصقل وجلاء بلاط رخام الأرضيات والدرج مع بودرة الرخام المستخدم والتلميع 4 أوجه وملو الفواصل بمادة مقاومة للرطوبة والبكتيريا  والسعر يشمل جميع المواد والأعمال اللازمة لإتمام العمل المطلوب طبقا للمخططات والمواصفات الفنية وبحسب توجيهات واعتماد المهندس المشرف. رخام الأرضيات في المداخل و الممرات الرئيسية وبسطات الدرج.</v>
      </c>
      <c r="E311" s="12" t="str">
        <f>IF(C311&lt;&gt;"", IFERROR(INDEX('بنود العقد'!D$3:D$388,C311), ""), "")</f>
        <v>م²</v>
      </c>
      <c r="F311" s="9">
        <f>IF(C311&lt;&gt;"", IFERROR(INDEX('بنود العقد'!E$3:E$388,C311), 0), "")</f>
        <v>42</v>
      </c>
      <c r="G311" s="9">
        <f>IF(C311&lt;&gt;"", IFERROR(INDEX('بنود العقد'!F$3:F$388,C311), 0), "")</f>
        <v>4800</v>
      </c>
      <c r="H311" s="18">
        <f t="shared" si="16"/>
        <v>0</v>
      </c>
      <c r="I311" s="7">
        <v>371.8</v>
      </c>
      <c r="J311" s="18">
        <f t="shared" si="17"/>
        <v>371.8</v>
      </c>
      <c r="K311" s="10">
        <f t="shared" si="18"/>
        <v>15615.6</v>
      </c>
      <c r="L311" s="21">
        <f t="shared" si="19"/>
        <v>7.7458333333333336</v>
      </c>
    </row>
    <row r="312" spans="1:12" s="72" customFormat="1" ht="25.95" customHeight="1">
      <c r="A312" s="12">
        <v>310</v>
      </c>
      <c r="B312" s="6">
        <v>8</v>
      </c>
      <c r="C312" s="6">
        <v>125</v>
      </c>
      <c r="D312" s="20" t="str">
        <f>IF(C312&lt;&gt;"", IFERROR(INDEX('بنود العقد'!B$3:B$388,C312), "⚠"), "")</f>
        <v>دهان بلون رمادي بيج على الألواح الجبسية والألواح الاسمنتية 100-WPF</v>
      </c>
      <c r="E312" s="12" t="str">
        <f>IF(C312&lt;&gt;"", IFERROR(INDEX('بنود العقد'!D$3:D$388,C312), ""), "")</f>
        <v>م²</v>
      </c>
      <c r="F312" s="9">
        <f>IF(C312&lt;&gt;"", IFERROR(INDEX('بنود العقد'!E$3:E$388,C312), 0), "")</f>
        <v>25.2</v>
      </c>
      <c r="G312" s="9">
        <f>IF(C312&lt;&gt;"", IFERROR(INDEX('بنود العقد'!F$3:F$388,C312), 0), "")</f>
        <v>12700</v>
      </c>
      <c r="H312" s="18">
        <f t="shared" si="16"/>
        <v>1709.154</v>
      </c>
      <c r="I312" s="7">
        <v>360.6</v>
      </c>
      <c r="J312" s="18">
        <f t="shared" si="17"/>
        <v>2069.7539999999999</v>
      </c>
      <c r="K312" s="10">
        <f t="shared" si="18"/>
        <v>9087.1200000000008</v>
      </c>
      <c r="L312" s="21">
        <f t="shared" si="19"/>
        <v>16.29727559055118</v>
      </c>
    </row>
    <row r="313" spans="1:12" s="72" customFormat="1" ht="25.95" customHeight="1">
      <c r="A313" s="12">
        <v>311</v>
      </c>
      <c r="B313" s="6">
        <v>8</v>
      </c>
      <c r="C313" s="6">
        <v>133</v>
      </c>
      <c r="D313" s="20" t="str">
        <f>IF(C313&lt;&gt;"", IFERROR(INDEX('بنود العقد'!B$3:B$388,C313),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ابيض</v>
      </c>
      <c r="E313" s="12" t="str">
        <f>IF(C313&lt;&gt;"", IFERROR(INDEX('بنود العقد'!D$3:D$388,C313), ""), "")</f>
        <v>م²</v>
      </c>
      <c r="F313" s="9">
        <f>IF(C313&lt;&gt;"", IFERROR(INDEX('بنود العقد'!E$3:E$388,C313), 0), "")</f>
        <v>24</v>
      </c>
      <c r="G313" s="9">
        <f>IF(C313&lt;&gt;"", IFERROR(INDEX('بنود العقد'!F$3:F$388,C313), 0), "")</f>
        <v>25559</v>
      </c>
      <c r="H313" s="18">
        <f t="shared" si="16"/>
        <v>15.184000000000001</v>
      </c>
      <c r="I313" s="7">
        <v>1890.3</v>
      </c>
      <c r="J313" s="18">
        <f t="shared" si="17"/>
        <v>1905.4839999999999</v>
      </c>
      <c r="K313" s="10">
        <f t="shared" si="18"/>
        <v>45367.199999999997</v>
      </c>
      <c r="L313" s="21">
        <f t="shared" si="19"/>
        <v>7.4552369028522234</v>
      </c>
    </row>
    <row r="314" spans="1:12" s="72" customFormat="1" ht="25.95" customHeight="1">
      <c r="A314" s="12">
        <v>312</v>
      </c>
      <c r="B314" s="6">
        <v>8</v>
      </c>
      <c r="C314" s="6">
        <v>137</v>
      </c>
      <c r="D314" s="20" t="str">
        <f>IF(C314&lt;&gt;"", IFERROR(INDEX('بنود العقد'!B$3:B$388,C314), "⚠"), "")</f>
        <v>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 دهان  بلون اسود</v>
      </c>
      <c r="E314" s="12" t="str">
        <f>IF(C314&lt;&gt;"", IFERROR(INDEX('بنود العقد'!D$3:D$388,C314), ""), "")</f>
        <v>م²</v>
      </c>
      <c r="F314" s="9">
        <f>IF(C314&lt;&gt;"", IFERROR(INDEX('بنود العقد'!E$3:E$388,C314), 0), "")</f>
        <v>30</v>
      </c>
      <c r="G314" s="9">
        <f>IF(C314&lt;&gt;"", IFERROR(INDEX('بنود العقد'!F$3:F$388,C314), 0), "")</f>
        <v>9442</v>
      </c>
      <c r="H314" s="18">
        <f t="shared" si="16"/>
        <v>514.98</v>
      </c>
      <c r="I314" s="7">
        <v>1479.04</v>
      </c>
      <c r="J314" s="18">
        <f t="shared" si="17"/>
        <v>1994.02</v>
      </c>
      <c r="K314" s="10">
        <f t="shared" si="18"/>
        <v>44371.199999999997</v>
      </c>
      <c r="L314" s="21">
        <f t="shared" si="19"/>
        <v>21.11861893666596</v>
      </c>
    </row>
    <row r="315" spans="1:12" ht="25.95" customHeight="1">
      <c r="A315" s="12">
        <v>313</v>
      </c>
      <c r="B315" s="6">
        <v>8</v>
      </c>
      <c r="C315" s="6">
        <v>152</v>
      </c>
      <c r="D315" s="20" t="str">
        <f>IF(C315&lt;&gt;"", IFERROR(INDEX('بنود العقد'!B$3:B$388,C315), "⚠"), "")</f>
        <v>توريد وتركيب مرآة وجه 6 مم ترُكّب بارزة عن الجدار مع شطف على كل الجهات طبقا للمواصفات وبحسب تعليمات المهندس المشرف. مقاس 1200 × 700 مم</v>
      </c>
      <c r="E315" s="12" t="str">
        <f>IF(C315&lt;&gt;"", IFERROR(INDEX('بنود العقد'!D$3:D$388,C315), ""), "")</f>
        <v>عدد</v>
      </c>
      <c r="F315" s="9">
        <f>IF(C315&lt;&gt;"", IFERROR(INDEX('بنود العقد'!E$3:E$388,C315), 0), "")</f>
        <v>1200</v>
      </c>
      <c r="G315" s="9">
        <f>IF(C315&lt;&gt;"", IFERROR(INDEX('بنود العقد'!F$3:F$388,C315), 0), "")</f>
        <v>92</v>
      </c>
      <c r="H315" s="18">
        <f t="shared" si="16"/>
        <v>0</v>
      </c>
      <c r="I315" s="7">
        <v>16</v>
      </c>
      <c r="J315" s="18">
        <f t="shared" si="17"/>
        <v>16</v>
      </c>
      <c r="K315" s="10">
        <f t="shared" si="18"/>
        <v>19200</v>
      </c>
      <c r="L315" s="21">
        <f t="shared" si="19"/>
        <v>17.391304347826086</v>
      </c>
    </row>
    <row r="316" spans="1:12" s="72" customFormat="1" ht="25.95" customHeight="1">
      <c r="A316" s="12">
        <v>314</v>
      </c>
      <c r="B316" s="6">
        <v>8</v>
      </c>
      <c r="C316" s="6">
        <v>153</v>
      </c>
      <c r="D316" s="20" t="str">
        <f>IF(C316&lt;&gt;"", IFERROR(INDEX('بنود العقد'!B$3:B$388,C316),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1250طول × عرض600 مم </v>
      </c>
      <c r="E316" s="12" t="str">
        <f>IF(C316&lt;&gt;"", IFERROR(INDEX('بنود العقد'!D$3:D$388,C316), ""), "")</f>
        <v>عدد</v>
      </c>
      <c r="F316" s="9">
        <f>IF(C316&lt;&gt;"", IFERROR(INDEX('بنود العقد'!E$3:E$388,C316), 0), "")</f>
        <v>1800</v>
      </c>
      <c r="G316" s="9">
        <f>IF(C316&lt;&gt;"", IFERROR(INDEX('بنود العقد'!F$3:F$388,C316), 0), "")</f>
        <v>32</v>
      </c>
      <c r="H316" s="18">
        <f t="shared" si="16"/>
        <v>0</v>
      </c>
      <c r="I316" s="7">
        <v>6</v>
      </c>
      <c r="J316" s="18">
        <f t="shared" si="17"/>
        <v>6</v>
      </c>
      <c r="K316" s="10">
        <f t="shared" si="18"/>
        <v>10800</v>
      </c>
      <c r="L316" s="21">
        <f t="shared" si="19"/>
        <v>18.75</v>
      </c>
    </row>
    <row r="317" spans="1:12" s="72" customFormat="1" ht="25.95" customHeight="1">
      <c r="A317" s="12">
        <v>315</v>
      </c>
      <c r="B317" s="6">
        <v>8</v>
      </c>
      <c r="C317" s="6">
        <v>154</v>
      </c>
      <c r="D317" s="20" t="str">
        <f>IF(C317&lt;&gt;"", IFERROR(INDEX('بنود العقد'!B$3:B$388,C317),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1200طول × عرض600 مم </v>
      </c>
      <c r="E317" s="12" t="str">
        <f>IF(C317&lt;&gt;"", IFERROR(INDEX('بنود العقد'!D$3:D$388,C317), ""), "")</f>
        <v>عدد</v>
      </c>
      <c r="F317" s="9">
        <f>IF(C317&lt;&gt;"", IFERROR(INDEX('بنود العقد'!E$3:E$388,C317), 0), "")</f>
        <v>1800</v>
      </c>
      <c r="G317" s="9">
        <f>IF(C317&lt;&gt;"", IFERROR(INDEX('بنود العقد'!F$3:F$388,C317), 0), "")</f>
        <v>20</v>
      </c>
      <c r="H317" s="18">
        <f t="shared" si="16"/>
        <v>0</v>
      </c>
      <c r="I317" s="7">
        <v>2</v>
      </c>
      <c r="J317" s="18">
        <f t="shared" si="17"/>
        <v>2</v>
      </c>
      <c r="K317" s="10">
        <f t="shared" si="18"/>
        <v>3600</v>
      </c>
      <c r="L317" s="21">
        <f t="shared" si="19"/>
        <v>10</v>
      </c>
    </row>
    <row r="318" spans="1:12" s="72" customFormat="1" ht="25.95" customHeight="1">
      <c r="A318" s="12">
        <v>316</v>
      </c>
      <c r="B318" s="6">
        <v>8</v>
      </c>
      <c r="C318" s="6">
        <v>155</v>
      </c>
      <c r="D318" s="20" t="str">
        <f>IF(C318&lt;&gt;"", IFERROR(INDEX('بنود العقد'!B$3:B$388,C318),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مقاس: 1000طولRef drawing: 07-MRA-DD-(as per floor number)-AR-700 to 703 عرض600 مم × </v>
      </c>
      <c r="E318" s="12" t="str">
        <f>IF(C318&lt;&gt;"", IFERROR(INDEX('بنود العقد'!D$3:D$388,C318), ""), "")</f>
        <v>عدد</v>
      </c>
      <c r="F318" s="9">
        <f>IF(C318&lt;&gt;"", IFERROR(INDEX('بنود العقد'!E$3:E$388,C318), 0), "")</f>
        <v>1200</v>
      </c>
      <c r="G318" s="9">
        <f>IF(C318&lt;&gt;"", IFERROR(INDEX('بنود العقد'!F$3:F$388,C318), 0), "")</f>
        <v>22</v>
      </c>
      <c r="H318" s="18">
        <f t="shared" si="16"/>
        <v>0</v>
      </c>
      <c r="I318" s="7">
        <v>5</v>
      </c>
      <c r="J318" s="18">
        <f t="shared" si="17"/>
        <v>5</v>
      </c>
      <c r="K318" s="10">
        <f t="shared" si="18"/>
        <v>6000</v>
      </c>
      <c r="L318" s="21">
        <f t="shared" si="19"/>
        <v>22.727272727272727</v>
      </c>
    </row>
    <row r="319" spans="1:12" s="72" customFormat="1" ht="25.95" customHeight="1">
      <c r="A319" s="12">
        <v>317</v>
      </c>
      <c r="B319" s="6">
        <v>8</v>
      </c>
      <c r="C319" s="6">
        <v>156</v>
      </c>
      <c r="D319" s="20" t="str">
        <f>IF(C319&lt;&gt;"", IFERROR(INDEX('بنود العقد'!B$3:B$388,C319),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المشرف.Ref drawing: 07-MRA-DD-(as per floor number)-AR-700 to 703 مقاس: 3800طول × عرض600 مم </v>
      </c>
      <c r="E319" s="12" t="str">
        <f>IF(C319&lt;&gt;"", IFERROR(INDEX('بنود العقد'!D$3:D$388,C319), ""), "")</f>
        <v>عدد</v>
      </c>
      <c r="F319" s="9">
        <f>IF(C319&lt;&gt;"", IFERROR(INDEX('بنود العقد'!E$3:E$388,C319), 0), "")</f>
        <v>6000</v>
      </c>
      <c r="G319" s="9">
        <f>IF(C319&lt;&gt;"", IFERROR(INDEX('بنود العقد'!F$3:F$388,C319), 0), "")</f>
        <v>23</v>
      </c>
      <c r="H319" s="18">
        <f t="shared" si="16"/>
        <v>0</v>
      </c>
      <c r="I319" s="7">
        <v>6</v>
      </c>
      <c r="J319" s="18">
        <f t="shared" si="17"/>
        <v>6</v>
      </c>
      <c r="K319" s="10">
        <f t="shared" si="18"/>
        <v>36000</v>
      </c>
      <c r="L319" s="21">
        <f t="shared" si="19"/>
        <v>26.086956521739129</v>
      </c>
    </row>
    <row r="320" spans="1:12" s="72" customFormat="1" ht="25.95" customHeight="1">
      <c r="A320" s="12">
        <v>318</v>
      </c>
      <c r="B320" s="6">
        <v>8</v>
      </c>
      <c r="C320" s="6">
        <v>175</v>
      </c>
      <c r="D320" s="20" t="str">
        <f>IF(C320&lt;&gt;"", IFERROR(INDEX('بنود العقد'!B$3:B$388,C320), "⚠"), "")</f>
        <v>قواطع الحمامات مكونة من ألواح الفينوليك المضغوط ارتفاع 2 متر ذو المقاومة الشديدة للماء مع طبقة ميلامين بلون رمادي غامق مقاومة للخدش وسهلة التنظيف ، سمك الألواح هو  19 ملم ،. قواطع الحمامات تشمل إكسسوارات عالية الجودة ) مفصلات ذاتية الإغلاق وقفل ( والأبواب والاكسسوارات والعلاقات من الستانلس ستيل brushed finish وكل ما يلزم لانهاء العمل حسب الأصول الفنية والمواصفلت وتعليمات المهندس المشرف .</v>
      </c>
      <c r="E320" s="12" t="str">
        <f>IF(C320&lt;&gt;"", IFERROR(INDEX('بنود العقد'!D$3:D$388,C320), ""), "")</f>
        <v>م²</v>
      </c>
      <c r="F320" s="9">
        <f>IF(C320&lt;&gt;"", IFERROR(INDEX('بنود العقد'!E$3:E$388,C320), 0), "")</f>
        <v>780</v>
      </c>
      <c r="G320" s="9">
        <f>IF(C320&lt;&gt;"", IFERROR(INDEX('بنود العقد'!F$3:F$388,C320), 0), "")</f>
        <v>611</v>
      </c>
      <c r="H320" s="18">
        <f t="shared" si="16"/>
        <v>0</v>
      </c>
      <c r="I320" s="7">
        <v>138.87</v>
      </c>
      <c r="J320" s="18">
        <f t="shared" si="17"/>
        <v>138.87</v>
      </c>
      <c r="K320" s="10">
        <f t="shared" si="18"/>
        <v>108318.6</v>
      </c>
      <c r="L320" s="21">
        <f t="shared" si="19"/>
        <v>22.728314238952539</v>
      </c>
    </row>
    <row r="321" spans="1:12" s="72" customFormat="1" ht="25.95" customHeight="1">
      <c r="A321" s="12">
        <v>319</v>
      </c>
      <c r="B321" s="6">
        <v>8</v>
      </c>
      <c r="C321" s="6">
        <v>184</v>
      </c>
      <c r="D321" s="20" t="str">
        <f>IF(C321&lt;&gt;"", IFERROR(INDEX('بنود العقد'!B$3:B$388,C321), "⚠"), "")</f>
        <v>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التالية:اعادة تركيب و اختبار السخان الحالي بسعة 100 ليتر   بعد الكشف و المعاينة و الفحص حسب تعليمات مهندس المشرف</v>
      </c>
      <c r="E321" s="12" t="str">
        <f>IF(C321&lt;&gt;"", IFERROR(INDEX('بنود العقد'!D$3:D$388,C321), ""), "")</f>
        <v>عدد</v>
      </c>
      <c r="F321" s="9">
        <f>IF(C321&lt;&gt;"", IFERROR(INDEX('بنود العقد'!E$3:E$388,C321), 0), "")</f>
        <v>816</v>
      </c>
      <c r="G321" s="9">
        <f>IF(C321&lt;&gt;"", IFERROR(INDEX('بنود العقد'!F$3:F$388,C321), 0), "")</f>
        <v>24</v>
      </c>
      <c r="H321" s="18">
        <f t="shared" si="16"/>
        <v>7</v>
      </c>
      <c r="I321" s="7">
        <v>5</v>
      </c>
      <c r="J321" s="18">
        <f t="shared" si="17"/>
        <v>12</v>
      </c>
      <c r="K321" s="10">
        <f t="shared" si="18"/>
        <v>4080</v>
      </c>
      <c r="L321" s="21">
        <f t="shared" si="19"/>
        <v>50</v>
      </c>
    </row>
    <row r="322" spans="1:12" s="72" customFormat="1" ht="25.95" customHeight="1">
      <c r="A322" s="12">
        <v>320</v>
      </c>
      <c r="B322" s="6">
        <v>8</v>
      </c>
      <c r="C322" s="6">
        <v>185</v>
      </c>
      <c r="D322" s="20" t="str">
        <f>IF(C322&lt;&gt;"", IFERROR(INDEX('بنود العقد'!B$3:B$388,C322),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v>
      </c>
      <c r="E322" s="12" t="str">
        <f>IF(C322&lt;&gt;"", IFERROR(INDEX('بنود العقد'!D$3:D$388,C322), ""), "")</f>
        <v>م.ط</v>
      </c>
      <c r="F322" s="9">
        <f>IF(C322&lt;&gt;"", IFERROR(INDEX('بنود العقد'!E$3:E$388,C322), 0), "")</f>
        <v>75.599999999999994</v>
      </c>
      <c r="G322" s="9">
        <f>IF(C322&lt;&gt;"", IFERROR(INDEX('بنود العقد'!F$3:F$388,C322), 0), "")</f>
        <v>426</v>
      </c>
      <c r="H322" s="18">
        <f t="shared" si="16"/>
        <v>740.8</v>
      </c>
      <c r="I322" s="7">
        <v>81.900000000000006</v>
      </c>
      <c r="J322" s="18">
        <f t="shared" si="17"/>
        <v>822.69999999999993</v>
      </c>
      <c r="K322" s="10">
        <f t="shared" si="18"/>
        <v>6191.64</v>
      </c>
      <c r="L322" s="21">
        <f t="shared" si="19"/>
        <v>193.12206572769952</v>
      </c>
    </row>
    <row r="323" spans="1:12" s="72" customFormat="1" ht="25.95" customHeight="1">
      <c r="A323" s="12">
        <v>321</v>
      </c>
      <c r="B323" s="6">
        <v>8</v>
      </c>
      <c r="C323" s="6">
        <v>186</v>
      </c>
      <c r="D323" s="20" t="str">
        <f>IF(C323&lt;&gt;"", IFERROR(INDEX('بنود العقد'!B$3:B$388,C323),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75 مم</v>
      </c>
      <c r="E323" s="12" t="str">
        <f>IF(C323&lt;&gt;"", IFERROR(INDEX('بنود العقد'!D$3:D$388,C323), ""), "")</f>
        <v>م.ط</v>
      </c>
      <c r="F323" s="9">
        <f>IF(C323&lt;&gt;"", IFERROR(INDEX('بنود العقد'!E$3:E$388,C323), 0), "")</f>
        <v>91.2</v>
      </c>
      <c r="G323" s="9">
        <f>IF(C323&lt;&gt;"", IFERROR(INDEX('بنود العقد'!F$3:F$388,C323), 0), "")</f>
        <v>934</v>
      </c>
      <c r="H323" s="18">
        <f t="shared" ref="H323:H386" si="20">IFERROR(SUMIFS(I$3:I$1805, B$3:B$1805, "&lt;"&amp;B323, C$3:C$1805, C323), 0)</f>
        <v>395.1</v>
      </c>
      <c r="I323" s="7">
        <v>44.41</v>
      </c>
      <c r="J323" s="18">
        <f t="shared" si="17"/>
        <v>439.51</v>
      </c>
      <c r="K323" s="10">
        <f t="shared" si="18"/>
        <v>4050.192</v>
      </c>
      <c r="L323" s="21">
        <f t="shared" si="19"/>
        <v>47.056745182012847</v>
      </c>
    </row>
    <row r="324" spans="1:12" s="72" customFormat="1" ht="25.95" customHeight="1">
      <c r="A324" s="12">
        <v>322</v>
      </c>
      <c r="B324" s="6">
        <v>8</v>
      </c>
      <c r="C324" s="6">
        <v>187</v>
      </c>
      <c r="D324" s="20" t="str">
        <f>IF(C324&lt;&gt;"", IFERROR(INDEX('بنود العقد'!B$3:B$388,C324),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v>
      </c>
      <c r="E324" s="12" t="str">
        <f>IF(C324&lt;&gt;"", IFERROR(INDEX('بنود العقد'!D$3:D$388,C324), ""), "")</f>
        <v>م.ط</v>
      </c>
      <c r="F324" s="9">
        <f>IF(C324&lt;&gt;"", IFERROR(INDEX('بنود العقد'!E$3:E$388,C324), 0), "")</f>
        <v>102</v>
      </c>
      <c r="G324" s="9">
        <f>IF(C324&lt;&gt;"", IFERROR(INDEX('بنود العقد'!F$3:F$388,C324), 0), "")</f>
        <v>961</v>
      </c>
      <c r="H324" s="18">
        <f t="shared" si="20"/>
        <v>1266.6400000000001</v>
      </c>
      <c r="I324" s="7">
        <v>88.81</v>
      </c>
      <c r="J324" s="18">
        <f t="shared" si="17"/>
        <v>1355.45</v>
      </c>
      <c r="K324" s="10">
        <f t="shared" si="18"/>
        <v>9058.6200000000008</v>
      </c>
      <c r="L324" s="21">
        <f t="shared" si="19"/>
        <v>141.04578563995838</v>
      </c>
    </row>
    <row r="325" spans="1:12" s="72" customFormat="1" ht="25.95" customHeight="1">
      <c r="A325" s="12">
        <v>323</v>
      </c>
      <c r="B325" s="6">
        <v>8</v>
      </c>
      <c r="C325" s="6">
        <v>188</v>
      </c>
      <c r="D325" s="20" t="str">
        <f>IF(C325&lt;&gt;"", IFERROR(INDEX('بنود العقد'!B$3:B$388,C325), "⚠"), "")</f>
        <v>صفاية أرضية )FD(، من PVC مع مصفاة معدنية  مطلية بالكروم شاملة سيفون كما هو موصف بالمقاسات التالية:مخرج قطر 75 مم</v>
      </c>
      <c r="E325" s="12" t="str">
        <f>IF(C325&lt;&gt;"", IFERROR(INDEX('بنود العقد'!D$3:D$388,C325), ""), "")</f>
        <v>عدد</v>
      </c>
      <c r="F325" s="9">
        <f>IF(C325&lt;&gt;"", IFERROR(INDEX('بنود العقد'!E$3:E$388,C325), 0), "")</f>
        <v>300</v>
      </c>
      <c r="G325" s="9">
        <f>IF(C325&lt;&gt;"", IFERROR(INDEX('بنود العقد'!F$3:F$388,C325), 0), "")</f>
        <v>161</v>
      </c>
      <c r="H325" s="18">
        <f t="shared" si="20"/>
        <v>37</v>
      </c>
      <c r="I325" s="7">
        <v>30</v>
      </c>
      <c r="J325" s="18">
        <f t="shared" si="17"/>
        <v>67</v>
      </c>
      <c r="K325" s="10">
        <f t="shared" si="18"/>
        <v>9000</v>
      </c>
      <c r="L325" s="21">
        <f t="shared" si="19"/>
        <v>41.614906832298139</v>
      </c>
    </row>
    <row r="326" spans="1:12" s="72" customFormat="1" ht="25.95" customHeight="1">
      <c r="A326" s="12">
        <v>324</v>
      </c>
      <c r="B326" s="6">
        <v>8</v>
      </c>
      <c r="C326" s="6">
        <v>190</v>
      </c>
      <c r="D326" s="20" t="str">
        <f>IF(C326&lt;&gt;"", IFERROR(INDEX('بنود العقد'!B$3:B$388,C326),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:حوض وجه على رخامة )مرجع 1-LAV ( من نفس نوع الرخام الصناعي كوريان للكاونتر والكاونتر محسوب في بند منفصل</v>
      </c>
      <c r="E326" s="12" t="str">
        <f>IF(C326&lt;&gt;"", IFERROR(INDEX('بنود العقد'!D$3:D$388,C326), ""), "")</f>
        <v>عدد</v>
      </c>
      <c r="F326" s="9">
        <f>IF(C326&lt;&gt;"", IFERROR(INDEX('بنود العقد'!E$3:E$388,C326), 0), "")</f>
        <v>2640</v>
      </c>
      <c r="G326" s="9">
        <f>IF(C326&lt;&gt;"", IFERROR(INDEX('بنود العقد'!F$3:F$388,C326), 0), "")</f>
        <v>68</v>
      </c>
      <c r="H326" s="18">
        <f t="shared" si="20"/>
        <v>0</v>
      </c>
      <c r="I326" s="7">
        <v>3</v>
      </c>
      <c r="J326" s="18">
        <f t="shared" si="17"/>
        <v>3</v>
      </c>
      <c r="K326" s="10">
        <f t="shared" si="18"/>
        <v>7920</v>
      </c>
      <c r="L326" s="21">
        <f t="shared" si="19"/>
        <v>4.4117647058823533</v>
      </c>
    </row>
    <row r="327" spans="1:12" s="72" customFormat="1" ht="25.95" customHeight="1">
      <c r="A327" s="12">
        <v>325</v>
      </c>
      <c r="B327" s="6">
        <v>8</v>
      </c>
      <c r="C327" s="6">
        <v>193</v>
      </c>
      <c r="D327" s="20" t="str">
        <f>IF(C327&lt;&gt;"", IFERROR(INDEX('بنود العقد'!B$3:B$388,C327), "⚠"), "")</f>
        <v>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وجه يركب على الكاونتر )مرجع 3-LAV (</v>
      </c>
      <c r="E327" s="12" t="str">
        <f>IF(C327&lt;&gt;"", IFERROR(INDEX('بنود العقد'!D$3:D$388,C327), ""), "")</f>
        <v>عدد</v>
      </c>
      <c r="F327" s="9">
        <f>IF(C327&lt;&gt;"", IFERROR(INDEX('بنود العقد'!E$3:E$388,C327), 0), "")</f>
        <v>2220</v>
      </c>
      <c r="G327" s="9">
        <f>IF(C327&lt;&gt;"", IFERROR(INDEX('بنود العقد'!F$3:F$388,C327), 0), "")</f>
        <v>92</v>
      </c>
      <c r="H327" s="18">
        <f t="shared" si="20"/>
        <v>4</v>
      </c>
      <c r="I327" s="7">
        <v>16</v>
      </c>
      <c r="J327" s="18">
        <f t="shared" si="17"/>
        <v>20</v>
      </c>
      <c r="K327" s="10">
        <f t="shared" si="18"/>
        <v>35520</v>
      </c>
      <c r="L327" s="21">
        <f t="shared" si="19"/>
        <v>21.739130434782609</v>
      </c>
    </row>
    <row r="328" spans="1:12" s="72" customFormat="1" ht="25.95" customHeight="1">
      <c r="A328" s="12">
        <v>326</v>
      </c>
      <c r="B328" s="6">
        <v>8</v>
      </c>
      <c r="C328" s="6">
        <v>195</v>
      </c>
      <c r="D328" s="20" t="str">
        <f>IF(C328&lt;&gt;"", IFERROR(INDEX('بنود العقد'!B$3:B$388,C328),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افرنجي ) مرجع 2-WWC (  مثبت على الحائط بخزان  طرد مخفي مع زر دفق من الصلب الذي لا يصدأ - مع غطاء للمرحاض مقاوم للبكتريا من نوع soft closing</v>
      </c>
      <c r="E328" s="12" t="str">
        <f>IF(C328&lt;&gt;"", IFERROR(INDEX('بنود العقد'!D$3:D$388,C328), ""), "")</f>
        <v>عدد</v>
      </c>
      <c r="F328" s="9">
        <f>IF(C328&lt;&gt;"", IFERROR(INDEX('بنود العقد'!E$3:E$388,C328), 0), "")</f>
        <v>2760</v>
      </c>
      <c r="G328" s="9">
        <f>IF(C328&lt;&gt;"", IFERROR(INDEX('بنود العقد'!F$3:F$388,C328), 0), "")</f>
        <v>55</v>
      </c>
      <c r="H328" s="18">
        <f t="shared" si="20"/>
        <v>0</v>
      </c>
      <c r="I328" s="7">
        <v>9</v>
      </c>
      <c r="J328" s="18">
        <f t="shared" si="17"/>
        <v>9</v>
      </c>
      <c r="K328" s="10">
        <f t="shared" si="18"/>
        <v>24840</v>
      </c>
      <c r="L328" s="21">
        <f t="shared" si="19"/>
        <v>16.363636363636363</v>
      </c>
    </row>
    <row r="329" spans="1:12" s="72" customFormat="1" ht="25.95" customHeight="1">
      <c r="A329" s="12">
        <v>327</v>
      </c>
      <c r="B329" s="6">
        <v>8</v>
      </c>
      <c r="C329" s="6">
        <v>196</v>
      </c>
      <c r="D329" s="20" t="str">
        <f>IF(C329&lt;&gt;"", IFERROR(INDEX('بنود العقد'!B$3:B$388,C329),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شرقي )مرجع EWC( مثبت على الحائط بخزان  طرد مخفي مع زر دفق من الصلب الذي لا يصدأ،</v>
      </c>
      <c r="E329" s="12" t="str">
        <f>IF(C329&lt;&gt;"", IFERROR(INDEX('بنود العقد'!D$3:D$388,C329), ""), "")</f>
        <v>عدد</v>
      </c>
      <c r="F329" s="9">
        <f>IF(C329&lt;&gt;"", IFERROR(INDEX('بنود العقد'!E$3:E$388,C329), 0), "")</f>
        <v>2160</v>
      </c>
      <c r="G329" s="9">
        <f>IF(C329&lt;&gt;"", IFERROR(INDEX('بنود العقد'!F$3:F$388,C329), 0), "")</f>
        <v>23</v>
      </c>
      <c r="H329" s="18">
        <f t="shared" si="20"/>
        <v>0</v>
      </c>
      <c r="I329" s="7">
        <v>6</v>
      </c>
      <c r="J329" s="18">
        <f t="shared" si="17"/>
        <v>6</v>
      </c>
      <c r="K329" s="10">
        <f t="shared" si="18"/>
        <v>12960</v>
      </c>
      <c r="L329" s="21">
        <f t="shared" si="19"/>
        <v>26.086956521739129</v>
      </c>
    </row>
    <row r="330" spans="1:12" s="72" customFormat="1" ht="25.95" customHeight="1">
      <c r="A330" s="12">
        <v>328</v>
      </c>
      <c r="B330" s="6">
        <v>8</v>
      </c>
      <c r="C330" s="6">
        <v>197</v>
      </c>
      <c r="D330" s="20" t="str">
        <f>IF(C330&lt;&gt;"", IFERROR(INDEX('بنود العقد'!B$3:B$388,C330),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:مقبض رشاش مع الخرطوم وأداة التعليق، مرجع PS</v>
      </c>
      <c r="E330" s="12" t="str">
        <f>IF(C330&lt;&gt;"", IFERROR(INDEX('بنود العقد'!D$3:D$388,C330), ""), "")</f>
        <v>عدد</v>
      </c>
      <c r="F330" s="9">
        <f>IF(C330&lt;&gt;"", IFERROR(INDEX('بنود العقد'!E$3:E$388,C330), 0), "")</f>
        <v>180</v>
      </c>
      <c r="G330" s="9">
        <f>IF(C330&lt;&gt;"", IFERROR(INDEX('بنود العقد'!F$3:F$388,C330), 0), "")</f>
        <v>191</v>
      </c>
      <c r="H330" s="18">
        <f t="shared" si="20"/>
        <v>26</v>
      </c>
      <c r="I330" s="7">
        <v>27</v>
      </c>
      <c r="J330" s="18">
        <f t="shared" si="17"/>
        <v>53</v>
      </c>
      <c r="K330" s="10">
        <f t="shared" si="18"/>
        <v>4860</v>
      </c>
      <c r="L330" s="21">
        <f t="shared" si="19"/>
        <v>27.748691099476442</v>
      </c>
    </row>
    <row r="331" spans="1:12" s="72" customFormat="1" ht="25.95" customHeight="1">
      <c r="A331" s="12">
        <v>329</v>
      </c>
      <c r="B331" s="6">
        <v>8</v>
      </c>
      <c r="C331" s="6">
        <v>198</v>
      </c>
      <c r="D331" s="20" t="str">
        <f>IF(C331&lt;&gt;"", IFERROR(INDEX('بنود العقد'!B$3:B$388,C331),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:خلاط مياة  يركب على الحوض</v>
      </c>
      <c r="E331" s="12" t="str">
        <f>IF(C331&lt;&gt;"", IFERROR(INDEX('بنود العقد'!D$3:D$388,C331), ""), "")</f>
        <v>عدد</v>
      </c>
      <c r="F331" s="9">
        <f>IF(C331&lt;&gt;"", IFERROR(INDEX('بنود العقد'!E$3:E$388,C331), 0), "")</f>
        <v>1080</v>
      </c>
      <c r="G331" s="9">
        <f>IF(C331&lt;&gt;"", IFERROR(INDEX('بنود العقد'!F$3:F$388,C331), 0), "")</f>
        <v>208</v>
      </c>
      <c r="H331" s="18">
        <f t="shared" si="20"/>
        <v>4</v>
      </c>
      <c r="I331" s="7">
        <v>19</v>
      </c>
      <c r="J331" s="18">
        <f t="shared" si="17"/>
        <v>23</v>
      </c>
      <c r="K331" s="10">
        <f t="shared" si="18"/>
        <v>20520</v>
      </c>
      <c r="L331" s="21">
        <f t="shared" si="19"/>
        <v>11.057692307692307</v>
      </c>
    </row>
    <row r="332" spans="1:12" s="72" customFormat="1" ht="25.95" customHeight="1">
      <c r="A332" s="12">
        <v>330</v>
      </c>
      <c r="B332" s="6">
        <v>8</v>
      </c>
      <c r="C332" s="6">
        <v>215</v>
      </c>
      <c r="D332" s="20" t="str">
        <f>IF(C332&lt;&gt;"", IFERROR(INDEX('بنود العقد'!B$3:B$388,C332), "⚠"), "")</f>
        <v>توريد و تركيب و اختبار رشاشات آلية اوتوماتيكية كما هو موصف رشاشات من النوع المخفي، ذات فتحة 2/1 بوصة، ومعامل 5.6 =K   ودرجة حرارة تشغيل 68 درجة مئوية</v>
      </c>
      <c r="E332" s="12" t="str">
        <f>IF(C332&lt;&gt;"", IFERROR(INDEX('بنود العقد'!D$3:D$388,C332), ""), "")</f>
        <v>عدد</v>
      </c>
      <c r="F332" s="9">
        <f>IF(C332&lt;&gt;"", IFERROR(INDEX('بنود العقد'!E$3:E$388,C332), 0), "")</f>
        <v>90</v>
      </c>
      <c r="G332" s="9">
        <f>IF(C332&lt;&gt;"", IFERROR(INDEX('بنود العقد'!F$3:F$388,C332), 0), "")</f>
        <v>1000</v>
      </c>
      <c r="H332" s="18">
        <f t="shared" si="20"/>
        <v>260</v>
      </c>
      <c r="I332" s="7">
        <v>11</v>
      </c>
      <c r="J332" s="18">
        <f t="shared" si="17"/>
        <v>271</v>
      </c>
      <c r="K332" s="10">
        <f t="shared" si="18"/>
        <v>990</v>
      </c>
      <c r="L332" s="21">
        <f t="shared" si="19"/>
        <v>27.1</v>
      </c>
    </row>
    <row r="333" spans="1:12" s="72" customFormat="1" ht="25.95" customHeight="1">
      <c r="A333" s="12">
        <v>331</v>
      </c>
      <c r="B333" s="6">
        <v>8</v>
      </c>
      <c r="C333" s="6">
        <v>218</v>
      </c>
      <c r="D333" s="20" t="str">
        <f>IF(C333&lt;&gt;"", IFERROR(INDEX('بنود العقد'!B$3:B$388,C333), "⚠"), "")</f>
        <v>توريد و تركيب نظام  غازي200FM لغرف الكهرباء و السنترال و ما يتطلبه النظام من تعديلاتمعمارية على ان يتم تقديمها للاعتماد من قبل مهندس المشرف  ،  مرجع 3-FE</v>
      </c>
      <c r="E333" s="12" t="str">
        <f>IF(C333&lt;&gt;"", IFERROR(INDEX('بنود العقد'!D$3:D$388,C333), ""), "")</f>
        <v>عدد</v>
      </c>
      <c r="F333" s="9">
        <f>IF(C333&lt;&gt;"", IFERROR(INDEX('بنود العقد'!E$3:E$388,C333), 0), "")</f>
        <v>54000</v>
      </c>
      <c r="G333" s="9">
        <f>IF(C333&lt;&gt;"", IFERROR(INDEX('بنود العقد'!F$3:F$388,C333), 0), "")</f>
        <v>36</v>
      </c>
      <c r="H333" s="18">
        <f t="shared" si="20"/>
        <v>4</v>
      </c>
      <c r="I333" s="7">
        <v>2</v>
      </c>
      <c r="J333" s="18">
        <f t="shared" si="17"/>
        <v>6</v>
      </c>
      <c r="K333" s="10">
        <f t="shared" si="18"/>
        <v>108000</v>
      </c>
      <c r="L333" s="21">
        <f t="shared" si="19"/>
        <v>16.666666666666664</v>
      </c>
    </row>
    <row r="334" spans="1:12" s="72" customFormat="1" ht="25.95" customHeight="1">
      <c r="A334" s="12">
        <v>332</v>
      </c>
      <c r="B334" s="6">
        <v>8</v>
      </c>
      <c r="C334" s="6">
        <v>231</v>
      </c>
      <c r="D334" s="20" t="str">
        <f>IF(C334&lt;&gt;"", IFERROR(INDEX('بنود العقد'!B$3:B$388,C334), "⚠"), "")</f>
        <v>ناشرة هواء ذات فتحات طولية  للهواء الداخل مصنعة من الألمنيوم المشكل بالبثق ومطلية بمسحوق البولستركاملة، مخمدات صوت ذات أرياش متضادّة ،وصندوق حجمى معزول من الداخل بعازل صوتى وميكانيزم للتحكم فى الهواء من واجهة الناشر وكل قطع الأكسسوار حسب المواصفات والمخططات مع توفير عينات للاعتماد من مهندس المشرف. ثلاثة فتحات / ثقب 25مم عرض</v>
      </c>
      <c r="E334" s="12" t="str">
        <f>IF(C334&lt;&gt;"", IFERROR(INDEX('بنود العقد'!D$3:D$388,C334), ""), "")</f>
        <v>م.ط</v>
      </c>
      <c r="F334" s="9">
        <f>IF(C334&lt;&gt;"", IFERROR(INDEX('بنود العقد'!E$3:E$388,C334), 0), "")</f>
        <v>480</v>
      </c>
      <c r="G334" s="9">
        <f>IF(C334&lt;&gt;"", IFERROR(INDEX('بنود العقد'!F$3:F$388,C334), 0), "")</f>
        <v>1925</v>
      </c>
      <c r="H334" s="18">
        <f t="shared" si="20"/>
        <v>136.91999999999999</v>
      </c>
      <c r="I334" s="7">
        <v>95.67</v>
      </c>
      <c r="J334" s="18">
        <f t="shared" si="17"/>
        <v>232.58999999999997</v>
      </c>
      <c r="K334" s="10">
        <f t="shared" si="18"/>
        <v>45921.599999999999</v>
      </c>
      <c r="L334" s="21">
        <f t="shared" si="19"/>
        <v>12.082597402597402</v>
      </c>
    </row>
    <row r="335" spans="1:12" s="72" customFormat="1" ht="25.95" customHeight="1">
      <c r="A335" s="12">
        <v>333</v>
      </c>
      <c r="B335" s="6">
        <v>8</v>
      </c>
      <c r="C335" s="6">
        <v>232</v>
      </c>
      <c r="D335" s="20" t="str">
        <f>IF(C335&lt;&gt;"", IFERROR(INDEX('بنود العقد'!B$3:B$388,C335), "⚠"), "")</f>
        <v>ناشرة هواء ذات فتحات طولية للهواء الراجع مصنعة من الألمنيوم المشكل بالبثق ومطلية بمسحوق البولستركاملة، وكل قطع الأكسسوار حسب المواصفات والمخططات مع توفير عينات للاعتماد من مهندس المشرف. ثلاثة فتحات / ثقب 25مم عرض</v>
      </c>
      <c r="E335" s="12" t="str">
        <f>IF(C335&lt;&gt;"", IFERROR(INDEX('بنود العقد'!D$3:D$388,C335), ""), "")</f>
        <v>م.ط</v>
      </c>
      <c r="F335" s="9">
        <f>IF(C335&lt;&gt;"", IFERROR(INDEX('بنود العقد'!E$3:E$388,C335), 0), "")</f>
        <v>480</v>
      </c>
      <c r="G335" s="9">
        <f>IF(C335&lt;&gt;"", IFERROR(INDEX('بنود العقد'!F$3:F$388,C335), 0), "")</f>
        <v>1925</v>
      </c>
      <c r="H335" s="18">
        <f t="shared" si="20"/>
        <v>139.07</v>
      </c>
      <c r="I335" s="7">
        <v>94.34</v>
      </c>
      <c r="J335" s="18">
        <f t="shared" si="17"/>
        <v>233.41</v>
      </c>
      <c r="K335" s="10">
        <f t="shared" si="18"/>
        <v>45283.200000000004</v>
      </c>
      <c r="L335" s="21">
        <f t="shared" si="19"/>
        <v>12.125194805194806</v>
      </c>
    </row>
    <row r="336" spans="1:12" s="72" customFormat="1" ht="25.95" customHeight="1">
      <c r="A336" s="12">
        <v>334</v>
      </c>
      <c r="B336" s="6">
        <v>8</v>
      </c>
      <c r="C336" s="6">
        <v>233</v>
      </c>
      <c r="D336" s="20" t="str">
        <f>IF(C336&lt;&gt;"", IFERROR(INDEX('بنود العقد'!B$3:B$388,C336), "⚠"), "")</f>
        <v xml:space="preserve"> جريلات تغذية من الالومينيوم مغطاة ببودرة البوليستر كاملة وجميع الملحقات حسب المخططات..والمواصفات مع توفير عينات للاعتماد من مهندس المشرف 600mm X 600mm</v>
      </c>
      <c r="E336" s="12" t="str">
        <f>IF(C336&lt;&gt;"", IFERROR(INDEX('بنود العقد'!D$3:D$388,C336), ""), "")</f>
        <v>عدد</v>
      </c>
      <c r="F336" s="9">
        <f>IF(C336&lt;&gt;"", IFERROR(INDEX('بنود العقد'!E$3:E$388,C336), 0), "")</f>
        <v>456</v>
      </c>
      <c r="G336" s="9">
        <f>IF(C336&lt;&gt;"", IFERROR(INDEX('بنود العقد'!F$3:F$388,C336), 0), "")</f>
        <v>724</v>
      </c>
      <c r="H336" s="18">
        <f t="shared" si="20"/>
        <v>74</v>
      </c>
      <c r="I336" s="7">
        <v>64</v>
      </c>
      <c r="J336" s="18">
        <f t="shared" si="17"/>
        <v>138</v>
      </c>
      <c r="K336" s="10">
        <f t="shared" si="18"/>
        <v>29184</v>
      </c>
      <c r="L336" s="21">
        <f t="shared" si="19"/>
        <v>19.060773480662984</v>
      </c>
    </row>
    <row r="337" spans="1:12" s="72" customFormat="1" ht="25.95" customHeight="1">
      <c r="A337" s="12">
        <v>335</v>
      </c>
      <c r="B337" s="6">
        <v>8</v>
      </c>
      <c r="C337" s="6">
        <v>234</v>
      </c>
      <c r="D337" s="20" t="str">
        <f>IF(C337&lt;&gt;"", IFERROR(INDEX('بنود العقد'!B$3:B$388,C337), "⚠"), "")</f>
        <v xml:space="preserve"> جريلات رجوع من الالومينيوم مغطاة ببودرة البوليستر كاملة وجميع الملحقات حسب المخططات.والمواصفات مع توفير عينات للاعتماد من مهندس المشرف 600mm X 600mm</v>
      </c>
      <c r="E337" s="12" t="str">
        <f>IF(C337&lt;&gt;"", IFERROR(INDEX('بنود العقد'!D$3:D$388,C337), ""), "")</f>
        <v>عدد</v>
      </c>
      <c r="F337" s="9">
        <f>IF(C337&lt;&gt;"", IFERROR(INDEX('بنود العقد'!E$3:E$388,C337), 0), "")</f>
        <v>264</v>
      </c>
      <c r="G337" s="9">
        <f>IF(C337&lt;&gt;"", IFERROR(INDEX('بنود العقد'!F$3:F$388,C337), 0), "")</f>
        <v>724</v>
      </c>
      <c r="H337" s="18">
        <f t="shared" si="20"/>
        <v>39</v>
      </c>
      <c r="I337" s="7">
        <v>38</v>
      </c>
      <c r="J337" s="18">
        <f t="shared" si="17"/>
        <v>77</v>
      </c>
      <c r="K337" s="10">
        <f t="shared" si="18"/>
        <v>10032</v>
      </c>
      <c r="L337" s="21">
        <f t="shared" si="19"/>
        <v>10.6353591160221</v>
      </c>
    </row>
    <row r="338" spans="1:12" s="72" customFormat="1" ht="25.95" customHeight="1">
      <c r="A338" s="12">
        <v>336</v>
      </c>
      <c r="B338" s="6">
        <v>8</v>
      </c>
      <c r="C338" s="6">
        <v>235</v>
      </c>
      <c r="D338" s="20" t="str">
        <f>IF(C338&lt;&gt;"", IFERROR(INDEX('بنود العقد'!B$3:B$388,C338), "⚠"), "")</f>
        <v xml:space="preserve"> جريلات لسحب الهواء من الالمونيوم مغطاة ببودرة البوليستر كاملة بجميع ملحقات التركيب وحسب.المخططات والمواصفات مع توفير عينات للاعتماد من مهندس المشرف 150mm X 150MM</v>
      </c>
      <c r="E338" s="12" t="str">
        <f>IF(C338&lt;&gt;"", IFERROR(INDEX('بنود العقد'!D$3:D$388,C338), ""), "")</f>
        <v>عدد</v>
      </c>
      <c r="F338" s="9">
        <f>IF(C338&lt;&gt;"", IFERROR(INDEX('بنود العقد'!E$3:E$388,C338), 0), "")</f>
        <v>210</v>
      </c>
      <c r="G338" s="9">
        <f>IF(C338&lt;&gt;"", IFERROR(INDEX('بنود العقد'!F$3:F$388,C338), 0), "")</f>
        <v>102</v>
      </c>
      <c r="H338" s="18">
        <f t="shared" si="20"/>
        <v>41</v>
      </c>
      <c r="I338" s="7">
        <v>21</v>
      </c>
      <c r="J338" s="18">
        <f t="shared" si="17"/>
        <v>62</v>
      </c>
      <c r="K338" s="10">
        <f t="shared" si="18"/>
        <v>4410</v>
      </c>
      <c r="L338" s="21">
        <f t="shared" si="19"/>
        <v>60.784313725490193</v>
      </c>
    </row>
    <row r="339" spans="1:12" s="72" customFormat="1" ht="25.95" customHeight="1">
      <c r="A339" s="12">
        <v>337</v>
      </c>
      <c r="B339" s="6">
        <v>8</v>
      </c>
      <c r="C339" s="6">
        <v>261</v>
      </c>
      <c r="D339" s="20" t="str">
        <f>IF(C339&lt;&gt;"", IFERROR(INDEX('بنود العقد'!B$3:B$388,C339), "⚠"), "")</f>
        <v xml:space="preserve"> توريد وتركيب واختبار والتشغيل التجريبي لمفاتيح فصل على الحمل من النوع عالية التحمل مع ماسورة  التثبيت المعدنية المرنة والمانعة لنفاذ السوائل، وقطع الإكسسوارعلى المقاول المعاينة و فحص الشبكة الحالية و الاستفادة من التمديدات الحالية و دمجها مع التركيبات الجديدة بعد عمل الاختبارات اللازمة و بعدالموافقة من مهندس المشرف  وبالإستطاعات التالية 30 A, 250 V, 2P</v>
      </c>
      <c r="E339" s="12" t="str">
        <f>IF(C339&lt;&gt;"", IFERROR(INDEX('بنود العقد'!D$3:D$388,C339), ""), "")</f>
        <v>عدد</v>
      </c>
      <c r="F339" s="9">
        <f>IF(C339&lt;&gt;"", IFERROR(INDEX('بنود العقد'!E$3:E$388,C339), 0), "")</f>
        <v>384</v>
      </c>
      <c r="G339" s="9">
        <f>IF(C339&lt;&gt;"", IFERROR(INDEX('بنود العقد'!F$3:F$388,C339), 0), "")</f>
        <v>445</v>
      </c>
      <c r="H339" s="18">
        <f t="shared" si="20"/>
        <v>89</v>
      </c>
      <c r="I339" s="7">
        <v>37</v>
      </c>
      <c r="J339" s="18">
        <f t="shared" si="17"/>
        <v>126</v>
      </c>
      <c r="K339" s="10">
        <f t="shared" si="18"/>
        <v>14208</v>
      </c>
      <c r="L339" s="21">
        <f t="shared" si="19"/>
        <v>28.314606741573034</v>
      </c>
    </row>
    <row r="340" spans="1:12" s="72" customFormat="1" ht="25.95" customHeight="1">
      <c r="A340" s="12">
        <v>338</v>
      </c>
      <c r="B340" s="6">
        <v>8</v>
      </c>
      <c r="C340" s="6">
        <v>264</v>
      </c>
      <c r="D340" s="20" t="str">
        <f>IF(C340&lt;&gt;"", IFERROR(INDEX('بنود العقد'!B$3:B$388,C340),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A2</v>
      </c>
      <c r="E340" s="12" t="str">
        <f>IF(C340&lt;&gt;"", IFERROR(INDEX('بنود العقد'!D$3:D$388,C340), ""), "")</f>
        <v>عدد</v>
      </c>
      <c r="F340" s="9">
        <f>IF(C340&lt;&gt;"", IFERROR(INDEX('بنود العقد'!E$3:E$388,C340), 0), "")</f>
        <v>1044</v>
      </c>
      <c r="G340" s="9">
        <f>IF(C340&lt;&gt;"", IFERROR(INDEX('بنود العقد'!F$3:F$388,C340), 0), "")</f>
        <v>1113</v>
      </c>
      <c r="H340" s="18">
        <f t="shared" si="20"/>
        <v>159</v>
      </c>
      <c r="I340" s="7">
        <v>177</v>
      </c>
      <c r="J340" s="18">
        <f t="shared" si="17"/>
        <v>336</v>
      </c>
      <c r="K340" s="10">
        <f t="shared" si="18"/>
        <v>184788</v>
      </c>
      <c r="L340" s="21">
        <f t="shared" si="19"/>
        <v>30.188679245283019</v>
      </c>
    </row>
    <row r="341" spans="1:12" s="72" customFormat="1" ht="25.95" customHeight="1">
      <c r="A341" s="12">
        <v>339</v>
      </c>
      <c r="B341" s="6">
        <v>8</v>
      </c>
      <c r="C341" s="6">
        <v>272</v>
      </c>
      <c r="D341" s="20" t="str">
        <f>IF(C341&lt;&gt;"", IFERROR(INDEX('بنود العقد'!B$3:B$388,C341),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B1</v>
      </c>
      <c r="E341" s="12" t="str">
        <f>IF(C341&lt;&gt;"", IFERROR(INDEX('بنود العقد'!D$3:D$388,C341), ""), "")</f>
        <v>عدد</v>
      </c>
      <c r="F341" s="9">
        <f>IF(C341&lt;&gt;"", IFERROR(INDEX('بنود العقد'!E$3:E$388,C341), 0), "")</f>
        <v>720</v>
      </c>
      <c r="G341" s="9">
        <f>IF(C341&lt;&gt;"", IFERROR(INDEX('بنود العقد'!F$3:F$388,C341), 0), "")</f>
        <v>343</v>
      </c>
      <c r="H341" s="18">
        <f t="shared" si="20"/>
        <v>17</v>
      </c>
      <c r="I341" s="7">
        <v>8</v>
      </c>
      <c r="J341" s="18">
        <f t="shared" si="17"/>
        <v>25</v>
      </c>
      <c r="K341" s="10">
        <f t="shared" si="18"/>
        <v>5760</v>
      </c>
      <c r="L341" s="21">
        <f t="shared" si="19"/>
        <v>7.2886297376093294</v>
      </c>
    </row>
    <row r="342" spans="1:12" s="72" customFormat="1" ht="25.95" customHeight="1">
      <c r="A342" s="12">
        <v>340</v>
      </c>
      <c r="B342" s="6">
        <v>8</v>
      </c>
      <c r="C342" s="6">
        <v>274</v>
      </c>
      <c r="D342" s="20" t="str">
        <f>IF(C342&lt;&gt;"", IFERROR(INDEX('بنود العقد'!B$3:B$388,C342),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C1</v>
      </c>
      <c r="E342" s="12" t="str">
        <f>IF(C342&lt;&gt;"", IFERROR(INDEX('بنود العقد'!D$3:D$388,C342), ""), "")</f>
        <v>عدد</v>
      </c>
      <c r="F342" s="9">
        <f>IF(C342&lt;&gt;"", IFERROR(INDEX('بنود العقد'!E$3:E$388,C342), 0), "")</f>
        <v>1128</v>
      </c>
      <c r="G342" s="9">
        <f>IF(C342&lt;&gt;"", IFERROR(INDEX('بنود العقد'!F$3:F$388,C342), 0), "")</f>
        <v>172</v>
      </c>
      <c r="H342" s="18">
        <f t="shared" si="20"/>
        <v>17</v>
      </c>
      <c r="I342" s="7">
        <v>8</v>
      </c>
      <c r="J342" s="18">
        <f t="shared" si="17"/>
        <v>25</v>
      </c>
      <c r="K342" s="10">
        <f t="shared" si="18"/>
        <v>9024</v>
      </c>
      <c r="L342" s="21">
        <f t="shared" si="19"/>
        <v>14.534883720930234</v>
      </c>
    </row>
    <row r="343" spans="1:12" s="72" customFormat="1" ht="25.95" customHeight="1">
      <c r="A343" s="12">
        <v>341</v>
      </c>
      <c r="B343" s="6">
        <v>8</v>
      </c>
      <c r="C343" s="6">
        <v>275</v>
      </c>
      <c r="D343" s="20" t="str">
        <f>IF(C343&lt;&gt;"", IFERROR(INDEX('بنود العقد'!B$3:B$388,C343),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v>
      </c>
      <c r="E343" s="12" t="str">
        <f>IF(C343&lt;&gt;"", IFERROR(INDEX('بنود العقد'!D$3:D$388,C343), ""), "")</f>
        <v>عدد</v>
      </c>
      <c r="F343" s="9">
        <f>IF(C343&lt;&gt;"", IFERROR(INDEX('بنود العقد'!E$3:E$388,C343), 0), "")</f>
        <v>420</v>
      </c>
      <c r="G343" s="9">
        <f>IF(C343&lt;&gt;"", IFERROR(INDEX('بنود العقد'!F$3:F$388,C343), 0), "")</f>
        <v>1422</v>
      </c>
      <c r="H343" s="18">
        <f t="shared" si="20"/>
        <v>201</v>
      </c>
      <c r="I343" s="7">
        <v>200</v>
      </c>
      <c r="J343" s="18">
        <f t="shared" si="17"/>
        <v>401</v>
      </c>
      <c r="K343" s="10">
        <f t="shared" si="18"/>
        <v>84000</v>
      </c>
      <c r="L343" s="21">
        <f t="shared" si="19"/>
        <v>28.199718706047822</v>
      </c>
    </row>
    <row r="344" spans="1:12" s="72" customFormat="1" ht="25.95" customHeight="1">
      <c r="A344" s="12">
        <v>342</v>
      </c>
      <c r="B344" s="6">
        <v>8</v>
      </c>
      <c r="C344" s="6">
        <v>288</v>
      </c>
      <c r="D344" s="20" t="str">
        <f>IF(C344&lt;&gt;"", IFERROR(INDEX('بنود العقد'!B$3:B$388,C344),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LB1</v>
      </c>
      <c r="E344" s="12" t="str">
        <f>IF(C344&lt;&gt;"", IFERROR(INDEX('بنود العقد'!D$3:D$388,C344), ""), "")</f>
        <v>م.ط</v>
      </c>
      <c r="F344" s="9">
        <f>IF(C344&lt;&gt;"", IFERROR(INDEX('بنود العقد'!E$3:E$388,C344), 0), "")</f>
        <v>170.4</v>
      </c>
      <c r="G344" s="9">
        <f>IF(C344&lt;&gt;"", IFERROR(INDEX('بنود العقد'!F$3:F$388,C344), 0), "")</f>
        <v>5772</v>
      </c>
      <c r="H344" s="18">
        <f t="shared" si="20"/>
        <v>0</v>
      </c>
      <c r="I344" s="7">
        <v>1021</v>
      </c>
      <c r="J344" s="18">
        <f t="shared" si="17"/>
        <v>1021</v>
      </c>
      <c r="K344" s="10">
        <f t="shared" si="18"/>
        <v>173978.4</v>
      </c>
      <c r="L344" s="21">
        <f t="shared" si="19"/>
        <v>17.688842688842687</v>
      </c>
    </row>
    <row r="345" spans="1:12" s="72" customFormat="1" ht="25.95" customHeight="1">
      <c r="A345" s="12">
        <v>343</v>
      </c>
      <c r="B345" s="6">
        <v>8</v>
      </c>
      <c r="C345" s="6">
        <v>291</v>
      </c>
      <c r="D345" s="20" t="str">
        <f>IF(C345&lt;&gt;"", IFERROR(INDEX('بنود العقد'!B$3:B$388,C345),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LB4</v>
      </c>
      <c r="E345" s="12" t="str">
        <f>IF(C345&lt;&gt;"", IFERROR(INDEX('بنود العقد'!D$3:D$388,C345), ""), "")</f>
        <v>عدد</v>
      </c>
      <c r="F345" s="9">
        <f>IF(C345&lt;&gt;"", IFERROR(INDEX('بنود العقد'!E$3:E$388,C345), 0), "")</f>
        <v>1104</v>
      </c>
      <c r="G345" s="9">
        <f>IF(C345&lt;&gt;"", IFERROR(INDEX('بنود العقد'!F$3:F$388,C345), 0), "")</f>
        <v>132</v>
      </c>
      <c r="H345" s="18">
        <f t="shared" si="20"/>
        <v>18</v>
      </c>
      <c r="I345" s="7">
        <v>11</v>
      </c>
      <c r="J345" s="18">
        <f t="shared" si="17"/>
        <v>29</v>
      </c>
      <c r="K345" s="10">
        <f t="shared" si="18"/>
        <v>12144</v>
      </c>
      <c r="L345" s="21">
        <f t="shared" si="19"/>
        <v>21.969696969696969</v>
      </c>
    </row>
    <row r="346" spans="1:12" s="72" customFormat="1" ht="25.95" customHeight="1">
      <c r="A346" s="12">
        <v>344</v>
      </c>
      <c r="B346" s="6">
        <v>8</v>
      </c>
      <c r="C346" s="6">
        <v>292</v>
      </c>
      <c r="D346" s="20" t="str">
        <f>IF(C346&lt;&gt;"", IFERROR(INDEX('بنود العقد'!B$3:B$388,C346), "⚠"), "")</f>
        <v xml:space="preserve"> توريد وتركيب وتوصيل وإختبار وفحص اجهزة الإنارة ويشمل اللمبات وأقواس التركيب وحبال التعليق وعلبEMT أو PVC  وقطع الأكسسوار و ايضا نقاط الانارة متضمنة مواسير/أقنية قاسية عالية التحمل ذات أسلاك لاتقل عن 0.4 مم2 لنقطة الإنارة وتوصيل أطراف أسلاك التأريض،وكل الأعمال المساعدة كما.هو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LB5</v>
      </c>
      <c r="E346" s="12" t="str">
        <f>IF(C346&lt;&gt;"", IFERROR(INDEX('بنود العقد'!D$3:D$388,C346), ""), "")</f>
        <v>م.ط</v>
      </c>
      <c r="F346" s="9">
        <f>IF(C346&lt;&gt;"", IFERROR(INDEX('بنود العقد'!E$3:E$388,C346), 0), "")</f>
        <v>174</v>
      </c>
      <c r="G346" s="9">
        <f>IF(C346&lt;&gt;"", IFERROR(INDEX('بنود العقد'!F$3:F$388,C346), 0), "")</f>
        <v>263</v>
      </c>
      <c r="H346" s="18">
        <f t="shared" si="20"/>
        <v>0</v>
      </c>
      <c r="I346" s="7">
        <v>223.14</v>
      </c>
      <c r="J346" s="18">
        <f t="shared" si="17"/>
        <v>223.14</v>
      </c>
      <c r="K346" s="10">
        <f t="shared" si="18"/>
        <v>38826.36</v>
      </c>
      <c r="L346" s="21">
        <f t="shared" si="19"/>
        <v>84.844106463878319</v>
      </c>
    </row>
    <row r="347" spans="1:12" s="72" customFormat="1" ht="25.95" customHeight="1">
      <c r="A347" s="12">
        <v>345</v>
      </c>
      <c r="B347" s="6">
        <v>8</v>
      </c>
      <c r="C347" s="6">
        <v>299</v>
      </c>
      <c r="D347" s="20" t="str">
        <f>IF(C347&lt;&gt;"", IFERROR(INDEX('بنود العقد'!B$3:B$388,C347),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T1</v>
      </c>
      <c r="E347" s="12" t="str">
        <f>IF(C347&lt;&gt;"", IFERROR(INDEX('بنود العقد'!D$3:D$388,C347), ""), "")</f>
        <v>عدد</v>
      </c>
      <c r="F347" s="9">
        <f>IF(C347&lt;&gt;"", IFERROR(INDEX('بنود العقد'!E$3:E$388,C347), 0), "")</f>
        <v>744</v>
      </c>
      <c r="G347" s="9">
        <f>IF(C347&lt;&gt;"", IFERROR(INDEX('بنود العقد'!F$3:F$388,C347), 0), "")</f>
        <v>1146</v>
      </c>
      <c r="H347" s="18">
        <f t="shared" si="20"/>
        <v>139</v>
      </c>
      <c r="I347" s="7">
        <v>63</v>
      </c>
      <c r="J347" s="18">
        <f t="shared" si="17"/>
        <v>202</v>
      </c>
      <c r="K347" s="10">
        <f t="shared" si="18"/>
        <v>46872</v>
      </c>
      <c r="L347" s="21">
        <f t="shared" si="19"/>
        <v>17.626527050610822</v>
      </c>
    </row>
    <row r="348" spans="1:12" s="72" customFormat="1" ht="25.95" customHeight="1">
      <c r="A348" s="12">
        <v>346</v>
      </c>
      <c r="B348" s="6">
        <v>8</v>
      </c>
      <c r="C348" s="6">
        <v>307</v>
      </c>
      <c r="D348" s="20" t="str">
        <f>IF(C348&lt;&gt;"", IFERROR(INDEX('بنود العقد'!B$3:B$388,C348), "⚠"), "")</f>
        <v xml:space="preserve"> توريد وتركيب وتوصيل وتجريب مفاتيح ذات أضواء دليلية وتشمل الماسورة والأسلاك حسب المبيّن على.المخططات و ذلك لسخانات المياه  وحسب المواصفات 20 Amp., 230 V, 1PH</v>
      </c>
      <c r="E348" s="12" t="str">
        <f>IF(C348&lt;&gt;"", IFERROR(INDEX('بنود العقد'!D$3:D$388,C348), ""), "")</f>
        <v>عدد</v>
      </c>
      <c r="F348" s="9">
        <f>IF(C348&lt;&gt;"", IFERROR(INDEX('بنود العقد'!E$3:E$388,C348), 0), "")</f>
        <v>300</v>
      </c>
      <c r="G348" s="9">
        <f>IF(C348&lt;&gt;"", IFERROR(INDEX('بنود العقد'!F$3:F$388,C348), 0), "")</f>
        <v>77</v>
      </c>
      <c r="H348" s="18">
        <f t="shared" si="20"/>
        <v>0</v>
      </c>
      <c r="I348" s="7">
        <v>20</v>
      </c>
      <c r="J348" s="18">
        <f t="shared" si="17"/>
        <v>20</v>
      </c>
      <c r="K348" s="10">
        <f t="shared" si="18"/>
        <v>6000</v>
      </c>
      <c r="L348" s="21">
        <f t="shared" si="19"/>
        <v>25.97402597402597</v>
      </c>
    </row>
    <row r="349" spans="1:12" s="72" customFormat="1" ht="25.95" customHeight="1">
      <c r="A349" s="12">
        <v>347</v>
      </c>
      <c r="B349" s="6">
        <v>8</v>
      </c>
      <c r="C349" s="6">
        <v>316</v>
      </c>
      <c r="D349" s="20" t="str">
        <f>IF(C349&lt;&gt;"", IFERROR(INDEX('بنود العقد'!B$3:B$388,C349), "⚠"), "")</f>
        <v>وحدات لاسلكية لتوفير خدمة شبكة المعلومات )Wireless Access Points(</v>
      </c>
      <c r="E349" s="12" t="str">
        <f>IF(C349&lt;&gt;"", IFERROR(INDEX('بنود العقد'!D$3:D$388,C349), ""), "")</f>
        <v>عدد</v>
      </c>
      <c r="F349" s="9">
        <f>IF(C349&lt;&gt;"", IFERROR(INDEX('بنود العقد'!E$3:E$388,C349), 0), "")</f>
        <v>1080</v>
      </c>
      <c r="G349" s="9">
        <f>IF(C349&lt;&gt;"", IFERROR(INDEX('بنود العقد'!F$3:F$388,C349), 0), "")</f>
        <v>181</v>
      </c>
      <c r="H349" s="18">
        <f t="shared" si="20"/>
        <v>24</v>
      </c>
      <c r="I349" s="7">
        <v>14</v>
      </c>
      <c r="J349" s="18">
        <f t="shared" si="17"/>
        <v>38</v>
      </c>
      <c r="K349" s="10">
        <f t="shared" si="18"/>
        <v>15120</v>
      </c>
      <c r="L349" s="21">
        <f t="shared" si="19"/>
        <v>20.994475138121548</v>
      </c>
    </row>
    <row r="350" spans="1:12" s="72" customFormat="1" ht="25.95" customHeight="1">
      <c r="A350" s="12">
        <v>348</v>
      </c>
      <c r="B350" s="6">
        <v>8</v>
      </c>
      <c r="C350" s="6">
        <v>317</v>
      </c>
      <c r="D350" s="20" t="str">
        <f>IF(C350&lt;&gt;"", IFERROR(INDEX('بنود العقد'!B$3:B$388,C350), "⚠"), "")</f>
        <v>عن طريق مقاول متخصص ذو خبرة كبيرة في هذا المجال ويقدم للاعتماد من إدارة الـ IT بالوزارة و يربط النظام مع الانظمة المعنية بالتحكم و الموازنة و يشمل البند جميع الوصلات و الكابلات و غيرها من المتطلبات الخاصة بنهو النظام كاملا توريد وتركيب واختبارنقاط كاميرا مراقبة داخلية سقفية و جميع ما يلزم من توصيلات و تركيبات و خلافة  لنهو النظام .</v>
      </c>
      <c r="E350" s="12" t="str">
        <f>IF(C350&lt;&gt;"", IFERROR(INDEX('بنود العقد'!D$3:D$388,C350), ""), "")</f>
        <v>عدد</v>
      </c>
      <c r="F350" s="9">
        <f>IF(C350&lt;&gt;"", IFERROR(INDEX('بنود العقد'!E$3:E$388,C350), 0), "")</f>
        <v>2640</v>
      </c>
      <c r="G350" s="9">
        <f>IF(C350&lt;&gt;"", IFERROR(INDEX('بنود العقد'!F$3:F$388,C350), 0), "")</f>
        <v>258</v>
      </c>
      <c r="H350" s="18">
        <f t="shared" si="20"/>
        <v>44</v>
      </c>
      <c r="I350" s="7">
        <v>24</v>
      </c>
      <c r="J350" s="18">
        <f t="shared" si="17"/>
        <v>68</v>
      </c>
      <c r="K350" s="10">
        <f t="shared" si="18"/>
        <v>63360</v>
      </c>
      <c r="L350" s="21">
        <f t="shared" si="19"/>
        <v>26.356589147286826</v>
      </c>
    </row>
    <row r="351" spans="1:12" s="72" customFormat="1" ht="25.95" customHeight="1">
      <c r="A351" s="12">
        <v>349</v>
      </c>
      <c r="B351" s="6">
        <v>8</v>
      </c>
      <c r="C351" s="6">
        <v>319</v>
      </c>
      <c r="D351" s="20" t="str">
        <f>IF(C351&lt;&gt;"", IFERROR(INDEX('بنود العقد'!B$3:B$388,C351), "⚠"), "")</f>
        <v>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قارىء من النوع التقاربى      ( reader card Proximity )</v>
      </c>
      <c r="E351" s="12" t="str">
        <f>IF(C351&lt;&gt;"", IFERROR(INDEX('بنود العقد'!D$3:D$388,C351), ""), "")</f>
        <v>عدد</v>
      </c>
      <c r="F351" s="9">
        <f>IF(C351&lt;&gt;"", IFERROR(INDEX('بنود العقد'!E$3:E$388,C351), 0), "")</f>
        <v>990</v>
      </c>
      <c r="G351" s="9">
        <f>IF(C351&lt;&gt;"", IFERROR(INDEX('بنود العقد'!F$3:F$388,C351), 0), "")</f>
        <v>182</v>
      </c>
      <c r="H351" s="18">
        <f t="shared" si="20"/>
        <v>1</v>
      </c>
      <c r="I351" s="7">
        <v>-1</v>
      </c>
      <c r="J351" s="18">
        <f t="shared" si="17"/>
        <v>0</v>
      </c>
      <c r="K351" s="10">
        <f t="shared" si="18"/>
        <v>-990</v>
      </c>
      <c r="L351" s="21">
        <f t="shared" si="19"/>
        <v>0</v>
      </c>
    </row>
    <row r="352" spans="1:12" s="72" customFormat="1" ht="25.95" customHeight="1">
      <c r="A352" s="12">
        <v>350</v>
      </c>
      <c r="B352" s="6">
        <v>8</v>
      </c>
      <c r="C352" s="6">
        <v>323</v>
      </c>
      <c r="D352" s="20" t="str">
        <f>IF(C352&lt;&gt;"", IFERROR(INDEX('بنود العقد'!B$3:B$388,C352), "⚠"),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زر خروج من النوع button( )Push</v>
      </c>
      <c r="E352" s="12" t="str">
        <f>IF(C352&lt;&gt;"", IFERROR(INDEX('بنود العقد'!D$3:D$388,C352), ""), "")</f>
        <v>عدد</v>
      </c>
      <c r="F352" s="9">
        <f>IF(C352&lt;&gt;"", IFERROR(INDEX('بنود العقد'!E$3:E$388,C352), 0), "")</f>
        <v>606</v>
      </c>
      <c r="G352" s="9">
        <f>IF(C352&lt;&gt;"", IFERROR(INDEX('بنود العقد'!F$3:F$388,C352), 0), "")</f>
        <v>218</v>
      </c>
      <c r="H352" s="18">
        <f t="shared" si="20"/>
        <v>1</v>
      </c>
      <c r="I352" s="7">
        <v>-1</v>
      </c>
      <c r="J352" s="18">
        <f t="shared" si="17"/>
        <v>0</v>
      </c>
      <c r="K352" s="10">
        <f t="shared" si="18"/>
        <v>-606</v>
      </c>
      <c r="L352" s="21">
        <f t="shared" si="19"/>
        <v>0</v>
      </c>
    </row>
    <row r="353" spans="1:12" s="72" customFormat="1" ht="25.95" customHeight="1">
      <c r="A353" s="12">
        <v>351</v>
      </c>
      <c r="B353" s="6">
        <v>8</v>
      </c>
      <c r="C353" s="6">
        <v>327</v>
      </c>
      <c r="D353" s="20" t="str">
        <f>IF(C353&lt;&gt;"", IFERROR(INDEX('بنود العقد'!B$3:B$388,C353), "⚠"), "")</f>
        <v xml:space="preserve">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فردي حائطي مزود بعدد واحد مأخذ RJ-45
</v>
      </c>
      <c r="E353" s="12" t="str">
        <f>IF(C353&lt;&gt;"", IFERROR(INDEX('بنود العقد'!D$3:D$388,C353), ""), "")</f>
        <v>عدد</v>
      </c>
      <c r="F353" s="9">
        <f>IF(C353&lt;&gt;"", IFERROR(INDEX('بنود العقد'!E$3:E$388,C353), 0), "")</f>
        <v>432</v>
      </c>
      <c r="G353" s="9">
        <f>IF(C353&lt;&gt;"", IFERROR(INDEX('بنود العقد'!F$3:F$388,C353), 0), "")</f>
        <v>206</v>
      </c>
      <c r="H353" s="18">
        <f t="shared" si="20"/>
        <v>12</v>
      </c>
      <c r="I353" s="7">
        <v>53</v>
      </c>
      <c r="J353" s="18">
        <f t="shared" si="17"/>
        <v>65</v>
      </c>
      <c r="K353" s="10">
        <f t="shared" si="18"/>
        <v>22896</v>
      </c>
      <c r="L353" s="21">
        <f t="shared" si="19"/>
        <v>31.55339805825243</v>
      </c>
    </row>
    <row r="354" spans="1:12" s="72" customFormat="1" ht="25.95" customHeight="1">
      <c r="A354" s="12">
        <v>352</v>
      </c>
      <c r="B354" s="6">
        <v>8</v>
      </c>
      <c r="C354" s="6">
        <v>334</v>
      </c>
      <c r="D354" s="20" t="str">
        <f>IF(C354&lt;&gt;"", IFERROR(INDEX('بنود العقد'!B$3:B$388,C354), "⚠"), "")</f>
        <v xml:space="preserve">فك و تقطيع وتنزيل و ترحيل مواسير شبكة الصرف و التغذية القائمة و البند يشمل فك القطع والترحيل خارج الموقع وتسليم جميع مكونات شبكة الصرف و التغذية للجهة مالكة المشروع </v>
      </c>
      <c r="E354" s="12" t="str">
        <f>IF(C354&lt;&gt;"", IFERROR(INDEX('بنود العقد'!D$3:D$388,C354), ""), "")</f>
        <v>م.ط</v>
      </c>
      <c r="F354" s="9">
        <f>IF(C354&lt;&gt;"", IFERROR(INDEX('بنود العقد'!E$3:E$388,C354), 0), "")</f>
        <v>16.523</v>
      </c>
      <c r="G354" s="9">
        <f>IF(C354&lt;&gt;"", IFERROR(INDEX('بنود العقد'!F$3:F$388,C354), 0), "")</f>
        <v>0</v>
      </c>
      <c r="H354" s="18">
        <f t="shared" si="20"/>
        <v>0</v>
      </c>
      <c r="I354" s="7">
        <v>1969.5</v>
      </c>
      <c r="J354" s="18">
        <f t="shared" si="17"/>
        <v>1969.5</v>
      </c>
      <c r="K354" s="10">
        <f t="shared" si="18"/>
        <v>32542.048500000001</v>
      </c>
      <c r="L354" s="21" t="str">
        <f t="shared" si="19"/>
        <v/>
      </c>
    </row>
    <row r="355" spans="1:12" s="72" customFormat="1" ht="25.95" customHeight="1">
      <c r="A355" s="12">
        <v>353</v>
      </c>
      <c r="B355" s="6">
        <v>8</v>
      </c>
      <c r="C355" s="6">
        <v>335</v>
      </c>
      <c r="D355" s="20" t="str">
        <f>IF(C355&lt;&gt;"", IFERROR(INDEX('بنود العقد'!B$3:B$388,C355), "⚠"), "")</f>
        <v xml:space="preserve"> توريد و تركيب خرسانة مسلحة ، لا يقل إجهاد كسرها عن 35 ميجا باسكال لزوم خرسانات  الأسقف ، بأسمنت من النوع (أ)، طبقاً للمخططات . ويشمل السعر القوالب  وحديد التسليح  و الربط مع الكمرات الحالية بالتكسير و المضافات الخرسانية و الخلط والنقل والصب والمعالجة والاختبار حسب المخططات لإنهاء الأعمال حسب اصول الصنع وتوجيهات المهندس المشرف </v>
      </c>
      <c r="E355" s="12" t="str">
        <f>IF(C355&lt;&gt;"", IFERROR(INDEX('بنود العقد'!D$3:D$388,C355), ""), "")</f>
        <v>م³</v>
      </c>
      <c r="F355" s="9">
        <f>IF(C355&lt;&gt;"", IFERROR(INDEX('بنود العقد'!E$3:E$388,C355), 0), "")</f>
        <v>1600</v>
      </c>
      <c r="G355" s="9">
        <f>IF(C355&lt;&gt;"", IFERROR(INDEX('بنود العقد'!F$3:F$388,C355), 0), "")</f>
        <v>0</v>
      </c>
      <c r="H355" s="18">
        <f t="shared" si="20"/>
        <v>0</v>
      </c>
      <c r="I355" s="7">
        <v>4.17</v>
      </c>
      <c r="J355" s="18">
        <f t="shared" si="17"/>
        <v>4.17</v>
      </c>
      <c r="K355" s="10">
        <f t="shared" si="18"/>
        <v>6672</v>
      </c>
      <c r="L355" s="21" t="str">
        <f t="shared" si="19"/>
        <v/>
      </c>
    </row>
    <row r="356" spans="1:12" s="72" customFormat="1" ht="25.95" customHeight="1">
      <c r="A356" s="12">
        <v>354</v>
      </c>
      <c r="B356" s="6">
        <v>8</v>
      </c>
      <c r="C356" s="6">
        <v>336</v>
      </c>
      <c r="D356" s="20" t="str">
        <f>IF(C356&lt;&gt;"", IFERROR(INDEX('بنود العقد'!B$3:B$388,C356), "⚠"), "")</f>
        <v xml:space="preserve">ازالة واعادة انشاء مبنى غرفة الحراسة   أعمال الإزالة و الحفر والردم </v>
      </c>
      <c r="E356" s="12" t="str">
        <f>IF(C356&lt;&gt;"", IFERROR(INDEX('بنود العقد'!D$3:D$388,C356), ""), "")</f>
        <v>م²</v>
      </c>
      <c r="F356" s="9">
        <f>IF(C356&lt;&gt;"", IFERROR(INDEX('بنود العقد'!E$3:E$388,C356), 0), "")</f>
        <v>6702</v>
      </c>
      <c r="G356" s="9">
        <f>IF(C356&lt;&gt;"", IFERROR(INDEX('بنود العقد'!F$3:F$388,C356), 0), "")</f>
        <v>0</v>
      </c>
      <c r="H356" s="18">
        <f t="shared" si="20"/>
        <v>0</v>
      </c>
      <c r="I356" s="7">
        <v>11.29</v>
      </c>
      <c r="J356" s="18">
        <f t="shared" si="17"/>
        <v>11.29</v>
      </c>
      <c r="K356" s="10">
        <f t="shared" si="18"/>
        <v>75665.579999999987</v>
      </c>
      <c r="L356" s="21" t="str">
        <f t="shared" si="19"/>
        <v/>
      </c>
    </row>
    <row r="357" spans="1:12" s="72" customFormat="1" ht="25.95" customHeight="1">
      <c r="A357" s="12">
        <v>355</v>
      </c>
      <c r="B357" s="6">
        <v>8</v>
      </c>
      <c r="C357" s="6">
        <v>337</v>
      </c>
      <c r="D357" s="20" t="str">
        <f>IF(C357&lt;&gt;"", IFERROR(INDEX('بنود العقد'!B$3:B$388,C357), "⚠"), "")</f>
        <v xml:space="preserve">أعمال الهيكل الخرساني و المباني والتشطيبات المعمارية لغرفة الحارس </v>
      </c>
      <c r="E357" s="12" t="str">
        <f>IF(C357&lt;&gt;"", IFERROR(INDEX('بنود العقد'!D$3:D$388,C357), ""), "")</f>
        <v>م²</v>
      </c>
      <c r="F357" s="9">
        <f>IF(C357&lt;&gt;"", IFERROR(INDEX('بنود العقد'!E$3:E$388,C357), 0), "")</f>
        <v>5173</v>
      </c>
      <c r="G357" s="9">
        <f>IF(C357&lt;&gt;"", IFERROR(INDEX('بنود العقد'!F$3:F$388,C357), 0), "")</f>
        <v>0</v>
      </c>
      <c r="H357" s="18">
        <f t="shared" si="20"/>
        <v>0</v>
      </c>
      <c r="I357" s="7">
        <v>11.29</v>
      </c>
      <c r="J357" s="18">
        <f t="shared" si="17"/>
        <v>11.29</v>
      </c>
      <c r="K357" s="10">
        <f t="shared" si="18"/>
        <v>58403.17</v>
      </c>
      <c r="L357" s="21" t="str">
        <f t="shared" si="19"/>
        <v/>
      </c>
    </row>
    <row r="358" spans="1:12" s="72" customFormat="1" ht="25.95" customHeight="1">
      <c r="A358" s="12">
        <v>356</v>
      </c>
      <c r="B358" s="6">
        <v>8</v>
      </c>
      <c r="C358" s="6">
        <v>338</v>
      </c>
      <c r="D358" s="20" t="str">
        <f>IF(C358&lt;&gt;"", IFERROR(INDEX('بنود العقد'!B$3:B$388,C358), "⚠"), "")</f>
        <v xml:space="preserve">الأعمال الميكانيكية لغرفة الحارس  </v>
      </c>
      <c r="E358" s="12" t="str">
        <f>IF(C358&lt;&gt;"", IFERROR(INDEX('بنود العقد'!D$3:D$388,C358), ""), "")</f>
        <v>عدد</v>
      </c>
      <c r="F358" s="9">
        <f>IF(C358&lt;&gt;"", IFERROR(INDEX('بنود العقد'!E$3:E$388,C358), 0), "")</f>
        <v>6392</v>
      </c>
      <c r="G358" s="9">
        <f>IF(C358&lt;&gt;"", IFERROR(INDEX('بنود العقد'!F$3:F$388,C358), 0), "")</f>
        <v>0</v>
      </c>
      <c r="H358" s="18">
        <f t="shared" si="20"/>
        <v>0</v>
      </c>
      <c r="I358" s="7">
        <v>1</v>
      </c>
      <c r="J358" s="18">
        <f t="shared" si="17"/>
        <v>1</v>
      </c>
      <c r="K358" s="10">
        <f t="shared" si="18"/>
        <v>6392</v>
      </c>
      <c r="L358" s="21" t="str">
        <f t="shared" si="19"/>
        <v/>
      </c>
    </row>
    <row r="359" spans="1:12" s="72" customFormat="1" ht="25.95" customHeight="1">
      <c r="A359" s="12">
        <v>357</v>
      </c>
      <c r="B359" s="6">
        <v>8</v>
      </c>
      <c r="C359" s="6">
        <v>339</v>
      </c>
      <c r="D359" s="20" t="str">
        <f>IF(C359&lt;&gt;"", IFERROR(INDEX('بنود العقد'!B$3:B$388,C359), "⚠"), "")</f>
        <v xml:space="preserve">الأعمال الكهربائية لغرفة الحارس </v>
      </c>
      <c r="E359" s="12" t="str">
        <f>IF(C359&lt;&gt;"", IFERROR(INDEX('بنود العقد'!D$3:D$388,C359), ""), "")</f>
        <v>م²</v>
      </c>
      <c r="F359" s="9">
        <f>IF(C359&lt;&gt;"", IFERROR(INDEX('بنود العقد'!E$3:E$388,C359), 0), "")</f>
        <v>1275.5</v>
      </c>
      <c r="G359" s="9">
        <f>IF(C359&lt;&gt;"", IFERROR(INDEX('بنود العقد'!F$3:F$388,C359), 0), "")</f>
        <v>0</v>
      </c>
      <c r="H359" s="18">
        <f t="shared" si="20"/>
        <v>0</v>
      </c>
      <c r="I359" s="7">
        <v>11.29</v>
      </c>
      <c r="J359" s="18">
        <f t="shared" si="17"/>
        <v>11.29</v>
      </c>
      <c r="K359" s="10">
        <f t="shared" si="18"/>
        <v>14400.394999999999</v>
      </c>
      <c r="L359" s="21" t="str">
        <f t="shared" si="19"/>
        <v/>
      </c>
    </row>
    <row r="360" spans="1:12" s="72" customFormat="1" ht="25.95" customHeight="1">
      <c r="A360" s="12">
        <v>358</v>
      </c>
      <c r="B360" s="6">
        <v>8</v>
      </c>
      <c r="C360" s="6">
        <v>340</v>
      </c>
      <c r="D360" s="20" t="str">
        <f>IF(C360&lt;&gt;"", IFERROR(INDEX('بنود العقد'!B$3:B$388,C360), "⚠"), "")</f>
        <v>ازالة وتكسير وترحيل ارضيات الخرسانة</v>
      </c>
      <c r="E360" s="12" t="str">
        <f>IF(C360&lt;&gt;"", IFERROR(INDEX('بنود العقد'!D$3:D$388,C360), ""), "")</f>
        <v>م²</v>
      </c>
      <c r="F360" s="9">
        <f>IF(C360&lt;&gt;"", IFERROR(INDEX('بنود العقد'!E$3:E$388,C360), 0), "")</f>
        <v>69.42</v>
      </c>
      <c r="G360" s="9">
        <f>IF(C360&lt;&gt;"", IFERROR(INDEX('بنود العقد'!F$3:F$388,C360), 0), "")</f>
        <v>0</v>
      </c>
      <c r="H360" s="18">
        <f t="shared" si="20"/>
        <v>0</v>
      </c>
      <c r="I360" s="7">
        <v>1108.23</v>
      </c>
      <c r="J360" s="18">
        <f t="shared" si="17"/>
        <v>1108.23</v>
      </c>
      <c r="K360" s="10">
        <f t="shared" si="18"/>
        <v>76933.3266</v>
      </c>
      <c r="L360" s="21" t="str">
        <f t="shared" si="19"/>
        <v/>
      </c>
    </row>
    <row r="361" spans="1:12" s="72" customFormat="1" ht="25.95" customHeight="1">
      <c r="A361" s="12">
        <v>359</v>
      </c>
      <c r="B361" s="6">
        <v>8</v>
      </c>
      <c r="C361" s="6">
        <v>341</v>
      </c>
      <c r="D361" s="20" t="str">
        <f>IF(C361&lt;&gt;"", IFERROR(INDEX('بنود العقد'!B$3:B$388,C361), "⚠"), "")</f>
        <v xml:space="preserve">فك و تقطيع وتنزيل و ترحيل مواسير شبكة مكافحة الحريق القائمة و البند يشمل فك الرشاشات والترحيل خارج الموقع وتسليم جميع مكونات شبكة الحريق للجهة مالكة المشروع </v>
      </c>
      <c r="E361" s="12" t="str">
        <f>IF(C361&lt;&gt;"", IFERROR(INDEX('بنود العقد'!D$3:D$388,C361), ""), "")</f>
        <v>م.ط</v>
      </c>
      <c r="F361" s="9">
        <f>IF(C361&lt;&gt;"", IFERROR(INDEX('بنود العقد'!E$3:E$388,C361), 0), "")</f>
        <v>20.88</v>
      </c>
      <c r="G361" s="9">
        <f>IF(C361&lt;&gt;"", IFERROR(INDEX('بنود العقد'!F$3:F$388,C361), 0), "")</f>
        <v>0</v>
      </c>
      <c r="H361" s="18">
        <f t="shared" si="20"/>
        <v>0</v>
      </c>
      <c r="I361" s="7">
        <v>7084.89</v>
      </c>
      <c r="J361" s="18">
        <f t="shared" si="17"/>
        <v>7084.89</v>
      </c>
      <c r="K361" s="10">
        <f t="shared" si="18"/>
        <v>147932.50320000001</v>
      </c>
      <c r="L361" s="21" t="str">
        <f t="shared" si="19"/>
        <v/>
      </c>
    </row>
    <row r="362" spans="1:12" s="72" customFormat="1" ht="25.95" customHeight="1">
      <c r="A362" s="12">
        <v>360</v>
      </c>
      <c r="B362" s="6">
        <v>8</v>
      </c>
      <c r="C362" s="6">
        <v>342</v>
      </c>
      <c r="D362" s="20" t="str">
        <f>IF(C362&lt;&gt;"", IFERROR(INDEX('بنود العقد'!B$3:B$388,C362), "⚠"), "")</f>
        <v xml:space="preserve">فك وفحص و إختبار وحدات VAV القائمة بالمبنى و البند يشمل  الترحيل لمستودعات الجهة مالكة المشروع بمدينة الرياض </v>
      </c>
      <c r="E362" s="12" t="str">
        <f>IF(C362&lt;&gt;"", IFERROR(INDEX('بنود العقد'!D$3:D$388,C362), ""), "")</f>
        <v>عدد</v>
      </c>
      <c r="F362" s="9">
        <f>IF(C362&lt;&gt;"", IFERROR(INDEX('بنود العقد'!E$3:E$388,C362), 0), "")</f>
        <v>450</v>
      </c>
      <c r="G362" s="9">
        <f>IF(C362&lt;&gt;"", IFERROR(INDEX('بنود العقد'!F$3:F$388,C362), 0), "")</f>
        <v>0</v>
      </c>
      <c r="H362" s="18">
        <f t="shared" si="20"/>
        <v>0</v>
      </c>
      <c r="I362" s="7">
        <v>181</v>
      </c>
      <c r="J362" s="18">
        <f t="shared" si="17"/>
        <v>181</v>
      </c>
      <c r="K362" s="10">
        <f t="shared" si="18"/>
        <v>81450</v>
      </c>
      <c r="L362" s="21" t="str">
        <f t="shared" si="19"/>
        <v/>
      </c>
    </row>
    <row r="363" spans="1:12" s="72" customFormat="1" ht="25.95" customHeight="1">
      <c r="A363" s="12">
        <v>361</v>
      </c>
      <c r="B363" s="6">
        <v>8</v>
      </c>
      <c r="C363" s="6">
        <v>343</v>
      </c>
      <c r="D363" s="20" t="str">
        <f>IF(C363&lt;&gt;"", IFERROR(INDEX('بنود العقد'!B$3:B$388,C363), "⚠"), "")</f>
        <v xml:space="preserve">فك و إزالة  مجاري الهواء من الصفائح المعدنية المجلفنة شامل الاكواع و التفريعات و التحويله و العامة وحاملة التعليق و الترحيل إلى مستودعات الجهة مالكة المشروع بمدينة الرياض  </v>
      </c>
      <c r="E363" s="12" t="str">
        <f>IF(C363&lt;&gt;"", IFERROR(INDEX('بنود العقد'!D$3:D$388,C363), ""), "")</f>
        <v>م.ط</v>
      </c>
      <c r="F363" s="9">
        <f>IF(C363&lt;&gt;"", IFERROR(INDEX('بنود العقد'!E$3:E$388,C363), 0), "")</f>
        <v>106</v>
      </c>
      <c r="G363" s="9">
        <f>IF(C363&lt;&gt;"", IFERROR(INDEX('بنود العقد'!F$3:F$388,C363), 0), "")</f>
        <v>0</v>
      </c>
      <c r="H363" s="18">
        <f t="shared" si="20"/>
        <v>0</v>
      </c>
      <c r="I363" s="7">
        <v>6078.94</v>
      </c>
      <c r="J363" s="18">
        <f t="shared" si="17"/>
        <v>6078.94</v>
      </c>
      <c r="K363" s="10">
        <f t="shared" si="18"/>
        <v>644367.64</v>
      </c>
      <c r="L363" s="21" t="str">
        <f t="shared" si="19"/>
        <v/>
      </c>
    </row>
    <row r="364" spans="1:12" s="72" customFormat="1" ht="25.95" customHeight="1">
      <c r="A364" s="12">
        <v>362</v>
      </c>
      <c r="B364" s="6">
        <v>8</v>
      </c>
      <c r="C364" s="6">
        <v>344</v>
      </c>
      <c r="D364" s="20" t="str">
        <f>IF(C364&lt;&gt;"", IFERROR(INDEX('بنود العقد'!B$3:B$388,C364), "⚠"), "")</f>
        <v xml:space="preserve">تصنيع و توريد و تركيب شباك دبل أكشن (Tilt &amp;turn)مقاس
 (1.0متر *3.0متر ) ثابت مع مفصلات </v>
      </c>
      <c r="E364" s="12" t="str">
        <f>IF(C364&lt;&gt;"", IFERROR(INDEX('بنود العقد'!D$3:D$388,C364), ""), "")</f>
        <v>م²</v>
      </c>
      <c r="F364" s="9">
        <f>IF(C364&lt;&gt;"", IFERROR(INDEX('بنود العقد'!E$3:E$388,C364), 0), "")</f>
        <v>1665</v>
      </c>
      <c r="G364" s="9">
        <f>IF(C364&lt;&gt;"", IFERROR(INDEX('بنود العقد'!F$3:F$388,C364), 0), "")</f>
        <v>0</v>
      </c>
      <c r="H364" s="18">
        <f t="shared" si="20"/>
        <v>0</v>
      </c>
      <c r="I364" s="7">
        <v>33</v>
      </c>
      <c r="J364" s="18">
        <f t="shared" si="17"/>
        <v>33</v>
      </c>
      <c r="K364" s="10">
        <f t="shared" si="18"/>
        <v>54945</v>
      </c>
      <c r="L364" s="21" t="str">
        <f t="shared" si="19"/>
        <v/>
      </c>
    </row>
    <row r="365" spans="1:12" s="72" customFormat="1" ht="25.95" customHeight="1">
      <c r="A365" s="12">
        <v>363</v>
      </c>
      <c r="B365" s="6">
        <v>8</v>
      </c>
      <c r="C365" s="6">
        <v>346</v>
      </c>
      <c r="D365" s="20" t="str">
        <f>IF(C365&lt;&gt;"", IFERROR(INDEX('بنود العقد'!B$3:B$388,C365), "⚠"), "")</f>
        <v xml:space="preserve">
توريد وتركيب مرحاض افرنجي مثبت على الحائط  مع محبس دفق (Flush valve)  مع زر دفق من الكروم ، مع غطاء للمرحاض مقاوم للبكتريا من نوع soft closing</v>
      </c>
      <c r="E365" s="12" t="str">
        <f>IF(C365&lt;&gt;"", IFERROR(INDEX('بنود العقد'!D$3:D$388,C365), ""), "")</f>
        <v>عدد</v>
      </c>
      <c r="F365" s="9">
        <f>IF(C365&lt;&gt;"", IFERROR(INDEX('بنود العقد'!E$3:E$388,C365), 0), "")</f>
        <v>2408.39</v>
      </c>
      <c r="G365" s="9">
        <f>IF(C365&lt;&gt;"", IFERROR(INDEX('بنود العقد'!F$3:F$388,C365), 0), "")</f>
        <v>0</v>
      </c>
      <c r="H365" s="18">
        <f t="shared" si="20"/>
        <v>0</v>
      </c>
      <c r="I365" s="7">
        <v>30</v>
      </c>
      <c r="J365" s="18">
        <f t="shared" si="17"/>
        <v>30</v>
      </c>
      <c r="K365" s="10">
        <f t="shared" si="18"/>
        <v>72251.7</v>
      </c>
      <c r="L365" s="21" t="str">
        <f t="shared" si="19"/>
        <v/>
      </c>
    </row>
    <row r="366" spans="1:12" s="72" customFormat="1" ht="25.95" customHeight="1">
      <c r="A366" s="12">
        <v>364</v>
      </c>
      <c r="B366" s="6">
        <v>8</v>
      </c>
      <c r="C366" s="6">
        <v>348</v>
      </c>
      <c r="D366" s="20" t="str">
        <f>IF(C366&lt;&gt;"", IFERROR(INDEX('بنود العقد'!B$3:B$388,C366), "⚠"), "")</f>
        <v>توريد وتركيب برادات مياة حسب العينة المعتمدة ويتم التركيب طبقاً للمخططات والمواصفات الفنية وبحسب توجيهات واعتماد المهندس المشرف.</v>
      </c>
      <c r="E366" s="12" t="str">
        <f>IF(C366&lt;&gt;"", IFERROR(INDEX('بنود العقد'!D$3:D$388,C366), ""), "")</f>
        <v>عدد</v>
      </c>
      <c r="F366" s="9">
        <f>IF(C366&lt;&gt;"", IFERROR(INDEX('بنود العقد'!E$3:E$388,C366), 0), "")</f>
        <v>12600</v>
      </c>
      <c r="G366" s="9">
        <f>IF(C366&lt;&gt;"", IFERROR(INDEX('بنود العقد'!F$3:F$388,C366), 0), "")</f>
        <v>0</v>
      </c>
      <c r="H366" s="18">
        <f t="shared" si="20"/>
        <v>0</v>
      </c>
      <c r="I366" s="7">
        <v>12</v>
      </c>
      <c r="J366" s="18">
        <f t="shared" si="17"/>
        <v>12</v>
      </c>
      <c r="K366" s="10">
        <f t="shared" si="18"/>
        <v>151200</v>
      </c>
      <c r="L366" s="21" t="str">
        <f t="shared" si="19"/>
        <v/>
      </c>
    </row>
    <row r="367" spans="1:12" s="72" customFormat="1" ht="25.95" customHeight="1">
      <c r="A367" s="12">
        <v>365</v>
      </c>
      <c r="B367" s="6">
        <v>8</v>
      </c>
      <c r="C367" s="6">
        <v>349</v>
      </c>
      <c r="D367" s="20" t="str">
        <f>IF(C367&lt;&gt;"", IFERROR(INDEX('بنود العقد'!B$3:B$388,C367), "⚠"), "")</f>
        <v xml:space="preserve"> توريد و تركيب مراوح سحب الهواء (AXIAL INLINE FAN)  تشمل عمليات التوريد و التركيب و الاختبار و التثبيت  سعة 100 قدم مكعب بالدقيقة بالدور الثالث والرابع والخامس</v>
      </c>
      <c r="E367" s="12" t="str">
        <f>IF(C367&lt;&gt;"", IFERROR(INDEX('بنود العقد'!D$3:D$388,C367), ""), "")</f>
        <v>عدد</v>
      </c>
      <c r="F367" s="9">
        <f>IF(C367&lt;&gt;"", IFERROR(INDEX('بنود العقد'!E$3:E$388,C367), 0), "")</f>
        <v>1160.4000000000001</v>
      </c>
      <c r="G367" s="9">
        <f>IF(C367&lt;&gt;"", IFERROR(INDEX('بنود العقد'!F$3:F$388,C367), 0), "")</f>
        <v>0</v>
      </c>
      <c r="H367" s="18">
        <f t="shared" si="20"/>
        <v>0</v>
      </c>
      <c r="I367" s="7">
        <v>2</v>
      </c>
      <c r="J367" s="18">
        <f t="shared" si="17"/>
        <v>2</v>
      </c>
      <c r="K367" s="10">
        <f t="shared" si="18"/>
        <v>2320.8000000000002</v>
      </c>
      <c r="L367" s="21" t="str">
        <f t="shared" si="19"/>
        <v/>
      </c>
    </row>
    <row r="368" spans="1:12" s="72" customFormat="1" ht="25.95" customHeight="1">
      <c r="A368" s="12">
        <v>366</v>
      </c>
      <c r="B368" s="6">
        <v>8</v>
      </c>
      <c r="C368" s="6">
        <v>351</v>
      </c>
      <c r="D368" s="20" t="str">
        <f>IF(C368&lt;&gt;"", IFERROR(INDEX('بنود العقد'!B$3:B$388,C368), "⚠"), "")</f>
        <v>توريد وتركيب وفرد دهان ايبوكسي لزوم الدربزينات بالفناء الوسطي و البهو الداخلي بين الادوار و المدخل ويتم التركيب طبقاً للمخططات والمواصفات الفنية و المواد المعتمدة  .</v>
      </c>
      <c r="E368" s="12" t="str">
        <f>IF(C368&lt;&gt;"", IFERROR(INDEX('بنود العقد'!D$3:D$388,C368), ""), "")</f>
        <v>م.ط</v>
      </c>
      <c r="F368" s="9">
        <f>IF(C368&lt;&gt;"", IFERROR(INDEX('بنود العقد'!E$3:E$388,C368), 0), "")</f>
        <v>45</v>
      </c>
      <c r="G368" s="9">
        <f>IF(C368&lt;&gt;"", IFERROR(INDEX('بنود العقد'!F$3:F$388,C368), 0), "")</f>
        <v>0</v>
      </c>
      <c r="H368" s="18">
        <f t="shared" si="20"/>
        <v>0</v>
      </c>
      <c r="I368" s="7">
        <v>60.47</v>
      </c>
      <c r="J368" s="18">
        <f t="shared" si="17"/>
        <v>60.47</v>
      </c>
      <c r="K368" s="10">
        <f t="shared" si="18"/>
        <v>2721.15</v>
      </c>
      <c r="L368" s="21" t="str">
        <f t="shared" si="19"/>
        <v/>
      </c>
    </row>
    <row r="369" spans="1:12" s="72" customFormat="1" ht="25.95" customHeight="1">
      <c r="A369" s="12">
        <v>367</v>
      </c>
      <c r="B369" s="6">
        <v>8</v>
      </c>
      <c r="C369" s="6">
        <v>352</v>
      </c>
      <c r="D369" s="20" t="str">
        <f>IF(C369&lt;&gt;"", IFERROR(INDEX('بنود العقد'!B$3:B$388,C369), "⚠"), "")</f>
        <v>توريد وتركيب ابواب خشبيةWD02 حسب العينة المعتمدة ويتم التركيب طبقاً للمخططات والمواصفات الفنية وبحسب توجيهات واعتماد المهندس المشرف.</v>
      </c>
      <c r="E369" s="12" t="str">
        <f>IF(C369&lt;&gt;"", IFERROR(INDEX('بنود العقد'!D$3:D$388,C369), ""), "")</f>
        <v>عدد</v>
      </c>
      <c r="F369" s="9">
        <f>IF(C369&lt;&gt;"", IFERROR(INDEX('بنود العقد'!E$3:E$388,C369), 0), "")</f>
        <v>16800</v>
      </c>
      <c r="G369" s="9">
        <f>IF(C369&lt;&gt;"", IFERROR(INDEX('بنود العقد'!F$3:F$388,C369), 0), "")</f>
        <v>0</v>
      </c>
      <c r="H369" s="18">
        <f t="shared" si="20"/>
        <v>0</v>
      </c>
      <c r="I369" s="7">
        <v>3</v>
      </c>
      <c r="J369" s="18">
        <f t="shared" si="17"/>
        <v>3</v>
      </c>
      <c r="K369" s="10">
        <f t="shared" si="18"/>
        <v>50400</v>
      </c>
      <c r="L369" s="21" t="str">
        <f t="shared" si="19"/>
        <v/>
      </c>
    </row>
    <row r="370" spans="1:12" s="72" customFormat="1" ht="25.95" customHeight="1">
      <c r="A370" s="12">
        <v>368</v>
      </c>
      <c r="B370" s="6">
        <v>8</v>
      </c>
      <c r="C370" s="6">
        <v>353</v>
      </c>
      <c r="D370" s="20" t="str">
        <f>IF(C370&lt;&gt;"", IFERROR(INDEX('بنود العقد'!B$3:B$388,C370),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والمنحنيات والتفريعات والدعامات ، كما هو مبين في المخططات لتركيب مايلي من الأقطار الداخلية مع ربطه بالشبكة الحالية لاقرب نقطة و على المقاول تقديم المخططات التنفيذية و الحسابات الهيدروليكية و اعتمادها قبل البدأ بتنفيذ الاعمال من المهندس المشرف للاقطار  الداخلية :
قطر 75 مم</v>
      </c>
      <c r="E370" s="12" t="str">
        <f>IF(C370&lt;&gt;"", IFERROR(INDEX('بنود العقد'!D$3:D$388,C370), ""), "")</f>
        <v>م.ط</v>
      </c>
      <c r="F370" s="9">
        <f>IF(C370&lt;&gt;"", IFERROR(INDEX('بنود العقد'!E$3:E$388,C370), 0), "")</f>
        <v>298</v>
      </c>
      <c r="G370" s="9">
        <f>IF(C370&lt;&gt;"", IFERROR(INDEX('بنود العقد'!F$3:F$388,C370), 0), "")</f>
        <v>0</v>
      </c>
      <c r="H370" s="18">
        <f t="shared" si="20"/>
        <v>0</v>
      </c>
      <c r="I370" s="7">
        <v>34.700000000000003</v>
      </c>
      <c r="J370" s="18">
        <f t="shared" si="17"/>
        <v>34.700000000000003</v>
      </c>
      <c r="K370" s="10">
        <f t="shared" si="18"/>
        <v>10340.6</v>
      </c>
      <c r="L370" s="21" t="str">
        <f t="shared" si="19"/>
        <v/>
      </c>
    </row>
    <row r="371" spans="1:12" s="72" customFormat="1" ht="25.95" customHeight="1">
      <c r="A371" s="12">
        <v>369</v>
      </c>
      <c r="B371" s="6">
        <v>8</v>
      </c>
      <c r="C371" s="6">
        <v>354</v>
      </c>
      <c r="D371" s="20" t="str">
        <f>IF(C371&lt;&gt;"", IFERROR(INDEX('بنود العقد'!B$3:B$388,C371),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والمنحنيات والتفريعات والدعامات ، كما هو مبين في المخططات لتركيب مايلي من الأقطار الداخلية مع ربطه بالشبكة الحالية لاقرب نقطة و على المقاول تقديم المخططات التنفيذية و الحسابات الهيدروليكية و اعتمادها قبل البدأ بتنفيذ الاعمال من المهندس المشرف للاقطار  الداخلية :
قطر 63 مم</v>
      </c>
      <c r="E371" s="12" t="str">
        <f>IF(C371&lt;&gt;"", IFERROR(INDEX('بنود العقد'!D$3:D$388,C371), ""), "")</f>
        <v>م.ط</v>
      </c>
      <c r="F371" s="9">
        <f>IF(C371&lt;&gt;"", IFERROR(INDEX('بنود العقد'!E$3:E$388,C371), 0), "")</f>
        <v>179</v>
      </c>
      <c r="G371" s="9">
        <f>IF(C371&lt;&gt;"", IFERROR(INDEX('بنود العقد'!F$3:F$388,C371), 0), "")</f>
        <v>0</v>
      </c>
      <c r="H371" s="18">
        <f t="shared" si="20"/>
        <v>0</v>
      </c>
      <c r="I371" s="7">
        <v>19.600000000000001</v>
      </c>
      <c r="J371" s="18">
        <f t="shared" si="17"/>
        <v>19.600000000000001</v>
      </c>
      <c r="K371" s="10">
        <f t="shared" si="18"/>
        <v>3508.4</v>
      </c>
      <c r="L371" s="21" t="str">
        <f t="shared" si="19"/>
        <v/>
      </c>
    </row>
    <row r="372" spans="1:12" s="72" customFormat="1" ht="25.95" customHeight="1">
      <c r="A372" s="12">
        <v>370</v>
      </c>
      <c r="B372" s="6">
        <v>8</v>
      </c>
      <c r="C372" s="6">
        <v>355</v>
      </c>
      <c r="D372" s="20" t="str">
        <f>IF(C372&lt;&gt;"", IFERROR(INDEX('بنود العقد'!B$3:B$388,C372), "⚠"), "")</f>
        <v>توريد وتركيب محبس بوابة (GATE VALVE) يركب علي شبكة المواسير داخل المبني ، والبند يشمل جميع القطع والتوصيلات اللازمة للتركيب وذلك للأقطار التالية:
قطر 3 بوصة</v>
      </c>
      <c r="E372" s="12" t="str">
        <f>IF(C372&lt;&gt;"", IFERROR(INDEX('بنود العقد'!D$3:D$388,C372), ""), "")</f>
        <v>عدد</v>
      </c>
      <c r="F372" s="9">
        <f>IF(C372&lt;&gt;"", IFERROR(INDEX('بنود العقد'!E$3:E$388,C372), 0), "")</f>
        <v>2180</v>
      </c>
      <c r="G372" s="9">
        <f>IF(C372&lt;&gt;"", IFERROR(INDEX('بنود العقد'!F$3:F$388,C372), 0), "")</f>
        <v>0</v>
      </c>
      <c r="H372" s="18">
        <f t="shared" si="20"/>
        <v>0</v>
      </c>
      <c r="I372" s="7">
        <v>1</v>
      </c>
      <c r="J372" s="18">
        <f t="shared" si="17"/>
        <v>1</v>
      </c>
      <c r="K372" s="10">
        <f t="shared" si="18"/>
        <v>2180</v>
      </c>
      <c r="L372" s="21" t="str">
        <f t="shared" si="19"/>
        <v/>
      </c>
    </row>
    <row r="373" spans="1:12" s="72" customFormat="1" ht="25.95" customHeight="1">
      <c r="A373" s="12">
        <v>371</v>
      </c>
      <c r="B373" s="6">
        <v>8</v>
      </c>
      <c r="C373" s="6">
        <v>356</v>
      </c>
      <c r="D373" s="20" t="str">
        <f>IF(C373&lt;&gt;"", IFERROR(INDEX('بنود العقد'!B$3:B$388,C373), "⚠"), "")</f>
        <v>توريد وتركيب محبس بوابة (GATE VALVE) يركب علي شبكة المواسير داخل المبني ، والبند يشمل جميع القطع والتوصيلات اللازمة للتركيب وذلك للأقطار التالية:
قطر 2.5 بوصة</v>
      </c>
      <c r="E373" s="12" t="str">
        <f>IF(C373&lt;&gt;"", IFERROR(INDEX('بنود العقد'!D$3:D$388,C373), ""), "")</f>
        <v>عدد</v>
      </c>
      <c r="F373" s="9">
        <f>IF(C373&lt;&gt;"", IFERROR(INDEX('بنود العقد'!E$3:E$388,C373), 0), "")</f>
        <v>1663</v>
      </c>
      <c r="G373" s="9">
        <f>IF(C373&lt;&gt;"", IFERROR(INDEX('بنود العقد'!F$3:F$388,C373), 0), "")</f>
        <v>0</v>
      </c>
      <c r="H373" s="18">
        <f t="shared" si="20"/>
        <v>0</v>
      </c>
      <c r="I373" s="7">
        <v>13</v>
      </c>
      <c r="J373" s="18">
        <f t="shared" si="17"/>
        <v>13</v>
      </c>
      <c r="K373" s="10">
        <f t="shared" si="18"/>
        <v>21619</v>
      </c>
      <c r="L373" s="21" t="str">
        <f t="shared" si="19"/>
        <v/>
      </c>
    </row>
    <row r="374" spans="1:12" s="72" customFormat="1" ht="25.95" customHeight="1">
      <c r="A374" s="12">
        <v>372</v>
      </c>
      <c r="B374" s="6">
        <v>8</v>
      </c>
      <c r="C374" s="6">
        <v>357</v>
      </c>
      <c r="D374" s="20" t="str">
        <f>IF(C374&lt;&gt;"", IFERROR(INDEX('بنود العقد'!B$3:B$388,C374), "⚠"), "")</f>
        <v>توريد وتركيب محبس بوابة (GATE VALVE) يركب علي شبكة المواسير داخل المبني ، والبند يشمل جميع القطع والتوصيلات اللازمة للتركيب وذلك للأقطار التالية:
قطر 1.25 بوصة</v>
      </c>
      <c r="E374" s="12" t="str">
        <f>IF(C374&lt;&gt;"", IFERROR(INDEX('بنود العقد'!D$3:D$388,C374), ""), "")</f>
        <v>عدد</v>
      </c>
      <c r="F374" s="9">
        <f>IF(C374&lt;&gt;"", IFERROR(INDEX('بنود العقد'!E$3:E$388,C374), 0), "")</f>
        <v>621</v>
      </c>
      <c r="G374" s="9">
        <f>IF(C374&lt;&gt;"", IFERROR(INDEX('بنود العقد'!F$3:F$388,C374), 0), "")</f>
        <v>0</v>
      </c>
      <c r="H374" s="18">
        <f t="shared" si="20"/>
        <v>0</v>
      </c>
      <c r="I374" s="7">
        <v>14</v>
      </c>
      <c r="J374" s="18">
        <f t="shared" si="17"/>
        <v>14</v>
      </c>
      <c r="K374" s="10">
        <f t="shared" si="18"/>
        <v>8694</v>
      </c>
      <c r="L374" s="21" t="str">
        <f t="shared" si="19"/>
        <v/>
      </c>
    </row>
    <row r="375" spans="1:12" s="72" customFormat="1" ht="25.95" customHeight="1">
      <c r="A375" s="12">
        <v>373</v>
      </c>
      <c r="B375" s="6">
        <v>8</v>
      </c>
      <c r="C375" s="6">
        <v>358</v>
      </c>
      <c r="D375" s="20" t="str">
        <f>IF(C375&lt;&gt;"", IFERROR(INDEX('بنود العقد'!B$3:B$388,C375), "⚠"), "")</f>
        <v>توريد وتركيب محبس تخفيض ضغط (PRV) يركب علي شبكة المواسير داخل المبني ، والبند يشمل جميع القطع والتوصيلات اللازمة للتركيب وذلك للأقطار التالية:
قطر 2 بوصة</v>
      </c>
      <c r="E375" s="12" t="str">
        <f>IF(C375&lt;&gt;"", IFERROR(INDEX('بنود العقد'!D$3:D$388,C375), ""), "")</f>
        <v>عدد</v>
      </c>
      <c r="F375" s="9">
        <f>IF(C375&lt;&gt;"", IFERROR(INDEX('بنود العقد'!E$3:E$388,C375), 0), "")</f>
        <v>1772</v>
      </c>
      <c r="G375" s="9">
        <f>IF(C375&lt;&gt;"", IFERROR(INDEX('بنود العقد'!F$3:F$388,C375), 0), "")</f>
        <v>0</v>
      </c>
      <c r="H375" s="18">
        <f t="shared" si="20"/>
        <v>0</v>
      </c>
      <c r="I375" s="7">
        <v>13</v>
      </c>
      <c r="J375" s="18">
        <f t="shared" si="17"/>
        <v>13</v>
      </c>
      <c r="K375" s="10">
        <f t="shared" si="18"/>
        <v>23036</v>
      </c>
      <c r="L375" s="21" t="str">
        <f t="shared" si="19"/>
        <v/>
      </c>
    </row>
    <row r="376" spans="1:12" s="72" customFormat="1" ht="25.95" customHeight="1">
      <c r="A376" s="12">
        <v>374</v>
      </c>
      <c r="B376" s="6">
        <v>8</v>
      </c>
      <c r="C376" s="6">
        <v>359</v>
      </c>
      <c r="D376" s="20" t="str">
        <f>IF(C376&lt;&gt;"", IFERROR(INDEX('بنود العقد'!B$3:B$388,C376), "⚠"), "")</f>
        <v>توريد وتركيب محبس تخفيض ضغط (PRV) يركب علي شبكة المواسير داخل المبني ، والبند يشمل جميع القطع والتوصيلات اللازمة للتركيب وذلك للأقطار التالية:
قطر 1.25 بوصة</v>
      </c>
      <c r="E376" s="12" t="str">
        <f>IF(C376&lt;&gt;"", IFERROR(INDEX('بنود العقد'!D$3:D$388,C376), ""), "")</f>
        <v>عدد</v>
      </c>
      <c r="F376" s="9">
        <f>IF(C376&lt;&gt;"", IFERROR(INDEX('بنود العقد'!E$3:E$388,C376), 0), "")</f>
        <v>772</v>
      </c>
      <c r="G376" s="9">
        <f>IF(C376&lt;&gt;"", IFERROR(INDEX('بنود العقد'!F$3:F$388,C376), 0), "")</f>
        <v>0</v>
      </c>
      <c r="H376" s="18">
        <f t="shared" si="20"/>
        <v>0</v>
      </c>
      <c r="I376" s="7">
        <v>14</v>
      </c>
      <c r="J376" s="18">
        <f t="shared" si="17"/>
        <v>14</v>
      </c>
      <c r="K376" s="10">
        <f t="shared" si="18"/>
        <v>10808</v>
      </c>
      <c r="L376" s="21" t="str">
        <f t="shared" si="19"/>
        <v/>
      </c>
    </row>
    <row r="377" spans="1:12" s="72" customFormat="1" ht="25.95" customHeight="1">
      <c r="A377" s="12">
        <v>375</v>
      </c>
      <c r="B377" s="6">
        <v>8</v>
      </c>
      <c r="C377" s="6">
        <v>360</v>
      </c>
      <c r="D377" s="20" t="str">
        <f>IF(C377&lt;&gt;"", IFERROR(INDEX('بنود العقد'!B$3:B$388,C377), "⚠"), "")</f>
        <v>توريد وتركيب محبس تنفيس الهواء (AUTOMATIC AIR VENT) يركب علي شبكة المواسير داخل المبني ، والبند يشمل جميع القطع والتوصيلات اللازمة للتركيب وذلك للأقطار التالية:
قطر 1 بوصة</v>
      </c>
      <c r="E377" s="12" t="str">
        <f>IF(C377&lt;&gt;"", IFERROR(INDEX('بنود العقد'!D$3:D$388,C377), ""), "")</f>
        <v>عدد</v>
      </c>
      <c r="F377" s="9">
        <f>IF(C377&lt;&gt;"", IFERROR(INDEX('بنود العقد'!E$3:E$388,C377), 0), "")</f>
        <v>90</v>
      </c>
      <c r="G377" s="9">
        <f>IF(C377&lt;&gt;"", IFERROR(INDEX('بنود العقد'!F$3:F$388,C377), 0), "")</f>
        <v>0</v>
      </c>
      <c r="H377" s="18">
        <f t="shared" si="20"/>
        <v>0</v>
      </c>
      <c r="I377" s="7">
        <v>2</v>
      </c>
      <c r="J377" s="18">
        <f t="shared" si="17"/>
        <v>2</v>
      </c>
      <c r="K377" s="10">
        <f t="shared" si="18"/>
        <v>180</v>
      </c>
      <c r="L377" s="21" t="str">
        <f t="shared" si="19"/>
        <v/>
      </c>
    </row>
    <row r="378" spans="1:12" s="72" customFormat="1" ht="25.95" customHeight="1">
      <c r="A378" s="12">
        <v>376</v>
      </c>
      <c r="B378" s="6">
        <v>8</v>
      </c>
      <c r="C378" s="6">
        <v>361</v>
      </c>
      <c r="D378" s="20" t="str">
        <f>IF(C378&lt;&gt;"", IFERROR(INDEX('بنود العقد'!B$3:B$388,C378), "⚠"), "")</f>
        <v>01-MT 02&amp; MT رخام مون ستون غراي رمادي فاتح و رمادي غامق 
مقاس  1200× 300 مم لمنطقة القهوة و المدخل سماكة 16مم .</v>
      </c>
      <c r="E378" s="12" t="str">
        <f>IF(C378&lt;&gt;"", IFERROR(INDEX('بنود العقد'!D$3:D$388,C378), ""), "")</f>
        <v>م²</v>
      </c>
      <c r="F378" s="9">
        <f>IF(C378&lt;&gt;"", IFERROR(INDEX('بنود العقد'!E$3:E$388,C378), 0), "")</f>
        <v>454</v>
      </c>
      <c r="G378" s="9">
        <f>IF(C378&lt;&gt;"", IFERROR(INDEX('بنود العقد'!F$3:F$388,C378), 0), "")</f>
        <v>0</v>
      </c>
      <c r="H378" s="18">
        <f t="shared" si="20"/>
        <v>0</v>
      </c>
      <c r="I378" s="7">
        <v>459.35</v>
      </c>
      <c r="J378" s="18">
        <f t="shared" si="17"/>
        <v>459.35</v>
      </c>
      <c r="K378" s="10">
        <f t="shared" si="18"/>
        <v>208544.90000000002</v>
      </c>
      <c r="L378" s="21" t="str">
        <f t="shared" si="19"/>
        <v/>
      </c>
    </row>
    <row r="379" spans="1:12" s="72" customFormat="1" ht="25.95" customHeight="1">
      <c r="A379" s="12">
        <v>377</v>
      </c>
      <c r="B379" s="6">
        <v>8</v>
      </c>
      <c r="C379" s="6">
        <v>367</v>
      </c>
      <c r="D379" s="20" t="str">
        <f>IF(C379&lt;&gt;"", IFERROR(INDEX('بنود العقد'!B$3:B$388,C379), "⚠"), "")</f>
        <v xml:space="preserve"> توريد و تركيب حوض خدمة  (JANITOR SINK) والبند يشمل كوع الصرف والخلاط وجميع ما يلزم للتركيب والتثبيت</v>
      </c>
      <c r="E379" s="12" t="str">
        <f>IF(C379&lt;&gt;"", IFERROR(INDEX('بنود العقد'!D$3:D$388,C379), ""), "")</f>
        <v>عدد</v>
      </c>
      <c r="F379" s="9">
        <f>IF(C379&lt;&gt;"", IFERROR(INDEX('بنود العقد'!E$3:E$388,C379), 0), "")</f>
        <v>2445</v>
      </c>
      <c r="G379" s="9">
        <f>IF(C379&lt;&gt;"", IFERROR(INDEX('بنود العقد'!F$3:F$388,C379), 0), "")</f>
        <v>0</v>
      </c>
      <c r="H379" s="18">
        <f t="shared" si="20"/>
        <v>0</v>
      </c>
      <c r="I379" s="7">
        <v>4</v>
      </c>
      <c r="J379" s="18">
        <f t="shared" si="17"/>
        <v>4</v>
      </c>
      <c r="K379" s="10">
        <f t="shared" si="18"/>
        <v>9780</v>
      </c>
      <c r="L379" s="21" t="str">
        <f t="shared" si="19"/>
        <v/>
      </c>
    </row>
    <row r="380" spans="1:12" s="72" customFormat="1" ht="25.95" customHeight="1">
      <c r="A380" s="12">
        <v>378</v>
      </c>
      <c r="B380" s="6">
        <v>9</v>
      </c>
      <c r="C380" s="6">
        <v>1</v>
      </c>
      <c r="D380" s="20" t="str">
        <f>IF(C380&lt;&gt;"", IFERROR(INDEX('بنود العقد'!B$3:B$388,C380),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الجدران وتشمل  جميع أنواع جدران الطوب  والقواطع الجبسية و الخشبية و الزجاجية  بحسب المخططات المعتمدة وتعليمات المهندس المشرف.</v>
      </c>
      <c r="E380" s="12" t="str">
        <f>IF(C380&lt;&gt;"", IFERROR(INDEX('بنود العقد'!D$3:D$388,C380), ""), "")</f>
        <v>م2</v>
      </c>
      <c r="F380" s="9">
        <f>IF(C380&lt;&gt;"", IFERROR(INDEX('بنود العقد'!E$3:E$388,C380), 0), "")</f>
        <v>18</v>
      </c>
      <c r="G380" s="9">
        <f>IF(C380&lt;&gt;"", IFERROR(INDEX('بنود العقد'!F$3:F$388,C380), 0), "")</f>
        <v>17900</v>
      </c>
      <c r="H380" s="18">
        <f t="shared" si="20"/>
        <v>6940.6</v>
      </c>
      <c r="I380" s="7">
        <v>4253.57</v>
      </c>
      <c r="J380" s="18">
        <f t="shared" si="17"/>
        <v>11194.17</v>
      </c>
      <c r="K380" s="10">
        <f t="shared" si="18"/>
        <v>76564.259999999995</v>
      </c>
      <c r="L380" s="21">
        <f t="shared" si="19"/>
        <v>62.537262569832407</v>
      </c>
    </row>
    <row r="381" spans="1:12" s="72" customFormat="1" ht="25.95" customHeight="1">
      <c r="A381" s="12">
        <v>379</v>
      </c>
      <c r="B381" s="6">
        <v>9</v>
      </c>
      <c r="C381" s="6">
        <v>3</v>
      </c>
      <c r="D381" s="20" t="str">
        <f>IF(C381&lt;&gt;"", IFERROR(INDEX('بنود العقد'!B$3:B$388,C381),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تشطيبات الأسقف المستعارة الحالية بما تشمل أسقف جبسية وبلاطات صناعية وأسقف معدنية  بحسب المخططات المعتمدة وتعليمات المهندس المشرف.</v>
      </c>
      <c r="E381" s="12" t="str">
        <f>IF(C381&lt;&gt;"", IFERROR(INDEX('بنود العقد'!D$3:D$388,C381), ""), "")</f>
        <v>م2</v>
      </c>
      <c r="F381" s="9">
        <f>IF(C381&lt;&gt;"", IFERROR(INDEX('بنود العقد'!E$3:E$388,C381), 0), "")</f>
        <v>8.5</v>
      </c>
      <c r="G381" s="9">
        <f>IF(C381&lt;&gt;"", IFERROR(INDEX('بنود العقد'!F$3:F$388,C381), 0), "")</f>
        <v>18420</v>
      </c>
      <c r="H381" s="18">
        <f t="shared" si="20"/>
        <v>3441.98</v>
      </c>
      <c r="I381" s="7">
        <v>4833.6000000000004</v>
      </c>
      <c r="J381" s="18">
        <f t="shared" si="17"/>
        <v>8275.58</v>
      </c>
      <c r="K381" s="10">
        <f t="shared" si="18"/>
        <v>41085.600000000006</v>
      </c>
      <c r="L381" s="21">
        <f t="shared" si="19"/>
        <v>44.927144408251898</v>
      </c>
    </row>
    <row r="382" spans="1:12" s="72" customFormat="1" ht="25.95" customHeight="1">
      <c r="A382" s="12">
        <v>380</v>
      </c>
      <c r="B382" s="6">
        <v>9</v>
      </c>
      <c r="C382" s="6">
        <v>22</v>
      </c>
      <c r="D382" s="20" t="str">
        <f>IF(C382&lt;&gt;"", IFERROR(INDEX('بنود العقد'!B$3:B$388,C382), "⚠"), "")</f>
        <v>توريد وتركيب وزرات خشب )Mdf( مع قشرة جوز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 .Ref drawing: 07-MRA-DD-(as per floor number)-AR-301</v>
      </c>
      <c r="E382" s="12" t="str">
        <f>IF(C382&lt;&gt;"", IFERROR(INDEX('بنود العقد'!D$3:D$388,C382), ""), "")</f>
        <v>م.ط</v>
      </c>
      <c r="F382" s="9">
        <f>IF(C382&lt;&gt;"", IFERROR(INDEX('بنود العقد'!E$3:E$388,C382), 0), "")</f>
        <v>42</v>
      </c>
      <c r="G382" s="9">
        <f>IF(C382&lt;&gt;"", IFERROR(INDEX('بنود العقد'!F$3:F$388,C382), 0), "")</f>
        <v>4532</v>
      </c>
      <c r="H382" s="18">
        <f t="shared" si="20"/>
        <v>0</v>
      </c>
      <c r="I382" s="7">
        <v>600</v>
      </c>
      <c r="J382" s="18">
        <f t="shared" si="17"/>
        <v>600</v>
      </c>
      <c r="K382" s="10">
        <f t="shared" si="18"/>
        <v>25200</v>
      </c>
      <c r="L382" s="21">
        <f t="shared" si="19"/>
        <v>13.239187996469552</v>
      </c>
    </row>
    <row r="383" spans="1:12" s="72" customFormat="1" ht="25.95" customHeight="1">
      <c r="A383" s="12">
        <v>381</v>
      </c>
      <c r="B383" s="6">
        <v>9</v>
      </c>
      <c r="C383" s="6">
        <v>25</v>
      </c>
      <c r="D383" s="20" t="str">
        <f>IF(C383&lt;&gt;"", IFERROR(INDEX('بنود العقد'!B$3:B$388,C383), "⚠"), "")</f>
        <v>تصنيع وتركيب لوح خشبي بشكل طولي من  الـ )Mdf(  مع قشرة الجوز او ما يتناسب مع العينة المتفق عليها طول 25سم وعرض 10سم وارتفاع 270 سم الى جانب الابواب الزجاجية حسب المناظير والرسومات وتعليمات المهندس المشرف.Code: WDP2-08</v>
      </c>
      <c r="E383" s="12" t="str">
        <f>IF(C383&lt;&gt;"", IFERROR(INDEX('بنود العقد'!D$3:D$388,C383), ""), "")</f>
        <v>عدد</v>
      </c>
      <c r="F383" s="9">
        <f>IF(C383&lt;&gt;"", IFERROR(INDEX('بنود العقد'!E$3:E$388,C383), 0), "")</f>
        <v>240</v>
      </c>
      <c r="G383" s="9">
        <f>IF(C383&lt;&gt;"", IFERROR(INDEX('بنود العقد'!F$3:F$388,C383), 0), "")</f>
        <v>248</v>
      </c>
      <c r="H383" s="18">
        <f t="shared" si="20"/>
        <v>40</v>
      </c>
      <c r="I383" s="7">
        <v>30</v>
      </c>
      <c r="J383" s="18">
        <f t="shared" si="17"/>
        <v>70</v>
      </c>
      <c r="K383" s="10">
        <f t="shared" si="18"/>
        <v>7200</v>
      </c>
      <c r="L383" s="21">
        <f t="shared" si="19"/>
        <v>28.225806451612907</v>
      </c>
    </row>
    <row r="384" spans="1:12" s="72" customFormat="1" ht="25.95" customHeight="1">
      <c r="A384" s="12">
        <v>382</v>
      </c>
      <c r="B384" s="6">
        <v>9</v>
      </c>
      <c r="C384" s="6">
        <v>26</v>
      </c>
      <c r="D384" s="20" t="str">
        <f>IF(C384&lt;&gt;"", IFERROR(INDEX('بنود العقد'!B$3:B$388,C384),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العامود الخرساني بدهان رمادي على شكل وهيئة الأسطح الاسمنتية )matt( بتصميم مع غروف حسب الرسومات والمناظير وتعليمات المهندس المشرف.Code: WDP3-04</v>
      </c>
      <c r="E384" s="12" t="str">
        <f>IF(C384&lt;&gt;"", IFERROR(INDEX('بنود العقد'!D$3:D$388,C384), ""), "")</f>
        <v>م2</v>
      </c>
      <c r="F384" s="9">
        <f>IF(C384&lt;&gt;"", IFERROR(INDEX('بنود العقد'!E$3:E$388,C384), 0), "")</f>
        <v>528</v>
      </c>
      <c r="G384" s="9">
        <f>IF(C384&lt;&gt;"", IFERROR(INDEX('بنود العقد'!F$3:F$388,C384), 0), "")</f>
        <v>345</v>
      </c>
      <c r="H384" s="18">
        <f t="shared" si="20"/>
        <v>97.56</v>
      </c>
      <c r="I384" s="7">
        <v>71.099999999999994</v>
      </c>
      <c r="J384" s="18">
        <f t="shared" si="17"/>
        <v>168.66</v>
      </c>
      <c r="K384" s="10">
        <f t="shared" si="18"/>
        <v>37540.799999999996</v>
      </c>
      <c r="L384" s="21">
        <f t="shared" si="19"/>
        <v>48.88695652173913</v>
      </c>
    </row>
    <row r="385" spans="1:12" s="72" customFormat="1" ht="25.95" customHeight="1">
      <c r="A385" s="12">
        <v>383</v>
      </c>
      <c r="B385" s="6">
        <v>9</v>
      </c>
      <c r="C385" s="6">
        <v>27</v>
      </c>
      <c r="D385" s="20" t="str">
        <f>IF(C385&lt;&gt;"", IFERROR(INDEX('بنود العقد'!B$3:B$388,C385),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القواطع الجبسية بدهان رمادي بيج  )matt( ، وبتصميم مع غروف حسب الرسومات والمناظير وتعليمات المهندس المشرف.Code: WPD4-01,WDP4-01.A</v>
      </c>
      <c r="E385" s="12" t="str">
        <f>IF(C385&lt;&gt;"", IFERROR(INDEX('بنود العقد'!D$3:D$388,C385), ""), "")</f>
        <v>م2</v>
      </c>
      <c r="F385" s="9">
        <f>IF(C385&lt;&gt;"", IFERROR(INDEX('بنود العقد'!E$3:E$388,C385), 0), "")</f>
        <v>528</v>
      </c>
      <c r="G385" s="9">
        <f>IF(C385&lt;&gt;"", IFERROR(INDEX('بنود العقد'!F$3:F$388,C385), 0), "")</f>
        <v>331</v>
      </c>
      <c r="H385" s="18">
        <f t="shared" si="20"/>
        <v>39.67</v>
      </c>
      <c r="I385" s="7">
        <v>31.74</v>
      </c>
      <c r="J385" s="18">
        <f t="shared" si="17"/>
        <v>71.41</v>
      </c>
      <c r="K385" s="10">
        <f t="shared" si="18"/>
        <v>16758.719999999998</v>
      </c>
      <c r="L385" s="21">
        <f t="shared" si="19"/>
        <v>21.574018126888216</v>
      </c>
    </row>
    <row r="386" spans="1:12" s="72" customFormat="1" ht="25.95" customHeight="1">
      <c r="A386" s="12">
        <v>384</v>
      </c>
      <c r="B386" s="6">
        <v>9</v>
      </c>
      <c r="C386" s="6">
        <v>28</v>
      </c>
      <c r="D386" s="20" t="str">
        <f>IF(C386&lt;&gt;"", IFERROR(INDEX('بنود العقد'!B$3:B$388,C386),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مثبتة على القواطع الجبسية مع قشرة صناعية بحسب العينة الموافق عليها وغروف حسب الرسومات والمناظير وتعليمات المهندس المشرفCode: WDP2</v>
      </c>
      <c r="E386" s="12" t="str">
        <f>IF(C386&lt;&gt;"", IFERROR(INDEX('بنود العقد'!D$3:D$388,C386), ""), "")</f>
        <v>م2</v>
      </c>
      <c r="F386" s="9">
        <f>IF(C386&lt;&gt;"", IFERROR(INDEX('بنود العقد'!E$3:E$388,C386), 0), "")</f>
        <v>528</v>
      </c>
      <c r="G386" s="9">
        <f>IF(C386&lt;&gt;"", IFERROR(INDEX('بنود العقد'!F$3:F$388,C386), 0), "")</f>
        <v>2517</v>
      </c>
      <c r="H386" s="18">
        <f t="shared" si="20"/>
        <v>228.77</v>
      </c>
      <c r="I386" s="7">
        <v>399.67</v>
      </c>
      <c r="J386" s="18">
        <f t="shared" si="17"/>
        <v>628.44000000000005</v>
      </c>
      <c r="K386" s="10">
        <f t="shared" si="18"/>
        <v>211025.76</v>
      </c>
      <c r="L386" s="21">
        <f t="shared" si="19"/>
        <v>24.967818831942793</v>
      </c>
    </row>
    <row r="387" spans="1:12" s="72" customFormat="1" ht="25.95" customHeight="1">
      <c r="A387" s="12">
        <v>385</v>
      </c>
      <c r="B387" s="6">
        <v>9</v>
      </c>
      <c r="C387" s="6">
        <v>29</v>
      </c>
      <c r="D387" s="20" t="str">
        <f>IF(C387&lt;&gt;"", IFERROR(INDEX('بنود العقد'!B$3:B$388,C387),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االقواطع الجبسية بدهان رمادي على شكل وهيئة الأسطح الاسمنتية ) matt( مع تصميم بفتحات حسب الرسومات والمناظير وتعليمات المهندس المشرف.Code: WDP3-01, WDP3-02, WDP3-03</v>
      </c>
      <c r="E387" s="12" t="str">
        <f>IF(C387&lt;&gt;"", IFERROR(INDEX('بنود العقد'!D$3:D$388,C387), ""), "")</f>
        <v>م2</v>
      </c>
      <c r="F387" s="9">
        <f>IF(C387&lt;&gt;"", IFERROR(INDEX('بنود العقد'!E$3:E$388,C387), 0), "")</f>
        <v>528</v>
      </c>
      <c r="G387" s="9">
        <f>IF(C387&lt;&gt;"", IFERROR(INDEX('بنود العقد'!F$3:F$388,C387), 0), "")</f>
        <v>846</v>
      </c>
      <c r="H387" s="18">
        <f t="shared" ref="H387:H450" si="21">IFERROR(SUMIFS(I$3:I$1805, B$3:B$1805, "&lt;"&amp;B387, C$3:C$1805, C387), 0)</f>
        <v>142.97</v>
      </c>
      <c r="I387" s="7">
        <v>36.81</v>
      </c>
      <c r="J387" s="18">
        <f t="shared" si="17"/>
        <v>179.78</v>
      </c>
      <c r="K387" s="10">
        <f t="shared" si="18"/>
        <v>19435.68</v>
      </c>
      <c r="L387" s="21">
        <f t="shared" si="19"/>
        <v>21.250591016548466</v>
      </c>
    </row>
    <row r="388" spans="1:12" s="72" customFormat="1" ht="25.95" customHeight="1">
      <c r="A388" s="12">
        <v>386</v>
      </c>
      <c r="B388" s="6">
        <v>9</v>
      </c>
      <c r="C388" s="6">
        <v>30</v>
      </c>
      <c r="D388" s="20" t="str">
        <f>IF(C388&lt;&gt;"", IFERROR(INDEX('بنود العقد'!B$3:B$388,C388),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مع قشرة السنديان المطلي بدهان ابيض  مع غروف وفتحات إضاءة مخفية مغلفة من الداخل بطبقة Acrylic مغشى  حسب الرسومات والمناظير وتعليمات المهندس المشرف.Code: WDP1-03, WDP1-04, WDP1-05, WDP1-06</v>
      </c>
      <c r="E388" s="12" t="str">
        <f>IF(C388&lt;&gt;"", IFERROR(INDEX('بنود العقد'!D$3:D$388,C388), ""), "")</f>
        <v>م2</v>
      </c>
      <c r="F388" s="9">
        <f>IF(C388&lt;&gt;"", IFERROR(INDEX('بنود العقد'!E$3:E$388,C388), 0), "")</f>
        <v>570</v>
      </c>
      <c r="G388" s="9">
        <f>IF(C388&lt;&gt;"", IFERROR(INDEX('بنود العقد'!F$3:F$388,C388), 0), "")</f>
        <v>456</v>
      </c>
      <c r="H388" s="18">
        <f t="shared" si="21"/>
        <v>101.32000000000001</v>
      </c>
      <c r="I388" s="7">
        <v>10.1</v>
      </c>
      <c r="J388" s="18">
        <f t="shared" si="17"/>
        <v>111.42</v>
      </c>
      <c r="K388" s="10">
        <f t="shared" si="18"/>
        <v>5757</v>
      </c>
      <c r="L388" s="21">
        <f t="shared" si="19"/>
        <v>24.434210526315788</v>
      </c>
    </row>
    <row r="389" spans="1:12" s="72" customFormat="1" ht="25.95" customHeight="1">
      <c r="A389" s="12">
        <v>387</v>
      </c>
      <c r="B389" s="6">
        <v>9</v>
      </c>
      <c r="C389" s="6">
        <v>43</v>
      </c>
      <c r="D389" s="20" t="str">
        <f>IF(C389&lt;&gt;"", IFERROR(INDEX('بنود العقد'!B$3:B$388,C389),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 خزانة خشبية05-WDC  من خشب الـ ) Mdf (  مع قشرة الوينغي الداكنة مع أرفف وإضاءة مخفية، أبواب الخزائن زجاجية   ribbed glass(مع إيطار خشبي وغروف ومفصلات ومقابض مخفية لمنطقة معالي الوزير حسب الرسومات والمناظير وتعليمات المهندس المشرف.</v>
      </c>
      <c r="E389" s="12" t="str">
        <f>IF(C389&lt;&gt;"", IFERROR(INDEX('بنود العقد'!D$3:D$388,C389), ""), "")</f>
        <v>م2</v>
      </c>
      <c r="F389" s="9">
        <f>IF(C389&lt;&gt;"", IFERROR(INDEX('بنود العقد'!E$3:E$388,C389), 0), "")</f>
        <v>1440</v>
      </c>
      <c r="G389" s="9">
        <f>IF(C389&lt;&gt;"", IFERROR(INDEX('بنود العقد'!F$3:F$388,C389), 0), "")</f>
        <v>69</v>
      </c>
      <c r="H389" s="18">
        <f t="shared" si="21"/>
        <v>17.96</v>
      </c>
      <c r="I389" s="7">
        <v>4.49</v>
      </c>
      <c r="J389" s="18">
        <f t="shared" si="17"/>
        <v>22.450000000000003</v>
      </c>
      <c r="K389" s="10">
        <f t="shared" si="18"/>
        <v>6465.6</v>
      </c>
      <c r="L389" s="21">
        <f t="shared" si="19"/>
        <v>32.536231884057976</v>
      </c>
    </row>
    <row r="390" spans="1:12" s="72" customFormat="1" ht="25.95" customHeight="1">
      <c r="A390" s="12">
        <v>388</v>
      </c>
      <c r="B390" s="6">
        <v>9</v>
      </c>
      <c r="C390" s="6">
        <v>66</v>
      </c>
      <c r="D390" s="20" t="str">
        <f>IF(C390&lt;&gt;"", IFERROR(INDEX('بنود العقد'!B$3:B$388,C390), "⚠"),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E390" s="12" t="str">
        <f>IF(C390&lt;&gt;"", IFERROR(INDEX('بنود العقد'!D$3:D$388,C390), ""), "")</f>
        <v>م²</v>
      </c>
      <c r="F390" s="9">
        <f>IF(C390&lt;&gt;"", IFERROR(INDEX('بنود العقد'!E$3:E$388,C390), 0), "")</f>
        <v>900</v>
      </c>
      <c r="G390" s="9">
        <f>IF(C390&lt;&gt;"", IFERROR(INDEX('بنود العقد'!F$3:F$388,C390), 0), "")</f>
        <v>4000</v>
      </c>
      <c r="H390" s="18">
        <f t="shared" si="21"/>
        <v>1035.47</v>
      </c>
      <c r="I390" s="7">
        <v>89.6</v>
      </c>
      <c r="J390" s="18">
        <f t="shared" si="17"/>
        <v>1125.07</v>
      </c>
      <c r="K390" s="10">
        <f t="shared" si="18"/>
        <v>80640</v>
      </c>
      <c r="L390" s="21">
        <f t="shared" si="19"/>
        <v>28.126750000000001</v>
      </c>
    </row>
    <row r="391" spans="1:12" s="72" customFormat="1" ht="25.95" customHeight="1">
      <c r="A391" s="12">
        <v>389</v>
      </c>
      <c r="B391" s="6">
        <v>9</v>
      </c>
      <c r="C391" s="6">
        <v>128</v>
      </c>
      <c r="D391" s="20" t="str">
        <f>IF(C391&lt;&gt;"", IFERROR(INDEX('بنود العقد'!B$3:B$388,C391), "⚠"), "")</f>
        <v>.دهان بلون رمادي اسمنتي على الألواح الجبسية والألواح الاسمنتية 200-WPF</v>
      </c>
      <c r="E391" s="12" t="str">
        <f>IF(C391&lt;&gt;"", IFERROR(INDEX('بنود العقد'!D$3:D$388,C391), ""), "")</f>
        <v>م²</v>
      </c>
      <c r="F391" s="9">
        <f>IF(C391&lt;&gt;"", IFERROR(INDEX('بنود العقد'!E$3:E$388,C391), 0), "")</f>
        <v>30</v>
      </c>
      <c r="G391" s="9">
        <f>IF(C391&lt;&gt;"", IFERROR(INDEX('بنود العقد'!F$3:F$388,C391), 0), "")</f>
        <v>2088</v>
      </c>
      <c r="H391" s="18">
        <f t="shared" si="21"/>
        <v>166.5847</v>
      </c>
      <c r="I391" s="7">
        <v>64.900000000000006</v>
      </c>
      <c r="J391" s="18">
        <f t="shared" si="17"/>
        <v>231.4847</v>
      </c>
      <c r="K391" s="10">
        <f t="shared" si="18"/>
        <v>1947.0000000000002</v>
      </c>
      <c r="L391" s="21">
        <f t="shared" si="19"/>
        <v>11.086431992337165</v>
      </c>
    </row>
    <row r="392" spans="1:12" s="72" customFormat="1" ht="25.95" customHeight="1">
      <c r="A392" s="12">
        <v>390</v>
      </c>
      <c r="B392" s="6">
        <v>9</v>
      </c>
      <c r="C392" s="6">
        <v>185</v>
      </c>
      <c r="D392" s="20" t="str">
        <f>IF(C392&lt;&gt;"", IFERROR(INDEX('بنود العقد'!B$3:B$388,C392),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v>
      </c>
      <c r="E392" s="12" t="str">
        <f>IF(C392&lt;&gt;"", IFERROR(INDEX('بنود العقد'!D$3:D$388,C392), ""), "")</f>
        <v>م.ط</v>
      </c>
      <c r="F392" s="9">
        <f>IF(C392&lt;&gt;"", IFERROR(INDEX('بنود العقد'!E$3:E$388,C392), 0), "")</f>
        <v>75.599999999999994</v>
      </c>
      <c r="G392" s="9">
        <f>IF(C392&lt;&gt;"", IFERROR(INDEX('بنود العقد'!F$3:F$388,C392), 0), "")</f>
        <v>426</v>
      </c>
      <c r="H392" s="18">
        <f t="shared" si="21"/>
        <v>822.69999999999993</v>
      </c>
      <c r="I392" s="7">
        <v>84.7</v>
      </c>
      <c r="J392" s="18">
        <f t="shared" si="17"/>
        <v>907.4</v>
      </c>
      <c r="K392" s="10">
        <f t="shared" si="18"/>
        <v>6403.32</v>
      </c>
      <c r="L392" s="21">
        <f t="shared" si="19"/>
        <v>213.00469483568074</v>
      </c>
    </row>
    <row r="393" spans="1:12" s="72" customFormat="1" ht="25.95" customHeight="1">
      <c r="A393" s="12">
        <v>391</v>
      </c>
      <c r="B393" s="6">
        <v>9</v>
      </c>
      <c r="C393" s="6">
        <v>186</v>
      </c>
      <c r="D393" s="20" t="str">
        <f>IF(C393&lt;&gt;"", IFERROR(INDEX('بنود العقد'!B$3:B$388,C393),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75 مم</v>
      </c>
      <c r="E393" s="12" t="str">
        <f>IF(C393&lt;&gt;"", IFERROR(INDEX('بنود العقد'!D$3:D$388,C393), ""), "")</f>
        <v>م.ط</v>
      </c>
      <c r="F393" s="9">
        <f>IF(C393&lt;&gt;"", IFERROR(INDEX('بنود العقد'!E$3:E$388,C393), 0), "")</f>
        <v>91.2</v>
      </c>
      <c r="G393" s="9">
        <f>IF(C393&lt;&gt;"", IFERROR(INDEX('بنود العقد'!F$3:F$388,C393), 0), "")</f>
        <v>934</v>
      </c>
      <c r="H393" s="18">
        <f t="shared" si="21"/>
        <v>439.51</v>
      </c>
      <c r="I393" s="7">
        <v>69.89</v>
      </c>
      <c r="J393" s="18">
        <f t="shared" si="17"/>
        <v>509.4</v>
      </c>
      <c r="K393" s="10">
        <f t="shared" si="18"/>
        <v>6373.9679999999998</v>
      </c>
      <c r="L393" s="21">
        <f t="shared" si="19"/>
        <v>54.53961456102784</v>
      </c>
    </row>
    <row r="394" spans="1:12" s="72" customFormat="1" ht="25.95" customHeight="1">
      <c r="A394" s="12">
        <v>392</v>
      </c>
      <c r="B394" s="6">
        <v>9</v>
      </c>
      <c r="C394" s="6">
        <v>187</v>
      </c>
      <c r="D394" s="20" t="str">
        <f>IF(C394&lt;&gt;"", IFERROR(INDEX('بنود العقد'!B$3:B$388,C394),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v>
      </c>
      <c r="E394" s="12" t="str">
        <f>IF(C394&lt;&gt;"", IFERROR(INDEX('بنود العقد'!D$3:D$388,C394), ""), "")</f>
        <v>م.ط</v>
      </c>
      <c r="F394" s="9">
        <f>IF(C394&lt;&gt;"", IFERROR(INDEX('بنود العقد'!E$3:E$388,C394), 0), "")</f>
        <v>102</v>
      </c>
      <c r="G394" s="9">
        <f>IF(C394&lt;&gt;"", IFERROR(INDEX('بنود العقد'!F$3:F$388,C394), 0), "")</f>
        <v>961</v>
      </c>
      <c r="H394" s="18">
        <f t="shared" si="21"/>
        <v>1355.45</v>
      </c>
      <c r="I394" s="7">
        <v>65.7</v>
      </c>
      <c r="J394" s="18">
        <f t="shared" si="17"/>
        <v>1421.15</v>
      </c>
      <c r="K394" s="10">
        <f t="shared" si="18"/>
        <v>6701.4000000000005</v>
      </c>
      <c r="L394" s="21">
        <f t="shared" si="19"/>
        <v>147.8824141519251</v>
      </c>
    </row>
    <row r="395" spans="1:12" s="72" customFormat="1" ht="25.95" customHeight="1">
      <c r="A395" s="12">
        <v>393</v>
      </c>
      <c r="B395" s="6">
        <v>9</v>
      </c>
      <c r="C395" s="6">
        <v>199</v>
      </c>
      <c r="D395" s="20" t="str">
        <f>IF(C395&lt;&gt;"", IFERROR(INDEX('بنود العقد'!B$3:B$388,C395),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E395" s="12" t="str">
        <f>IF(C395&lt;&gt;"", IFERROR(INDEX('بنود العقد'!D$3:D$388,C395), ""), "")</f>
        <v>م.ط</v>
      </c>
      <c r="F395" s="9">
        <f>IF(C395&lt;&gt;"", IFERROR(INDEX('بنود العقد'!E$3:E$388,C395), 0), "")</f>
        <v>108</v>
      </c>
      <c r="G395" s="9">
        <f>IF(C395&lt;&gt;"", IFERROR(INDEX('بنود العقد'!F$3:F$388,C395), 0), "")</f>
        <v>3900</v>
      </c>
      <c r="H395" s="18">
        <f t="shared" si="21"/>
        <v>2197.46</v>
      </c>
      <c r="I395" s="7">
        <v>131</v>
      </c>
      <c r="J395" s="18">
        <f t="shared" si="17"/>
        <v>2328.46</v>
      </c>
      <c r="K395" s="10">
        <f t="shared" si="18"/>
        <v>14148</v>
      </c>
      <c r="L395" s="21">
        <f t="shared" si="19"/>
        <v>59.70410256410257</v>
      </c>
    </row>
    <row r="396" spans="1:12" s="72" customFormat="1" ht="25.95" customHeight="1">
      <c r="A396" s="12">
        <v>394</v>
      </c>
      <c r="B396" s="6">
        <v>9</v>
      </c>
      <c r="C396" s="6">
        <v>200</v>
      </c>
      <c r="D396" s="20" t="str">
        <f>IF(C396&lt;&gt;"", IFERROR(INDEX('بنود العقد'!B$3:B$388,C396),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28</v>
      </c>
      <c r="E396" s="12" t="str">
        <f>IF(C396&lt;&gt;"", IFERROR(INDEX('بنود العقد'!D$3:D$388,C396), ""), "")</f>
        <v>م.ط</v>
      </c>
      <c r="F396" s="9">
        <f>IF(C396&lt;&gt;"", IFERROR(INDEX('بنود العقد'!E$3:E$388,C396), 0), "")</f>
        <v>138</v>
      </c>
      <c r="G396" s="9">
        <f>IF(C396&lt;&gt;"", IFERROR(INDEX('بنود العقد'!F$3:F$388,C396), 0), "")</f>
        <v>323</v>
      </c>
      <c r="H396" s="18">
        <f t="shared" si="21"/>
        <v>144</v>
      </c>
      <c r="I396" s="7">
        <v>45.75</v>
      </c>
      <c r="J396" s="18">
        <f t="shared" si="17"/>
        <v>189.75</v>
      </c>
      <c r="K396" s="10">
        <f t="shared" si="18"/>
        <v>6313.5</v>
      </c>
      <c r="L396" s="21">
        <f t="shared" si="19"/>
        <v>58.746130030959755</v>
      </c>
    </row>
    <row r="397" spans="1:12" s="72" customFormat="1" ht="25.95" customHeight="1">
      <c r="A397" s="12">
        <v>395</v>
      </c>
      <c r="B397" s="6">
        <v>9</v>
      </c>
      <c r="C397" s="6">
        <v>201</v>
      </c>
      <c r="D397" s="20" t="str">
        <f>IF(C397&lt;&gt;"", IFERROR(INDEX('بنود العقد'!B$3:B$388,C397),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33</v>
      </c>
      <c r="E397" s="12" t="str">
        <f>IF(C397&lt;&gt;"", IFERROR(INDEX('بنود العقد'!D$3:D$388,C397), ""), "")</f>
        <v>م.ط</v>
      </c>
      <c r="F397" s="9">
        <f>IF(C397&lt;&gt;"", IFERROR(INDEX('بنود العقد'!E$3:E$388,C397), 0), "")</f>
        <v>192</v>
      </c>
      <c r="G397" s="9">
        <f>IF(C397&lt;&gt;"", IFERROR(INDEX('بنود العقد'!F$3:F$388,C397), 0), "")</f>
        <v>660</v>
      </c>
      <c r="H397" s="18">
        <f t="shared" si="21"/>
        <v>235.6</v>
      </c>
      <c r="I397" s="7">
        <v>139.56</v>
      </c>
      <c r="J397" s="18">
        <f t="shared" si="17"/>
        <v>375.15999999999997</v>
      </c>
      <c r="K397" s="10">
        <f t="shared" si="18"/>
        <v>26795.52</v>
      </c>
      <c r="L397" s="21">
        <f t="shared" si="19"/>
        <v>56.842424242424237</v>
      </c>
    </row>
    <row r="398" spans="1:12" s="72" customFormat="1" ht="25.95" customHeight="1">
      <c r="A398" s="12">
        <v>396</v>
      </c>
      <c r="B398" s="6">
        <v>9</v>
      </c>
      <c r="C398" s="6">
        <v>202</v>
      </c>
      <c r="D398" s="20" t="str">
        <f>IF(C398&lt;&gt;"", IFERROR(INDEX('بنود العقد'!B$3:B$388,C398),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40</v>
      </c>
      <c r="E398" s="12" t="str">
        <f>IF(C398&lt;&gt;"", IFERROR(INDEX('بنود العقد'!D$3:D$388,C398), ""), "")</f>
        <v>م.ط</v>
      </c>
      <c r="F398" s="9">
        <f>IF(C398&lt;&gt;"", IFERROR(INDEX('بنود العقد'!E$3:E$388,C398), 0), "")</f>
        <v>222</v>
      </c>
      <c r="G398" s="9">
        <f>IF(C398&lt;&gt;"", IFERROR(INDEX('بنود العقد'!F$3:F$388,C398), 0), "")</f>
        <v>600</v>
      </c>
      <c r="H398" s="18">
        <f t="shared" si="21"/>
        <v>180</v>
      </c>
      <c r="I398" s="7">
        <v>81.150000000000006</v>
      </c>
      <c r="J398" s="18">
        <f t="shared" si="17"/>
        <v>261.14999999999998</v>
      </c>
      <c r="K398" s="10">
        <f t="shared" si="18"/>
        <v>18015.300000000003</v>
      </c>
      <c r="L398" s="21">
        <f t="shared" si="19"/>
        <v>43.524999999999999</v>
      </c>
    </row>
    <row r="399" spans="1:12" s="72" customFormat="1" ht="25.95" customHeight="1">
      <c r="A399" s="12">
        <v>397</v>
      </c>
      <c r="B399" s="6">
        <v>9</v>
      </c>
      <c r="C399" s="6">
        <v>203</v>
      </c>
      <c r="D399" s="20" t="str">
        <f>IF(C399&lt;&gt;"", IFERROR(INDEX('بنود العقد'!B$3:B$388,C399),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63</v>
      </c>
      <c r="E399" s="12" t="str">
        <f>IF(C399&lt;&gt;"", IFERROR(INDEX('بنود العقد'!D$3:D$388,C399), ""), "")</f>
        <v>م.ط</v>
      </c>
      <c r="F399" s="9">
        <f>IF(C399&lt;&gt;"", IFERROR(INDEX('بنود العقد'!E$3:E$388,C399), 0), "")</f>
        <v>240</v>
      </c>
      <c r="G399" s="9">
        <f>IF(C399&lt;&gt;"", IFERROR(INDEX('بنود العقد'!F$3:F$388,C399), 0), "")</f>
        <v>646</v>
      </c>
      <c r="H399" s="18">
        <f t="shared" si="21"/>
        <v>239.2</v>
      </c>
      <c r="I399" s="7">
        <v>7.37</v>
      </c>
      <c r="J399" s="18">
        <f t="shared" si="17"/>
        <v>246.57</v>
      </c>
      <c r="K399" s="10">
        <f t="shared" si="18"/>
        <v>1768.8</v>
      </c>
      <c r="L399" s="21">
        <f t="shared" si="19"/>
        <v>38.168730650154799</v>
      </c>
    </row>
    <row r="400" spans="1:12" s="72" customFormat="1" ht="25.95" customHeight="1">
      <c r="A400" s="12">
        <v>398</v>
      </c>
      <c r="B400" s="6">
        <v>9</v>
      </c>
      <c r="C400" s="6">
        <v>206</v>
      </c>
      <c r="D400" s="20" t="str">
        <f>IF(C400&lt;&gt;"", IFERROR(INDEX('بنود العقد'!B$3:B$388,C400),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141</v>
      </c>
      <c r="E400" s="12" t="str">
        <f>IF(C400&lt;&gt;"", IFERROR(INDEX('بنود العقد'!D$3:D$388,C400), ""), "")</f>
        <v>م.ط</v>
      </c>
      <c r="F400" s="9">
        <f>IF(C400&lt;&gt;"", IFERROR(INDEX('بنود العقد'!E$3:E$388,C400), 0), "")</f>
        <v>360</v>
      </c>
      <c r="G400" s="9">
        <f>IF(C400&lt;&gt;"", IFERROR(INDEX('بنود العقد'!F$3:F$388,C400), 0), "")</f>
        <v>200</v>
      </c>
      <c r="H400" s="18">
        <f t="shared" si="21"/>
        <v>218.4</v>
      </c>
      <c r="I400" s="7">
        <v>16.62</v>
      </c>
      <c r="J400" s="18">
        <f t="shared" si="17"/>
        <v>235.02</v>
      </c>
      <c r="K400" s="10">
        <f t="shared" si="18"/>
        <v>5983.2000000000007</v>
      </c>
      <c r="L400" s="21">
        <f t="shared" si="19"/>
        <v>117.51</v>
      </c>
    </row>
    <row r="401" spans="1:12" s="72" customFormat="1" ht="25.95" customHeight="1">
      <c r="A401" s="12">
        <v>399</v>
      </c>
      <c r="B401" s="6">
        <v>9</v>
      </c>
      <c r="C401" s="6">
        <v>215</v>
      </c>
      <c r="D401" s="20" t="str">
        <f>IF(C401&lt;&gt;"", IFERROR(INDEX('بنود العقد'!B$3:B$388,C401), "⚠"), "")</f>
        <v>توريد و تركيب و اختبار رشاشات آلية اوتوماتيكية كما هو موصف رشاشات من النوع المخفي، ذات فتحة 2/1 بوصة، ومعامل 5.6 =K   ودرجة حرارة تشغيل 68 درجة مئوية</v>
      </c>
      <c r="E401" s="12" t="str">
        <f>IF(C401&lt;&gt;"", IFERROR(INDEX('بنود العقد'!D$3:D$388,C401), ""), "")</f>
        <v>عدد</v>
      </c>
      <c r="F401" s="9">
        <f>IF(C401&lt;&gt;"", IFERROR(INDEX('بنود العقد'!E$3:E$388,C401), 0), "")</f>
        <v>90</v>
      </c>
      <c r="G401" s="9">
        <f>IF(C401&lt;&gt;"", IFERROR(INDEX('بنود العقد'!F$3:F$388,C401), 0), "")</f>
        <v>1000</v>
      </c>
      <c r="H401" s="18">
        <f t="shared" si="21"/>
        <v>271</v>
      </c>
      <c r="I401" s="7">
        <v>80</v>
      </c>
      <c r="J401" s="18">
        <f t="shared" si="17"/>
        <v>351</v>
      </c>
      <c r="K401" s="10">
        <f t="shared" si="18"/>
        <v>7200</v>
      </c>
      <c r="L401" s="21">
        <f t="shared" si="19"/>
        <v>35.099999999999994</v>
      </c>
    </row>
    <row r="402" spans="1:12" s="72" customFormat="1" ht="25.95" customHeight="1">
      <c r="A402" s="12">
        <v>400</v>
      </c>
      <c r="B402" s="6">
        <v>9</v>
      </c>
      <c r="C402" s="6">
        <v>216</v>
      </c>
      <c r="D402" s="20" t="str">
        <f>IF(C402&lt;&gt;"", IFERROR(INDEX('بنود العقد'!B$3:B$388,C402), "⚠"), "")</f>
        <v>توريد و تركيب و اختبار رشاشات آلية اوتوماتيكية كما هو موصف رشاشات عامودية، ذات فتحة 2/1 بوصة، ومعامل 5.6 =K   ودرجة حرارة تشغيل 68 درجة مئوية</v>
      </c>
      <c r="E402" s="12" t="str">
        <f>IF(C402&lt;&gt;"", IFERROR(INDEX('بنود العقد'!D$3:D$388,C402), ""), "")</f>
        <v>عدد</v>
      </c>
      <c r="F402" s="9">
        <f>IF(C402&lt;&gt;"", IFERROR(INDEX('بنود العقد'!E$3:E$388,C402), 0), "")</f>
        <v>90</v>
      </c>
      <c r="G402" s="9">
        <f>IF(C402&lt;&gt;"", IFERROR(INDEX('بنود العقد'!F$3:F$388,C402), 0), "")</f>
        <v>508</v>
      </c>
      <c r="H402" s="18">
        <f t="shared" si="21"/>
        <v>92</v>
      </c>
      <c r="I402" s="7">
        <v>20</v>
      </c>
      <c r="J402" s="18">
        <f t="shared" si="17"/>
        <v>112</v>
      </c>
      <c r="K402" s="10">
        <f t="shared" si="18"/>
        <v>1800</v>
      </c>
      <c r="L402" s="21">
        <f t="shared" si="19"/>
        <v>22.047244094488189</v>
      </c>
    </row>
    <row r="403" spans="1:12" s="72" customFormat="1" ht="25.95" customHeight="1">
      <c r="A403" s="12">
        <v>401</v>
      </c>
      <c r="B403" s="6">
        <v>9</v>
      </c>
      <c r="C403" s="6">
        <v>221</v>
      </c>
      <c r="D403" s="20" t="str">
        <f>IF(C403&lt;&gt;"", IFERROR(INDEX('بنود العقد'!B$3:B$388,C403),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01-VAV ، اجمالي الهواء 0-250 ) ق/د( استطاعة التخزين 5.1 )ك/و(</v>
      </c>
      <c r="E403" s="12" t="str">
        <f>IF(C403&lt;&gt;"", IFERROR(INDEX('بنود العقد'!D$3:D$388,C403), ""), "")</f>
        <v>عدد</v>
      </c>
      <c r="F403" s="9">
        <f>IF(C403&lt;&gt;"", IFERROR(INDEX('بنود العقد'!E$3:E$388,C403), 0), "")</f>
        <v>6600</v>
      </c>
      <c r="G403" s="9">
        <f>IF(C403&lt;&gt;"", IFERROR(INDEX('بنود العقد'!F$3:F$388,C403), 0), "")</f>
        <v>9</v>
      </c>
      <c r="H403" s="18">
        <f t="shared" si="21"/>
        <v>4</v>
      </c>
      <c r="I403" s="7">
        <v>1.3</v>
      </c>
      <c r="J403" s="18">
        <f t="shared" si="17"/>
        <v>5.3</v>
      </c>
      <c r="K403" s="10">
        <f t="shared" si="18"/>
        <v>8580</v>
      </c>
      <c r="L403" s="21">
        <f t="shared" si="19"/>
        <v>58.888888888888893</v>
      </c>
    </row>
    <row r="404" spans="1:12" s="72" customFormat="1" ht="25.95" customHeight="1">
      <c r="A404" s="12">
        <v>402</v>
      </c>
      <c r="B404" s="6">
        <v>9</v>
      </c>
      <c r="C404" s="6">
        <v>222</v>
      </c>
      <c r="D404" s="20" t="str">
        <f>IF(C404&lt;&gt;"", IFERROR(INDEX('بنود العقد'!B$3:B$388,C404),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02-VAV ، اجمالي الهواء 0-500 ) ق/د( استطاعة التخزين 2 )ك/و(</v>
      </c>
      <c r="E404" s="12" t="str">
        <f>IF(C404&lt;&gt;"", IFERROR(INDEX('بنود العقد'!D$3:D$388,C404), ""), "")</f>
        <v>عدد</v>
      </c>
      <c r="F404" s="9">
        <f>IF(C404&lt;&gt;"", IFERROR(INDEX('بنود العقد'!E$3:E$388,C404), 0), "")</f>
        <v>6960</v>
      </c>
      <c r="G404" s="9">
        <f>IF(C404&lt;&gt;"", IFERROR(INDEX('بنود العقد'!F$3:F$388,C404), 0), "")</f>
        <v>127</v>
      </c>
      <c r="H404" s="18">
        <f t="shared" si="21"/>
        <v>32</v>
      </c>
      <c r="I404" s="7">
        <v>20.2</v>
      </c>
      <c r="J404" s="18">
        <f t="shared" si="17"/>
        <v>52.2</v>
      </c>
      <c r="K404" s="10">
        <f t="shared" si="18"/>
        <v>140592</v>
      </c>
      <c r="L404" s="21">
        <f t="shared" si="19"/>
        <v>41.102362204724415</v>
      </c>
    </row>
    <row r="405" spans="1:12" s="72" customFormat="1" ht="25.95" customHeight="1">
      <c r="A405" s="12">
        <v>403</v>
      </c>
      <c r="B405" s="6">
        <v>9</v>
      </c>
      <c r="C405" s="6">
        <v>223</v>
      </c>
      <c r="D405" s="20" t="str">
        <f>IF(C405&lt;&gt;"", IFERROR(INDEX('بنود العقد'!B$3:B$388,C405), "⚠"), "")</f>
        <v xml:space="preserve">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03-VAV ، اجمالي الهواء 0-750 ) ق/د( استطاعة التخزين 3 )ك/و( </v>
      </c>
      <c r="E405" s="12" t="str">
        <f>IF(C405&lt;&gt;"", IFERROR(INDEX('بنود العقد'!D$3:D$388,C405), ""), "")</f>
        <v>عدد</v>
      </c>
      <c r="F405" s="9">
        <f>IF(C405&lt;&gt;"", IFERROR(INDEX('بنود العقد'!E$3:E$388,C405), 0), "")</f>
        <v>7200</v>
      </c>
      <c r="G405" s="9">
        <f>IF(C405&lt;&gt;"", IFERROR(INDEX('بنود العقد'!F$3:F$388,C405), 0), "")</f>
        <v>51</v>
      </c>
      <c r="H405" s="18">
        <f t="shared" si="21"/>
        <v>21</v>
      </c>
      <c r="I405" s="7">
        <v>15.4</v>
      </c>
      <c r="J405" s="18">
        <f t="shared" si="17"/>
        <v>36.4</v>
      </c>
      <c r="K405" s="10">
        <f t="shared" si="18"/>
        <v>110880</v>
      </c>
      <c r="L405" s="21">
        <f t="shared" si="19"/>
        <v>71.372549019607845</v>
      </c>
    </row>
    <row r="406" spans="1:12" s="72" customFormat="1" ht="25.95" customHeight="1">
      <c r="A406" s="12">
        <v>404</v>
      </c>
      <c r="B406" s="6">
        <v>9</v>
      </c>
      <c r="C406" s="6">
        <v>224</v>
      </c>
      <c r="D406" s="20" t="str">
        <f>IF(C406&lt;&gt;"", IFERROR(INDEX('بنود العقد'!B$3:B$388,C406),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04-VAV ، اجمالي الهواء 0-1000 ) ق/د( استطاعة التخزين 5.3 )ك/و(</v>
      </c>
      <c r="E406" s="12" t="str">
        <f>IF(C406&lt;&gt;"", IFERROR(INDEX('بنود العقد'!D$3:D$388,C406), ""), "")</f>
        <v>عدد</v>
      </c>
      <c r="F406" s="9">
        <f>IF(C406&lt;&gt;"", IFERROR(INDEX('بنود العقد'!E$3:E$388,C406), 0), "")</f>
        <v>7200</v>
      </c>
      <c r="G406" s="9">
        <f>IF(C406&lt;&gt;"", IFERROR(INDEX('بنود العقد'!F$3:F$388,C406), 0), "")</f>
        <v>24</v>
      </c>
      <c r="H406" s="18">
        <f t="shared" si="21"/>
        <v>10</v>
      </c>
      <c r="I406" s="7">
        <v>5.5</v>
      </c>
      <c r="J406" s="18">
        <f t="shared" si="17"/>
        <v>15.5</v>
      </c>
      <c r="K406" s="10">
        <f t="shared" si="18"/>
        <v>39600</v>
      </c>
      <c r="L406" s="21">
        <f t="shared" si="19"/>
        <v>64.583333333333343</v>
      </c>
    </row>
    <row r="407" spans="1:12" s="72" customFormat="1" ht="25.95" customHeight="1">
      <c r="A407" s="12">
        <v>405</v>
      </c>
      <c r="B407" s="6">
        <v>9</v>
      </c>
      <c r="C407" s="6">
        <v>225</v>
      </c>
      <c r="D407" s="20" t="str">
        <f>IF(C407&lt;&gt;"", IFERROR(INDEX('بنود العقد'!B$3:B$388,C407),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05-VAV ، اجمالي الهواء 0-1500 ) ق/د( استطاعة التخزين 5.3 )ك/و(</v>
      </c>
      <c r="E407" s="12" t="str">
        <f>IF(C407&lt;&gt;"", IFERROR(INDEX('بنود العقد'!D$3:D$388,C407), ""), "")</f>
        <v>عدد</v>
      </c>
      <c r="F407" s="9">
        <f>IF(C407&lt;&gt;"", IFERROR(INDEX('بنود العقد'!E$3:E$388,C407), 0), "")</f>
        <v>9000</v>
      </c>
      <c r="G407" s="9">
        <f>IF(C407&lt;&gt;"", IFERROR(INDEX('بنود العقد'!F$3:F$388,C407), 0), "")</f>
        <v>44</v>
      </c>
      <c r="H407" s="18">
        <f t="shared" si="21"/>
        <v>12</v>
      </c>
      <c r="I407" s="7">
        <v>7.7</v>
      </c>
      <c r="J407" s="18">
        <f t="shared" si="17"/>
        <v>19.7</v>
      </c>
      <c r="K407" s="10">
        <f t="shared" si="18"/>
        <v>69300</v>
      </c>
      <c r="L407" s="21">
        <f t="shared" si="19"/>
        <v>44.772727272727266</v>
      </c>
    </row>
    <row r="408" spans="1:12" s="72" customFormat="1" ht="25.95" customHeight="1">
      <c r="A408" s="12">
        <v>406</v>
      </c>
      <c r="B408" s="6">
        <v>9</v>
      </c>
      <c r="C408" s="6">
        <v>226</v>
      </c>
      <c r="D408" s="20" t="str">
        <f>IF(C408&lt;&gt;"", IFERROR(INDEX('بنود العقد'!B$3:B$388,C408),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06-VAV ، اجمالي الهواء 0-2000 ) ق/د( استطاعة التخزين 6.3 )ك/و(</v>
      </c>
      <c r="E408" s="12" t="str">
        <f>IF(C408&lt;&gt;"", IFERROR(INDEX('بنود العقد'!D$3:D$388,C408), ""), "")</f>
        <v>عدد</v>
      </c>
      <c r="F408" s="9">
        <f>IF(C408&lt;&gt;"", IFERROR(INDEX('بنود العقد'!E$3:E$388,C408), 0), "")</f>
        <v>10200</v>
      </c>
      <c r="G408" s="9">
        <f>IF(C408&lt;&gt;"", IFERROR(INDEX('بنود العقد'!F$3:F$388,C408), 0), "")</f>
        <v>49</v>
      </c>
      <c r="H408" s="18">
        <f t="shared" si="21"/>
        <v>8</v>
      </c>
      <c r="I408" s="7">
        <v>6.3</v>
      </c>
      <c r="J408" s="18">
        <f t="shared" si="17"/>
        <v>14.3</v>
      </c>
      <c r="K408" s="10">
        <f t="shared" si="18"/>
        <v>64260</v>
      </c>
      <c r="L408" s="21">
        <f t="shared" si="19"/>
        <v>29.183673469387756</v>
      </c>
    </row>
    <row r="409" spans="1:12" s="72" customFormat="1" ht="25.95" customHeight="1">
      <c r="A409" s="12">
        <v>407</v>
      </c>
      <c r="B409" s="6">
        <v>9</v>
      </c>
      <c r="C409" s="6">
        <v>230</v>
      </c>
      <c r="D409" s="20" t="str">
        <f>IF(C409&lt;&gt;"", IFERROR(INDEX('بنود العقد'!B$3:B$388,C409),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E409" s="12" t="str">
        <f>IF(C409&lt;&gt;"", IFERROR(INDEX('بنود العقد'!D$3:D$388,C409), ""), "")</f>
        <v>م.ط</v>
      </c>
      <c r="F409" s="9">
        <f>IF(C409&lt;&gt;"", IFERROR(INDEX('بنود العقد'!E$3:E$388,C409), 0), "")</f>
        <v>300</v>
      </c>
      <c r="G409" s="9">
        <f>IF(C409&lt;&gt;"", IFERROR(INDEX('بنود العقد'!F$3:F$388,C409), 0), "")</f>
        <v>7000</v>
      </c>
      <c r="H409" s="18">
        <f t="shared" si="21"/>
        <v>3734.9</v>
      </c>
      <c r="I409" s="7">
        <v>843.84</v>
      </c>
      <c r="J409" s="18">
        <f t="shared" si="17"/>
        <v>4578.74</v>
      </c>
      <c r="K409" s="10">
        <f t="shared" si="18"/>
        <v>253152</v>
      </c>
      <c r="L409" s="21">
        <f t="shared" si="19"/>
        <v>65.41057142857143</v>
      </c>
    </row>
    <row r="410" spans="1:12" s="72" customFormat="1" ht="25.95" customHeight="1">
      <c r="A410" s="12">
        <v>408</v>
      </c>
      <c r="B410" s="6">
        <v>9</v>
      </c>
      <c r="C410" s="6">
        <v>238</v>
      </c>
      <c r="D410" s="20" t="str">
        <f>IF(C410&lt;&gt;"", IFERROR(INDEX('بنود العقد'!B$3:B$388,C410),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250 mm</v>
      </c>
      <c r="E410" s="12" t="str">
        <f>IF(C410&lt;&gt;"", IFERROR(INDEX('بنود العقد'!D$3:D$388,C410), ""), "")</f>
        <v>م.ط</v>
      </c>
      <c r="F410" s="9">
        <f>IF(C410&lt;&gt;"", IFERROR(INDEX('بنود العقد'!E$3:E$388,C410), 0), "")</f>
        <v>66</v>
      </c>
      <c r="G410" s="9">
        <f>IF(C410&lt;&gt;"", IFERROR(INDEX('بنود العقد'!F$3:F$388,C410), 0), "")</f>
        <v>60</v>
      </c>
      <c r="H410" s="18">
        <f t="shared" si="21"/>
        <v>82.8</v>
      </c>
      <c r="I410" s="7">
        <v>203</v>
      </c>
      <c r="J410" s="18">
        <f t="shared" si="17"/>
        <v>285.8</v>
      </c>
      <c r="K410" s="10">
        <f t="shared" si="18"/>
        <v>13398</v>
      </c>
      <c r="L410" s="21">
        <f t="shared" si="19"/>
        <v>476.33333333333337</v>
      </c>
    </row>
    <row r="411" spans="1:12" s="72" customFormat="1" ht="25.95" customHeight="1">
      <c r="A411" s="12">
        <v>409</v>
      </c>
      <c r="B411" s="6">
        <v>9</v>
      </c>
      <c r="C411" s="6">
        <v>243</v>
      </c>
      <c r="D411" s="20" t="str">
        <f>IF(C411&lt;&gt;"", IFERROR(INDEX('بنود العقد'!B$3:B$388,C411), "⚠"), "")</f>
        <v>نظام إدارة المبنى BMS    تصميم وتوريد وتركيب نظام لإدارة المبنى أتوماتيكياً على أن يكون نظام التشغيل )OPEN PROTOCOL ( حسب توصيات الاستشارى المشرف وذلك للتحكم في تشغيل ومراقبة الانظمة الميكانيكية والكهربائية التالية :                                                  ـ التشلرات والمراوح ووحدات مناولة الهواء ووحدات ملف المروحة ومضخات المياه ووحدة ضخ الهواء وإنظمة الحريق والتحكم في الأنظمة والمعدات الميكانيكية بالمبنى - والتحكم في تشغيل ومتابعة حالة اللوحات الكهربائية الرئيسية والثانوية والمصاعد وكل الأنظمة التي يراها الاستشاري لأزمة مع الأخذ في الاعتبار قابلية التوسع في المباني المستقبلية .توريد وتركيب وتوصيل نظام إدارة المباني ) BMS ( لأنظمة HVAC ، وأنظمة السباكة ، ونظام الحريق ، والأنظمة الكهربائية والخدمات الخارجية ، كاملة بما في ذلك وحدات التحكم ونقاط التحكم والأسلاك والقنوات وصناديق السحب وصناديق التوصيل الثانوية وجميع عمليات التثبيت الضرورية مستلزمات؛ كل ما هو محدد ومفصل على الرسومات والموصوفة في المواصفات. والنظام يجب ان يتضمن البرامج واجهزة التحكم واجهزة المواقع ونقاط التحكم والاسلاك المتصلة بباقي الانظمة والمواسير وعلب السحب وعلب التوصيل الثانوية وجميع اكسسوارات ومتطلبات التركيبات الضرورية وهذه الاجهزة يجب ان يتم توصيلها مع جميع انظمة شبكة IP سواء من خلال تمكين اجهزة IP او من خلال بوابة IP او الموزع ويجب ان تشمل وحدات التحكم الطرفية التركيبات الضرورية والبرمجة والدمج عند اللزوم لتأسيس الاتصال والتعامل بين اجهزة التركيبات الالكتروميكانيكية وانظمة السلامة وانظمة الامن حسب اوامر ونظام التشغيل ووفقا لنظام وحسب تعليمات مهندس المشرف و يجب ان يتوافق النظام مع الانظمة الحالية للترشيد و المراقبة و يكون النظام لكامل المبني</v>
      </c>
      <c r="E411" s="12" t="str">
        <f>IF(C411&lt;&gt;"", IFERROR(INDEX('بنود العقد'!D$3:D$388,C411), ""), "")</f>
        <v>عدد</v>
      </c>
      <c r="F411" s="9">
        <f>IF(C411&lt;&gt;"", IFERROR(INDEX('بنود العقد'!E$3:E$388,C411), 0), "")</f>
        <v>2520000</v>
      </c>
      <c r="G411" s="9">
        <f>IF(C411&lt;&gt;"", IFERROR(INDEX('بنود العقد'!F$3:F$388,C411), 0), "")</f>
        <v>1</v>
      </c>
      <c r="H411" s="18">
        <f t="shared" si="21"/>
        <v>0.33</v>
      </c>
      <c r="I411" s="7">
        <v>0.08</v>
      </c>
      <c r="J411" s="18">
        <f t="shared" si="17"/>
        <v>0.41000000000000003</v>
      </c>
      <c r="K411" s="10">
        <f t="shared" si="18"/>
        <v>201600</v>
      </c>
      <c r="L411" s="21">
        <f t="shared" si="19"/>
        <v>41</v>
      </c>
    </row>
    <row r="412" spans="1:12" s="72" customFormat="1" ht="25.95" customHeight="1">
      <c r="A412" s="12">
        <v>410</v>
      </c>
      <c r="B412" s="6">
        <v>9</v>
      </c>
      <c r="C412" s="6">
        <v>248</v>
      </c>
      <c r="D412" s="20" t="str">
        <f>IF(C412&lt;&gt;"", IFERROR(INDEX('بنود العقد'!B$3:B$388,C412),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v>
      </c>
      <c r="E412" s="12" t="str">
        <f>IF(C412&lt;&gt;"", IFERROR(INDEX('بنود العقد'!D$3:D$388,C412), ""), "")</f>
        <v>عدد</v>
      </c>
      <c r="F412" s="9">
        <f>IF(C412&lt;&gt;"", IFERROR(INDEX('بنود العقد'!E$3:E$388,C412), 0), "")</f>
        <v>216</v>
      </c>
      <c r="G412" s="9">
        <f>IF(C412&lt;&gt;"", IFERROR(INDEX('بنود العقد'!F$3:F$388,C412), 0), "")</f>
        <v>282</v>
      </c>
      <c r="H412" s="18">
        <f t="shared" si="21"/>
        <v>24</v>
      </c>
      <c r="I412" s="7">
        <v>27.85</v>
      </c>
      <c r="J412" s="18">
        <f t="shared" si="17"/>
        <v>51.85</v>
      </c>
      <c r="K412" s="10">
        <f t="shared" si="18"/>
        <v>6015.6</v>
      </c>
      <c r="L412" s="21">
        <f t="shared" si="19"/>
        <v>18.386524822695037</v>
      </c>
    </row>
    <row r="413" spans="1:12" s="72" customFormat="1" ht="25.95" customHeight="1">
      <c r="A413" s="12">
        <v>411</v>
      </c>
      <c r="B413" s="6">
        <v>9</v>
      </c>
      <c r="C413" s="6">
        <v>249</v>
      </c>
      <c r="D413" s="20" t="str">
        <f>IF(C413&lt;&gt;"", IFERROR(INDEX('بنود العقد'!B$3:B$388,C413),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مقبس ثنائي سقفى، من النوع المؤرض، 15 أمبير، 230 فولت، طور واحد، قطبين، 3 أسلاك.</v>
      </c>
      <c r="E413" s="12" t="str">
        <f>IF(C413&lt;&gt;"", IFERROR(INDEX('بنود العقد'!D$3:D$388,C413), ""), "")</f>
        <v>عدد</v>
      </c>
      <c r="F413" s="9">
        <f>IF(C413&lt;&gt;"", IFERROR(INDEX('بنود العقد'!E$3:E$388,C413), 0), "")</f>
        <v>216</v>
      </c>
      <c r="G413" s="9">
        <f>IF(C413&lt;&gt;"", IFERROR(INDEX('بنود العقد'!F$3:F$388,C413), 0), "")</f>
        <v>126</v>
      </c>
      <c r="H413" s="18">
        <f t="shared" si="21"/>
        <v>21</v>
      </c>
      <c r="I413" s="7">
        <v>16</v>
      </c>
      <c r="J413" s="18">
        <f t="shared" si="17"/>
        <v>37</v>
      </c>
      <c r="K413" s="10">
        <f t="shared" si="18"/>
        <v>3456</v>
      </c>
      <c r="L413" s="21">
        <f t="shared" si="19"/>
        <v>29.365079365079367</v>
      </c>
    </row>
    <row r="414" spans="1:12" s="72" customFormat="1" ht="25.95" customHeight="1">
      <c r="A414" s="12">
        <v>412</v>
      </c>
      <c r="B414" s="6">
        <v>9</v>
      </c>
      <c r="C414" s="6">
        <v>262</v>
      </c>
      <c r="D414" s="20" t="str">
        <f>IF(C414&lt;&gt;"", IFERROR(INDEX('بنود العقد'!B$3:B$388,C414),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v>
      </c>
      <c r="E414" s="12" t="str">
        <f>IF(C414&lt;&gt;"", IFERROR(INDEX('بنود العقد'!D$3:D$388,C414), ""), "")</f>
        <v>عدد</v>
      </c>
      <c r="F414" s="9">
        <f>IF(C414&lt;&gt;"", IFERROR(INDEX('بنود العقد'!E$3:E$388,C414), 0), "")</f>
        <v>348</v>
      </c>
      <c r="G414" s="9">
        <f>IF(C414&lt;&gt;"", IFERROR(INDEX('بنود العقد'!F$3:F$388,C414), 0), "")</f>
        <v>530</v>
      </c>
      <c r="H414" s="18">
        <f t="shared" si="21"/>
        <v>30</v>
      </c>
      <c r="I414" s="7">
        <v>30</v>
      </c>
      <c r="J414" s="18">
        <f t="shared" si="17"/>
        <v>60</v>
      </c>
      <c r="K414" s="10">
        <f t="shared" si="18"/>
        <v>10440</v>
      </c>
      <c r="L414" s="21">
        <f t="shared" si="19"/>
        <v>11.320754716981133</v>
      </c>
    </row>
    <row r="415" spans="1:12" s="72" customFormat="1" ht="25.95" customHeight="1">
      <c r="A415" s="12">
        <v>413</v>
      </c>
      <c r="B415" s="6">
        <v>9</v>
      </c>
      <c r="C415" s="6">
        <v>263</v>
      </c>
      <c r="D415" s="20" t="str">
        <f>IF(C415&lt;&gt;"", IFERROR(INDEX('بنود العقد'!B$3:B$388,C415),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A1E</v>
      </c>
      <c r="E415" s="12" t="str">
        <f>IF(C415&lt;&gt;"", IFERROR(INDEX('بنود العقد'!D$3:D$388,C415), ""), "")</f>
        <v>عدد</v>
      </c>
      <c r="F415" s="9">
        <f>IF(C415&lt;&gt;"", IFERROR(INDEX('بنود العقد'!E$3:E$388,C415), 0), "")</f>
        <v>660</v>
      </c>
      <c r="G415" s="9">
        <f>IF(C415&lt;&gt;"", IFERROR(INDEX('بنود العقد'!F$3:F$388,C415), 0), "")</f>
        <v>241</v>
      </c>
      <c r="H415" s="18">
        <f t="shared" si="21"/>
        <v>25</v>
      </c>
      <c r="I415" s="7">
        <v>25</v>
      </c>
      <c r="J415" s="18">
        <f t="shared" si="17"/>
        <v>50</v>
      </c>
      <c r="K415" s="10">
        <f t="shared" si="18"/>
        <v>16500</v>
      </c>
      <c r="L415" s="21">
        <f t="shared" si="19"/>
        <v>20.74688796680498</v>
      </c>
    </row>
    <row r="416" spans="1:12" s="72" customFormat="1" ht="25.95" customHeight="1">
      <c r="A416" s="12">
        <v>414</v>
      </c>
      <c r="B416" s="6">
        <v>9</v>
      </c>
      <c r="C416" s="6">
        <v>275</v>
      </c>
      <c r="D416" s="20" t="str">
        <f>IF(C416&lt;&gt;"", IFERROR(INDEX('بنود العقد'!B$3:B$388,C416),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v>
      </c>
      <c r="E416" s="12" t="str">
        <f>IF(C416&lt;&gt;"", IFERROR(INDEX('بنود العقد'!D$3:D$388,C416), ""), "")</f>
        <v>عدد</v>
      </c>
      <c r="F416" s="9">
        <f>IF(C416&lt;&gt;"", IFERROR(INDEX('بنود العقد'!E$3:E$388,C416), 0), "")</f>
        <v>420</v>
      </c>
      <c r="G416" s="9">
        <f>IF(C416&lt;&gt;"", IFERROR(INDEX('بنود العقد'!F$3:F$388,C416), 0), "")</f>
        <v>1422</v>
      </c>
      <c r="H416" s="18">
        <f t="shared" si="21"/>
        <v>401</v>
      </c>
      <c r="I416" s="7">
        <v>33</v>
      </c>
      <c r="J416" s="18">
        <f t="shared" si="17"/>
        <v>434</v>
      </c>
      <c r="K416" s="10">
        <f t="shared" si="18"/>
        <v>13860</v>
      </c>
      <c r="L416" s="21">
        <f t="shared" si="19"/>
        <v>30.520393811533054</v>
      </c>
    </row>
    <row r="417" spans="1:12" s="72" customFormat="1" ht="25.95" customHeight="1">
      <c r="A417" s="12">
        <v>415</v>
      </c>
      <c r="B417" s="6">
        <v>9</v>
      </c>
      <c r="C417" s="6">
        <v>276</v>
      </c>
      <c r="D417" s="20" t="str">
        <f>IF(C417&lt;&gt;"", IFERROR(INDEX('بنود العقد'!B$3:B$388,C417),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v>
      </c>
      <c r="E417" s="12" t="str">
        <f>IF(C417&lt;&gt;"", IFERROR(INDEX('بنود العقد'!D$3:D$388,C417), ""), "")</f>
        <v>عدد</v>
      </c>
      <c r="F417" s="9">
        <f>IF(C417&lt;&gt;"", IFERROR(INDEX('بنود العقد'!E$3:E$388,C417), 0), "")</f>
        <v>444</v>
      </c>
      <c r="G417" s="9">
        <f>IF(C417&lt;&gt;"", IFERROR(INDEX('بنود العقد'!F$3:F$388,C417), 0), "")</f>
        <v>1062</v>
      </c>
      <c r="H417" s="18">
        <f t="shared" si="21"/>
        <v>169</v>
      </c>
      <c r="I417" s="7">
        <v>50</v>
      </c>
      <c r="J417" s="18">
        <f t="shared" si="17"/>
        <v>219</v>
      </c>
      <c r="K417" s="10">
        <f t="shared" si="18"/>
        <v>22200</v>
      </c>
      <c r="L417" s="21">
        <f t="shared" si="19"/>
        <v>20.621468926553671</v>
      </c>
    </row>
    <row r="418" spans="1:12" s="72" customFormat="1" ht="25.95" customHeight="1">
      <c r="A418" s="12">
        <v>416</v>
      </c>
      <c r="B418" s="6">
        <v>9</v>
      </c>
      <c r="C418" s="6">
        <v>277</v>
      </c>
      <c r="D418" s="20" t="str">
        <f>IF(C418&lt;&gt;"", IFERROR(INDEX('بنود العقد'!B$3:B$388,C418),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v>
      </c>
      <c r="E418" s="12" t="str">
        <f>IF(C418&lt;&gt;"", IFERROR(INDEX('بنود العقد'!D$3:D$388,C418), ""), "")</f>
        <v>عدد</v>
      </c>
      <c r="F418" s="9">
        <f>IF(C418&lt;&gt;"", IFERROR(INDEX('بنود العقد'!E$3:E$388,C418), 0), "")</f>
        <v>300</v>
      </c>
      <c r="G418" s="9">
        <f>IF(C418&lt;&gt;"", IFERROR(INDEX('بنود العقد'!F$3:F$388,C418), 0), "")</f>
        <v>284</v>
      </c>
      <c r="H418" s="18">
        <f t="shared" si="21"/>
        <v>33</v>
      </c>
      <c r="I418" s="7">
        <v>16</v>
      </c>
      <c r="J418" s="18">
        <f t="shared" si="17"/>
        <v>49</v>
      </c>
      <c r="K418" s="10">
        <f t="shared" si="18"/>
        <v>4800</v>
      </c>
      <c r="L418" s="21">
        <f t="shared" si="19"/>
        <v>17.253521126760564</v>
      </c>
    </row>
    <row r="419" spans="1:12" s="72" customFormat="1" ht="25.95" customHeight="1">
      <c r="A419" s="12">
        <v>417</v>
      </c>
      <c r="B419" s="6">
        <v>9</v>
      </c>
      <c r="C419" s="6">
        <v>278</v>
      </c>
      <c r="D419" s="20" t="str">
        <f>IF(C419&lt;&gt;"", IFERROR(INDEX('بنود العقد'!B$3:B$388,C419),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C5</v>
      </c>
      <c r="E419" s="12" t="str">
        <f>IF(C419&lt;&gt;"", IFERROR(INDEX('بنود العقد'!D$3:D$388,C419), ""), "")</f>
        <v>عدد</v>
      </c>
      <c r="F419" s="9">
        <f>IF(C419&lt;&gt;"", IFERROR(INDEX('بنود العقد'!E$3:E$388,C419), 0), "")</f>
        <v>438</v>
      </c>
      <c r="G419" s="9">
        <f>IF(C419&lt;&gt;"", IFERROR(INDEX('بنود العقد'!F$3:F$388,C419), 0), "")</f>
        <v>149</v>
      </c>
      <c r="H419" s="18">
        <f t="shared" si="21"/>
        <v>20</v>
      </c>
      <c r="I419" s="7">
        <v>55</v>
      </c>
      <c r="J419" s="18">
        <f t="shared" si="17"/>
        <v>75</v>
      </c>
      <c r="K419" s="10">
        <f t="shared" si="18"/>
        <v>24090</v>
      </c>
      <c r="L419" s="21">
        <f t="shared" si="19"/>
        <v>50.335570469798661</v>
      </c>
    </row>
    <row r="420" spans="1:12" s="72" customFormat="1" ht="25.95" customHeight="1">
      <c r="A420" s="12">
        <v>418</v>
      </c>
      <c r="B420" s="6">
        <v>9</v>
      </c>
      <c r="C420" s="6">
        <v>279</v>
      </c>
      <c r="D420" s="20" t="str">
        <f>IF(C420&lt;&gt;"", IFERROR(INDEX('بنود العقد'!B$3:B$388,C420),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C6</v>
      </c>
      <c r="E420" s="12" t="str">
        <f>IF(C420&lt;&gt;"", IFERROR(INDEX('بنود العقد'!D$3:D$388,C420), ""), "")</f>
        <v>عدد</v>
      </c>
      <c r="F420" s="9">
        <f>IF(C420&lt;&gt;"", IFERROR(INDEX('بنود العقد'!E$3:E$388,C420), 0), "")</f>
        <v>288</v>
      </c>
      <c r="G420" s="9">
        <f>IF(C420&lt;&gt;"", IFERROR(INDEX('بنود العقد'!F$3:F$388,C420), 0), "")</f>
        <v>158</v>
      </c>
      <c r="H420" s="18">
        <f t="shared" si="21"/>
        <v>36</v>
      </c>
      <c r="I420" s="7">
        <v>14</v>
      </c>
      <c r="J420" s="18">
        <f t="shared" si="17"/>
        <v>50</v>
      </c>
      <c r="K420" s="10">
        <f t="shared" si="18"/>
        <v>4032</v>
      </c>
      <c r="L420" s="21">
        <f t="shared" si="19"/>
        <v>31.645569620253166</v>
      </c>
    </row>
    <row r="421" spans="1:12" s="72" customFormat="1" ht="25.95" customHeight="1">
      <c r="A421" s="12">
        <v>419</v>
      </c>
      <c r="B421" s="6">
        <v>9</v>
      </c>
      <c r="C421" s="6">
        <v>281</v>
      </c>
      <c r="D421" s="20" t="str">
        <f>IF(C421&lt;&gt;"", IFERROR(INDEX('بنود العقد'!B$3:B$388,C421),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D1</v>
      </c>
      <c r="E421" s="12" t="str">
        <f>IF(C421&lt;&gt;"", IFERROR(INDEX('بنود العقد'!D$3:D$388,C421), ""), "")</f>
        <v>عدد</v>
      </c>
      <c r="F421" s="9">
        <f>IF(C421&lt;&gt;"", IFERROR(INDEX('بنود العقد'!E$3:E$388,C421), 0), "")</f>
        <v>936</v>
      </c>
      <c r="G421" s="9">
        <f>IF(C421&lt;&gt;"", IFERROR(INDEX('بنود العقد'!F$3:F$388,C421), 0), "")</f>
        <v>56</v>
      </c>
      <c r="H421" s="18">
        <f t="shared" si="21"/>
        <v>10</v>
      </c>
      <c r="I421" s="7">
        <v>12</v>
      </c>
      <c r="J421" s="18">
        <f t="shared" si="17"/>
        <v>22</v>
      </c>
      <c r="K421" s="10">
        <f t="shared" si="18"/>
        <v>11232</v>
      </c>
      <c r="L421" s="21">
        <f t="shared" si="19"/>
        <v>39.285714285714285</v>
      </c>
    </row>
    <row r="422" spans="1:12" s="72" customFormat="1" ht="25.95" customHeight="1">
      <c r="A422" s="12">
        <v>420</v>
      </c>
      <c r="B422" s="6">
        <v>9</v>
      </c>
      <c r="C422" s="6">
        <v>283</v>
      </c>
      <c r="D422" s="20" t="str">
        <f>IF(C422&lt;&gt;"", IFERROR(INDEX('بنود العقد'!B$3:B$388,C422),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D3</v>
      </c>
      <c r="E422" s="12" t="str">
        <f>IF(C422&lt;&gt;"", IFERROR(INDEX('بنود العقد'!D$3:D$388,C422), ""), "")</f>
        <v>عدد</v>
      </c>
      <c r="F422" s="9">
        <f>IF(C422&lt;&gt;"", IFERROR(INDEX('بنود العقد'!E$3:E$388,C422), 0), "")</f>
        <v>288</v>
      </c>
      <c r="G422" s="9">
        <f>IF(C422&lt;&gt;"", IFERROR(INDEX('بنود العقد'!F$3:F$388,C422), 0), "")</f>
        <v>179</v>
      </c>
      <c r="H422" s="18">
        <f t="shared" si="21"/>
        <v>28</v>
      </c>
      <c r="I422" s="7">
        <v>50</v>
      </c>
      <c r="J422" s="18">
        <f t="shared" si="17"/>
        <v>78</v>
      </c>
      <c r="K422" s="10">
        <f t="shared" si="18"/>
        <v>14400</v>
      </c>
      <c r="L422" s="21">
        <f t="shared" si="19"/>
        <v>43.575418994413404</v>
      </c>
    </row>
    <row r="423" spans="1:12" s="72" customFormat="1" ht="25.95" customHeight="1">
      <c r="A423" s="12">
        <v>421</v>
      </c>
      <c r="B423" s="6">
        <v>9</v>
      </c>
      <c r="C423" s="6">
        <v>295</v>
      </c>
      <c r="D423" s="20" t="str">
        <f>IF(C423&lt;&gt;"", IFERROR(INDEX('بنود العقد'!B$3:B$388,C423),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ES-1</v>
      </c>
      <c r="E423" s="12" t="str">
        <f>IF(C423&lt;&gt;"", IFERROR(INDEX('بنود العقد'!D$3:D$388,C423), ""), "")</f>
        <v>عدد</v>
      </c>
      <c r="F423" s="9">
        <f>IF(C423&lt;&gt;"", IFERROR(INDEX('بنود العقد'!E$3:E$388,C423), 0), "")</f>
        <v>360</v>
      </c>
      <c r="G423" s="9">
        <f>IF(C423&lt;&gt;"", IFERROR(INDEX('بنود العقد'!F$3:F$388,C423), 0), "")</f>
        <v>430</v>
      </c>
      <c r="H423" s="18">
        <f t="shared" si="21"/>
        <v>49</v>
      </c>
      <c r="I423" s="7">
        <v>42</v>
      </c>
      <c r="J423" s="18">
        <f t="shared" si="17"/>
        <v>91</v>
      </c>
      <c r="K423" s="10">
        <f t="shared" si="18"/>
        <v>15120</v>
      </c>
      <c r="L423" s="21">
        <f t="shared" si="19"/>
        <v>21.162790697674421</v>
      </c>
    </row>
    <row r="424" spans="1:12" s="72" customFormat="1" ht="25.95" customHeight="1">
      <c r="A424" s="12">
        <v>422</v>
      </c>
      <c r="B424" s="6">
        <v>9</v>
      </c>
      <c r="C424" s="6">
        <v>334</v>
      </c>
      <c r="D424" s="20" t="str">
        <f>IF(C424&lt;&gt;"", IFERROR(INDEX('بنود العقد'!B$3:B$388,C424), "⚠"), "")</f>
        <v xml:space="preserve">فك و تقطيع وتنزيل و ترحيل مواسير شبكة الصرف و التغذية القائمة و البند يشمل فك القطع والترحيل خارج الموقع وتسليم جميع مكونات شبكة الصرف و التغذية للجهة مالكة المشروع </v>
      </c>
      <c r="E424" s="12" t="str">
        <f>IF(C424&lt;&gt;"", IFERROR(INDEX('بنود العقد'!D$3:D$388,C424), ""), "")</f>
        <v>م.ط</v>
      </c>
      <c r="F424" s="9">
        <f>IF(C424&lt;&gt;"", IFERROR(INDEX('بنود العقد'!E$3:E$388,C424), 0), "")</f>
        <v>16.523</v>
      </c>
      <c r="G424" s="9">
        <f>IF(C424&lt;&gt;"", IFERROR(INDEX('بنود العقد'!F$3:F$388,C424), 0), "")</f>
        <v>0</v>
      </c>
      <c r="H424" s="18">
        <f t="shared" si="21"/>
        <v>1969.5</v>
      </c>
      <c r="I424" s="7">
        <v>229.2</v>
      </c>
      <c r="J424" s="18">
        <f t="shared" si="17"/>
        <v>2198.6999999999998</v>
      </c>
      <c r="K424" s="10">
        <f t="shared" si="18"/>
        <v>3787.0715999999998</v>
      </c>
      <c r="L424" s="21" t="str">
        <f t="shared" si="19"/>
        <v/>
      </c>
    </row>
    <row r="425" spans="1:12" s="72" customFormat="1" ht="25.95" customHeight="1">
      <c r="A425" s="12">
        <v>423</v>
      </c>
      <c r="B425" s="6">
        <v>9</v>
      </c>
      <c r="C425" s="6">
        <v>341</v>
      </c>
      <c r="D425" s="20" t="str">
        <f>IF(C425&lt;&gt;"", IFERROR(INDEX('بنود العقد'!B$3:B$388,C425), "⚠"), "")</f>
        <v xml:space="preserve">فك و تقطيع وتنزيل و ترحيل مواسير شبكة مكافحة الحريق القائمة و البند يشمل فك الرشاشات والترحيل خارج الموقع وتسليم جميع مكونات شبكة الحريق للجهة مالكة المشروع </v>
      </c>
      <c r="E425" s="12" t="str">
        <f>IF(C425&lt;&gt;"", IFERROR(INDEX('بنود العقد'!D$3:D$388,C425), ""), "")</f>
        <v>م.ط</v>
      </c>
      <c r="F425" s="9">
        <f>IF(C425&lt;&gt;"", IFERROR(INDEX('بنود العقد'!E$3:E$388,C425), 0), "")</f>
        <v>20.88</v>
      </c>
      <c r="G425" s="9">
        <f>IF(C425&lt;&gt;"", IFERROR(INDEX('بنود العقد'!F$3:F$388,C425), 0), "")</f>
        <v>0</v>
      </c>
      <c r="H425" s="18">
        <f t="shared" si="21"/>
        <v>7084.89</v>
      </c>
      <c r="I425" s="7">
        <v>2615.11</v>
      </c>
      <c r="J425" s="18">
        <f t="shared" si="17"/>
        <v>9700</v>
      </c>
      <c r="K425" s="10">
        <f t="shared" si="18"/>
        <v>54603.496800000001</v>
      </c>
      <c r="L425" s="21" t="str">
        <f t="shared" si="19"/>
        <v/>
      </c>
    </row>
    <row r="426" spans="1:12" s="72" customFormat="1" ht="25.95" customHeight="1">
      <c r="A426" s="12">
        <v>424</v>
      </c>
      <c r="B426" s="6">
        <v>9</v>
      </c>
      <c r="C426" s="6">
        <v>343</v>
      </c>
      <c r="D426" s="20" t="str">
        <f>IF(C426&lt;&gt;"", IFERROR(INDEX('بنود العقد'!B$3:B$388,C426), "⚠"), "")</f>
        <v xml:space="preserve">فك و إزالة  مجاري الهواء من الصفائح المعدنية المجلفنة شامل الاكواع و التفريعات و التحويله و العامة وحاملة التعليق و الترحيل إلى مستودعات الجهة مالكة المشروع بمدينة الرياض  </v>
      </c>
      <c r="E426" s="12" t="str">
        <f>IF(C426&lt;&gt;"", IFERROR(INDEX('بنود العقد'!D$3:D$388,C426), ""), "")</f>
        <v>م.ط</v>
      </c>
      <c r="F426" s="9">
        <f>IF(C426&lt;&gt;"", IFERROR(INDEX('بنود العقد'!E$3:E$388,C426), 0), "")</f>
        <v>106</v>
      </c>
      <c r="G426" s="9">
        <f>IF(C426&lt;&gt;"", IFERROR(INDEX('بنود العقد'!F$3:F$388,C426), 0), "")</f>
        <v>0</v>
      </c>
      <c r="H426" s="18">
        <f t="shared" si="21"/>
        <v>6078.94</v>
      </c>
      <c r="I426" s="7">
        <v>1478</v>
      </c>
      <c r="J426" s="18">
        <f t="shared" si="17"/>
        <v>7556.94</v>
      </c>
      <c r="K426" s="10">
        <f t="shared" si="18"/>
        <v>156668</v>
      </c>
      <c r="L426" s="21" t="str">
        <f t="shared" si="19"/>
        <v/>
      </c>
    </row>
    <row r="427" spans="1:12" s="72" customFormat="1" ht="25.95" customHeight="1">
      <c r="A427" s="12">
        <v>425</v>
      </c>
      <c r="B427" s="6">
        <v>10</v>
      </c>
      <c r="C427" s="6">
        <v>2</v>
      </c>
      <c r="D427" s="20" t="str">
        <f>IF(C427&lt;&gt;"", IFERROR(INDEX('بنود العقد'!B$3:B$388,C427),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number)-AR-هدم وإزالة تشطيبات رخام أو بلاط بورسلان أو سيراميك  للأرضيات والجدران الحالية  بحسب المخططات المعتمدة وتعليمات المهندس المشرف.</v>
      </c>
      <c r="E427" s="12" t="str">
        <f>IF(C427&lt;&gt;"", IFERROR(INDEX('بنود العقد'!D$3:D$388,C427), ""), "")</f>
        <v>م2</v>
      </c>
      <c r="F427" s="9">
        <f>IF(C427&lt;&gt;"", IFERROR(INDEX('بنود العقد'!E$3:E$388,C427), 0), "")</f>
        <v>14.5</v>
      </c>
      <c r="G427" s="9">
        <f>IF(C427&lt;&gt;"", IFERROR(INDEX('بنود العقد'!F$3:F$388,C427), 0), "")</f>
        <v>10362</v>
      </c>
      <c r="H427" s="18">
        <f t="shared" si="21"/>
        <v>2125.7600000000002</v>
      </c>
      <c r="I427" s="7">
        <v>2775.3</v>
      </c>
      <c r="J427" s="18">
        <f t="shared" si="17"/>
        <v>4901.0600000000004</v>
      </c>
      <c r="K427" s="10">
        <f t="shared" si="18"/>
        <v>40241.850000000006</v>
      </c>
      <c r="L427" s="21">
        <f t="shared" si="19"/>
        <v>47.298397992665514</v>
      </c>
    </row>
    <row r="428" spans="1:12" s="72" customFormat="1" ht="25.95" customHeight="1">
      <c r="A428" s="12">
        <v>426</v>
      </c>
      <c r="B428" s="6">
        <v>10</v>
      </c>
      <c r="C428" s="6">
        <v>6</v>
      </c>
      <c r="D428" s="20" t="str">
        <f>IF(C428&lt;&gt;"", IFERROR(INDEX('بنود العقد'!B$3:B$388,C428),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v>
      </c>
      <c r="E428" s="12" t="str">
        <f>IF(C428&lt;&gt;"", IFERROR(INDEX('بنود العقد'!D$3:D$388,C428), ""), "")</f>
        <v>م2</v>
      </c>
      <c r="F428" s="9">
        <f>IF(C428&lt;&gt;"", IFERROR(INDEX('بنود العقد'!E$3:E$388,C428), 0), "")</f>
        <v>150</v>
      </c>
      <c r="G428" s="9">
        <f>IF(C428&lt;&gt;"", IFERROR(INDEX('بنود العقد'!F$3:F$388,C428), 0), "")</f>
        <v>450</v>
      </c>
      <c r="H428" s="18">
        <f t="shared" si="21"/>
        <v>2302.92</v>
      </c>
      <c r="I428" s="7">
        <v>17.989999999999998</v>
      </c>
      <c r="J428" s="18">
        <f t="shared" si="17"/>
        <v>2320.91</v>
      </c>
      <c r="K428" s="10">
        <f t="shared" si="18"/>
        <v>2698.4999999999995</v>
      </c>
      <c r="L428" s="21">
        <f t="shared" si="19"/>
        <v>515.75777777777773</v>
      </c>
    </row>
    <row r="429" spans="1:12" s="72" customFormat="1" ht="25.95" customHeight="1">
      <c r="A429" s="12">
        <v>427</v>
      </c>
      <c r="B429" s="6">
        <v>10</v>
      </c>
      <c r="C429" s="6">
        <v>28</v>
      </c>
      <c r="D429" s="20" t="str">
        <f>IF(C429&lt;&gt;"", IFERROR(INDEX('بنود العقد'!B$3:B$388,C429),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مثبتة على القواطع الجبسية مع قشرة صناعية بحسب العينة الموافق عليها وغروف حسب الرسومات والمناظير وتعليمات المهندس المشرفCode: WDP2</v>
      </c>
      <c r="E429" s="12" t="str">
        <f>IF(C429&lt;&gt;"", IFERROR(INDEX('بنود العقد'!D$3:D$388,C429), ""), "")</f>
        <v>م2</v>
      </c>
      <c r="F429" s="9">
        <f>IF(C429&lt;&gt;"", IFERROR(INDEX('بنود العقد'!E$3:E$388,C429), 0), "")</f>
        <v>528</v>
      </c>
      <c r="G429" s="9">
        <f>IF(C429&lt;&gt;"", IFERROR(INDEX('بنود العقد'!F$3:F$388,C429), 0), "")</f>
        <v>2517</v>
      </c>
      <c r="H429" s="18">
        <f t="shared" si="21"/>
        <v>628.44000000000005</v>
      </c>
      <c r="I429" s="7">
        <v>130</v>
      </c>
      <c r="J429" s="18">
        <f t="shared" ref="J429:J678" si="22">IF(I429&lt;&gt;"", H429+I429, 0)</f>
        <v>758.44</v>
      </c>
      <c r="K429" s="10">
        <f t="shared" si="18"/>
        <v>68640</v>
      </c>
      <c r="L429" s="21">
        <f t="shared" si="19"/>
        <v>30.132697655939612</v>
      </c>
    </row>
    <row r="430" spans="1:12" s="72" customFormat="1" ht="25.95" customHeight="1">
      <c r="A430" s="12">
        <v>428</v>
      </c>
      <c r="B430" s="6">
        <v>10</v>
      </c>
      <c r="C430" s="6">
        <v>29</v>
      </c>
      <c r="D430" s="20" t="str">
        <f>IF(C430&lt;&gt;"", IFERROR(INDEX('بنود العقد'!B$3:B$388,C430),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االقواطع الجبسية بدهان رمادي على شكل وهيئة الأسطح الاسمنتية ) matt( مع تصميم بفتحات حسب الرسومات والمناظير وتعليمات المهندس المشرف.Code: WDP3-01, WDP3-02, WDP3-03</v>
      </c>
      <c r="E430" s="12" t="str">
        <f>IF(C430&lt;&gt;"", IFERROR(INDEX('بنود العقد'!D$3:D$388,C430), ""), "")</f>
        <v>م2</v>
      </c>
      <c r="F430" s="9">
        <f>IF(C430&lt;&gt;"", IFERROR(INDEX('بنود العقد'!E$3:E$388,C430), 0), "")</f>
        <v>528</v>
      </c>
      <c r="G430" s="9">
        <f>IF(C430&lt;&gt;"", IFERROR(INDEX('بنود العقد'!F$3:F$388,C430), 0), "")</f>
        <v>846</v>
      </c>
      <c r="H430" s="18">
        <f t="shared" si="21"/>
        <v>179.78</v>
      </c>
      <c r="I430" s="7">
        <v>104.22</v>
      </c>
      <c r="J430" s="18">
        <f t="shared" si="22"/>
        <v>284</v>
      </c>
      <c r="K430" s="10">
        <f t="shared" si="18"/>
        <v>55028.159999999996</v>
      </c>
      <c r="L430" s="21">
        <f t="shared" si="19"/>
        <v>33.569739952718678</v>
      </c>
    </row>
    <row r="431" spans="1:12" s="72" customFormat="1" ht="25.95" customHeight="1">
      <c r="A431" s="12">
        <v>429</v>
      </c>
      <c r="B431" s="6">
        <v>10</v>
      </c>
      <c r="C431" s="6">
        <v>30</v>
      </c>
      <c r="D431" s="20" t="str">
        <f>IF(C431&lt;&gt;"", IFERROR(INDEX('بنود العقد'!B$3:B$388,C431),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مع قشرة السنديان المطلي بدهان ابيض  مع غروف وفتحات إضاءة مخفية مغلفة من الداخل بطبقة Acrylic مغشى  حسب الرسومات والمناظير وتعليمات المهندس المشرف.Code: WDP1-03, WDP1-04, WDP1-05, WDP1-06</v>
      </c>
      <c r="E431" s="12" t="str">
        <f>IF(C431&lt;&gt;"", IFERROR(INDEX('بنود العقد'!D$3:D$388,C431), ""), "")</f>
        <v>م2</v>
      </c>
      <c r="F431" s="9">
        <f>IF(C431&lt;&gt;"", IFERROR(INDEX('بنود العقد'!E$3:E$388,C431), 0), "")</f>
        <v>570</v>
      </c>
      <c r="G431" s="9">
        <f>IF(C431&lt;&gt;"", IFERROR(INDEX('بنود العقد'!F$3:F$388,C431), 0), "")</f>
        <v>456</v>
      </c>
      <c r="H431" s="18">
        <f t="shared" si="21"/>
        <v>111.42</v>
      </c>
      <c r="I431" s="7">
        <v>62.4</v>
      </c>
      <c r="J431" s="18">
        <f t="shared" si="22"/>
        <v>173.82</v>
      </c>
      <c r="K431" s="10">
        <f t="shared" si="18"/>
        <v>35568</v>
      </c>
      <c r="L431" s="21">
        <f t="shared" si="19"/>
        <v>38.118421052631582</v>
      </c>
    </row>
    <row r="432" spans="1:12" s="72" customFormat="1" ht="25.95" customHeight="1">
      <c r="A432" s="12">
        <v>430</v>
      </c>
      <c r="B432" s="6">
        <v>10</v>
      </c>
      <c r="C432" s="6">
        <v>38</v>
      </c>
      <c r="D432" s="20" t="str">
        <f>IF(C432&lt;&gt;"", IFERROR(INDEX('بنود العقد'!B$3:B$388,C432), "⚠"), "")</f>
        <v>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 من من خشب الـ)Mdf(  مع قشرة صناعية بحسب العينة الموافق عليها وغروف مثبتة بنظام تعليق متصلة بالسقف الخرساني حسب الرسومات والمناظير وتعليمات المهندس المشرف.Code: WDC-01 &amp; WDC-02</v>
      </c>
      <c r="E432" s="12" t="str">
        <f>IF(C432&lt;&gt;"", IFERROR(INDEX('بنود العقد'!D$3:D$388,C432), ""), "")</f>
        <v>م2</v>
      </c>
      <c r="F432" s="9">
        <f>IF(C432&lt;&gt;"", IFERROR(INDEX('بنود العقد'!E$3:E$388,C432), 0), "")</f>
        <v>840</v>
      </c>
      <c r="G432" s="9">
        <f>IF(C432&lt;&gt;"", IFERROR(INDEX('بنود العقد'!F$3:F$388,C432), 0), "")</f>
        <v>684</v>
      </c>
      <c r="H432" s="18">
        <f t="shared" si="21"/>
        <v>128.86000000000001</v>
      </c>
      <c r="I432" s="7">
        <v>102.14</v>
      </c>
      <c r="J432" s="18">
        <f t="shared" si="22"/>
        <v>231</v>
      </c>
      <c r="K432" s="10">
        <f t="shared" si="18"/>
        <v>85797.6</v>
      </c>
      <c r="L432" s="21">
        <f t="shared" si="19"/>
        <v>33.771929824561404</v>
      </c>
    </row>
    <row r="433" spans="1:12" s="72" customFormat="1" ht="25.95" customHeight="1">
      <c r="A433" s="12">
        <v>431</v>
      </c>
      <c r="B433" s="6">
        <v>10</v>
      </c>
      <c r="C433" s="6">
        <v>40</v>
      </c>
      <c r="D433" s="20" t="str">
        <f>IF(C433&lt;&gt;"", IFERROR(INDEX('بنود العقد'!B$3:B$388,C433),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خشبية01-WDC و 02-WDC من خشب الـ ) Mdf ( متداخلة الالوان من قشرة صناعية بحسب  العينة الموافق عليها والدهان الرمادي  على شكل وهيئة الاسطح الاسمنتية مثبتة على القواطع الجبسية مع اضاءة مخفية ومفصلات ومقابض مخفية وتصميم حسب الرسومات والمناظير وتعليمات المهندس المشرف.</v>
      </c>
      <c r="E433" s="12" t="str">
        <f>IF(C433&lt;&gt;"", IFERROR(INDEX('بنود العقد'!D$3:D$388,C433), ""), "")</f>
        <v>م2</v>
      </c>
      <c r="F433" s="9">
        <f>IF(C433&lt;&gt;"", IFERROR(INDEX('بنود العقد'!E$3:E$388,C433), 0), "")</f>
        <v>1440</v>
      </c>
      <c r="G433" s="9">
        <f>IF(C433&lt;&gt;"", IFERROR(INDEX('بنود العقد'!F$3:F$388,C433), 0), "")</f>
        <v>72</v>
      </c>
      <c r="H433" s="18">
        <f t="shared" si="21"/>
        <v>8.93</v>
      </c>
      <c r="I433" s="7">
        <v>9.7799999999999994</v>
      </c>
      <c r="J433" s="18">
        <f t="shared" si="22"/>
        <v>18.71</v>
      </c>
      <c r="K433" s="10">
        <f t="shared" si="18"/>
        <v>14083.199999999999</v>
      </c>
      <c r="L433" s="21">
        <f t="shared" si="19"/>
        <v>25.986111111111111</v>
      </c>
    </row>
    <row r="434" spans="1:12" s="72" customFormat="1" ht="25.95" customHeight="1">
      <c r="A434" s="12">
        <v>432</v>
      </c>
      <c r="B434" s="6">
        <v>10</v>
      </c>
      <c r="C434" s="6">
        <v>42</v>
      </c>
      <c r="D434" s="20" t="str">
        <f>IF(C434&lt;&gt;"", IFERROR(INDEX('بنود العقد'!B$3:B$388,C434),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خشبية04-WDC   من خشب الـ ) Mdf (  مطلية بدهان رمادي على شكل وهيئة الاسطح الاسمنتية مع غروف ومفصلات ومقابض مخفية ، وارفف مفتوحة من قشرة الجوز ،واضاءة مخفية ، مثبتة على الجدار الخارجي حسب الرسومات والمناظير  وتعليمات المهندس المشرف.</v>
      </c>
      <c r="E434" s="12" t="str">
        <f>IF(C434&lt;&gt;"", IFERROR(INDEX('بنود العقد'!D$3:D$388,C434), ""), "")</f>
        <v>م2</v>
      </c>
      <c r="F434" s="9">
        <f>IF(C434&lt;&gt;"", IFERROR(INDEX('بنود العقد'!E$3:E$388,C434), 0), "")</f>
        <v>1200</v>
      </c>
      <c r="G434" s="9">
        <f>IF(C434&lt;&gt;"", IFERROR(INDEX('بنود العقد'!F$3:F$388,C434), 0), "")</f>
        <v>297</v>
      </c>
      <c r="H434" s="18">
        <f t="shared" si="21"/>
        <v>45.760000000000005</v>
      </c>
      <c r="I434" s="7">
        <v>37.24</v>
      </c>
      <c r="J434" s="18">
        <f t="shared" si="22"/>
        <v>83</v>
      </c>
      <c r="K434" s="10">
        <f t="shared" si="18"/>
        <v>44688</v>
      </c>
      <c r="L434" s="21">
        <f t="shared" si="19"/>
        <v>27.946127946127948</v>
      </c>
    </row>
    <row r="435" spans="1:12" s="72" customFormat="1" ht="25.95" customHeight="1">
      <c r="A435" s="12">
        <v>433</v>
      </c>
      <c r="B435" s="6">
        <v>10</v>
      </c>
      <c r="C435" s="6">
        <v>66</v>
      </c>
      <c r="D435" s="20" t="str">
        <f>IF(C435&lt;&gt;"", IFERROR(INDEX('بنود العقد'!B$3:B$388,C435), "⚠"),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E435" s="12" t="str">
        <f>IF(C435&lt;&gt;"", IFERROR(INDEX('بنود العقد'!D$3:D$388,C435), ""), "")</f>
        <v>م²</v>
      </c>
      <c r="F435" s="9">
        <f>IF(C435&lt;&gt;"", IFERROR(INDEX('بنود العقد'!E$3:E$388,C435), 0), "")</f>
        <v>900</v>
      </c>
      <c r="G435" s="9">
        <f>IF(C435&lt;&gt;"", IFERROR(INDEX('بنود العقد'!F$3:F$388,C435), 0), "")</f>
        <v>4000</v>
      </c>
      <c r="H435" s="18">
        <f t="shared" si="21"/>
        <v>1125.07</v>
      </c>
      <c r="I435" s="7">
        <v>59</v>
      </c>
      <c r="J435" s="18">
        <f t="shared" si="22"/>
        <v>1184.07</v>
      </c>
      <c r="K435" s="10">
        <f t="shared" si="18"/>
        <v>53100</v>
      </c>
      <c r="L435" s="21">
        <f t="shared" si="19"/>
        <v>29.601749999999999</v>
      </c>
    </row>
    <row r="436" spans="1:12" s="72" customFormat="1" ht="25.95" customHeight="1">
      <c r="A436" s="12">
        <v>434</v>
      </c>
      <c r="B436" s="6">
        <v>10</v>
      </c>
      <c r="C436" s="6">
        <v>74</v>
      </c>
      <c r="D436" s="20" t="str">
        <f>IF(C436&lt;&gt;"", IFERROR(INDEX('بنود العقد'!B$3:B$388,C436), "⚠"), "")</f>
        <v>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v>
      </c>
      <c r="E436" s="12" t="str">
        <f>IF(C436&lt;&gt;"", IFERROR(INDEX('بنود العقد'!D$3:D$388,C436), ""), "")</f>
        <v>م²</v>
      </c>
      <c r="F436" s="9">
        <f>IF(C436&lt;&gt;"", IFERROR(INDEX('بنود العقد'!E$3:E$388,C436), 0), "")</f>
        <v>180</v>
      </c>
      <c r="G436" s="9">
        <f>IF(C436&lt;&gt;"", IFERROR(INDEX('بنود العقد'!F$3:F$388,C436), 0), "")</f>
        <v>12526</v>
      </c>
      <c r="H436" s="18">
        <f t="shared" si="21"/>
        <v>3104.1</v>
      </c>
      <c r="I436" s="7">
        <v>893.9</v>
      </c>
      <c r="J436" s="18">
        <f t="shared" si="22"/>
        <v>3998</v>
      </c>
      <c r="K436" s="10">
        <f t="shared" si="18"/>
        <v>160902</v>
      </c>
      <c r="L436" s="21">
        <f t="shared" si="19"/>
        <v>31.917611368353825</v>
      </c>
    </row>
    <row r="437" spans="1:12" s="72" customFormat="1" ht="25.95" customHeight="1">
      <c r="A437" s="12">
        <v>435</v>
      </c>
      <c r="B437" s="6">
        <v>10</v>
      </c>
      <c r="C437" s="6">
        <v>75</v>
      </c>
      <c r="D437" s="20" t="str">
        <f>IF(C437&lt;&gt;"", IFERROR(INDEX('بنود العقد'!B$3:B$388,C437), "⚠"), "")</f>
        <v>توريد وتركيب أسقف معلقة من الالواح الجبسيه )01-GBC( ثخانة 12 مم المقاومة للحريق شاملة نظام التعليق وضبط الحواف والزوايا وأبواب لفتحات الكشف بالأسقف لأعمال الصيانة )أبواب جاهزة من النوع السهل الاستعمال والمزود بمفصلات مخفية( والإكسسوارات. ويشمل السعر أي مواد أو أعمال يتطلبها استكمال العمل حسب المواصفات والمخططات.</v>
      </c>
      <c r="E437" s="12" t="str">
        <f>IF(C437&lt;&gt;"", IFERROR(INDEX('بنود العقد'!D$3:D$388,C437), ""), "")</f>
        <v>م²</v>
      </c>
      <c r="F437" s="9">
        <f>IF(C437&lt;&gt;"", IFERROR(INDEX('بنود العقد'!E$3:E$388,C437), 0), "")</f>
        <v>150</v>
      </c>
      <c r="G437" s="9">
        <f>IF(C437&lt;&gt;"", IFERROR(INDEX('بنود العقد'!F$3:F$388,C437), 0), "")</f>
        <v>24468</v>
      </c>
      <c r="H437" s="18">
        <f t="shared" si="21"/>
        <v>4106.1000700000004</v>
      </c>
      <c r="I437" s="7">
        <v>2299.9</v>
      </c>
      <c r="J437" s="18">
        <f t="shared" si="22"/>
        <v>6406.0000700000001</v>
      </c>
      <c r="K437" s="10">
        <f t="shared" si="18"/>
        <v>344985</v>
      </c>
      <c r="L437" s="21">
        <f t="shared" si="19"/>
        <v>26.18113482916462</v>
      </c>
    </row>
    <row r="438" spans="1:12" s="72" customFormat="1" ht="25.95" customHeight="1">
      <c r="A438" s="12">
        <v>436</v>
      </c>
      <c r="B438" s="6">
        <v>10</v>
      </c>
      <c r="C438" s="6">
        <v>97</v>
      </c>
      <c r="D438" s="20" t="str">
        <f>IF(C438&lt;&gt;"", IFERROR(INDEX('بنود العقد'!B$3:B$388,C438), "⚠"), "")</f>
        <v>رخام رمادي غامق تندر غراي مقاس 600×900 مم  سماكة  20مم  كإطار حول المصاعد</v>
      </c>
      <c r="E438" s="12" t="str">
        <f>IF(C438&lt;&gt;"", IFERROR(INDEX('بنود العقد'!D$3:D$388,C438), ""), "")</f>
        <v>م²</v>
      </c>
      <c r="F438" s="9">
        <f>IF(C438&lt;&gt;"", IFERROR(INDEX('بنود العقد'!E$3:E$388,C438), 0), "")</f>
        <v>300</v>
      </c>
      <c r="G438" s="9">
        <f>IF(C438&lt;&gt;"", IFERROR(INDEX('بنود العقد'!F$3:F$388,C438), 0), "")</f>
        <v>101</v>
      </c>
      <c r="H438" s="18">
        <f t="shared" si="21"/>
        <v>0</v>
      </c>
      <c r="I438" s="7">
        <v>13</v>
      </c>
      <c r="J438" s="18">
        <f t="shared" si="22"/>
        <v>13</v>
      </c>
      <c r="K438" s="10">
        <f t="shared" si="18"/>
        <v>3900</v>
      </c>
      <c r="L438" s="21">
        <f t="shared" si="19"/>
        <v>12.871287128712872</v>
      </c>
    </row>
    <row r="439" spans="1:12" s="72" customFormat="1" ht="25.95" customHeight="1">
      <c r="A439" s="12">
        <v>437</v>
      </c>
      <c r="B439" s="6">
        <v>10</v>
      </c>
      <c r="C439" s="6">
        <v>230</v>
      </c>
      <c r="D439" s="20" t="str">
        <f>IF(C439&lt;&gt;"", IFERROR(INDEX('بنود العقد'!B$3:B$388,C439),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E439" s="12" t="str">
        <f>IF(C439&lt;&gt;"", IFERROR(INDEX('بنود العقد'!D$3:D$388,C439), ""), "")</f>
        <v>م.ط</v>
      </c>
      <c r="F439" s="9">
        <f>IF(C439&lt;&gt;"", IFERROR(INDEX('بنود العقد'!E$3:E$388,C439), 0), "")</f>
        <v>300</v>
      </c>
      <c r="G439" s="9">
        <f>IF(C439&lt;&gt;"", IFERROR(INDEX('بنود العقد'!F$3:F$388,C439), 0), "")</f>
        <v>7000</v>
      </c>
      <c r="H439" s="18">
        <f t="shared" si="21"/>
        <v>4578.74</v>
      </c>
      <c r="I439" s="7">
        <v>547.26</v>
      </c>
      <c r="J439" s="18">
        <f t="shared" si="22"/>
        <v>5126</v>
      </c>
      <c r="K439" s="10">
        <f t="shared" si="18"/>
        <v>164178</v>
      </c>
      <c r="L439" s="21">
        <f t="shared" si="19"/>
        <v>73.228571428571428</v>
      </c>
    </row>
    <row r="440" spans="1:12" s="72" customFormat="1" ht="25.95" customHeight="1">
      <c r="A440" s="12">
        <v>438</v>
      </c>
      <c r="B440" s="6">
        <v>10</v>
      </c>
      <c r="C440" s="6">
        <v>231</v>
      </c>
      <c r="D440" s="20" t="str">
        <f>IF(C440&lt;&gt;"", IFERROR(INDEX('بنود العقد'!B$3:B$388,C440), "⚠"), "")</f>
        <v>ناشرة هواء ذات فتحات طولية  للهواء الداخل مصنعة من الألمنيوم المشكل بالبثق ومطلية بمسحوق البولستركاملة، مخمدات صوت ذات أرياش متضادّة ،وصندوق حجمى معزول من الداخل بعازل صوتى وميكانيزم للتحكم فى الهواء من واجهة الناشر وكل قطع الأكسسوار حسب المواصفات والمخططات مع توفير عينات للاعتماد من مهندس المشرف. ثلاثة فتحات / ثقب 25مم عرض</v>
      </c>
      <c r="E440" s="12" t="str">
        <f>IF(C440&lt;&gt;"", IFERROR(INDEX('بنود العقد'!D$3:D$388,C440), ""), "")</f>
        <v>م.ط</v>
      </c>
      <c r="F440" s="9">
        <f>IF(C440&lt;&gt;"", IFERROR(INDEX('بنود العقد'!E$3:E$388,C440), 0), "")</f>
        <v>480</v>
      </c>
      <c r="G440" s="9">
        <f>IF(C440&lt;&gt;"", IFERROR(INDEX('بنود العقد'!F$3:F$388,C440), 0), "")</f>
        <v>1925</v>
      </c>
      <c r="H440" s="18">
        <f t="shared" si="21"/>
        <v>232.58999999999997</v>
      </c>
      <c r="I440" s="7">
        <v>108.41</v>
      </c>
      <c r="J440" s="18">
        <f t="shared" si="22"/>
        <v>341</v>
      </c>
      <c r="K440" s="10">
        <f t="shared" si="18"/>
        <v>52036.799999999996</v>
      </c>
      <c r="L440" s="21">
        <f t="shared" si="19"/>
        <v>17.714285714285712</v>
      </c>
    </row>
    <row r="441" spans="1:12" s="72" customFormat="1" ht="25.95" customHeight="1">
      <c r="A441" s="12">
        <v>439</v>
      </c>
      <c r="B441" s="6">
        <v>10</v>
      </c>
      <c r="C441" s="6">
        <v>232</v>
      </c>
      <c r="D441" s="20" t="str">
        <f>IF(C441&lt;&gt;"", IFERROR(INDEX('بنود العقد'!B$3:B$388,C441), "⚠"), "")</f>
        <v>ناشرة هواء ذات فتحات طولية للهواء الراجع مصنعة من الألمنيوم المشكل بالبثق ومطلية بمسحوق البولستركاملة، وكل قطع الأكسسوار حسب المواصفات والمخططات مع توفير عينات للاعتماد من مهندس المشرف. ثلاثة فتحات / ثقب 25مم عرض</v>
      </c>
      <c r="E441" s="12" t="str">
        <f>IF(C441&lt;&gt;"", IFERROR(INDEX('بنود العقد'!D$3:D$388,C441), ""), "")</f>
        <v>م.ط</v>
      </c>
      <c r="F441" s="9">
        <f>IF(C441&lt;&gt;"", IFERROR(INDEX('بنود العقد'!E$3:E$388,C441), 0), "")</f>
        <v>480</v>
      </c>
      <c r="G441" s="9">
        <f>IF(C441&lt;&gt;"", IFERROR(INDEX('بنود العقد'!F$3:F$388,C441), 0), "")</f>
        <v>1925</v>
      </c>
      <c r="H441" s="18">
        <f t="shared" si="21"/>
        <v>233.41</v>
      </c>
      <c r="I441" s="7">
        <v>108.59</v>
      </c>
      <c r="J441" s="18">
        <f t="shared" si="22"/>
        <v>342</v>
      </c>
      <c r="K441" s="10">
        <f t="shared" si="18"/>
        <v>52123.200000000004</v>
      </c>
      <c r="L441" s="21">
        <f t="shared" si="19"/>
        <v>17.766233766233768</v>
      </c>
    </row>
    <row r="442" spans="1:12" s="72" customFormat="1" ht="25.95" customHeight="1">
      <c r="A442" s="12">
        <v>440</v>
      </c>
      <c r="B442" s="6">
        <v>10</v>
      </c>
      <c r="C442" s="6">
        <v>233</v>
      </c>
      <c r="D442" s="20" t="str">
        <f>IF(C442&lt;&gt;"", IFERROR(INDEX('بنود العقد'!B$3:B$388,C442), "⚠"), "")</f>
        <v xml:space="preserve"> جريلات تغذية من الالومينيوم مغطاة ببودرة البوليستر كاملة وجميع الملحقات حسب المخططات..والمواصفات مع توفير عينات للاعتماد من مهندس المشرف 600mm X 600mm</v>
      </c>
      <c r="E442" s="12" t="str">
        <f>IF(C442&lt;&gt;"", IFERROR(INDEX('بنود العقد'!D$3:D$388,C442), ""), "")</f>
        <v>عدد</v>
      </c>
      <c r="F442" s="9">
        <f>IF(C442&lt;&gt;"", IFERROR(INDEX('بنود العقد'!E$3:E$388,C442), 0), "")</f>
        <v>456</v>
      </c>
      <c r="G442" s="9">
        <f>IF(C442&lt;&gt;"", IFERROR(INDEX('بنود العقد'!F$3:F$388,C442), 0), "")</f>
        <v>724</v>
      </c>
      <c r="H442" s="18">
        <f t="shared" si="21"/>
        <v>138</v>
      </c>
      <c r="I442" s="7">
        <v>26</v>
      </c>
      <c r="J442" s="18">
        <f t="shared" si="22"/>
        <v>164</v>
      </c>
      <c r="K442" s="10">
        <f t="shared" si="18"/>
        <v>11856</v>
      </c>
      <c r="L442" s="21">
        <f t="shared" si="19"/>
        <v>22.651933701657459</v>
      </c>
    </row>
    <row r="443" spans="1:12" s="72" customFormat="1" ht="25.95" customHeight="1">
      <c r="A443" s="12">
        <v>441</v>
      </c>
      <c r="B443" s="6">
        <v>10</v>
      </c>
      <c r="C443" s="6">
        <v>234</v>
      </c>
      <c r="D443" s="20" t="str">
        <f>IF(C443&lt;&gt;"", IFERROR(INDEX('بنود العقد'!B$3:B$388,C443), "⚠"), "")</f>
        <v xml:space="preserve"> جريلات رجوع من الالومينيوم مغطاة ببودرة البوليستر كاملة وجميع الملحقات حسب المخططات.والمواصفات مع توفير عينات للاعتماد من مهندس المشرف 600mm X 600mm</v>
      </c>
      <c r="E443" s="12" t="str">
        <f>IF(C443&lt;&gt;"", IFERROR(INDEX('بنود العقد'!D$3:D$388,C443), ""), "")</f>
        <v>عدد</v>
      </c>
      <c r="F443" s="9">
        <f>IF(C443&lt;&gt;"", IFERROR(INDEX('بنود العقد'!E$3:E$388,C443), 0), "")</f>
        <v>264</v>
      </c>
      <c r="G443" s="9">
        <f>IF(C443&lt;&gt;"", IFERROR(INDEX('بنود العقد'!F$3:F$388,C443), 0), "")</f>
        <v>724</v>
      </c>
      <c r="H443" s="18">
        <f t="shared" si="21"/>
        <v>77</v>
      </c>
      <c r="I443" s="7">
        <v>46</v>
      </c>
      <c r="J443" s="18">
        <f t="shared" si="22"/>
        <v>123</v>
      </c>
      <c r="K443" s="10">
        <f t="shared" si="18"/>
        <v>12144</v>
      </c>
      <c r="L443" s="21">
        <f t="shared" si="19"/>
        <v>16.988950276243095</v>
      </c>
    </row>
    <row r="444" spans="1:12" s="72" customFormat="1" ht="25.95" customHeight="1">
      <c r="A444" s="12">
        <v>442</v>
      </c>
      <c r="B444" s="6">
        <v>10</v>
      </c>
      <c r="C444" s="6">
        <v>237</v>
      </c>
      <c r="D444" s="20" t="str">
        <f>IF(C444&lt;&gt;"", IFERROR(INDEX('بنود العقد'!B$3:B$388,C444),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200 mm</v>
      </c>
      <c r="E444" s="12" t="str">
        <f>IF(C444&lt;&gt;"", IFERROR(INDEX('بنود العقد'!D$3:D$388,C444), ""), "")</f>
        <v>م.ط</v>
      </c>
      <c r="F444" s="9">
        <f>IF(C444&lt;&gt;"", IFERROR(INDEX('بنود العقد'!E$3:E$388,C444), 0), "")</f>
        <v>54</v>
      </c>
      <c r="G444" s="9">
        <f>IF(C444&lt;&gt;"", IFERROR(INDEX('بنود العقد'!F$3:F$388,C444), 0), "")</f>
        <v>2964</v>
      </c>
      <c r="H444" s="18">
        <f t="shared" si="21"/>
        <v>115.2</v>
      </c>
      <c r="I444" s="7">
        <v>28.8</v>
      </c>
      <c r="J444" s="18">
        <f t="shared" si="22"/>
        <v>144</v>
      </c>
      <c r="K444" s="10">
        <f t="shared" si="18"/>
        <v>1555.2</v>
      </c>
      <c r="L444" s="21">
        <f t="shared" si="19"/>
        <v>4.8582995951417001</v>
      </c>
    </row>
    <row r="445" spans="1:12" s="72" customFormat="1" ht="25.95" customHeight="1">
      <c r="A445" s="12">
        <v>443</v>
      </c>
      <c r="B445" s="6">
        <v>10</v>
      </c>
      <c r="C445" s="6">
        <v>238</v>
      </c>
      <c r="D445" s="20" t="str">
        <f>IF(C445&lt;&gt;"", IFERROR(INDEX('بنود العقد'!B$3:B$388,C445),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250 mm</v>
      </c>
      <c r="E445" s="12" t="str">
        <f>IF(C445&lt;&gt;"", IFERROR(INDEX('بنود العقد'!D$3:D$388,C445), ""), "")</f>
        <v>م.ط</v>
      </c>
      <c r="F445" s="9">
        <f>IF(C445&lt;&gt;"", IFERROR(INDEX('بنود العقد'!E$3:E$388,C445), 0), "")</f>
        <v>66</v>
      </c>
      <c r="G445" s="9">
        <f>IF(C445&lt;&gt;"", IFERROR(INDEX('بنود العقد'!F$3:F$388,C445), 0), "")</f>
        <v>60</v>
      </c>
      <c r="H445" s="18">
        <f t="shared" si="21"/>
        <v>285.8</v>
      </c>
      <c r="I445" s="7">
        <v>452.2</v>
      </c>
      <c r="J445" s="18">
        <f t="shared" si="22"/>
        <v>738</v>
      </c>
      <c r="K445" s="10">
        <f t="shared" si="18"/>
        <v>29845.200000000001</v>
      </c>
      <c r="L445" s="21">
        <f t="shared" si="19"/>
        <v>1230</v>
      </c>
    </row>
    <row r="446" spans="1:12" s="72" customFormat="1" ht="25.95" customHeight="1">
      <c r="A446" s="12">
        <v>444</v>
      </c>
      <c r="B446" s="6">
        <v>10</v>
      </c>
      <c r="C446" s="6">
        <v>248</v>
      </c>
      <c r="D446" s="20" t="str">
        <f>IF(C446&lt;&gt;"", IFERROR(INDEX('بنود العقد'!B$3:B$388,C446),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v>
      </c>
      <c r="E446" s="12" t="str">
        <f>IF(C446&lt;&gt;"", IFERROR(INDEX('بنود العقد'!D$3:D$388,C446), ""), "")</f>
        <v>عدد</v>
      </c>
      <c r="F446" s="9">
        <f>IF(C446&lt;&gt;"", IFERROR(INDEX('بنود العقد'!E$3:E$388,C446), 0), "")</f>
        <v>216</v>
      </c>
      <c r="G446" s="9">
        <f>IF(C446&lt;&gt;"", IFERROR(INDEX('بنود العقد'!F$3:F$388,C446), 0), "")</f>
        <v>282</v>
      </c>
      <c r="H446" s="18">
        <f t="shared" si="21"/>
        <v>51.85</v>
      </c>
      <c r="I446" s="7">
        <v>40.15</v>
      </c>
      <c r="J446" s="18">
        <f t="shared" si="22"/>
        <v>92</v>
      </c>
      <c r="K446" s="10">
        <f t="shared" si="18"/>
        <v>8672.4</v>
      </c>
      <c r="L446" s="21">
        <f t="shared" si="19"/>
        <v>32.62411347517731</v>
      </c>
    </row>
    <row r="447" spans="1:12" s="72" customFormat="1" ht="25.95" customHeight="1">
      <c r="A447" s="12">
        <v>445</v>
      </c>
      <c r="B447" s="6">
        <v>10</v>
      </c>
      <c r="C447" s="6">
        <v>249</v>
      </c>
      <c r="D447" s="20" t="str">
        <f>IF(C447&lt;&gt;"", IFERROR(INDEX('بنود العقد'!B$3:B$388,C447),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مقبس ثنائي سقفى، من النوع المؤرض، 15 أمبير، 230 فولت، طور واحد، قطبين، 3 أسلاك.</v>
      </c>
      <c r="E447" s="12" t="str">
        <f>IF(C447&lt;&gt;"", IFERROR(INDEX('بنود العقد'!D$3:D$388,C447), ""), "")</f>
        <v>عدد</v>
      </c>
      <c r="F447" s="9">
        <f>IF(C447&lt;&gt;"", IFERROR(INDEX('بنود العقد'!E$3:E$388,C447), 0), "")</f>
        <v>216</v>
      </c>
      <c r="G447" s="9">
        <f>IF(C447&lt;&gt;"", IFERROR(INDEX('بنود العقد'!F$3:F$388,C447), 0), "")</f>
        <v>126</v>
      </c>
      <c r="H447" s="18">
        <f t="shared" si="21"/>
        <v>37</v>
      </c>
      <c r="I447" s="7">
        <v>13</v>
      </c>
      <c r="J447" s="18">
        <f t="shared" si="22"/>
        <v>50</v>
      </c>
      <c r="K447" s="10">
        <f t="shared" si="18"/>
        <v>2808</v>
      </c>
      <c r="L447" s="21">
        <f t="shared" si="19"/>
        <v>39.682539682539684</v>
      </c>
    </row>
    <row r="448" spans="1:12" s="72" customFormat="1" ht="25.95" customHeight="1">
      <c r="A448" s="12">
        <v>446</v>
      </c>
      <c r="B448" s="6">
        <v>10</v>
      </c>
      <c r="C448" s="6">
        <v>253</v>
      </c>
      <c r="D448" s="20" t="str">
        <f>IF(C448&lt;&gt;"", IFERROR(INDEX('بنود العقد'!B$3:B$388,C448), "⚠"), "")</f>
        <v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المشرفمخرج  ومؤرض 30 أمبير ، 230 فولت 3 أسلاك ، 1 فاز لمجفف الأيدي</v>
      </c>
      <c r="E448" s="12" t="str">
        <f>IF(C448&lt;&gt;"", IFERROR(INDEX('بنود العقد'!D$3:D$388,C448), ""), "")</f>
        <v>عدد</v>
      </c>
      <c r="F448" s="9">
        <f>IF(C448&lt;&gt;"", IFERROR(INDEX('بنود العقد'!E$3:E$388,C448), 0), "")</f>
        <v>264</v>
      </c>
      <c r="G448" s="9">
        <f>IF(C448&lt;&gt;"", IFERROR(INDEX('بنود العقد'!F$3:F$388,C448), 0), "")</f>
        <v>72</v>
      </c>
      <c r="H448" s="18">
        <f t="shared" si="21"/>
        <v>6</v>
      </c>
      <c r="I448" s="7">
        <v>8</v>
      </c>
      <c r="J448" s="18">
        <f t="shared" si="22"/>
        <v>14</v>
      </c>
      <c r="K448" s="10">
        <f t="shared" si="18"/>
        <v>2112</v>
      </c>
      <c r="L448" s="21">
        <f t="shared" si="19"/>
        <v>19.444444444444446</v>
      </c>
    </row>
    <row r="449" spans="1:12" s="72" customFormat="1" ht="25.95" customHeight="1">
      <c r="A449" s="12">
        <v>447</v>
      </c>
      <c r="B449" s="6">
        <v>10</v>
      </c>
      <c r="C449" s="6">
        <v>262</v>
      </c>
      <c r="D449" s="20" t="str">
        <f>IF(C449&lt;&gt;"", IFERROR(INDEX('بنود العقد'!B$3:B$388,C449),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v>
      </c>
      <c r="E449" s="12" t="str">
        <f>IF(C449&lt;&gt;"", IFERROR(INDEX('بنود العقد'!D$3:D$388,C449), ""), "")</f>
        <v>عدد</v>
      </c>
      <c r="F449" s="9">
        <f>IF(C449&lt;&gt;"", IFERROR(INDEX('بنود العقد'!E$3:E$388,C449), 0), "")</f>
        <v>348</v>
      </c>
      <c r="G449" s="9">
        <f>IF(C449&lt;&gt;"", IFERROR(INDEX('بنود العقد'!F$3:F$388,C449), 0), "")</f>
        <v>530</v>
      </c>
      <c r="H449" s="18">
        <f t="shared" si="21"/>
        <v>60</v>
      </c>
      <c r="I449" s="7">
        <v>51</v>
      </c>
      <c r="J449" s="18">
        <f t="shared" si="22"/>
        <v>111</v>
      </c>
      <c r="K449" s="10">
        <f t="shared" si="18"/>
        <v>17748</v>
      </c>
      <c r="L449" s="21">
        <f t="shared" si="19"/>
        <v>20.943396226415096</v>
      </c>
    </row>
    <row r="450" spans="1:12" s="72" customFormat="1" ht="25.95" customHeight="1">
      <c r="A450" s="12">
        <v>448</v>
      </c>
      <c r="B450" s="6">
        <v>10</v>
      </c>
      <c r="C450" s="6">
        <v>264</v>
      </c>
      <c r="D450" s="20" t="str">
        <f>IF(C450&lt;&gt;"", IFERROR(INDEX('بنود العقد'!B$3:B$388,C450),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A2</v>
      </c>
      <c r="E450" s="12" t="str">
        <f>IF(C450&lt;&gt;"", IFERROR(INDEX('بنود العقد'!D$3:D$388,C450), ""), "")</f>
        <v>عدد</v>
      </c>
      <c r="F450" s="9">
        <f>IF(C450&lt;&gt;"", IFERROR(INDEX('بنود العقد'!E$3:E$388,C450), 0), "")</f>
        <v>1044</v>
      </c>
      <c r="G450" s="9">
        <f>IF(C450&lt;&gt;"", IFERROR(INDEX('بنود العقد'!F$3:F$388,C450), 0), "")</f>
        <v>1113</v>
      </c>
      <c r="H450" s="18">
        <f t="shared" si="21"/>
        <v>336</v>
      </c>
      <c r="I450" s="7">
        <v>80</v>
      </c>
      <c r="J450" s="18">
        <f t="shared" si="22"/>
        <v>416</v>
      </c>
      <c r="K450" s="10">
        <f t="shared" si="18"/>
        <v>83520</v>
      </c>
      <c r="L450" s="21">
        <f t="shared" si="19"/>
        <v>37.376460017969457</v>
      </c>
    </row>
    <row r="451" spans="1:12" s="72" customFormat="1" ht="25.95" customHeight="1">
      <c r="A451" s="12">
        <v>449</v>
      </c>
      <c r="B451" s="6">
        <v>10</v>
      </c>
      <c r="C451" s="6">
        <v>272</v>
      </c>
      <c r="D451" s="20" t="str">
        <f>IF(C451&lt;&gt;"", IFERROR(INDEX('بنود العقد'!B$3:B$388,C451),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B1</v>
      </c>
      <c r="E451" s="12" t="str">
        <f>IF(C451&lt;&gt;"", IFERROR(INDEX('بنود العقد'!D$3:D$388,C451), ""), "")</f>
        <v>عدد</v>
      </c>
      <c r="F451" s="9">
        <f>IF(C451&lt;&gt;"", IFERROR(INDEX('بنود العقد'!E$3:E$388,C451), 0), "")</f>
        <v>720</v>
      </c>
      <c r="G451" s="9">
        <f>IF(C451&lt;&gt;"", IFERROR(INDEX('بنود العقد'!F$3:F$388,C451), 0), "")</f>
        <v>343</v>
      </c>
      <c r="H451" s="18">
        <f t="shared" ref="H451:H514" si="23">IFERROR(SUMIFS(I$3:I$1805, B$3:B$1805, "&lt;"&amp;B451, C$3:C$1805, C451), 0)</f>
        <v>25</v>
      </c>
      <c r="I451" s="7">
        <v>7</v>
      </c>
      <c r="J451" s="18">
        <f t="shared" si="22"/>
        <v>32</v>
      </c>
      <c r="K451" s="10">
        <f t="shared" si="18"/>
        <v>5040</v>
      </c>
      <c r="L451" s="21">
        <f t="shared" si="19"/>
        <v>9.3294460641399422</v>
      </c>
    </row>
    <row r="452" spans="1:12" s="72" customFormat="1" ht="25.95" customHeight="1">
      <c r="A452" s="12">
        <v>450</v>
      </c>
      <c r="B452" s="6">
        <v>10</v>
      </c>
      <c r="C452" s="6">
        <v>274</v>
      </c>
      <c r="D452" s="20" t="str">
        <f>IF(C452&lt;&gt;"", IFERROR(INDEX('بنود العقد'!B$3:B$388,C452),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C1</v>
      </c>
      <c r="E452" s="12" t="str">
        <f>IF(C452&lt;&gt;"", IFERROR(INDEX('بنود العقد'!D$3:D$388,C452), ""), "")</f>
        <v>عدد</v>
      </c>
      <c r="F452" s="9">
        <f>IF(C452&lt;&gt;"", IFERROR(INDEX('بنود العقد'!E$3:E$388,C452), 0), "")</f>
        <v>1128</v>
      </c>
      <c r="G452" s="9">
        <f>IF(C452&lt;&gt;"", IFERROR(INDEX('بنود العقد'!F$3:F$388,C452), 0), "")</f>
        <v>172</v>
      </c>
      <c r="H452" s="18">
        <f t="shared" si="23"/>
        <v>25</v>
      </c>
      <c r="I452" s="7">
        <v>25</v>
      </c>
      <c r="J452" s="18">
        <f t="shared" si="22"/>
        <v>50</v>
      </c>
      <c r="K452" s="10">
        <f t="shared" si="18"/>
        <v>28200</v>
      </c>
      <c r="L452" s="21">
        <f t="shared" si="19"/>
        <v>29.069767441860467</v>
      </c>
    </row>
    <row r="453" spans="1:12" s="72" customFormat="1" ht="25.95" customHeight="1">
      <c r="A453" s="12">
        <v>451</v>
      </c>
      <c r="B453" s="6">
        <v>10</v>
      </c>
      <c r="C453" s="6">
        <v>275</v>
      </c>
      <c r="D453" s="20" t="str">
        <f>IF(C453&lt;&gt;"", IFERROR(INDEX('بنود العقد'!B$3:B$388,C453),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v>
      </c>
      <c r="E453" s="12" t="str">
        <f>IF(C453&lt;&gt;"", IFERROR(INDEX('بنود العقد'!D$3:D$388,C453), ""), "")</f>
        <v>عدد</v>
      </c>
      <c r="F453" s="9">
        <f>IF(C453&lt;&gt;"", IFERROR(INDEX('بنود العقد'!E$3:E$388,C453), 0), "")</f>
        <v>420</v>
      </c>
      <c r="G453" s="9">
        <f>IF(C453&lt;&gt;"", IFERROR(INDEX('بنود العقد'!F$3:F$388,C453), 0), "")</f>
        <v>1422</v>
      </c>
      <c r="H453" s="18">
        <f t="shared" si="23"/>
        <v>434</v>
      </c>
      <c r="I453" s="7">
        <v>121</v>
      </c>
      <c r="J453" s="18">
        <f t="shared" si="22"/>
        <v>555</v>
      </c>
      <c r="K453" s="10">
        <f t="shared" si="18"/>
        <v>50820</v>
      </c>
      <c r="L453" s="21">
        <f t="shared" si="19"/>
        <v>39.029535864978904</v>
      </c>
    </row>
    <row r="454" spans="1:12" s="72" customFormat="1" ht="25.95" customHeight="1">
      <c r="A454" s="12">
        <v>452</v>
      </c>
      <c r="B454" s="6">
        <v>10</v>
      </c>
      <c r="C454" s="6">
        <v>277</v>
      </c>
      <c r="D454" s="20" t="str">
        <f>IF(C454&lt;&gt;"", IFERROR(INDEX('بنود العقد'!B$3:B$388,C454),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v>
      </c>
      <c r="E454" s="12" t="str">
        <f>IF(C454&lt;&gt;"", IFERROR(INDEX('بنود العقد'!D$3:D$388,C454), ""), "")</f>
        <v>عدد</v>
      </c>
      <c r="F454" s="9">
        <f>IF(C454&lt;&gt;"", IFERROR(INDEX('بنود العقد'!E$3:E$388,C454), 0), "")</f>
        <v>300</v>
      </c>
      <c r="G454" s="9">
        <f>IF(C454&lt;&gt;"", IFERROR(INDEX('بنود العقد'!F$3:F$388,C454), 0), "")</f>
        <v>284</v>
      </c>
      <c r="H454" s="18">
        <f t="shared" si="23"/>
        <v>49</v>
      </c>
      <c r="I454" s="7">
        <v>43</v>
      </c>
      <c r="J454" s="18">
        <f t="shared" si="22"/>
        <v>92</v>
      </c>
      <c r="K454" s="10">
        <f t="shared" si="18"/>
        <v>12900</v>
      </c>
      <c r="L454" s="21">
        <f t="shared" si="19"/>
        <v>32.394366197183103</v>
      </c>
    </row>
    <row r="455" spans="1:12" s="72" customFormat="1" ht="25.95" customHeight="1">
      <c r="A455" s="12">
        <v>453</v>
      </c>
      <c r="B455" s="6">
        <v>10</v>
      </c>
      <c r="C455" s="6">
        <v>281</v>
      </c>
      <c r="D455" s="20" t="str">
        <f>IF(C455&lt;&gt;"", IFERROR(INDEX('بنود العقد'!B$3:B$388,C455),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D1</v>
      </c>
      <c r="E455" s="12" t="str">
        <f>IF(C455&lt;&gt;"", IFERROR(INDEX('بنود العقد'!D$3:D$388,C455), ""), "")</f>
        <v>عدد</v>
      </c>
      <c r="F455" s="9">
        <f>IF(C455&lt;&gt;"", IFERROR(INDEX('بنود العقد'!E$3:E$388,C455), 0), "")</f>
        <v>936</v>
      </c>
      <c r="G455" s="9">
        <f>IF(C455&lt;&gt;"", IFERROR(INDEX('بنود العقد'!F$3:F$388,C455), 0), "")</f>
        <v>56</v>
      </c>
      <c r="H455" s="18">
        <f t="shared" si="23"/>
        <v>22</v>
      </c>
      <c r="I455" s="7">
        <v>5</v>
      </c>
      <c r="J455" s="18">
        <f t="shared" si="22"/>
        <v>27</v>
      </c>
      <c r="K455" s="10">
        <f t="shared" si="18"/>
        <v>4680</v>
      </c>
      <c r="L455" s="21">
        <f t="shared" si="19"/>
        <v>48.214285714285715</v>
      </c>
    </row>
    <row r="456" spans="1:12" s="72" customFormat="1" ht="25.95" customHeight="1">
      <c r="A456" s="12">
        <v>454</v>
      </c>
      <c r="B456" s="6">
        <v>10</v>
      </c>
      <c r="C456" s="6">
        <v>288</v>
      </c>
      <c r="D456" s="20" t="str">
        <f>IF(C456&lt;&gt;"", IFERROR(INDEX('بنود العقد'!B$3:B$388,C456),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LB1</v>
      </c>
      <c r="E456" s="12" t="str">
        <f>IF(C456&lt;&gt;"", IFERROR(INDEX('بنود العقد'!D$3:D$388,C456), ""), "")</f>
        <v>م.ط</v>
      </c>
      <c r="F456" s="9">
        <f>IF(C456&lt;&gt;"", IFERROR(INDEX('بنود العقد'!E$3:E$388,C456), 0), "")</f>
        <v>170.4</v>
      </c>
      <c r="G456" s="9">
        <f>IF(C456&lt;&gt;"", IFERROR(INDEX('بنود العقد'!F$3:F$388,C456), 0), "")</f>
        <v>5772</v>
      </c>
      <c r="H456" s="18">
        <f t="shared" si="23"/>
        <v>1021</v>
      </c>
      <c r="I456" s="7">
        <v>715</v>
      </c>
      <c r="J456" s="18">
        <f t="shared" si="22"/>
        <v>1736</v>
      </c>
      <c r="K456" s="10">
        <f t="shared" si="18"/>
        <v>121836</v>
      </c>
      <c r="L456" s="21">
        <f t="shared" si="19"/>
        <v>30.076230076230075</v>
      </c>
    </row>
    <row r="457" spans="1:12" s="72" customFormat="1" ht="25.95" customHeight="1">
      <c r="A457" s="12">
        <v>455</v>
      </c>
      <c r="B457" s="6">
        <v>10</v>
      </c>
      <c r="C457" s="6">
        <v>290</v>
      </c>
      <c r="D457" s="20" t="str">
        <f>IF(C457&lt;&gt;"", IFERROR(INDEX('بنود العقد'!B$3:B$388,C457),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LB3</v>
      </c>
      <c r="E457" s="12" t="str">
        <f>IF(C457&lt;&gt;"", IFERROR(INDEX('بنود العقد'!D$3:D$388,C457), ""), "")</f>
        <v>عدد</v>
      </c>
      <c r="F457" s="9">
        <f>IF(C457&lt;&gt;"", IFERROR(INDEX('بنود العقد'!E$3:E$388,C457), 0), "")</f>
        <v>900</v>
      </c>
      <c r="G457" s="9">
        <f>IF(C457&lt;&gt;"", IFERROR(INDEX('بنود العقد'!F$3:F$388,C457), 0), "")</f>
        <v>237</v>
      </c>
      <c r="H457" s="18">
        <f t="shared" si="23"/>
        <v>18</v>
      </c>
      <c r="I457" s="7">
        <v>47</v>
      </c>
      <c r="J457" s="18">
        <f t="shared" si="22"/>
        <v>65</v>
      </c>
      <c r="K457" s="10">
        <f t="shared" si="18"/>
        <v>42300</v>
      </c>
      <c r="L457" s="21">
        <f t="shared" si="19"/>
        <v>27.426160337552741</v>
      </c>
    </row>
    <row r="458" spans="1:12" s="72" customFormat="1" ht="25.95" customHeight="1">
      <c r="A458" s="12">
        <v>456</v>
      </c>
      <c r="B458" s="6">
        <v>10</v>
      </c>
      <c r="C458" s="6">
        <v>299</v>
      </c>
      <c r="D458" s="20" t="str">
        <f>IF(C458&lt;&gt;"", IFERROR(INDEX('بنود العقد'!B$3:B$388,C458),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T1</v>
      </c>
      <c r="E458" s="12" t="str">
        <f>IF(C458&lt;&gt;"", IFERROR(INDEX('بنود العقد'!D$3:D$388,C458), ""), "")</f>
        <v>عدد</v>
      </c>
      <c r="F458" s="9">
        <f>IF(C458&lt;&gt;"", IFERROR(INDEX('بنود العقد'!E$3:E$388,C458), 0), "")</f>
        <v>744</v>
      </c>
      <c r="G458" s="9">
        <f>IF(C458&lt;&gt;"", IFERROR(INDEX('بنود العقد'!F$3:F$388,C458), 0), "")</f>
        <v>1146</v>
      </c>
      <c r="H458" s="18">
        <f t="shared" si="23"/>
        <v>202</v>
      </c>
      <c r="I458" s="7">
        <v>23</v>
      </c>
      <c r="J458" s="18">
        <f t="shared" si="22"/>
        <v>225</v>
      </c>
      <c r="K458" s="10">
        <f t="shared" si="18"/>
        <v>17112</v>
      </c>
      <c r="L458" s="21">
        <f t="shared" si="19"/>
        <v>19.633507853403142</v>
      </c>
    </row>
    <row r="459" spans="1:12" s="72" customFormat="1" ht="25.95" customHeight="1">
      <c r="A459" s="12">
        <v>457</v>
      </c>
      <c r="B459" s="6">
        <v>10</v>
      </c>
      <c r="C459" s="6">
        <v>303</v>
      </c>
      <c r="D459" s="20" t="str">
        <f>IF(C459&lt;&gt;"", IFERROR(INDEX('بنود العقد'!B$3:B$388,C459),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مفتاح أحادي ، أحادي الكباّس، 10 أمبير</v>
      </c>
      <c r="E459" s="12" t="str">
        <f>IF(C459&lt;&gt;"", IFERROR(INDEX('بنود العقد'!D$3:D$388,C459), ""), "")</f>
        <v>عدد</v>
      </c>
      <c r="F459" s="9">
        <f>IF(C459&lt;&gt;"", IFERROR(INDEX('بنود العقد'!E$3:E$388,C459), 0), "")</f>
        <v>216</v>
      </c>
      <c r="G459" s="9">
        <f>IF(C459&lt;&gt;"", IFERROR(INDEX('بنود العقد'!F$3:F$388,C459), 0), "")</f>
        <v>226</v>
      </c>
      <c r="H459" s="18">
        <f t="shared" si="23"/>
        <v>12</v>
      </c>
      <c r="I459" s="7">
        <v>55</v>
      </c>
      <c r="J459" s="18">
        <f t="shared" si="22"/>
        <v>67</v>
      </c>
      <c r="K459" s="10">
        <f t="shared" si="18"/>
        <v>11880</v>
      </c>
      <c r="L459" s="21">
        <f t="shared" si="19"/>
        <v>29.646017699115045</v>
      </c>
    </row>
    <row r="460" spans="1:12" s="72" customFormat="1" ht="25.95" customHeight="1">
      <c r="A460" s="12">
        <v>458</v>
      </c>
      <c r="B460" s="6">
        <v>10</v>
      </c>
      <c r="C460" s="6">
        <v>304</v>
      </c>
      <c r="D460" s="20" t="str">
        <f>IF(C460&lt;&gt;"", IFERROR(INDEX('بنود العقد'!B$3:B$388,C460),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أحادي ، ثنائي الكباّس، 10 أمبير</v>
      </c>
      <c r="E460" s="12" t="str">
        <f>IF(C460&lt;&gt;"", IFERROR(INDEX('بنود العقد'!D$3:D$388,C460), ""), "")</f>
        <v>عدد</v>
      </c>
      <c r="F460" s="9">
        <f>IF(C460&lt;&gt;"", IFERROR(INDEX('بنود العقد'!E$3:E$388,C460), 0), "")</f>
        <v>216</v>
      </c>
      <c r="G460" s="9">
        <f>IF(C460&lt;&gt;"", IFERROR(INDEX('بنود العقد'!F$3:F$388,C460), 0), "")</f>
        <v>490</v>
      </c>
      <c r="H460" s="18">
        <f t="shared" si="23"/>
        <v>19</v>
      </c>
      <c r="I460" s="7">
        <v>149</v>
      </c>
      <c r="J460" s="18">
        <f t="shared" si="22"/>
        <v>168</v>
      </c>
      <c r="K460" s="10">
        <f t="shared" si="18"/>
        <v>32184</v>
      </c>
      <c r="L460" s="21">
        <f t="shared" si="19"/>
        <v>34.285714285714285</v>
      </c>
    </row>
    <row r="461" spans="1:12" s="72" customFormat="1" ht="25.95" customHeight="1">
      <c r="A461" s="12">
        <v>459</v>
      </c>
      <c r="B461" s="6">
        <v>10</v>
      </c>
      <c r="C461" s="6">
        <v>306</v>
      </c>
      <c r="D461" s="20" t="str">
        <f>IF(C461&lt;&gt;"", IFERROR(INDEX('بنود العقد'!B$3:B$388,C461),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ثنائي ، ثنائي الكباّس، 10 أمبير</v>
      </c>
      <c r="E461" s="12" t="str">
        <f>IF(C461&lt;&gt;"", IFERROR(INDEX('بنود العقد'!D$3:D$388,C461), ""), "")</f>
        <v>عدد</v>
      </c>
      <c r="F461" s="9">
        <f>IF(C461&lt;&gt;"", IFERROR(INDEX('بنود العقد'!E$3:E$388,C461), 0), "")</f>
        <v>216</v>
      </c>
      <c r="G461" s="9">
        <f>IF(C461&lt;&gt;"", IFERROR(INDEX('بنود العقد'!F$3:F$388,C461), 0), "")</f>
        <v>66</v>
      </c>
      <c r="H461" s="18">
        <f t="shared" si="23"/>
        <v>7</v>
      </c>
      <c r="I461" s="7">
        <v>11</v>
      </c>
      <c r="J461" s="18">
        <f t="shared" si="22"/>
        <v>18</v>
      </c>
      <c r="K461" s="10">
        <f t="shared" si="18"/>
        <v>2376</v>
      </c>
      <c r="L461" s="21">
        <f t="shared" si="19"/>
        <v>27.27272727272727</v>
      </c>
    </row>
    <row r="462" spans="1:12" s="72" customFormat="1" ht="25.95" customHeight="1">
      <c r="A462" s="12">
        <v>460</v>
      </c>
      <c r="B462" s="6">
        <v>10</v>
      </c>
      <c r="C462" s="6">
        <v>308</v>
      </c>
      <c r="D462" s="20" t="str">
        <f>IF(C462&lt;&gt;"", IFERROR(INDEX('بنود العقد'!B$3:B$388,C462), "⚠"), "")</f>
        <v>توريد وتركيب و فحص وتسليم نظام انذار حريق معنون  يتضمن لوحة إنذار رئيسية مرتبطة بحاسب مع طابعة  مزود  ببرنامج مصنع خصيصاً لهذا النوع من الأنظمة  قادر على التوافق مع نظام المراقبة التلفزيونية  و التحكم بالدخول و المراقبة . و ذلك باستخدام كوابل مخصصة لأنظمة إنذار الحريق ذات غلاف خارجي من نوع LSOH و يجب أن لا يقل الناقل عن Cx1.5mm2   و يتم التركيب ضمن مواسير من النوع EMT    و تشمل اعمال المدنية إن لزم ذلك  وكل ما يلزم لإتمام العمل على اكمل وجه.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على المقاول عمل ربط  انذار الحريق مع نظام ادارة المبنى BMS</v>
      </c>
      <c r="E462" s="12" t="str">
        <f>IF(C462&lt;&gt;"", IFERROR(INDEX('بنود العقد'!D$3:D$388,C462), ""), "")</f>
        <v>عدد</v>
      </c>
      <c r="F462" s="9">
        <f>IF(C462&lt;&gt;"", IFERROR(INDEX('بنود العقد'!E$3:E$388,C462), 0), "")</f>
        <v>28800</v>
      </c>
      <c r="G462" s="9">
        <f>IF(C462&lt;&gt;"", IFERROR(INDEX('بنود العقد'!F$3:F$388,C462), 0), "")</f>
        <v>1</v>
      </c>
      <c r="H462" s="18">
        <f t="shared" si="23"/>
        <v>0</v>
      </c>
      <c r="I462" s="7">
        <v>0.2</v>
      </c>
      <c r="J462" s="18">
        <f t="shared" si="22"/>
        <v>0.2</v>
      </c>
      <c r="K462" s="10">
        <f t="shared" si="18"/>
        <v>5760</v>
      </c>
      <c r="L462" s="21">
        <f t="shared" si="19"/>
        <v>20</v>
      </c>
    </row>
    <row r="463" spans="1:12" s="72" customFormat="1" ht="25.95" customHeight="1">
      <c r="A463" s="12">
        <v>461</v>
      </c>
      <c r="B463" s="6">
        <v>10</v>
      </c>
      <c r="C463" s="6">
        <v>309</v>
      </c>
      <c r="D463" s="20" t="str">
        <f>IF(C463&lt;&gt;"", IFERROR(INDEX('بنود العقد'!B$3:B$388,C463), "⚠"), "")</f>
        <v xml:space="preserve"> كاشف انذار دخان من النوع المعنون طبقا للمخططات  ومواصفات المشروع</v>
      </c>
      <c r="E463" s="12" t="str">
        <f>IF(C463&lt;&gt;"", IFERROR(INDEX('بنود العقد'!D$3:D$388,C463), ""), "")</f>
        <v>عدد</v>
      </c>
      <c r="F463" s="9">
        <f>IF(C463&lt;&gt;"", IFERROR(INDEX('بنود العقد'!E$3:E$388,C463), 0), "")</f>
        <v>276</v>
      </c>
      <c r="G463" s="9">
        <f>IF(C463&lt;&gt;"", IFERROR(INDEX('بنود العقد'!F$3:F$388,C463), 0), "")</f>
        <v>715</v>
      </c>
      <c r="H463" s="18">
        <f t="shared" si="23"/>
        <v>74</v>
      </c>
      <c r="I463" s="7">
        <v>81</v>
      </c>
      <c r="J463" s="18">
        <f t="shared" si="22"/>
        <v>155</v>
      </c>
      <c r="K463" s="10">
        <f t="shared" si="18"/>
        <v>22356</v>
      </c>
      <c r="L463" s="21">
        <f t="shared" ref="L463:L700" si="24">IF(AND(J463&lt;&gt;"",G463&lt;&gt;"",G463&gt;0), J463/G463*100, "")</f>
        <v>21.678321678321677</v>
      </c>
    </row>
    <row r="464" spans="1:12" ht="25.95" customHeight="1">
      <c r="A464" s="12">
        <v>462</v>
      </c>
      <c r="B464" s="6">
        <v>10</v>
      </c>
      <c r="C464" s="6">
        <v>311</v>
      </c>
      <c r="D464" s="20" t="str">
        <f>IF(C464&lt;&gt;"", IFERROR(INDEX('بنود العقد'!B$3:B$388,C464), "⚠"), "")</f>
        <v xml:space="preserve"> وحدة إنذار حريق يدوية من النوع المعنون طبقا للمخططات  ومواصفات المشروع</v>
      </c>
      <c r="E464" s="12" t="str">
        <f>IF(C464&lt;&gt;"", IFERROR(INDEX('بنود العقد'!D$3:D$388,C464), ""), "")</f>
        <v>عدد</v>
      </c>
      <c r="F464" s="9">
        <f>IF(C464&lt;&gt;"", IFERROR(INDEX('بنود العقد'!E$3:E$388,C464), 0), "")</f>
        <v>384</v>
      </c>
      <c r="G464" s="9">
        <f>IF(C464&lt;&gt;"", IFERROR(INDEX('بنود العقد'!F$3:F$388,C464), 0), "")</f>
        <v>54</v>
      </c>
      <c r="H464" s="18">
        <f t="shared" si="23"/>
        <v>3</v>
      </c>
      <c r="I464" s="7">
        <v>4</v>
      </c>
      <c r="J464" s="18">
        <f t="shared" si="22"/>
        <v>7</v>
      </c>
      <c r="K464" s="10">
        <f t="shared" si="18"/>
        <v>1536</v>
      </c>
      <c r="L464" s="21">
        <f t="shared" si="24"/>
        <v>12.962962962962962</v>
      </c>
    </row>
    <row r="465" spans="1:12" ht="25.95" customHeight="1">
      <c r="A465" s="12">
        <v>463</v>
      </c>
      <c r="B465" s="6">
        <v>10</v>
      </c>
      <c r="C465" s="6">
        <v>313</v>
      </c>
      <c r="D465" s="20" t="str">
        <f>IF(C465&lt;&gt;"", IFERROR(INDEX('بنود العقد'!B$3:B$388,C465), "⚠"), "")</f>
        <v>وحدة تحكم  )Control module( من النوع المعنون طبقا للمخططات  ومواصفات المشروع</v>
      </c>
      <c r="E465" s="12" t="str">
        <f>IF(C465&lt;&gt;"", IFERROR(INDEX('بنود العقد'!D$3:D$388,C465), ""), "")</f>
        <v>عدد</v>
      </c>
      <c r="F465" s="9">
        <f>IF(C465&lt;&gt;"", IFERROR(INDEX('بنود العقد'!E$3:E$388,C465), 0), "")</f>
        <v>420</v>
      </c>
      <c r="G465" s="9">
        <f>IF(C465&lt;&gt;"", IFERROR(INDEX('بنود العقد'!F$3:F$388,C465), 0), "")</f>
        <v>69</v>
      </c>
      <c r="H465" s="18">
        <f t="shared" si="23"/>
        <v>10</v>
      </c>
      <c r="I465" s="7">
        <v>5</v>
      </c>
      <c r="J465" s="18">
        <f t="shared" si="22"/>
        <v>15</v>
      </c>
      <c r="K465" s="10">
        <f t="shared" si="18"/>
        <v>2100</v>
      </c>
      <c r="L465" s="21">
        <f t="shared" si="24"/>
        <v>21.739130434782609</v>
      </c>
    </row>
    <row r="466" spans="1:12" ht="25.95" customHeight="1">
      <c r="A466" s="12">
        <v>464</v>
      </c>
      <c r="B466" s="6">
        <v>10</v>
      </c>
      <c r="C466" s="6">
        <v>314</v>
      </c>
      <c r="D466" s="20" t="str">
        <f>IF(C466&lt;&gt;"", IFERROR(INDEX('بنود العقد'!B$3:B$388,C466), "⚠"), "")</f>
        <v>وحدة جرس إنذار حريق داخلى طبقا للمخططات  ومواصفات المشروع</v>
      </c>
      <c r="E466" s="12" t="str">
        <f>IF(C466&lt;&gt;"", IFERROR(INDEX('بنود العقد'!D$3:D$388,C466), ""), "")</f>
        <v>عدد</v>
      </c>
      <c r="F466" s="9">
        <f>IF(C466&lt;&gt;"", IFERROR(INDEX('بنود العقد'!E$3:E$388,C466), 0), "")</f>
        <v>576</v>
      </c>
      <c r="G466" s="9">
        <f>IF(C466&lt;&gt;"", IFERROR(INDEX('بنود العقد'!F$3:F$388,C466), 0), "")</f>
        <v>24</v>
      </c>
      <c r="H466" s="18">
        <f t="shared" si="23"/>
        <v>3</v>
      </c>
      <c r="I466" s="7">
        <v>2</v>
      </c>
      <c r="J466" s="18">
        <f t="shared" si="22"/>
        <v>5</v>
      </c>
      <c r="K466" s="10">
        <f t="shared" ref="K466:K585" si="25">IF(AND(I466&lt;&gt;"",F466&lt;&gt;""), I466*F466, "")</f>
        <v>1152</v>
      </c>
      <c r="L466" s="21">
        <f t="shared" si="24"/>
        <v>20.833333333333336</v>
      </c>
    </row>
    <row r="467" spans="1:12" ht="25.95" customHeight="1">
      <c r="A467" s="12">
        <v>465</v>
      </c>
      <c r="B467" s="6">
        <v>10</v>
      </c>
      <c r="C467" s="6">
        <v>351</v>
      </c>
      <c r="D467" s="20" t="str">
        <f>IF(C467&lt;&gt;"", IFERROR(INDEX('بنود العقد'!B$3:B$388,C467), "⚠"), "")</f>
        <v>توريد وتركيب وفرد دهان ايبوكسي لزوم الدربزينات بالفناء الوسطي و البهو الداخلي بين الادوار و المدخل ويتم التركيب طبقاً للمخططات والمواصفات الفنية و المواد المعتمدة  .</v>
      </c>
      <c r="E467" s="12" t="str">
        <f>IF(C467&lt;&gt;"", IFERROR(INDEX('بنود العقد'!D$3:D$388,C467), ""), "")</f>
        <v>م.ط</v>
      </c>
      <c r="F467" s="9">
        <f>IF(C467&lt;&gt;"", IFERROR(INDEX('بنود العقد'!E$3:E$388,C467), 0), "")</f>
        <v>45</v>
      </c>
      <c r="G467" s="9">
        <f>IF(C467&lt;&gt;"", IFERROR(INDEX('بنود العقد'!F$3:F$388,C467), 0), "")</f>
        <v>0</v>
      </c>
      <c r="H467" s="18">
        <f t="shared" si="23"/>
        <v>60.47</v>
      </c>
      <c r="I467" s="7">
        <v>19.53</v>
      </c>
      <c r="J467" s="18">
        <f t="shared" si="22"/>
        <v>80</v>
      </c>
      <c r="K467" s="10">
        <f t="shared" si="25"/>
        <v>878.85</v>
      </c>
      <c r="L467" s="21" t="str">
        <f t="shared" si="24"/>
        <v/>
      </c>
    </row>
    <row r="468" spans="1:12" s="72" customFormat="1" ht="25.95" customHeight="1">
      <c r="A468" s="12">
        <v>466</v>
      </c>
      <c r="B468" s="6">
        <v>11</v>
      </c>
      <c r="C468" s="6">
        <v>6</v>
      </c>
      <c r="D468" s="20" t="str">
        <f>IF(C468&lt;&gt;"", IFERROR(INDEX('بنود العقد'!B$3:B$388,C468),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v>
      </c>
      <c r="E468" s="12" t="str">
        <f>IF(C468&lt;&gt;"", IFERROR(INDEX('بنود العقد'!D$3:D$388,C468), ""), "")</f>
        <v>م2</v>
      </c>
      <c r="F468" s="9">
        <f>IF(C468&lt;&gt;"", IFERROR(INDEX('بنود العقد'!E$3:E$388,C468), 0), "")</f>
        <v>150</v>
      </c>
      <c r="G468" s="9">
        <f>IF(C468&lt;&gt;"", IFERROR(INDEX('بنود العقد'!F$3:F$388,C468), 0), "")</f>
        <v>450</v>
      </c>
      <c r="H468" s="18">
        <f t="shared" si="23"/>
        <v>2320.91</v>
      </c>
      <c r="I468" s="7">
        <v>373.09</v>
      </c>
      <c r="J468" s="18">
        <f t="shared" si="22"/>
        <v>2694</v>
      </c>
      <c r="K468" s="10">
        <f t="shared" si="25"/>
        <v>55963.499999999993</v>
      </c>
      <c r="L468" s="21">
        <f t="shared" si="24"/>
        <v>598.66666666666663</v>
      </c>
    </row>
    <row r="469" spans="1:12" s="72" customFormat="1" ht="25.95" customHeight="1">
      <c r="A469" s="12">
        <v>467</v>
      </c>
      <c r="B469" s="6">
        <v>11</v>
      </c>
      <c r="C469" s="6">
        <v>7</v>
      </c>
      <c r="D469" s="20" t="str">
        <f>IF(C469&lt;&gt;"", IFERROR(INDEX('بنود العقد'!B$3:B$388,C469),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القسمRef drawing: 07-MRA-DD-(as per floor number) وتعليمات المهندس المشرف 04200-Ar-100</v>
      </c>
      <c r="E469" s="12" t="str">
        <f>IF(C469&lt;&gt;"", IFERROR(INDEX('بنود العقد'!D$3:D$388,C469), ""), "")</f>
        <v>م2</v>
      </c>
      <c r="F469" s="9">
        <f>IF(C469&lt;&gt;"", IFERROR(INDEX('بنود العقد'!E$3:E$388,C469), 0), "")</f>
        <v>150</v>
      </c>
      <c r="G469" s="9">
        <f>IF(C469&lt;&gt;"", IFERROR(INDEX('بنود العقد'!F$3:F$388,C469), 0), "")</f>
        <v>76</v>
      </c>
      <c r="H469" s="18">
        <f t="shared" si="23"/>
        <v>117.36</v>
      </c>
      <c r="I469" s="7">
        <v>110.64</v>
      </c>
      <c r="J469" s="18">
        <f t="shared" si="22"/>
        <v>228</v>
      </c>
      <c r="K469" s="10">
        <f t="shared" si="25"/>
        <v>16596</v>
      </c>
      <c r="L469" s="21">
        <f t="shared" si="24"/>
        <v>300</v>
      </c>
    </row>
    <row r="470" spans="1:12" s="72" customFormat="1" ht="25.95" customHeight="1">
      <c r="A470" s="12">
        <v>468</v>
      </c>
      <c r="B470" s="6">
        <v>11</v>
      </c>
      <c r="C470" s="6">
        <v>22</v>
      </c>
      <c r="D470" s="20" t="str">
        <f>IF(C470&lt;&gt;"", IFERROR(INDEX('بنود العقد'!B$3:B$388,C470), "⚠"), "")</f>
        <v>توريد وتركيب وزرات خشب )Mdf( مع قشرة جوز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 .Ref drawing: 07-MRA-DD-(as per floor number)-AR-301</v>
      </c>
      <c r="E470" s="12" t="str">
        <f>IF(C470&lt;&gt;"", IFERROR(INDEX('بنود العقد'!D$3:D$388,C470), ""), "")</f>
        <v>م.ط</v>
      </c>
      <c r="F470" s="9">
        <f>IF(C470&lt;&gt;"", IFERROR(INDEX('بنود العقد'!E$3:E$388,C470), 0), "")</f>
        <v>42</v>
      </c>
      <c r="G470" s="9">
        <f>IF(C470&lt;&gt;"", IFERROR(INDEX('بنود العقد'!F$3:F$388,C470), 0), "")</f>
        <v>4532</v>
      </c>
      <c r="H470" s="18">
        <f t="shared" si="23"/>
        <v>600</v>
      </c>
      <c r="I470" s="7">
        <v>600</v>
      </c>
      <c r="J470" s="18">
        <f t="shared" si="22"/>
        <v>1200</v>
      </c>
      <c r="K470" s="10">
        <f t="shared" si="25"/>
        <v>25200</v>
      </c>
      <c r="L470" s="21">
        <f t="shared" si="24"/>
        <v>26.478375992939103</v>
      </c>
    </row>
    <row r="471" spans="1:12" s="72" customFormat="1" ht="25.95" customHeight="1">
      <c r="A471" s="12">
        <v>469</v>
      </c>
      <c r="B471" s="6">
        <v>11</v>
      </c>
      <c r="C471" s="6">
        <v>25</v>
      </c>
      <c r="D471" s="20" t="str">
        <f>IF(C471&lt;&gt;"", IFERROR(INDEX('بنود العقد'!B$3:B$388,C471), "⚠"), "")</f>
        <v>تصنيع وتركيب لوح خشبي بشكل طولي من  الـ )Mdf(  مع قشرة الجوز او ما يتناسب مع العينة المتفق عليها طول 25سم وعرض 10سم وارتفاع 270 سم الى جانب الابواب الزجاجية حسب المناظير والرسومات وتعليمات المهندس المشرف.Code: WDP2-08</v>
      </c>
      <c r="E471" s="12" t="str">
        <f>IF(C471&lt;&gt;"", IFERROR(INDEX('بنود العقد'!D$3:D$388,C471), ""), "")</f>
        <v>عدد</v>
      </c>
      <c r="F471" s="9">
        <f>IF(C471&lt;&gt;"", IFERROR(INDEX('بنود العقد'!E$3:E$388,C471), 0), "")</f>
        <v>240</v>
      </c>
      <c r="G471" s="9">
        <f>IF(C471&lt;&gt;"", IFERROR(INDEX('بنود العقد'!F$3:F$388,C471), 0), "")</f>
        <v>248</v>
      </c>
      <c r="H471" s="18">
        <f t="shared" si="23"/>
        <v>70</v>
      </c>
      <c r="I471" s="7">
        <v>8</v>
      </c>
      <c r="J471" s="18">
        <f t="shared" si="22"/>
        <v>78</v>
      </c>
      <c r="K471" s="10">
        <f t="shared" si="25"/>
        <v>1920</v>
      </c>
      <c r="L471" s="21">
        <f t="shared" si="24"/>
        <v>31.451612903225808</v>
      </c>
    </row>
    <row r="472" spans="1:12" s="72" customFormat="1" ht="25.95" customHeight="1">
      <c r="A472" s="12">
        <v>470</v>
      </c>
      <c r="B472" s="6">
        <v>11</v>
      </c>
      <c r="C472" s="6">
        <v>28</v>
      </c>
      <c r="D472" s="20" t="str">
        <f>IF(C472&lt;&gt;"", IFERROR(INDEX('بنود العقد'!B$3:B$388,C472),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مثبتة على القواطع الجبسية مع قشرة صناعية بحسب العينة الموافق عليها وغروف حسب الرسومات والمناظير وتعليمات المهندس المشرفCode: WDP2</v>
      </c>
      <c r="E472" s="12" t="str">
        <f>IF(C472&lt;&gt;"", IFERROR(INDEX('بنود العقد'!D$3:D$388,C472), ""), "")</f>
        <v>م2</v>
      </c>
      <c r="F472" s="9">
        <f>IF(C472&lt;&gt;"", IFERROR(INDEX('بنود العقد'!E$3:E$388,C472), 0), "")</f>
        <v>528</v>
      </c>
      <c r="G472" s="9">
        <f>IF(C472&lt;&gt;"", IFERROR(INDEX('بنود العقد'!F$3:F$388,C472), 0), "")</f>
        <v>2517</v>
      </c>
      <c r="H472" s="18">
        <f t="shared" si="23"/>
        <v>758.44</v>
      </c>
      <c r="I472" s="7">
        <v>157.56</v>
      </c>
      <c r="J472" s="18">
        <f t="shared" si="22"/>
        <v>916</v>
      </c>
      <c r="K472" s="10">
        <f t="shared" si="25"/>
        <v>83191.680000000008</v>
      </c>
      <c r="L472" s="21">
        <f t="shared" si="24"/>
        <v>36.392530790623759</v>
      </c>
    </row>
    <row r="473" spans="1:12" s="72" customFormat="1" ht="25.95" customHeight="1">
      <c r="A473" s="12">
        <v>471</v>
      </c>
      <c r="B473" s="6">
        <v>11</v>
      </c>
      <c r="C473" s="6">
        <v>29</v>
      </c>
      <c r="D473" s="20" t="str">
        <f>IF(C473&lt;&gt;"", IFERROR(INDEX('بنود العقد'!B$3:B$388,C473),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االقواطع الجبسية بدهان رمادي على شكل وهيئة الأسطح الاسمنتية ) matt( مع تصميم بفتحات حسب الرسومات والمناظير وتعليمات المهندس المشرف.Code: WDP3-01, WDP3-02, WDP3-03</v>
      </c>
      <c r="E473" s="12" t="str">
        <f>IF(C473&lt;&gt;"", IFERROR(INDEX('بنود العقد'!D$3:D$388,C473), ""), "")</f>
        <v>م2</v>
      </c>
      <c r="F473" s="9">
        <f>IF(C473&lt;&gt;"", IFERROR(INDEX('بنود العقد'!E$3:E$388,C473), 0), "")</f>
        <v>528</v>
      </c>
      <c r="G473" s="9">
        <f>IF(C473&lt;&gt;"", IFERROR(INDEX('بنود العقد'!F$3:F$388,C473), 0), "")</f>
        <v>846</v>
      </c>
      <c r="H473" s="18">
        <f t="shared" si="23"/>
        <v>284</v>
      </c>
      <c r="I473" s="7">
        <v>38</v>
      </c>
      <c r="J473" s="18">
        <f t="shared" si="22"/>
        <v>322</v>
      </c>
      <c r="K473" s="10">
        <f t="shared" si="25"/>
        <v>20064</v>
      </c>
      <c r="L473" s="21">
        <f t="shared" si="24"/>
        <v>38.061465721040186</v>
      </c>
    </row>
    <row r="474" spans="1:12" s="72" customFormat="1" ht="25.95" customHeight="1">
      <c r="A474" s="12">
        <v>472</v>
      </c>
      <c r="B474" s="6">
        <v>11</v>
      </c>
      <c r="C474" s="6">
        <v>30</v>
      </c>
      <c r="D474" s="20" t="str">
        <f>IF(C474&lt;&gt;"", IFERROR(INDEX('بنود العقد'!B$3:B$388,C474),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مع قشرة السنديان المطلي بدهان ابيض  مع غروف وفتحات إضاءة مخفية مغلفة من الداخل بطبقة Acrylic مغشى  حسب الرسومات والمناظير وتعليمات المهندس المشرف.Code: WDP1-03, WDP1-04, WDP1-05, WDP1-06</v>
      </c>
      <c r="E474" s="12" t="str">
        <f>IF(C474&lt;&gt;"", IFERROR(INDEX('بنود العقد'!D$3:D$388,C474), ""), "")</f>
        <v>م2</v>
      </c>
      <c r="F474" s="9">
        <f>IF(C474&lt;&gt;"", IFERROR(INDEX('بنود العقد'!E$3:E$388,C474), 0), "")</f>
        <v>570</v>
      </c>
      <c r="G474" s="9">
        <f>IF(C474&lt;&gt;"", IFERROR(INDEX('بنود العقد'!F$3:F$388,C474), 0), "")</f>
        <v>456</v>
      </c>
      <c r="H474" s="18">
        <f t="shared" si="23"/>
        <v>173.82</v>
      </c>
      <c r="I474" s="7">
        <v>47.18</v>
      </c>
      <c r="J474" s="18">
        <f t="shared" si="22"/>
        <v>221</v>
      </c>
      <c r="K474" s="10">
        <f t="shared" si="25"/>
        <v>26892.6</v>
      </c>
      <c r="L474" s="21">
        <f t="shared" si="24"/>
        <v>48.464912280701753</v>
      </c>
    </row>
    <row r="475" spans="1:12" s="72" customFormat="1" ht="25.95" customHeight="1">
      <c r="A475" s="12">
        <v>473</v>
      </c>
      <c r="B475" s="6">
        <v>11</v>
      </c>
      <c r="C475" s="6">
        <v>38</v>
      </c>
      <c r="D475" s="20" t="str">
        <f>IF(C475&lt;&gt;"", IFERROR(INDEX('بنود العقد'!B$3:B$388,C475), "⚠"), "")</f>
        <v>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 من من خشب الـ)Mdf(  مع قشرة صناعية بحسب العينة الموافق عليها وغروف مثبتة بنظام تعليق متصلة بالسقف الخرساني حسب الرسومات والمناظير وتعليمات المهندس المشرف.Code: WDC-01 &amp; WDC-02</v>
      </c>
      <c r="E475" s="12" t="str">
        <f>IF(C475&lt;&gt;"", IFERROR(INDEX('بنود العقد'!D$3:D$388,C475), ""), "")</f>
        <v>م2</v>
      </c>
      <c r="F475" s="9">
        <f>IF(C475&lt;&gt;"", IFERROR(INDEX('بنود العقد'!E$3:E$388,C475), 0), "")</f>
        <v>840</v>
      </c>
      <c r="G475" s="9">
        <f>IF(C475&lt;&gt;"", IFERROR(INDEX('بنود العقد'!F$3:F$388,C475), 0), "")</f>
        <v>684</v>
      </c>
      <c r="H475" s="18">
        <f t="shared" si="23"/>
        <v>231</v>
      </c>
      <c r="I475" s="7">
        <v>19</v>
      </c>
      <c r="J475" s="18">
        <f t="shared" si="22"/>
        <v>250</v>
      </c>
      <c r="K475" s="10">
        <f t="shared" si="25"/>
        <v>15960</v>
      </c>
      <c r="L475" s="21">
        <f t="shared" si="24"/>
        <v>36.549707602339183</v>
      </c>
    </row>
    <row r="476" spans="1:12" s="72" customFormat="1" ht="25.95" customHeight="1">
      <c r="A476" s="12">
        <v>474</v>
      </c>
      <c r="B476" s="6">
        <v>11</v>
      </c>
      <c r="C476" s="6">
        <v>39</v>
      </c>
      <c r="D476" s="20" t="str">
        <f>IF(C476&lt;&gt;"", IFERROR(INDEX('بنود العقد'!B$3:B$388,C476), "⚠"), "")</f>
        <v>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خشبي03-WDC من من خشب الـ)Mdf( على شكل مربعات بسماكة تصميم  5سم، وفتحات على شكل مثلث مع اضاءة مخفية مغلفة من الاعلى بطبقة Acrylic شفاف مغشى سماكة 4مم مثبتة بنظام تعليق متصلة بالسقف الخرساني حسب الرسومات والمناظير وتعليمات المهندس المشرف.Code: WDC-03</v>
      </c>
      <c r="E476" s="12" t="str">
        <f>IF(C476&lt;&gt;"", IFERROR(INDEX('بنود العقد'!D$3:D$388,C476), ""), "")</f>
        <v>م2</v>
      </c>
      <c r="F476" s="9">
        <f>IF(C476&lt;&gt;"", IFERROR(INDEX('بنود العقد'!E$3:E$388,C476), 0), "")</f>
        <v>780</v>
      </c>
      <c r="G476" s="9">
        <f>IF(C476&lt;&gt;"", IFERROR(INDEX('بنود العقد'!F$3:F$388,C476), 0), "")</f>
        <v>64</v>
      </c>
      <c r="H476" s="18">
        <f t="shared" si="23"/>
        <v>14.68</v>
      </c>
      <c r="I476" s="7">
        <v>11.32</v>
      </c>
      <c r="J476" s="18">
        <f t="shared" si="22"/>
        <v>26</v>
      </c>
      <c r="K476" s="10">
        <f t="shared" si="25"/>
        <v>8829.6</v>
      </c>
      <c r="L476" s="21">
        <f t="shared" si="24"/>
        <v>40.625</v>
      </c>
    </row>
    <row r="477" spans="1:12" s="72" customFormat="1" ht="25.95" customHeight="1">
      <c r="A477" s="12">
        <v>475</v>
      </c>
      <c r="B477" s="6">
        <v>11</v>
      </c>
      <c r="C477" s="6">
        <v>40</v>
      </c>
      <c r="D477" s="20" t="str">
        <f>IF(C477&lt;&gt;"", IFERROR(INDEX('بنود العقد'!B$3:B$388,C477),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خشبية01-WDC و 02-WDC من خشب الـ ) Mdf ( متداخلة الالوان من قشرة صناعية بحسب  العينة الموافق عليها والدهان الرمادي  على شكل وهيئة الاسطح الاسمنتية مثبتة على القواطع الجبسية مع اضاءة مخفية ومفصلات ومقابض مخفية وتصميم حسب الرسومات والمناظير وتعليمات المهندس المشرف.</v>
      </c>
      <c r="E477" s="12" t="str">
        <f>IF(C477&lt;&gt;"", IFERROR(INDEX('بنود العقد'!D$3:D$388,C477), ""), "")</f>
        <v>م2</v>
      </c>
      <c r="F477" s="9">
        <f>IF(C477&lt;&gt;"", IFERROR(INDEX('بنود العقد'!E$3:E$388,C477), 0), "")</f>
        <v>1440</v>
      </c>
      <c r="G477" s="9">
        <f>IF(C477&lt;&gt;"", IFERROR(INDEX('بنود العقد'!F$3:F$388,C477), 0), "")</f>
        <v>72</v>
      </c>
      <c r="H477" s="18">
        <f t="shared" si="23"/>
        <v>18.71</v>
      </c>
      <c r="I477" s="7">
        <v>2.29</v>
      </c>
      <c r="J477" s="18">
        <f t="shared" si="22"/>
        <v>21</v>
      </c>
      <c r="K477" s="10">
        <f t="shared" si="25"/>
        <v>3297.6</v>
      </c>
      <c r="L477" s="21">
        <f t="shared" si="24"/>
        <v>29.166666666666668</v>
      </c>
    </row>
    <row r="478" spans="1:12" s="72" customFormat="1" ht="25.95" customHeight="1">
      <c r="A478" s="12">
        <v>476</v>
      </c>
      <c r="B478" s="6">
        <v>11</v>
      </c>
      <c r="C478" s="6">
        <v>41</v>
      </c>
      <c r="D478" s="20" t="str">
        <f>IF(C478&lt;&gt;"", IFERROR(INDEX('بنود العقد'!B$3:B$388,C478),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خشبية03-WDC  من خشب الـ ) Mdf (  مع قشرة صناعية بحسب العينة الموافق عليها مثبتة على القواطع الجبسية  مع غروف ومفصلات ومقابض مخفية ،  حسب الرسومات والمناظير</v>
      </c>
      <c r="E478" s="12" t="str">
        <f>IF(C478&lt;&gt;"", IFERROR(INDEX('بنود العقد'!D$3:D$388,C478), ""), "")</f>
        <v>م2</v>
      </c>
      <c r="F478" s="9">
        <f>IF(C478&lt;&gt;"", IFERROR(INDEX('بنود العقد'!E$3:E$388,C478), 0), "")</f>
        <v>1440</v>
      </c>
      <c r="G478" s="9">
        <f>IF(C478&lt;&gt;"", IFERROR(INDEX('بنود العقد'!F$3:F$388,C478), 0), "")</f>
        <v>78</v>
      </c>
      <c r="H478" s="18">
        <f t="shared" si="23"/>
        <v>10.81</v>
      </c>
      <c r="I478" s="7">
        <v>16.190000000000001</v>
      </c>
      <c r="J478" s="18">
        <f t="shared" si="22"/>
        <v>27</v>
      </c>
      <c r="K478" s="10">
        <f t="shared" si="25"/>
        <v>23313.600000000002</v>
      </c>
      <c r="L478" s="21">
        <f t="shared" si="24"/>
        <v>34.615384615384613</v>
      </c>
    </row>
    <row r="479" spans="1:12" s="72" customFormat="1" ht="25.95" customHeight="1">
      <c r="A479" s="12">
        <v>477</v>
      </c>
      <c r="B479" s="6">
        <v>11</v>
      </c>
      <c r="C479" s="6">
        <v>43</v>
      </c>
      <c r="D479" s="20" t="str">
        <f>IF(C479&lt;&gt;"", IFERROR(INDEX('بنود العقد'!B$3:B$388,C479),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 خزانة خشبية05-WDC  من خشب الـ ) Mdf (  مع قشرة الوينغي الداكنة مع أرفف وإضاءة مخفية، أبواب الخزائن زجاجية   ribbed glass(مع إيطار خشبي وغروف ومفصلات ومقابض مخفية لمنطقة معالي الوزير حسب الرسومات والمناظير وتعليمات المهندس المشرف.</v>
      </c>
      <c r="E479" s="12" t="str">
        <f>IF(C479&lt;&gt;"", IFERROR(INDEX('بنود العقد'!D$3:D$388,C479), ""), "")</f>
        <v>م2</v>
      </c>
      <c r="F479" s="9">
        <f>IF(C479&lt;&gt;"", IFERROR(INDEX('بنود العقد'!E$3:E$388,C479), 0), "")</f>
        <v>1440</v>
      </c>
      <c r="G479" s="9">
        <f>IF(C479&lt;&gt;"", IFERROR(INDEX('بنود العقد'!F$3:F$388,C479), 0), "")</f>
        <v>69</v>
      </c>
      <c r="H479" s="18">
        <f t="shared" si="23"/>
        <v>22.450000000000003</v>
      </c>
      <c r="I479" s="7">
        <v>11.55</v>
      </c>
      <c r="J479" s="18">
        <f t="shared" si="22"/>
        <v>34</v>
      </c>
      <c r="K479" s="10">
        <f t="shared" si="25"/>
        <v>16632</v>
      </c>
      <c r="L479" s="21">
        <f t="shared" si="24"/>
        <v>49.275362318840585</v>
      </c>
    </row>
    <row r="480" spans="1:12" s="72" customFormat="1" ht="25.95" customHeight="1">
      <c r="A480" s="12">
        <v>478</v>
      </c>
      <c r="B480" s="6">
        <v>11</v>
      </c>
      <c r="C480" s="6">
        <v>45</v>
      </c>
      <c r="D480" s="20" t="str">
        <f>IF(C480&lt;&gt;"", IFERROR(INDEX('بنود العقد'!B$3:B$388,C480), "⚠"), "")</f>
        <v xml:space="preserve"> توريد وتنفيذ طبقتين من غشاء عازل للمياه من الـبيتومين ثخانة 4 مم للأماكن الرطبة وحتى ارتفاع 10   سم على الجدران المحيطة ويشمل تحضير السطوح ومواد حشو الزوايا وطبقات الحماية جيوتكستايل الأفُقية والعمودية. ويشمل السعر أي مواد وأعمال مطلوبة لاستكمال العمل حسب المواصفات والمخططات.وتعليمات المهندس المشرف</v>
      </c>
      <c r="E480" s="12" t="str">
        <f>IF(C480&lt;&gt;"", IFERROR(INDEX('بنود العقد'!D$3:D$388,C480), ""), "")</f>
        <v>م2</v>
      </c>
      <c r="F480" s="9">
        <f>IF(C480&lt;&gt;"", IFERROR(INDEX('بنود العقد'!E$3:E$388,C480), 0), "")</f>
        <v>78</v>
      </c>
      <c r="G480" s="9">
        <f>IF(C480&lt;&gt;"", IFERROR(INDEX('بنود العقد'!F$3:F$388,C480), 0), "")</f>
        <v>1345</v>
      </c>
      <c r="H480" s="18">
        <f t="shared" si="23"/>
        <v>537.74</v>
      </c>
      <c r="I480" s="7">
        <v>202.26</v>
      </c>
      <c r="J480" s="18">
        <f t="shared" si="22"/>
        <v>740</v>
      </c>
      <c r="K480" s="10">
        <f t="shared" si="25"/>
        <v>15776.279999999999</v>
      </c>
      <c r="L480" s="21">
        <f t="shared" si="24"/>
        <v>55.018587360594793</v>
      </c>
    </row>
    <row r="481" spans="1:12" s="72" customFormat="1" ht="25.95" customHeight="1">
      <c r="A481" s="12">
        <v>479</v>
      </c>
      <c r="B481" s="6">
        <v>11</v>
      </c>
      <c r="C481" s="6">
        <v>46</v>
      </c>
      <c r="D481" s="20" t="str">
        <f>IF(C481&lt;&gt;"", IFERROR(INDEX('بنود العقد'!B$3:B$388,C481), "⚠"), "")</f>
        <v>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المشرف.Ref drawing: 07-MRA-DD-(as per floor number)-AR-801 بعرض 1000 مم وارتفاع 2700 مم  GD01باب ضلفة واحدة  نموذج</v>
      </c>
      <c r="E481" s="12" t="str">
        <f>IF(C481&lt;&gt;"", IFERROR(INDEX('بنود العقد'!D$3:D$388,C481), ""), "")</f>
        <v>عدد</v>
      </c>
      <c r="F481" s="9">
        <f>IF(C481&lt;&gt;"", IFERROR(INDEX('بنود العقد'!E$3:E$388,C481), 0), "")</f>
        <v>2580</v>
      </c>
      <c r="G481" s="9">
        <f>IF(C481&lt;&gt;"", IFERROR(INDEX('بنود العقد'!F$3:F$388,C481), 0), "")</f>
        <v>238</v>
      </c>
      <c r="H481" s="18">
        <f t="shared" si="23"/>
        <v>54</v>
      </c>
      <c r="I481" s="7">
        <v>37</v>
      </c>
      <c r="J481" s="18">
        <f t="shared" si="22"/>
        <v>91</v>
      </c>
      <c r="K481" s="10">
        <f t="shared" si="25"/>
        <v>95460</v>
      </c>
      <c r="L481" s="21">
        <f t="shared" si="24"/>
        <v>38.235294117647058</v>
      </c>
    </row>
    <row r="482" spans="1:12" s="72" customFormat="1" ht="25.95" customHeight="1">
      <c r="A482" s="12">
        <v>480</v>
      </c>
      <c r="B482" s="6">
        <v>11</v>
      </c>
      <c r="C482" s="6">
        <v>47</v>
      </c>
      <c r="D482" s="20" t="str">
        <f>IF(C482&lt;&gt;"", IFERROR(INDEX('بنود العقد'!B$3:B$388,C482), "⚠"), "")</f>
        <v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2600 مم  GD02باب ضلفتين  نموذج </v>
      </c>
      <c r="E482" s="12" t="str">
        <f>IF(C482&lt;&gt;"", IFERROR(INDEX('بنود العقد'!D$3:D$388,C482), ""), "")</f>
        <v>عدد</v>
      </c>
      <c r="F482" s="9">
        <f>IF(C482&lt;&gt;"", IFERROR(INDEX('بنود العقد'!E$3:E$388,C482), 0), "")</f>
        <v>4020</v>
      </c>
      <c r="G482" s="9">
        <f>IF(C482&lt;&gt;"", IFERROR(INDEX('بنود العقد'!F$3:F$388,C482), 0), "")</f>
        <v>37</v>
      </c>
      <c r="H482" s="18">
        <f t="shared" si="23"/>
        <v>10</v>
      </c>
      <c r="I482" s="7">
        <v>6</v>
      </c>
      <c r="J482" s="18">
        <f t="shared" si="22"/>
        <v>16</v>
      </c>
      <c r="K482" s="10">
        <f t="shared" si="25"/>
        <v>24120</v>
      </c>
      <c r="L482" s="21">
        <f t="shared" si="24"/>
        <v>43.243243243243242</v>
      </c>
    </row>
    <row r="483" spans="1:12" s="72" customFormat="1" ht="25.95" customHeight="1">
      <c r="A483" s="12">
        <v>481</v>
      </c>
      <c r="B483" s="6">
        <v>11</v>
      </c>
      <c r="C483" s="6">
        <v>48</v>
      </c>
      <c r="D483" s="20" t="str">
        <f>IF(C483&lt;&gt;"", IFERROR(INDEX('بنود العقد'!B$3:B$388,C483), "⚠"), "")</f>
        <v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2100 مم  GD03باب ضلفتين  نموذج </v>
      </c>
      <c r="E483" s="12" t="str">
        <f>IF(C483&lt;&gt;"", IFERROR(INDEX('بنود العقد'!D$3:D$388,C483), ""), "")</f>
        <v>عدد</v>
      </c>
      <c r="F483" s="9">
        <f>IF(C483&lt;&gt;"", IFERROR(INDEX('بنود العقد'!E$3:E$388,C483), 0), "")</f>
        <v>3600</v>
      </c>
      <c r="G483" s="9">
        <f>IF(C483&lt;&gt;"", IFERROR(INDEX('بنود العقد'!F$3:F$388,C483), 0), "")</f>
        <v>5</v>
      </c>
      <c r="H483" s="18">
        <f t="shared" si="23"/>
        <v>1</v>
      </c>
      <c r="I483" s="7">
        <v>1</v>
      </c>
      <c r="J483" s="18">
        <f t="shared" si="22"/>
        <v>2</v>
      </c>
      <c r="K483" s="10">
        <f t="shared" si="25"/>
        <v>3600</v>
      </c>
      <c r="L483" s="21">
        <f t="shared" si="24"/>
        <v>40</v>
      </c>
    </row>
    <row r="484" spans="1:12" s="72" customFormat="1" ht="25.95" customHeight="1">
      <c r="A484" s="12">
        <v>482</v>
      </c>
      <c r="B484" s="6">
        <v>11</v>
      </c>
      <c r="C484" s="6">
        <v>49</v>
      </c>
      <c r="D484" s="20" t="str">
        <f>IF(C484&lt;&gt;"", IFERROR(INDEX('بنود العقد'!B$3:B$388,C484),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2000 مم وارتفاع 2200 مم  WD07باب مروحة ضلفتين  نموذج </v>
      </c>
      <c r="E484" s="12" t="str">
        <f>IF(C484&lt;&gt;"", IFERROR(INDEX('بنود العقد'!D$3:D$388,C484), ""), "")</f>
        <v>عدد</v>
      </c>
      <c r="F484" s="9">
        <f>IF(C484&lt;&gt;"", IFERROR(INDEX('بنود العقد'!E$3:E$388,C484), 0), "")</f>
        <v>5280</v>
      </c>
      <c r="G484" s="9">
        <f>IF(C484&lt;&gt;"", IFERROR(INDEX('بنود العقد'!F$3:F$388,C484), 0), "")</f>
        <v>13</v>
      </c>
      <c r="H484" s="18">
        <f t="shared" si="23"/>
        <v>2</v>
      </c>
      <c r="I484" s="7">
        <v>2</v>
      </c>
      <c r="J484" s="18">
        <f t="shared" si="22"/>
        <v>4</v>
      </c>
      <c r="K484" s="10">
        <f t="shared" si="25"/>
        <v>10560</v>
      </c>
      <c r="L484" s="21">
        <f t="shared" si="24"/>
        <v>30.76923076923077</v>
      </c>
    </row>
    <row r="485" spans="1:12" s="72" customFormat="1" ht="25.95" customHeight="1">
      <c r="A485" s="12">
        <v>483</v>
      </c>
      <c r="B485" s="6">
        <v>11</v>
      </c>
      <c r="C485" s="6">
        <v>50</v>
      </c>
      <c r="D485" s="20" t="str">
        <f>IF(C485&lt;&gt;"", IFERROR(INDEX('بنود العقد'!B$3:B$388,C485),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بعرض1000 مم وارتفاع 2200 مم  WD06باب مروحة ضلفة واحدة  نموذج </v>
      </c>
      <c r="E485" s="12" t="str">
        <f>IF(C485&lt;&gt;"", IFERROR(INDEX('بنود العقد'!D$3:D$388,C485), ""), "")</f>
        <v>عدد</v>
      </c>
      <c r="F485" s="9">
        <f>IF(C485&lt;&gt;"", IFERROR(INDEX('بنود العقد'!E$3:E$388,C485), 0), "")</f>
        <v>2400</v>
      </c>
      <c r="G485" s="9">
        <f>IF(C485&lt;&gt;"", IFERROR(INDEX('بنود العقد'!F$3:F$388,C485), 0), "")</f>
        <v>13</v>
      </c>
      <c r="H485" s="18">
        <f t="shared" si="23"/>
        <v>2</v>
      </c>
      <c r="I485" s="7">
        <v>2</v>
      </c>
      <c r="J485" s="18">
        <f t="shared" si="22"/>
        <v>4</v>
      </c>
      <c r="K485" s="10">
        <f t="shared" si="25"/>
        <v>4800</v>
      </c>
      <c r="L485" s="21">
        <f t="shared" si="24"/>
        <v>30.76923076923077</v>
      </c>
    </row>
    <row r="486" spans="1:12" s="72" customFormat="1" ht="25.95" customHeight="1">
      <c r="A486" s="12">
        <v>484</v>
      </c>
      <c r="B486" s="6">
        <v>11</v>
      </c>
      <c r="C486" s="6">
        <v>51</v>
      </c>
      <c r="D486" s="20" t="str">
        <f>IF(C486&lt;&gt;"", IFERROR(INDEX('بنود العقد'!B$3:B$388,C486),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WD05باب مروحة ضلفة واحدة  نموذج </v>
      </c>
      <c r="E486" s="12" t="str">
        <f>IF(C486&lt;&gt;"", IFERROR(INDEX('بنود العقد'!D$3:D$388,C486), ""), "")</f>
        <v>عدد</v>
      </c>
      <c r="F486" s="9">
        <f>IF(C486&lt;&gt;"", IFERROR(INDEX('بنود العقد'!E$3:E$388,C486), 0), "")</f>
        <v>2400</v>
      </c>
      <c r="G486" s="9">
        <f>IF(C486&lt;&gt;"", IFERROR(INDEX('بنود العقد'!F$3:F$388,C486), 0), "")</f>
        <v>47</v>
      </c>
      <c r="H486" s="18">
        <f t="shared" si="23"/>
        <v>7</v>
      </c>
      <c r="I486" s="7">
        <v>9</v>
      </c>
      <c r="J486" s="18">
        <f t="shared" si="22"/>
        <v>16</v>
      </c>
      <c r="K486" s="10">
        <f t="shared" si="25"/>
        <v>21600</v>
      </c>
      <c r="L486" s="21">
        <f t="shared" si="24"/>
        <v>34.042553191489361</v>
      </c>
    </row>
    <row r="487" spans="1:12" s="72" customFormat="1" ht="25.95" customHeight="1">
      <c r="A487" s="12">
        <v>485</v>
      </c>
      <c r="B487" s="6">
        <v>11</v>
      </c>
      <c r="C487" s="6">
        <v>52</v>
      </c>
      <c r="D487" s="20" t="str">
        <f>IF(C487&lt;&gt;"", IFERROR(INDEX('بنود العقد'!B$3:B$388,C487),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800 مم وارتفاع 2200 مم  WD04باب مروحة ضلفة واحدة  نموذج </v>
      </c>
      <c r="E487" s="12" t="str">
        <f>IF(C487&lt;&gt;"", IFERROR(INDEX('بنود العقد'!D$3:D$388,C487), ""), "")</f>
        <v>عدد</v>
      </c>
      <c r="F487" s="9">
        <f>IF(C487&lt;&gt;"", IFERROR(INDEX('بنود العقد'!E$3:E$388,C487), 0), "")</f>
        <v>2400</v>
      </c>
      <c r="G487" s="9">
        <f>IF(C487&lt;&gt;"", IFERROR(INDEX('بنود العقد'!F$3:F$388,C487), 0), "")</f>
        <v>48</v>
      </c>
      <c r="H487" s="18">
        <f t="shared" si="23"/>
        <v>8</v>
      </c>
      <c r="I487" s="7">
        <v>10</v>
      </c>
      <c r="J487" s="18">
        <f t="shared" si="22"/>
        <v>18</v>
      </c>
      <c r="K487" s="10">
        <f t="shared" si="25"/>
        <v>24000</v>
      </c>
      <c r="L487" s="21">
        <f t="shared" si="24"/>
        <v>37.5</v>
      </c>
    </row>
    <row r="488" spans="1:12" s="72" customFormat="1" ht="25.95" customHeight="1">
      <c r="A488" s="12">
        <v>486</v>
      </c>
      <c r="B488" s="6">
        <v>11</v>
      </c>
      <c r="C488" s="6">
        <v>55</v>
      </c>
      <c r="D488" s="20" t="str">
        <f>IF(C488&lt;&gt;"", IFERROR(INDEX('بنود العقد'!B$3:B$388,C488), "⚠"), "")</f>
        <v xml:space="preserve">توريد وتركيب باب من قطاعات الخشب شبه المصمت بسمك 44مم مكون من قواطيع خشب داخليه بحشو خفيف mdfوالمطلي بدهان رمادي على هيئة الأسطح الاسمنتية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WD01باب مروحة ضلفة واحدة  نموذج </v>
      </c>
      <c r="E488" s="12" t="str">
        <f>IF(C488&lt;&gt;"", IFERROR(INDEX('بنود العقد'!D$3:D$388,C488), ""), "")</f>
        <v>عدد</v>
      </c>
      <c r="F488" s="9">
        <f>IF(C488&lt;&gt;"", IFERROR(INDEX('بنود العقد'!E$3:E$388,C488), 0), "")</f>
        <v>2400</v>
      </c>
      <c r="G488" s="9">
        <f>IF(C488&lt;&gt;"", IFERROR(INDEX('بنود العقد'!F$3:F$388,C488), 0), "")</f>
        <v>14</v>
      </c>
      <c r="H488" s="18">
        <f t="shared" si="23"/>
        <v>3</v>
      </c>
      <c r="I488" s="7">
        <v>3</v>
      </c>
      <c r="J488" s="18">
        <f t="shared" si="22"/>
        <v>6</v>
      </c>
      <c r="K488" s="10">
        <f t="shared" si="25"/>
        <v>7200</v>
      </c>
      <c r="L488" s="21">
        <f t="shared" si="24"/>
        <v>42.857142857142854</v>
      </c>
    </row>
    <row r="489" spans="1:12" s="72" customFormat="1" ht="25.95" customHeight="1">
      <c r="A489" s="12">
        <v>487</v>
      </c>
      <c r="B489" s="6">
        <v>11</v>
      </c>
      <c r="C489" s="6">
        <v>56</v>
      </c>
      <c r="D489" s="20" t="str">
        <f>IF(C489&lt;&gt;"", IFERROR(INDEX('بنود العقد'!B$3:B$388,C489), "⚠"), "")</f>
        <v xml:space="preserve">توريد وتركيب باب من قطاعات الخشب شبه المصمت بسمك 44مم مكون من قواطيع خشب داخليه بحشو  mdfوالمطلي بدهان رمادي بيج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بعرض900 مم وارتفاع 2200 مم  WD03باب مروحة ضلفة واحدة  نموذج </v>
      </c>
      <c r="E489" s="12" t="str">
        <f>IF(C489&lt;&gt;"", IFERROR(INDEX('بنود العقد'!D$3:D$388,C489), ""), "")</f>
        <v>عدد</v>
      </c>
      <c r="F489" s="9">
        <f>IF(C489&lt;&gt;"", IFERROR(INDEX('بنود العقد'!E$3:E$388,C489), 0), "")</f>
        <v>2400</v>
      </c>
      <c r="G489" s="9">
        <f>IF(C489&lt;&gt;"", IFERROR(INDEX('بنود العقد'!F$3:F$388,C489), 0), "")</f>
        <v>32</v>
      </c>
      <c r="H489" s="18">
        <f t="shared" si="23"/>
        <v>6</v>
      </c>
      <c r="I489" s="7">
        <v>6</v>
      </c>
      <c r="J489" s="18">
        <f t="shared" si="22"/>
        <v>12</v>
      </c>
      <c r="K489" s="10">
        <f t="shared" si="25"/>
        <v>14400</v>
      </c>
      <c r="L489" s="21">
        <f t="shared" si="24"/>
        <v>37.5</v>
      </c>
    </row>
    <row r="490" spans="1:12" s="72" customFormat="1" ht="25.95" customHeight="1">
      <c r="A490" s="12">
        <v>488</v>
      </c>
      <c r="B490" s="6">
        <v>11</v>
      </c>
      <c r="C490" s="6">
        <v>66</v>
      </c>
      <c r="D490" s="20" t="str">
        <f>IF(C490&lt;&gt;"", IFERROR(INDEX('بنود العقد'!B$3:B$388,C490), "⚠"),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E490" s="12" t="str">
        <f>IF(C490&lt;&gt;"", IFERROR(INDEX('بنود العقد'!D$3:D$388,C490), ""), "")</f>
        <v>م²</v>
      </c>
      <c r="F490" s="9">
        <f>IF(C490&lt;&gt;"", IFERROR(INDEX('بنود العقد'!E$3:E$388,C490), 0), "")</f>
        <v>900</v>
      </c>
      <c r="G490" s="9">
        <f>IF(C490&lt;&gt;"", IFERROR(INDEX('بنود العقد'!F$3:F$388,C490), 0), "")</f>
        <v>4000</v>
      </c>
      <c r="H490" s="18">
        <f t="shared" si="23"/>
        <v>1184.07</v>
      </c>
      <c r="I490" s="7">
        <v>637.92999999999995</v>
      </c>
      <c r="J490" s="18">
        <f t="shared" si="22"/>
        <v>1822</v>
      </c>
      <c r="K490" s="10">
        <f t="shared" si="25"/>
        <v>574137</v>
      </c>
      <c r="L490" s="21">
        <f t="shared" si="24"/>
        <v>45.550000000000004</v>
      </c>
    </row>
    <row r="491" spans="1:12" s="72" customFormat="1" ht="25.95" customHeight="1">
      <c r="A491" s="12">
        <v>489</v>
      </c>
      <c r="B491" s="6">
        <v>11</v>
      </c>
      <c r="C491" s="6">
        <v>72</v>
      </c>
      <c r="D491" s="20" t="str">
        <f>IF(C491&lt;&gt;"", IFERROR(INDEX('بنود العقد'!B$3:B$388,C491), "⚠"), "")</f>
        <v>طبقة من اللياسة الأسمنتية فوق الأسطح الخرسانية والجدران الداخلية  بسمك متوسط 20 مم على طبقات  طرطشة بسمك 5 مم وضهارة 15 مم حسب المواصفات مع المعالجة اليومية  بالمياه لمنع التنميلات ويتم عمل افريز بين البلوك والخرسانة يملئ بمواد قابلة للدهان والسعر يشمل كامل الأكسسوارات اللازمة من شبك معدني ممدد وزوايا ونهايات معدنية  ومواد الترابط  وعمل تجاويف في طبقة اللياسة بعمق 10مم عرض 10مم  في الاعمدة  وفي الجدران ان وجدت حسب الرسومات والمناظير وتعليمات المهندس المشرف ذلك حسب الاصول الفنية وتعليمات المهندس المشرف. لياسة الجدران والأعمدة الداخلية  وتشمل جميع الإكسسوارات بإرتفاع 20 سم أعلي الأسقف الجبسيه لزوم الجدران الداخلية</v>
      </c>
      <c r="E491" s="12" t="str">
        <f>IF(C491&lt;&gt;"", IFERROR(INDEX('بنود العقد'!D$3:D$388,C491), ""), "")</f>
        <v>م²</v>
      </c>
      <c r="F491" s="9">
        <f>IF(C491&lt;&gt;"", IFERROR(INDEX('بنود العقد'!E$3:E$388,C491), 0), "")</f>
        <v>42</v>
      </c>
      <c r="G491" s="9">
        <f>IF(C491&lt;&gt;"", IFERROR(INDEX('بنود العقد'!F$3:F$388,C491), 0), "")</f>
        <v>758</v>
      </c>
      <c r="H491" s="18">
        <f t="shared" si="23"/>
        <v>4556.424</v>
      </c>
      <c r="I491" s="7">
        <v>87.58</v>
      </c>
      <c r="J491" s="18">
        <f t="shared" si="22"/>
        <v>4644.0039999999999</v>
      </c>
      <c r="K491" s="10">
        <f t="shared" si="25"/>
        <v>3678.36</v>
      </c>
      <c r="L491" s="21">
        <f t="shared" si="24"/>
        <v>612.66543535620053</v>
      </c>
    </row>
    <row r="492" spans="1:12" s="72" customFormat="1" ht="25.95" customHeight="1">
      <c r="A492" s="12">
        <v>490</v>
      </c>
      <c r="B492" s="6">
        <v>11</v>
      </c>
      <c r="C492" s="6">
        <v>75</v>
      </c>
      <c r="D492" s="20" t="str">
        <f>IF(C492&lt;&gt;"", IFERROR(INDEX('بنود العقد'!B$3:B$388,C492), "⚠"), "")</f>
        <v>توريد وتركيب أسقف معلقة من الالواح الجبسيه )01-GBC( ثخانة 12 مم المقاومة للحريق شاملة نظام التعليق وضبط الحواف والزوايا وأبواب لفتحات الكشف بالأسقف لأعمال الصيانة )أبواب جاهزة من النوع السهل الاستعمال والمزود بمفصلات مخفية( والإكسسوارات. ويشمل السعر أي مواد أو أعمال يتطلبها استكمال العمل حسب المواصفات والمخططات.</v>
      </c>
      <c r="E492" s="12" t="str">
        <f>IF(C492&lt;&gt;"", IFERROR(INDEX('بنود العقد'!D$3:D$388,C492), ""), "")</f>
        <v>م²</v>
      </c>
      <c r="F492" s="9">
        <f>IF(C492&lt;&gt;"", IFERROR(INDEX('بنود العقد'!E$3:E$388,C492), 0), "")</f>
        <v>150</v>
      </c>
      <c r="G492" s="9">
        <f>IF(C492&lt;&gt;"", IFERROR(INDEX('بنود العقد'!F$3:F$388,C492), 0), "")</f>
        <v>24468</v>
      </c>
      <c r="H492" s="18">
        <f t="shared" si="23"/>
        <v>6406.0000700000001</v>
      </c>
      <c r="I492" s="7">
        <v>1790</v>
      </c>
      <c r="J492" s="18">
        <f t="shared" si="22"/>
        <v>8196.0000700000001</v>
      </c>
      <c r="K492" s="10">
        <f t="shared" si="25"/>
        <v>268500</v>
      </c>
      <c r="L492" s="21">
        <f t="shared" si="24"/>
        <v>33.496812448912863</v>
      </c>
    </row>
    <row r="493" spans="1:12" s="72" customFormat="1" ht="25.95" customHeight="1">
      <c r="A493" s="12">
        <v>491</v>
      </c>
      <c r="B493" s="6">
        <v>11</v>
      </c>
      <c r="C493" s="6">
        <v>76</v>
      </c>
      <c r="D493" s="20" t="str">
        <f>IF(C493&lt;&gt;"", IFERROR(INDEX('بنود العقد'!B$3:B$388,C493), "⚠"), "")</f>
        <v>توريد وتركيب أسقف معلقة من الالواح الجبسيه  )02-GBC( ثخانة 12 مم المقاومة للرطوبة شاملة نظام التعليق وضبط الحواف والزوايا وأبواب لفتحات الكشف بالأسقف لأعمال الصيانة )أبواب جاهزة من النوع السهل الاستعمال والمزود بمفصلات مخفية( واالإكسسوارات. ويشمل السعر أي مواد أو أعمال يتطلبها استكمال العمل حسب المواصفات والمخططات وتعليمات المهندس المشرف.</v>
      </c>
      <c r="E493" s="12" t="str">
        <f>IF(C493&lt;&gt;"", IFERROR(INDEX('بنود العقد'!D$3:D$388,C493), ""), "")</f>
        <v>م²</v>
      </c>
      <c r="F493" s="9">
        <f>IF(C493&lt;&gt;"", IFERROR(INDEX('بنود العقد'!E$3:E$388,C493), 0), "")</f>
        <v>150</v>
      </c>
      <c r="G493" s="9">
        <f>IF(C493&lt;&gt;"", IFERROR(INDEX('بنود العقد'!F$3:F$388,C493), 0), "")</f>
        <v>1091</v>
      </c>
      <c r="H493" s="18">
        <f t="shared" si="23"/>
        <v>281.86</v>
      </c>
      <c r="I493" s="7">
        <v>167.14</v>
      </c>
      <c r="J493" s="18">
        <f t="shared" si="22"/>
        <v>449</v>
      </c>
      <c r="K493" s="10">
        <f t="shared" si="25"/>
        <v>25070.999999999996</v>
      </c>
      <c r="L493" s="21">
        <f t="shared" si="24"/>
        <v>41.154903758020168</v>
      </c>
    </row>
    <row r="494" spans="1:12" s="72" customFormat="1" ht="25.95" customHeight="1">
      <c r="A494" s="12">
        <v>492</v>
      </c>
      <c r="B494" s="6">
        <v>11</v>
      </c>
      <c r="C494" s="6">
        <v>81</v>
      </c>
      <c r="D494" s="20" t="str">
        <f>IF(C494&lt;&gt;"", IFERROR(INDEX('بنود العقد'!B$3:B$388,C494), "⚠"), "")</f>
        <v xml:space="preserve"> أرضيات بورسلان03-PT مقاس 600×600×12مم فرز ثاني بالمقاسات والالوان المطلوبة لدورات المياة العامة  طبقاً للمخططات والمواصفات.</v>
      </c>
      <c r="E494" s="12" t="str">
        <f>IF(C494&lt;&gt;"", IFERROR(INDEX('بنود العقد'!D$3:D$388,C494), ""), "")</f>
        <v>م²</v>
      </c>
      <c r="F494" s="9">
        <f>IF(C494&lt;&gt;"", IFERROR(INDEX('بنود العقد'!E$3:E$388,C494), 0), "")</f>
        <v>120</v>
      </c>
      <c r="G494" s="9">
        <f>IF(C494&lt;&gt;"", IFERROR(INDEX('بنود العقد'!F$3:F$388,C494), 0), "")</f>
        <v>1407</v>
      </c>
      <c r="H494" s="18">
        <f t="shared" si="23"/>
        <v>598.93025</v>
      </c>
      <c r="I494" s="7">
        <v>99.07</v>
      </c>
      <c r="J494" s="18">
        <f t="shared" si="22"/>
        <v>698.00025000000005</v>
      </c>
      <c r="K494" s="10">
        <f t="shared" si="25"/>
        <v>11888.4</v>
      </c>
      <c r="L494" s="21">
        <f t="shared" si="24"/>
        <v>49.609115138592749</v>
      </c>
    </row>
    <row r="495" spans="1:12" s="72" customFormat="1" ht="25.95" customHeight="1">
      <c r="A495" s="12">
        <v>493</v>
      </c>
      <c r="B495" s="6">
        <v>11</v>
      </c>
      <c r="C495" s="6">
        <v>82</v>
      </c>
      <c r="D495" s="20" t="str">
        <f>IF(C495&lt;&gt;"", IFERROR(INDEX('بنود العقد'!B$3:B$388,C495), "⚠"), "")</f>
        <v xml:space="preserve"> أرضيات بورسلان04-PT مقاس 600×600×12مم فرز ثاني بالمقاسات والالوان المطلوبة لغرف الأرشيف والمخازن والمطبخ طبقاً للمخططات والمواصفات.</v>
      </c>
      <c r="E495" s="12" t="str">
        <f>IF(C495&lt;&gt;"", IFERROR(INDEX('بنود العقد'!D$3:D$388,C495), ""), "")</f>
        <v>م²</v>
      </c>
      <c r="F495" s="9">
        <f>IF(C495&lt;&gt;"", IFERROR(INDEX('بنود العقد'!E$3:E$388,C495), 0), "")</f>
        <v>120</v>
      </c>
      <c r="G495" s="9">
        <f>IF(C495&lt;&gt;"", IFERROR(INDEX('بنود العقد'!F$3:F$388,C495), 0), "")</f>
        <v>735</v>
      </c>
      <c r="H495" s="18">
        <f t="shared" si="23"/>
        <v>33.979999999999997</v>
      </c>
      <c r="I495" s="7">
        <v>34.020000000000003</v>
      </c>
      <c r="J495" s="18">
        <f t="shared" si="22"/>
        <v>68</v>
      </c>
      <c r="K495" s="10">
        <f t="shared" si="25"/>
        <v>4082.4000000000005</v>
      </c>
      <c r="L495" s="21">
        <f t="shared" si="24"/>
        <v>9.2517006802721085</v>
      </c>
    </row>
    <row r="496" spans="1:12" s="72" customFormat="1" ht="25.95" customHeight="1">
      <c r="A496" s="12">
        <v>494</v>
      </c>
      <c r="B496" s="6">
        <v>11</v>
      </c>
      <c r="C496" s="6">
        <v>85</v>
      </c>
      <c r="D496" s="20" t="str">
        <f>IF(C496&lt;&gt;"", IFERROR(INDEX('بنود العقد'!B$3:B$388,C496), "⚠"), "")</f>
        <v xml:space="preserve"> جدران بورسلان (PW-03(type A&amp;B  مقاس 600×300×12مم فرز ثاني بالمقاسات والالوان المطلوبة لدورات المياة العامة  طبقاً للمخططات والمواصفات.</v>
      </c>
      <c r="E496" s="12" t="str">
        <f>IF(C496&lt;&gt;"", IFERROR(INDEX('بنود العقد'!D$3:D$388,C496), ""), "")</f>
        <v>م²</v>
      </c>
      <c r="F496" s="9">
        <f>IF(C496&lt;&gt;"", IFERROR(INDEX('بنود العقد'!E$3:E$388,C496), 0), "")</f>
        <v>96</v>
      </c>
      <c r="G496" s="9">
        <f>IF(C496&lt;&gt;"", IFERROR(INDEX('بنود العقد'!F$3:F$388,C496), 0), "")</f>
        <v>2648</v>
      </c>
      <c r="H496" s="18">
        <f t="shared" si="23"/>
        <v>98.6</v>
      </c>
      <c r="I496" s="7">
        <v>374.4</v>
      </c>
      <c r="J496" s="18">
        <f t="shared" si="22"/>
        <v>473</v>
      </c>
      <c r="K496" s="10">
        <f t="shared" si="25"/>
        <v>35942.399999999994</v>
      </c>
      <c r="L496" s="21">
        <f t="shared" si="24"/>
        <v>17.862537764350453</v>
      </c>
    </row>
    <row r="497" spans="1:12" s="72" customFormat="1" ht="25.95" customHeight="1">
      <c r="A497" s="12">
        <v>495</v>
      </c>
      <c r="B497" s="6">
        <v>11</v>
      </c>
      <c r="C497" s="6">
        <v>104</v>
      </c>
      <c r="D497" s="20" t="str">
        <f>IF(C497&lt;&gt;"", IFERROR(INDEX('بنود العقد'!B$3:B$388,C497), "⚠"), "")</f>
        <v>Ref drawing: 07-MRA-DD-(as per floor number)-AR-300 مقاس 500×500 مم  لون رمادي لمنطقة المرور CT-01بلاط - سجاد</v>
      </c>
      <c r="E497" s="12" t="str">
        <f>IF(C497&lt;&gt;"", IFERROR(INDEX('بنود العقد'!D$3:D$388,C497), ""), "")</f>
        <v>م²</v>
      </c>
      <c r="F497" s="9">
        <f>IF(C497&lt;&gt;"", IFERROR(INDEX('بنود العقد'!E$3:E$388,C497), 0), "")</f>
        <v>156</v>
      </c>
      <c r="G497" s="9">
        <f>IF(C497&lt;&gt;"", IFERROR(INDEX('بنود العقد'!F$3:F$388,C497), 0), "")</f>
        <v>3600</v>
      </c>
      <c r="H497" s="18">
        <f t="shared" si="23"/>
        <v>1983.08</v>
      </c>
      <c r="I497" s="7">
        <v>307.92</v>
      </c>
      <c r="J497" s="18">
        <f t="shared" si="22"/>
        <v>2291</v>
      </c>
      <c r="K497" s="10">
        <f t="shared" si="25"/>
        <v>48035.520000000004</v>
      </c>
      <c r="L497" s="21">
        <f t="shared" si="24"/>
        <v>63.638888888888886</v>
      </c>
    </row>
    <row r="498" spans="1:12" s="72" customFormat="1" ht="25.95" customHeight="1">
      <c r="A498" s="12">
        <v>496</v>
      </c>
      <c r="B498" s="6">
        <v>11</v>
      </c>
      <c r="C498" s="6">
        <v>105</v>
      </c>
      <c r="D498" s="20" t="str">
        <f>IF(C498&lt;&gt;"", IFERROR(INDEX('بنود العقد'!B$3:B$388,C498), "⚠"), "")</f>
        <v>بلاط - سجاد 02-CT مقاس 500× 500 مم لون أزرق فاتح لمحطة العمل وغرفة الاجتماعات</v>
      </c>
      <c r="E498" s="12" t="str">
        <f>IF(C498&lt;&gt;"", IFERROR(INDEX('بنود العقد'!D$3:D$388,C498), ""), "")</f>
        <v>م²</v>
      </c>
      <c r="F498" s="9">
        <f>IF(C498&lt;&gt;"", IFERROR(INDEX('بنود العقد'!E$3:E$388,C498), 0), "")</f>
        <v>156</v>
      </c>
      <c r="G498" s="9">
        <f>IF(C498&lt;&gt;"", IFERROR(INDEX('بنود العقد'!F$3:F$388,C498), 0), "")</f>
        <v>6705</v>
      </c>
      <c r="H498" s="18">
        <f t="shared" si="23"/>
        <v>3483.6200000000003</v>
      </c>
      <c r="I498" s="7">
        <v>642.38</v>
      </c>
      <c r="J498" s="18">
        <f t="shared" si="22"/>
        <v>4126</v>
      </c>
      <c r="K498" s="10">
        <f t="shared" si="25"/>
        <v>100211.28</v>
      </c>
      <c r="L498" s="21">
        <f t="shared" si="24"/>
        <v>61.536167039522752</v>
      </c>
    </row>
    <row r="499" spans="1:12" s="72" customFormat="1" ht="25.95" customHeight="1">
      <c r="A499" s="12">
        <v>497</v>
      </c>
      <c r="B499" s="6">
        <v>11</v>
      </c>
      <c r="C499" s="6">
        <v>106</v>
      </c>
      <c r="D499" s="20" t="str">
        <f>IF(C499&lt;&gt;"", IFERROR(INDEX('بنود العقد'!B$3:B$388,C499), "⚠"), "")</f>
        <v>Ref drawing: 07-MRA-DD-(as per floor number)-AR-300 مقاس 500×500 مم لون بيج لمكتب المدير CT-03بلاط - سجاد</v>
      </c>
      <c r="E499" s="12" t="str">
        <f>IF(C499&lt;&gt;"", IFERROR(INDEX('بنود العقد'!D$3:D$388,C499), ""), "")</f>
        <v>م²</v>
      </c>
      <c r="F499" s="9">
        <f>IF(C499&lt;&gt;"", IFERROR(INDEX('بنود العقد'!E$3:E$388,C499), 0), "")</f>
        <v>156</v>
      </c>
      <c r="G499" s="9">
        <f>IF(C499&lt;&gt;"", IFERROR(INDEX('بنود العقد'!F$3:F$388,C499), 0), "")</f>
        <v>1213</v>
      </c>
      <c r="H499" s="18">
        <f t="shared" si="23"/>
        <v>698.43000000000006</v>
      </c>
      <c r="I499" s="7">
        <v>113.57</v>
      </c>
      <c r="J499" s="18">
        <f t="shared" si="22"/>
        <v>812</v>
      </c>
      <c r="K499" s="10">
        <f t="shared" si="25"/>
        <v>17716.919999999998</v>
      </c>
      <c r="L499" s="21">
        <f t="shared" si="24"/>
        <v>66.941467436108823</v>
      </c>
    </row>
    <row r="500" spans="1:12" s="72" customFormat="1" ht="25.95" customHeight="1">
      <c r="A500" s="12">
        <v>498</v>
      </c>
      <c r="B500" s="6">
        <v>11</v>
      </c>
      <c r="C500" s="6">
        <v>110</v>
      </c>
      <c r="D500" s="20" t="str">
        <f>IF(C500&lt;&gt;"", IFERROR(INDEX('بنود العقد'!B$3:B$388,C500), "⚠"), "")</f>
        <v>بلاط - سجاد 01-CR مقاس 500×500 مم لمكتب الرئيس ونائب الرئيس والصالة والسكرتارية وغرفة الاجتماعات الكبيرة.</v>
      </c>
      <c r="E500" s="12" t="str">
        <f>IF(C500&lt;&gt;"", IFERROR(INDEX('بنود العقد'!D$3:D$388,C500), ""), "")</f>
        <v>م²</v>
      </c>
      <c r="F500" s="9">
        <f>IF(C500&lt;&gt;"", IFERROR(INDEX('بنود العقد'!E$3:E$388,C500), 0), "")</f>
        <v>156</v>
      </c>
      <c r="G500" s="9">
        <f>IF(C500&lt;&gt;"", IFERROR(INDEX('بنود العقد'!F$3:F$388,C500), 0), "")</f>
        <v>2140</v>
      </c>
      <c r="H500" s="18">
        <f t="shared" si="23"/>
        <v>1177.8699999999999</v>
      </c>
      <c r="I500" s="7">
        <v>198.13</v>
      </c>
      <c r="J500" s="18">
        <f t="shared" si="22"/>
        <v>1376</v>
      </c>
      <c r="K500" s="10">
        <f t="shared" si="25"/>
        <v>30908.28</v>
      </c>
      <c r="L500" s="21">
        <f t="shared" si="24"/>
        <v>64.299065420560751</v>
      </c>
    </row>
    <row r="501" spans="1:12" s="72" customFormat="1" ht="25.95" customHeight="1">
      <c r="A501" s="12">
        <v>499</v>
      </c>
      <c r="B501" s="6">
        <v>11</v>
      </c>
      <c r="C501" s="6">
        <v>111</v>
      </c>
      <c r="D501" s="20" t="str">
        <f>IF(C501&lt;&gt;"", IFERROR(INDEX('بنود العقد'!B$3:B$388,C501), "⚠"), "")</f>
        <v>بلاط - سجاد 02-CR مقاس 500×500 مم لمكتب الرئيس ونائب الرئيس على شكل مثلثات لون بيج، رمادي فاتح ورمادي غامق.</v>
      </c>
      <c r="E501" s="12" t="str">
        <f>IF(C501&lt;&gt;"", IFERROR(INDEX('بنود العقد'!D$3:D$388,C501), ""), "")</f>
        <v>م²</v>
      </c>
      <c r="F501" s="9">
        <f>IF(C501&lt;&gt;"", IFERROR(INDEX('بنود العقد'!E$3:E$388,C501), 0), "")</f>
        <v>156</v>
      </c>
      <c r="G501" s="9">
        <f>IF(C501&lt;&gt;"", IFERROR(INDEX('بنود العقد'!F$3:F$388,C501), 0), "")</f>
        <v>303</v>
      </c>
      <c r="H501" s="18">
        <f t="shared" si="23"/>
        <v>157.51</v>
      </c>
      <c r="I501" s="7">
        <v>29.49</v>
      </c>
      <c r="J501" s="18">
        <f t="shared" si="22"/>
        <v>187</v>
      </c>
      <c r="K501" s="10">
        <f t="shared" si="25"/>
        <v>4600.4399999999996</v>
      </c>
      <c r="L501" s="21">
        <f t="shared" si="24"/>
        <v>61.71617161716172</v>
      </c>
    </row>
    <row r="502" spans="1:12" s="72" customFormat="1" ht="25.95" customHeight="1">
      <c r="A502" s="12">
        <v>500</v>
      </c>
      <c r="B502" s="6">
        <v>11</v>
      </c>
      <c r="C502" s="6">
        <v>112</v>
      </c>
      <c r="D502" s="20" t="str">
        <f>IF(C502&lt;&gt;"", IFERROR(INDEX('بنود العقد'!B$3:B$388,C502), "⚠"), "")</f>
        <v>300-Ref drawing: 07-MRA-DD-(as per floor number)-ARبلاط - سجاد 03-CR مقاس 500×500 مم للمدير العام ومنطقة السكرتارية</v>
      </c>
      <c r="E502" s="12" t="str">
        <f>IF(C502&lt;&gt;"", IFERROR(INDEX('بنود العقد'!D$3:D$388,C502), ""), "")</f>
        <v>م²</v>
      </c>
      <c r="F502" s="9">
        <f>IF(C502&lt;&gt;"", IFERROR(INDEX('بنود العقد'!E$3:E$388,C502), 0), "")</f>
        <v>156</v>
      </c>
      <c r="G502" s="9">
        <f>IF(C502&lt;&gt;"", IFERROR(INDEX('بنود العقد'!F$3:F$388,C502), 0), "")</f>
        <v>1550</v>
      </c>
      <c r="H502" s="18">
        <f t="shared" si="23"/>
        <v>992.88</v>
      </c>
      <c r="I502" s="7">
        <v>147.12</v>
      </c>
      <c r="J502" s="18">
        <f t="shared" si="22"/>
        <v>1140</v>
      </c>
      <c r="K502" s="10">
        <f t="shared" si="25"/>
        <v>22950.720000000001</v>
      </c>
      <c r="L502" s="21">
        <f t="shared" si="24"/>
        <v>73.548387096774192</v>
      </c>
    </row>
    <row r="503" spans="1:12" s="72" customFormat="1" ht="25.95" customHeight="1">
      <c r="A503" s="12">
        <v>501</v>
      </c>
      <c r="B503" s="6">
        <v>11</v>
      </c>
      <c r="C503" s="6">
        <v>113</v>
      </c>
      <c r="D503" s="20" t="str">
        <f>IF(C503&lt;&gt;"", IFERROR(INDEX('بنود العقد'!B$3:B$388,C503), "⚠"), "")</f>
        <v>Ref drawing: 07-MRA-DD-(as per floor number)-AR-300 لمنطقة الصلاة CR-04 رولات السجاد</v>
      </c>
      <c r="E503" s="12" t="str">
        <f>IF(C503&lt;&gt;"", IFERROR(INDEX('بنود العقد'!D$3:D$388,C503), ""), "")</f>
        <v>م²</v>
      </c>
      <c r="F503" s="9">
        <f>IF(C503&lt;&gt;"", IFERROR(INDEX('بنود العقد'!E$3:E$388,C503), 0), "")</f>
        <v>156</v>
      </c>
      <c r="G503" s="9">
        <f>IF(C503&lt;&gt;"", IFERROR(INDEX('بنود العقد'!F$3:F$388,C503), 0), "")</f>
        <v>129</v>
      </c>
      <c r="H503" s="18">
        <f t="shared" si="23"/>
        <v>74.25</v>
      </c>
      <c r="I503" s="7">
        <v>15.75</v>
      </c>
      <c r="J503" s="18">
        <f t="shared" si="22"/>
        <v>90</v>
      </c>
      <c r="K503" s="10">
        <f t="shared" si="25"/>
        <v>2457</v>
      </c>
      <c r="L503" s="21">
        <f t="shared" si="24"/>
        <v>69.767441860465112</v>
      </c>
    </row>
    <row r="504" spans="1:12" s="72" customFormat="1" ht="25.95" customHeight="1">
      <c r="A504" s="12">
        <v>502</v>
      </c>
      <c r="B504" s="6">
        <v>11</v>
      </c>
      <c r="C504" s="6">
        <v>128</v>
      </c>
      <c r="D504" s="20" t="str">
        <f>IF(C504&lt;&gt;"", IFERROR(INDEX('بنود العقد'!B$3:B$388,C504), "⚠"), "")</f>
        <v>.دهان بلون رمادي اسمنتي على الألواح الجبسية والألواح الاسمنتية 200-WPF</v>
      </c>
      <c r="E504" s="12" t="str">
        <f>IF(C504&lt;&gt;"", IFERROR(INDEX('بنود العقد'!D$3:D$388,C504), ""), "")</f>
        <v>م²</v>
      </c>
      <c r="F504" s="9">
        <f>IF(C504&lt;&gt;"", IFERROR(INDEX('بنود العقد'!E$3:E$388,C504), 0), "")</f>
        <v>30</v>
      </c>
      <c r="G504" s="9">
        <f>IF(C504&lt;&gt;"", IFERROR(INDEX('بنود العقد'!F$3:F$388,C504), 0), "")</f>
        <v>2088</v>
      </c>
      <c r="H504" s="18">
        <f t="shared" si="23"/>
        <v>231.4847</v>
      </c>
      <c r="I504" s="7">
        <v>26.51</v>
      </c>
      <c r="J504" s="18">
        <f t="shared" si="22"/>
        <v>257.99470000000002</v>
      </c>
      <c r="K504" s="10">
        <f t="shared" si="25"/>
        <v>795.30000000000007</v>
      </c>
      <c r="L504" s="21">
        <f t="shared" si="24"/>
        <v>12.356068007662836</v>
      </c>
    </row>
    <row r="505" spans="1:12" s="72" customFormat="1" ht="25.95" customHeight="1">
      <c r="A505" s="12">
        <v>503</v>
      </c>
      <c r="B505" s="6">
        <v>11</v>
      </c>
      <c r="C505" s="6">
        <v>133</v>
      </c>
      <c r="D505" s="20" t="str">
        <f>IF(C505&lt;&gt;"", IFERROR(INDEX('بنود العقد'!B$3:B$388,C505),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ابيض</v>
      </c>
      <c r="E505" s="12" t="str">
        <f>IF(C505&lt;&gt;"", IFERROR(INDEX('بنود العقد'!D$3:D$388,C505), ""), "")</f>
        <v>م²</v>
      </c>
      <c r="F505" s="9">
        <f>IF(C505&lt;&gt;"", IFERROR(INDEX('بنود العقد'!E$3:E$388,C505), 0), "")</f>
        <v>24</v>
      </c>
      <c r="G505" s="9">
        <f>IF(C505&lt;&gt;"", IFERROR(INDEX('بنود العقد'!F$3:F$388,C505), 0), "")</f>
        <v>25559</v>
      </c>
      <c r="H505" s="18">
        <f t="shared" si="23"/>
        <v>1905.4839999999999</v>
      </c>
      <c r="I505" s="7">
        <v>1712.52</v>
      </c>
      <c r="J505" s="18">
        <f t="shared" si="22"/>
        <v>3618.0039999999999</v>
      </c>
      <c r="K505" s="10">
        <f t="shared" si="25"/>
        <v>41100.479999999996</v>
      </c>
      <c r="L505" s="21">
        <f t="shared" si="24"/>
        <v>14.155499041433545</v>
      </c>
    </row>
    <row r="506" spans="1:12" s="72" customFormat="1" ht="25.95" customHeight="1">
      <c r="A506" s="12">
        <v>504</v>
      </c>
      <c r="B506" s="6">
        <v>11</v>
      </c>
      <c r="C506" s="6">
        <v>137</v>
      </c>
      <c r="D506" s="20" t="str">
        <f>IF(C506&lt;&gt;"", IFERROR(INDEX('بنود العقد'!B$3:B$388,C506), "⚠"), "")</f>
        <v>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 دهان  بلون اسود</v>
      </c>
      <c r="E506" s="12" t="str">
        <f>IF(C506&lt;&gt;"", IFERROR(INDEX('بنود العقد'!D$3:D$388,C506), ""), "")</f>
        <v>م²</v>
      </c>
      <c r="F506" s="9">
        <f>IF(C506&lt;&gt;"", IFERROR(INDEX('بنود العقد'!E$3:E$388,C506), 0), "")</f>
        <v>30</v>
      </c>
      <c r="G506" s="9">
        <f>IF(C506&lt;&gt;"", IFERROR(INDEX('بنود العقد'!F$3:F$388,C506), 0), "")</f>
        <v>9442</v>
      </c>
      <c r="H506" s="18">
        <f t="shared" si="23"/>
        <v>1994.02</v>
      </c>
      <c r="I506" s="7">
        <v>667.98</v>
      </c>
      <c r="J506" s="18">
        <f t="shared" si="22"/>
        <v>2662</v>
      </c>
      <c r="K506" s="10">
        <f t="shared" si="25"/>
        <v>20039.400000000001</v>
      </c>
      <c r="L506" s="21">
        <f t="shared" si="24"/>
        <v>28.193179411141706</v>
      </c>
    </row>
    <row r="507" spans="1:12" s="72" customFormat="1" ht="25.95" customHeight="1">
      <c r="A507" s="12">
        <v>505</v>
      </c>
      <c r="B507" s="6">
        <v>11</v>
      </c>
      <c r="C507" s="6">
        <v>153</v>
      </c>
      <c r="D507" s="20" t="str">
        <f>IF(C507&lt;&gt;"", IFERROR(INDEX('بنود العقد'!B$3:B$388,C507),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1250طول × عرض600 مم </v>
      </c>
      <c r="E507" s="12" t="str">
        <f>IF(C507&lt;&gt;"", IFERROR(INDEX('بنود العقد'!D$3:D$388,C507), ""), "")</f>
        <v>عدد</v>
      </c>
      <c r="F507" s="9">
        <f>IF(C507&lt;&gt;"", IFERROR(INDEX('بنود العقد'!E$3:E$388,C507), 0), "")</f>
        <v>1800</v>
      </c>
      <c r="G507" s="9">
        <f>IF(C507&lt;&gt;"", IFERROR(INDEX('بنود العقد'!F$3:F$388,C507), 0), "")</f>
        <v>32</v>
      </c>
      <c r="H507" s="18">
        <f t="shared" si="23"/>
        <v>6</v>
      </c>
      <c r="I507" s="7">
        <v>6</v>
      </c>
      <c r="J507" s="18">
        <f t="shared" si="22"/>
        <v>12</v>
      </c>
      <c r="K507" s="10">
        <f t="shared" si="25"/>
        <v>10800</v>
      </c>
      <c r="L507" s="21">
        <f t="shared" si="24"/>
        <v>37.5</v>
      </c>
    </row>
    <row r="508" spans="1:12" s="72" customFormat="1" ht="25.95" customHeight="1">
      <c r="A508" s="12">
        <v>506</v>
      </c>
      <c r="B508" s="6">
        <v>11</v>
      </c>
      <c r="C508" s="6">
        <v>154</v>
      </c>
      <c r="D508" s="20" t="str">
        <f>IF(C508&lt;&gt;"", IFERROR(INDEX('بنود العقد'!B$3:B$388,C508),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1200طول × عرض600 مم </v>
      </c>
      <c r="E508" s="12" t="str">
        <f>IF(C508&lt;&gt;"", IFERROR(INDEX('بنود العقد'!D$3:D$388,C508), ""), "")</f>
        <v>عدد</v>
      </c>
      <c r="F508" s="9">
        <f>IF(C508&lt;&gt;"", IFERROR(INDEX('بنود العقد'!E$3:E$388,C508), 0), "")</f>
        <v>1800</v>
      </c>
      <c r="G508" s="9">
        <f>IF(C508&lt;&gt;"", IFERROR(INDEX('بنود العقد'!F$3:F$388,C508), 0), "")</f>
        <v>20</v>
      </c>
      <c r="H508" s="18">
        <f t="shared" si="23"/>
        <v>2</v>
      </c>
      <c r="I508" s="7">
        <v>2</v>
      </c>
      <c r="J508" s="18">
        <f t="shared" si="22"/>
        <v>4</v>
      </c>
      <c r="K508" s="10">
        <f t="shared" si="25"/>
        <v>3600</v>
      </c>
      <c r="L508" s="21">
        <f t="shared" si="24"/>
        <v>20</v>
      </c>
    </row>
    <row r="509" spans="1:12" s="72" customFormat="1" ht="25.95" customHeight="1">
      <c r="A509" s="12">
        <v>507</v>
      </c>
      <c r="B509" s="6">
        <v>11</v>
      </c>
      <c r="C509" s="6">
        <v>155</v>
      </c>
      <c r="D509" s="20" t="str">
        <f>IF(C509&lt;&gt;"", IFERROR(INDEX('بنود العقد'!B$3:B$388,C509),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مقاس: 1000طولRef drawing: 07-MRA-DD-(as per floor number)-AR-700 to 703 عرض600 مم × </v>
      </c>
      <c r="E509" s="12" t="str">
        <f>IF(C509&lt;&gt;"", IFERROR(INDEX('بنود العقد'!D$3:D$388,C509), ""), "")</f>
        <v>عدد</v>
      </c>
      <c r="F509" s="9">
        <f>IF(C509&lt;&gt;"", IFERROR(INDEX('بنود العقد'!E$3:E$388,C509), 0), "")</f>
        <v>1200</v>
      </c>
      <c r="G509" s="9">
        <f>IF(C509&lt;&gt;"", IFERROR(INDEX('بنود العقد'!F$3:F$388,C509), 0), "")</f>
        <v>22</v>
      </c>
      <c r="H509" s="18">
        <f t="shared" si="23"/>
        <v>5</v>
      </c>
      <c r="I509" s="7">
        <v>5</v>
      </c>
      <c r="J509" s="18">
        <f t="shared" si="22"/>
        <v>10</v>
      </c>
      <c r="K509" s="10">
        <f t="shared" si="25"/>
        <v>6000</v>
      </c>
      <c r="L509" s="21">
        <f t="shared" si="24"/>
        <v>45.454545454545453</v>
      </c>
    </row>
    <row r="510" spans="1:12" s="72" customFormat="1" ht="25.95" customHeight="1">
      <c r="A510" s="12">
        <v>508</v>
      </c>
      <c r="B510" s="6">
        <v>11</v>
      </c>
      <c r="C510" s="6">
        <v>156</v>
      </c>
      <c r="D510" s="20" t="str">
        <f>IF(C510&lt;&gt;"", IFERROR(INDEX('بنود العقد'!B$3:B$388,C510),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المشرف.Ref drawing: 07-MRA-DD-(as per floor number)-AR-700 to 703 مقاس: 3800طول × عرض600 مم </v>
      </c>
      <c r="E510" s="12" t="str">
        <f>IF(C510&lt;&gt;"", IFERROR(INDEX('بنود العقد'!D$3:D$388,C510), ""), "")</f>
        <v>عدد</v>
      </c>
      <c r="F510" s="9">
        <f>IF(C510&lt;&gt;"", IFERROR(INDEX('بنود العقد'!E$3:E$388,C510), 0), "")</f>
        <v>6000</v>
      </c>
      <c r="G510" s="9">
        <f>IF(C510&lt;&gt;"", IFERROR(INDEX('بنود العقد'!F$3:F$388,C510), 0), "")</f>
        <v>23</v>
      </c>
      <c r="H510" s="18">
        <f t="shared" si="23"/>
        <v>6</v>
      </c>
      <c r="I510" s="7">
        <v>1</v>
      </c>
      <c r="J510" s="18">
        <f t="shared" si="22"/>
        <v>7</v>
      </c>
      <c r="K510" s="10">
        <f t="shared" si="25"/>
        <v>6000</v>
      </c>
      <c r="L510" s="21">
        <f t="shared" si="24"/>
        <v>30.434782608695656</v>
      </c>
    </row>
    <row r="511" spans="1:12" s="72" customFormat="1" ht="25.95" customHeight="1">
      <c r="A511" s="12">
        <v>509</v>
      </c>
      <c r="B511" s="6">
        <v>11</v>
      </c>
      <c r="C511" s="6">
        <v>177</v>
      </c>
      <c r="D511" s="20" t="str">
        <f>IF(C511&lt;&gt;"", IFERROR(INDEX('بنود العقد'!B$3:B$388,C511),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E511" s="12" t="str">
        <f>IF(C511&lt;&gt;"", IFERROR(INDEX('بنود العقد'!D$3:D$388,C511), ""), "")</f>
        <v>م.ط</v>
      </c>
      <c r="F511" s="9">
        <f>IF(C511&lt;&gt;"", IFERROR(INDEX('بنود العقد'!E$3:E$388,C511), 0), "")</f>
        <v>70.8</v>
      </c>
      <c r="G511" s="9">
        <f>IF(C511&lt;&gt;"", IFERROR(INDEX('بنود العقد'!F$3:F$388,C511), 0), "")</f>
        <v>221</v>
      </c>
      <c r="H511" s="18">
        <f t="shared" si="23"/>
        <v>207.14</v>
      </c>
      <c r="I511" s="7">
        <v>10.86</v>
      </c>
      <c r="J511" s="18">
        <f t="shared" si="22"/>
        <v>218</v>
      </c>
      <c r="K511" s="10">
        <f t="shared" si="25"/>
        <v>768.88799999999992</v>
      </c>
      <c r="L511" s="21">
        <f t="shared" si="24"/>
        <v>98.642533936651589</v>
      </c>
    </row>
    <row r="512" spans="1:12" s="72" customFormat="1" ht="25.95" customHeight="1">
      <c r="A512" s="12">
        <v>510</v>
      </c>
      <c r="B512" s="6">
        <v>11</v>
      </c>
      <c r="C512" s="6">
        <v>178</v>
      </c>
      <c r="D512" s="20" t="str">
        <f>IF(C512&lt;&gt;"", IFERROR(INDEX('بنود العقد'!B$3:B$388,C512),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32مم</v>
      </c>
      <c r="E512" s="12" t="str">
        <f>IF(C512&lt;&gt;"", IFERROR(INDEX('بنود العقد'!D$3:D$388,C512), ""), "")</f>
        <v>م.ط</v>
      </c>
      <c r="F512" s="9">
        <f>IF(C512&lt;&gt;"", IFERROR(INDEX('بنود العقد'!E$3:E$388,C512), 0), "")</f>
        <v>102</v>
      </c>
      <c r="G512" s="9">
        <f>IF(C512&lt;&gt;"", IFERROR(INDEX('بنود العقد'!F$3:F$388,C512), 0), "")</f>
        <v>207</v>
      </c>
      <c r="H512" s="18">
        <f t="shared" si="23"/>
        <v>128.39000000000001</v>
      </c>
      <c r="I512" s="7">
        <v>4.6100000000000003</v>
      </c>
      <c r="J512" s="18">
        <f t="shared" si="22"/>
        <v>133.00000000000003</v>
      </c>
      <c r="K512" s="10">
        <f t="shared" si="25"/>
        <v>470.22</v>
      </c>
      <c r="L512" s="21">
        <f t="shared" si="24"/>
        <v>64.251207729468618</v>
      </c>
    </row>
    <row r="513" spans="1:12" s="72" customFormat="1" ht="25.95" customHeight="1">
      <c r="A513" s="12">
        <v>511</v>
      </c>
      <c r="B513" s="6">
        <v>11</v>
      </c>
      <c r="C513" s="6">
        <v>180</v>
      </c>
      <c r="D513" s="20" t="str">
        <f>IF(C513&lt;&gt;"", IFERROR(INDEX('بنود العقد'!B$3:B$388,C513),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الداخلية:قطر 50 مم</v>
      </c>
      <c r="E513" s="12" t="str">
        <f>IF(C513&lt;&gt;"", IFERROR(INDEX('بنود العقد'!D$3:D$388,C513), ""), "")</f>
        <v>م.ط</v>
      </c>
      <c r="F513" s="9">
        <f>IF(C513&lt;&gt;"", IFERROR(INDEX('بنود العقد'!E$3:E$388,C513), 0), "")</f>
        <v>94.8</v>
      </c>
      <c r="G513" s="9">
        <f>IF(C513&lt;&gt;"", IFERROR(INDEX('بنود العقد'!F$3:F$388,C513), 0), "")</f>
        <v>218</v>
      </c>
      <c r="H513" s="18">
        <f t="shared" si="23"/>
        <v>140.80000000000001</v>
      </c>
      <c r="I513" s="7">
        <v>7.2</v>
      </c>
      <c r="J513" s="18">
        <f t="shared" si="22"/>
        <v>148</v>
      </c>
      <c r="K513" s="10">
        <f t="shared" si="25"/>
        <v>682.56</v>
      </c>
      <c r="L513" s="21">
        <f t="shared" si="24"/>
        <v>67.889908256880744</v>
      </c>
    </row>
    <row r="514" spans="1:12" s="72" customFormat="1" ht="25.95" customHeight="1">
      <c r="A514" s="12">
        <v>512</v>
      </c>
      <c r="B514" s="6">
        <v>11</v>
      </c>
      <c r="C514" s="6">
        <v>185</v>
      </c>
      <c r="D514" s="20" t="str">
        <f>IF(C514&lt;&gt;"", IFERROR(INDEX('بنود العقد'!B$3:B$388,C514),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v>
      </c>
      <c r="E514" s="12" t="str">
        <f>IF(C514&lt;&gt;"", IFERROR(INDEX('بنود العقد'!D$3:D$388,C514), ""), "")</f>
        <v>م.ط</v>
      </c>
      <c r="F514" s="9">
        <f>IF(C514&lt;&gt;"", IFERROR(INDEX('بنود العقد'!E$3:E$388,C514), 0), "")</f>
        <v>75.599999999999994</v>
      </c>
      <c r="G514" s="9">
        <f>IF(C514&lt;&gt;"", IFERROR(INDEX('بنود العقد'!F$3:F$388,C514), 0), "")</f>
        <v>426</v>
      </c>
      <c r="H514" s="18">
        <f t="shared" si="23"/>
        <v>907.4</v>
      </c>
      <c r="I514" s="7">
        <v>149.6</v>
      </c>
      <c r="J514" s="18">
        <f t="shared" si="22"/>
        <v>1057</v>
      </c>
      <c r="K514" s="10">
        <f t="shared" si="25"/>
        <v>11309.759999999998</v>
      </c>
      <c r="L514" s="21">
        <f t="shared" si="24"/>
        <v>248.12206572769955</v>
      </c>
    </row>
    <row r="515" spans="1:12" s="72" customFormat="1" ht="25.95" customHeight="1">
      <c r="A515" s="12">
        <v>513</v>
      </c>
      <c r="B515" s="6">
        <v>11</v>
      </c>
      <c r="C515" s="6">
        <v>186</v>
      </c>
      <c r="D515" s="20" t="str">
        <f>IF(C515&lt;&gt;"", IFERROR(INDEX('بنود العقد'!B$3:B$388,C515),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75 مم</v>
      </c>
      <c r="E515" s="12" t="str">
        <f>IF(C515&lt;&gt;"", IFERROR(INDEX('بنود العقد'!D$3:D$388,C515), ""), "")</f>
        <v>م.ط</v>
      </c>
      <c r="F515" s="9">
        <f>IF(C515&lt;&gt;"", IFERROR(INDEX('بنود العقد'!E$3:E$388,C515), 0), "")</f>
        <v>91.2</v>
      </c>
      <c r="G515" s="9">
        <f>IF(C515&lt;&gt;"", IFERROR(INDEX('بنود العقد'!F$3:F$388,C515), 0), "")</f>
        <v>934</v>
      </c>
      <c r="H515" s="18">
        <f t="shared" ref="H515:H574" si="26">IFERROR(SUMIFS(I$3:I$1805, B$3:B$1805, "&lt;"&amp;B515, C$3:C$1805, C515), 0)</f>
        <v>509.4</v>
      </c>
      <c r="I515" s="7">
        <v>93.6</v>
      </c>
      <c r="J515" s="18">
        <f t="shared" si="22"/>
        <v>603</v>
      </c>
      <c r="K515" s="10">
        <f t="shared" si="25"/>
        <v>8536.32</v>
      </c>
      <c r="L515" s="21">
        <f t="shared" si="24"/>
        <v>64.561027837259104</v>
      </c>
    </row>
    <row r="516" spans="1:12" s="72" customFormat="1" ht="25.95" customHeight="1">
      <c r="A516" s="12">
        <v>514</v>
      </c>
      <c r="B516" s="6">
        <v>11</v>
      </c>
      <c r="C516" s="6">
        <v>187</v>
      </c>
      <c r="D516" s="20" t="str">
        <f>IF(C516&lt;&gt;"", IFERROR(INDEX('بنود العقد'!B$3:B$388,C516),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v>
      </c>
      <c r="E516" s="12" t="str">
        <f>IF(C516&lt;&gt;"", IFERROR(INDEX('بنود العقد'!D$3:D$388,C516), ""), "")</f>
        <v>م.ط</v>
      </c>
      <c r="F516" s="9">
        <f>IF(C516&lt;&gt;"", IFERROR(INDEX('بنود العقد'!E$3:E$388,C516), 0), "")</f>
        <v>102</v>
      </c>
      <c r="G516" s="9">
        <f>IF(C516&lt;&gt;"", IFERROR(INDEX('بنود العقد'!F$3:F$388,C516), 0), "")</f>
        <v>961</v>
      </c>
      <c r="H516" s="18">
        <f t="shared" si="26"/>
        <v>1421.15</v>
      </c>
      <c r="I516" s="7">
        <v>234.85</v>
      </c>
      <c r="J516" s="18">
        <f t="shared" si="22"/>
        <v>1656</v>
      </c>
      <c r="K516" s="10">
        <f t="shared" si="25"/>
        <v>23954.7</v>
      </c>
      <c r="L516" s="21">
        <f t="shared" si="24"/>
        <v>172.32049947970864</v>
      </c>
    </row>
    <row r="517" spans="1:12" s="72" customFormat="1" ht="25.95" customHeight="1">
      <c r="A517" s="12">
        <v>515</v>
      </c>
      <c r="B517" s="6">
        <v>11</v>
      </c>
      <c r="C517" s="6">
        <v>189</v>
      </c>
      <c r="D517" s="20" t="str">
        <f>IF(C517&lt;&gt;"", IFERROR(INDEX('بنود العقد'!B$3:B$388,C517), "⚠"), "")</f>
        <v>صفاية أرضية )FD(، من PVC مع مصفاة معدنية  مطلية بالكروم شاملة سيفون كما هو موصف بالمقاسات التالية:صفاية' طولية أرضية )SD(،مع مصفاة  معدنية مطلية بالكروم شاملة سيفون مخرج قطر 50 مم</v>
      </c>
      <c r="E517" s="12" t="str">
        <f>IF(C517&lt;&gt;"", IFERROR(INDEX('بنود العقد'!D$3:D$388,C517), ""), "")</f>
        <v>عدد</v>
      </c>
      <c r="F517" s="9">
        <f>IF(C517&lt;&gt;"", IFERROR(INDEX('بنود العقد'!E$3:E$388,C517), 0), "")</f>
        <v>300</v>
      </c>
      <c r="G517" s="9">
        <f>IF(C517&lt;&gt;"", IFERROR(INDEX('بنود العقد'!F$3:F$388,C517), 0), "")</f>
        <v>20</v>
      </c>
      <c r="H517" s="18">
        <f t="shared" si="26"/>
        <v>3</v>
      </c>
      <c r="I517" s="7">
        <v>4</v>
      </c>
      <c r="J517" s="18">
        <f t="shared" si="22"/>
        <v>7</v>
      </c>
      <c r="K517" s="10">
        <f t="shared" si="25"/>
        <v>1200</v>
      </c>
      <c r="L517" s="21">
        <f t="shared" si="24"/>
        <v>35</v>
      </c>
    </row>
    <row r="518" spans="1:12" s="72" customFormat="1" ht="25.95" customHeight="1">
      <c r="A518" s="12">
        <v>516</v>
      </c>
      <c r="B518" s="6">
        <v>11</v>
      </c>
      <c r="C518" s="6">
        <v>198</v>
      </c>
      <c r="D518" s="20" t="str">
        <f>IF(C518&lt;&gt;"", IFERROR(INDEX('بنود العقد'!B$3:B$388,C518),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:خلاط مياة  يركب على الحوض</v>
      </c>
      <c r="E518" s="12" t="str">
        <f>IF(C518&lt;&gt;"", IFERROR(INDEX('بنود العقد'!D$3:D$388,C518), ""), "")</f>
        <v>عدد</v>
      </c>
      <c r="F518" s="9">
        <f>IF(C518&lt;&gt;"", IFERROR(INDEX('بنود العقد'!E$3:E$388,C518), 0), "")</f>
        <v>1080</v>
      </c>
      <c r="G518" s="9">
        <f>IF(C518&lt;&gt;"", IFERROR(INDEX('بنود العقد'!F$3:F$388,C518), 0), "")</f>
        <v>208</v>
      </c>
      <c r="H518" s="18">
        <f t="shared" si="26"/>
        <v>23</v>
      </c>
      <c r="I518" s="7">
        <v>4</v>
      </c>
      <c r="J518" s="18">
        <f t="shared" si="22"/>
        <v>27</v>
      </c>
      <c r="K518" s="10">
        <f t="shared" si="25"/>
        <v>4320</v>
      </c>
      <c r="L518" s="21">
        <f t="shared" si="24"/>
        <v>12.980769230769232</v>
      </c>
    </row>
    <row r="519" spans="1:12" s="72" customFormat="1" ht="25.95" customHeight="1">
      <c r="A519" s="12">
        <v>517</v>
      </c>
      <c r="B519" s="6">
        <v>11</v>
      </c>
      <c r="C519" s="6">
        <v>199</v>
      </c>
      <c r="D519" s="20" t="str">
        <f>IF(C519&lt;&gt;"", IFERROR(INDEX('بنود العقد'!B$3:B$388,C519),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E519" s="12" t="str">
        <f>IF(C519&lt;&gt;"", IFERROR(INDEX('بنود العقد'!D$3:D$388,C519), ""), "")</f>
        <v>م.ط</v>
      </c>
      <c r="F519" s="9">
        <f>IF(C519&lt;&gt;"", IFERROR(INDEX('بنود العقد'!E$3:E$388,C519), 0), "")</f>
        <v>108</v>
      </c>
      <c r="G519" s="9">
        <f>IF(C519&lt;&gt;"", IFERROR(INDEX('بنود العقد'!F$3:F$388,C519), 0), "")</f>
        <v>3900</v>
      </c>
      <c r="H519" s="18">
        <f t="shared" si="26"/>
        <v>2328.46</v>
      </c>
      <c r="I519" s="7">
        <v>852.54</v>
      </c>
      <c r="J519" s="18">
        <f t="shared" si="22"/>
        <v>3181</v>
      </c>
      <c r="K519" s="10">
        <f t="shared" si="25"/>
        <v>92074.319999999992</v>
      </c>
      <c r="L519" s="21">
        <f t="shared" si="24"/>
        <v>81.564102564102569</v>
      </c>
    </row>
    <row r="520" spans="1:12" s="72" customFormat="1" ht="25.95" customHeight="1">
      <c r="A520" s="12">
        <v>518</v>
      </c>
      <c r="B520" s="6">
        <v>11</v>
      </c>
      <c r="C520" s="6">
        <v>200</v>
      </c>
      <c r="D520" s="20" t="str">
        <f>IF(C520&lt;&gt;"", IFERROR(INDEX('بنود العقد'!B$3:B$388,C520),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28</v>
      </c>
      <c r="E520" s="12" t="str">
        <f>IF(C520&lt;&gt;"", IFERROR(INDEX('بنود العقد'!D$3:D$388,C520), ""), "")</f>
        <v>م.ط</v>
      </c>
      <c r="F520" s="9">
        <f>IF(C520&lt;&gt;"", IFERROR(INDEX('بنود العقد'!E$3:E$388,C520), 0), "")</f>
        <v>138</v>
      </c>
      <c r="G520" s="9">
        <f>IF(C520&lt;&gt;"", IFERROR(INDEX('بنود العقد'!F$3:F$388,C520), 0), "")</f>
        <v>323</v>
      </c>
      <c r="H520" s="18">
        <f t="shared" si="26"/>
        <v>189.75</v>
      </c>
      <c r="I520" s="7">
        <v>16.25</v>
      </c>
      <c r="J520" s="18">
        <f t="shared" si="22"/>
        <v>206</v>
      </c>
      <c r="K520" s="10">
        <f t="shared" si="25"/>
        <v>2242.5</v>
      </c>
      <c r="L520" s="21">
        <f t="shared" si="24"/>
        <v>63.777089783281738</v>
      </c>
    </row>
    <row r="521" spans="1:12" s="72" customFormat="1" ht="25.95" customHeight="1">
      <c r="A521" s="12">
        <v>519</v>
      </c>
      <c r="B521" s="6">
        <v>11</v>
      </c>
      <c r="C521" s="6">
        <v>201</v>
      </c>
      <c r="D521" s="20" t="str">
        <f>IF(C521&lt;&gt;"", IFERROR(INDEX('بنود العقد'!B$3:B$388,C521),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33</v>
      </c>
      <c r="E521" s="12" t="str">
        <f>IF(C521&lt;&gt;"", IFERROR(INDEX('بنود العقد'!D$3:D$388,C521), ""), "")</f>
        <v>م.ط</v>
      </c>
      <c r="F521" s="9">
        <f>IF(C521&lt;&gt;"", IFERROR(INDEX('بنود العقد'!E$3:E$388,C521), 0), "")</f>
        <v>192</v>
      </c>
      <c r="G521" s="9">
        <f>IF(C521&lt;&gt;"", IFERROR(INDEX('بنود العقد'!F$3:F$388,C521), 0), "")</f>
        <v>660</v>
      </c>
      <c r="H521" s="18">
        <f t="shared" si="26"/>
        <v>375.15999999999997</v>
      </c>
      <c r="I521" s="7">
        <v>39.840000000000003</v>
      </c>
      <c r="J521" s="18">
        <f t="shared" si="22"/>
        <v>415</v>
      </c>
      <c r="K521" s="10">
        <f t="shared" si="25"/>
        <v>7649.2800000000007</v>
      </c>
      <c r="L521" s="21">
        <f t="shared" si="24"/>
        <v>62.878787878787875</v>
      </c>
    </row>
    <row r="522" spans="1:12" s="72" customFormat="1" ht="25.95" customHeight="1">
      <c r="A522" s="12">
        <v>520</v>
      </c>
      <c r="B522" s="6">
        <v>11</v>
      </c>
      <c r="C522" s="6">
        <v>202</v>
      </c>
      <c r="D522" s="20" t="str">
        <f>IF(C522&lt;&gt;"", IFERROR(INDEX('بنود العقد'!B$3:B$388,C522),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40</v>
      </c>
      <c r="E522" s="12" t="str">
        <f>IF(C522&lt;&gt;"", IFERROR(INDEX('بنود العقد'!D$3:D$388,C522), ""), "")</f>
        <v>م.ط</v>
      </c>
      <c r="F522" s="9">
        <f>IF(C522&lt;&gt;"", IFERROR(INDEX('بنود العقد'!E$3:E$388,C522), 0), "")</f>
        <v>222</v>
      </c>
      <c r="G522" s="9">
        <f>IF(C522&lt;&gt;"", IFERROR(INDEX('بنود العقد'!F$3:F$388,C522), 0), "")</f>
        <v>600</v>
      </c>
      <c r="H522" s="18">
        <f t="shared" si="26"/>
        <v>261.14999999999998</v>
      </c>
      <c r="I522" s="7">
        <v>15.85</v>
      </c>
      <c r="J522" s="18">
        <f t="shared" si="22"/>
        <v>277</v>
      </c>
      <c r="K522" s="10">
        <f t="shared" si="25"/>
        <v>3518.7</v>
      </c>
      <c r="L522" s="21">
        <f t="shared" si="24"/>
        <v>46.166666666666664</v>
      </c>
    </row>
    <row r="523" spans="1:12" s="72" customFormat="1" ht="25.95" customHeight="1">
      <c r="A523" s="12">
        <v>521</v>
      </c>
      <c r="B523" s="6">
        <v>11</v>
      </c>
      <c r="C523" s="6">
        <v>203</v>
      </c>
      <c r="D523" s="20" t="str">
        <f>IF(C523&lt;&gt;"", IFERROR(INDEX('بنود العقد'!B$3:B$388,C523),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63</v>
      </c>
      <c r="E523" s="12" t="str">
        <f>IF(C523&lt;&gt;"", IFERROR(INDEX('بنود العقد'!D$3:D$388,C523), ""), "")</f>
        <v>م.ط</v>
      </c>
      <c r="F523" s="9">
        <f>IF(C523&lt;&gt;"", IFERROR(INDEX('بنود العقد'!E$3:E$388,C523), 0), "")</f>
        <v>240</v>
      </c>
      <c r="G523" s="9">
        <f>IF(C523&lt;&gt;"", IFERROR(INDEX('بنود العقد'!F$3:F$388,C523), 0), "")</f>
        <v>646</v>
      </c>
      <c r="H523" s="18">
        <f t="shared" si="26"/>
        <v>246.57</v>
      </c>
      <c r="I523" s="7">
        <v>36.43</v>
      </c>
      <c r="J523" s="18">
        <f t="shared" si="22"/>
        <v>283</v>
      </c>
      <c r="K523" s="10">
        <f t="shared" si="25"/>
        <v>8743.2000000000007</v>
      </c>
      <c r="L523" s="21">
        <f t="shared" si="24"/>
        <v>43.808049535603715</v>
      </c>
    </row>
    <row r="524" spans="1:12" s="72" customFormat="1" ht="25.95" customHeight="1">
      <c r="A524" s="12">
        <v>522</v>
      </c>
      <c r="B524" s="6">
        <v>11</v>
      </c>
      <c r="C524" s="6">
        <v>204</v>
      </c>
      <c r="D524" s="20" t="str">
        <f>IF(C524&lt;&gt;"", IFERROR(INDEX('بنود العقد'!B$3:B$388,C524),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77</v>
      </c>
      <c r="E524" s="12" t="str">
        <f>IF(C524&lt;&gt;"", IFERROR(INDEX('بنود العقد'!D$3:D$388,C524), ""), "")</f>
        <v>م.ط</v>
      </c>
      <c r="F524" s="9">
        <f>IF(C524&lt;&gt;"", IFERROR(INDEX('بنود العقد'!E$3:E$388,C524), 0), "")</f>
        <v>288</v>
      </c>
      <c r="G524" s="9">
        <f>IF(C524&lt;&gt;"", IFERROR(INDEX('بنود العقد'!F$3:F$388,C524), 0), "")</f>
        <v>110</v>
      </c>
      <c r="H524" s="18">
        <f t="shared" si="26"/>
        <v>116.80000000000001</v>
      </c>
      <c r="I524" s="7">
        <v>14.2</v>
      </c>
      <c r="J524" s="18">
        <f t="shared" si="22"/>
        <v>131</v>
      </c>
      <c r="K524" s="10">
        <f t="shared" si="25"/>
        <v>4089.6</v>
      </c>
      <c r="L524" s="21">
        <f t="shared" si="24"/>
        <v>119.09090909090909</v>
      </c>
    </row>
    <row r="525" spans="1:12" s="72" customFormat="1" ht="25.95" customHeight="1">
      <c r="A525" s="12">
        <v>523</v>
      </c>
      <c r="B525" s="6">
        <v>11</v>
      </c>
      <c r="C525" s="6">
        <v>206</v>
      </c>
      <c r="D525" s="20" t="str">
        <f>IF(C525&lt;&gt;"", IFERROR(INDEX('بنود العقد'!B$3:B$388,C525),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141</v>
      </c>
      <c r="E525" s="12" t="str">
        <f>IF(C525&lt;&gt;"", IFERROR(INDEX('بنود العقد'!D$3:D$388,C525), ""), "")</f>
        <v>م.ط</v>
      </c>
      <c r="F525" s="9">
        <f>IF(C525&lt;&gt;"", IFERROR(INDEX('بنود العقد'!E$3:E$388,C525), 0), "")</f>
        <v>360</v>
      </c>
      <c r="G525" s="9">
        <f>IF(C525&lt;&gt;"", IFERROR(INDEX('بنود العقد'!F$3:F$388,C525), 0), "")</f>
        <v>200</v>
      </c>
      <c r="H525" s="18">
        <f t="shared" si="26"/>
        <v>235.02</v>
      </c>
      <c r="I525" s="7">
        <v>26.98</v>
      </c>
      <c r="J525" s="18">
        <f t="shared" si="22"/>
        <v>262</v>
      </c>
      <c r="K525" s="10">
        <f t="shared" si="25"/>
        <v>9712.7999999999993</v>
      </c>
      <c r="L525" s="21">
        <f t="shared" si="24"/>
        <v>131</v>
      </c>
    </row>
    <row r="526" spans="1:12" s="72" customFormat="1" ht="25.95" customHeight="1">
      <c r="A526" s="12">
        <v>524</v>
      </c>
      <c r="B526" s="6">
        <v>11</v>
      </c>
      <c r="C526" s="6">
        <v>216</v>
      </c>
      <c r="D526" s="20" t="str">
        <f>IF(C526&lt;&gt;"", IFERROR(INDEX('بنود العقد'!B$3:B$388,C526), "⚠"), "")</f>
        <v>توريد و تركيب و اختبار رشاشات آلية اوتوماتيكية كما هو موصف رشاشات عامودية، ذات فتحة 2/1 بوصة، ومعامل 5.6 =K   ودرجة حرارة تشغيل 68 درجة مئوية</v>
      </c>
      <c r="E526" s="12" t="str">
        <f>IF(C526&lt;&gt;"", IFERROR(INDEX('بنود العقد'!D$3:D$388,C526), ""), "")</f>
        <v>عدد</v>
      </c>
      <c r="F526" s="9">
        <f>IF(C526&lt;&gt;"", IFERROR(INDEX('بنود العقد'!E$3:E$388,C526), 0), "")</f>
        <v>90</v>
      </c>
      <c r="G526" s="9">
        <f>IF(C526&lt;&gt;"", IFERROR(INDEX('بنود العقد'!F$3:F$388,C526), 0), "")</f>
        <v>508</v>
      </c>
      <c r="H526" s="18">
        <f t="shared" si="26"/>
        <v>112</v>
      </c>
      <c r="I526" s="7">
        <v>463</v>
      </c>
      <c r="J526" s="18">
        <f t="shared" si="22"/>
        <v>575</v>
      </c>
      <c r="K526" s="10">
        <f t="shared" si="25"/>
        <v>41670</v>
      </c>
      <c r="L526" s="21">
        <f t="shared" si="24"/>
        <v>113.18897637795276</v>
      </c>
    </row>
    <row r="527" spans="1:12" s="72" customFormat="1" ht="25.95" customHeight="1">
      <c r="A527" s="12">
        <v>525</v>
      </c>
      <c r="B527" s="6">
        <v>11</v>
      </c>
      <c r="C527" s="6">
        <v>218</v>
      </c>
      <c r="D527" s="20" t="str">
        <f>IF(C527&lt;&gt;"", IFERROR(INDEX('بنود العقد'!B$3:B$388,C527), "⚠"), "")</f>
        <v>توريد و تركيب نظام  غازي200FM لغرف الكهرباء و السنترال و ما يتطلبه النظام من تعديلاتمعمارية على ان يتم تقديمها للاعتماد من قبل مهندس المشرف  ،  مرجع 3-FE</v>
      </c>
      <c r="E527" s="12" t="str">
        <f>IF(C527&lt;&gt;"", IFERROR(INDEX('بنود العقد'!D$3:D$388,C527), ""), "")</f>
        <v>عدد</v>
      </c>
      <c r="F527" s="9">
        <f>IF(C527&lt;&gt;"", IFERROR(INDEX('بنود العقد'!E$3:E$388,C527), 0), "")</f>
        <v>54000</v>
      </c>
      <c r="G527" s="9">
        <f>IF(C527&lt;&gt;"", IFERROR(INDEX('بنود العقد'!F$3:F$388,C527), 0), "")</f>
        <v>36</v>
      </c>
      <c r="H527" s="18">
        <f t="shared" si="26"/>
        <v>6</v>
      </c>
      <c r="I527" s="7">
        <v>2.4</v>
      </c>
      <c r="J527" s="18">
        <f t="shared" si="22"/>
        <v>8.4</v>
      </c>
      <c r="K527" s="10">
        <f t="shared" si="25"/>
        <v>129600</v>
      </c>
      <c r="L527" s="21">
        <f t="shared" si="24"/>
        <v>23.333333333333332</v>
      </c>
    </row>
    <row r="528" spans="1:12" s="72" customFormat="1" ht="25.95" customHeight="1">
      <c r="A528" s="12">
        <v>526</v>
      </c>
      <c r="B528" s="6">
        <v>11</v>
      </c>
      <c r="C528" s="6">
        <v>219</v>
      </c>
      <c r="D528" s="20" t="str">
        <f>IF(C528&lt;&gt;"", IFERROR(INDEX('بنود العقد'!B$3:B$388,C528), "⚠"), "")</f>
        <v>توريد و تركيب كبائن مكافحة الحريق class II مزوده بمحبس 5.1 بوصة و خرطوم قماشي من مادةمعتمدة و ايضا بها طفاية حريق ABC  سعة 6 كيلو</v>
      </c>
      <c r="E528" s="12" t="str">
        <f>IF(C528&lt;&gt;"", IFERROR(INDEX('بنود العقد'!D$3:D$388,C528), ""), "")</f>
        <v>عدد</v>
      </c>
      <c r="F528" s="9">
        <f>IF(C528&lt;&gt;"", IFERROR(INDEX('بنود العقد'!E$3:E$388,C528), 0), "")</f>
        <v>4800</v>
      </c>
      <c r="G528" s="9">
        <f>IF(C528&lt;&gt;"", IFERROR(INDEX('بنود العقد'!F$3:F$388,C528), 0), "")</f>
        <v>30</v>
      </c>
      <c r="H528" s="18">
        <f t="shared" si="26"/>
        <v>0</v>
      </c>
      <c r="I528" s="7">
        <v>13</v>
      </c>
      <c r="J528" s="18">
        <f t="shared" si="22"/>
        <v>13</v>
      </c>
      <c r="K528" s="10">
        <f t="shared" si="25"/>
        <v>62400</v>
      </c>
      <c r="L528" s="21">
        <f t="shared" si="24"/>
        <v>43.333333333333336</v>
      </c>
    </row>
    <row r="529" spans="1:12" s="72" customFormat="1" ht="25.95" customHeight="1">
      <c r="A529" s="12">
        <v>527</v>
      </c>
      <c r="B529" s="6">
        <v>11</v>
      </c>
      <c r="C529" s="6">
        <v>221</v>
      </c>
      <c r="D529" s="20" t="str">
        <f>IF(C529&lt;&gt;"", IFERROR(INDEX('بنود العقد'!B$3:B$388,C529),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01-VAV ، اجمالي الهواء 0-250 ) ق/د( استطاعة التخزين 5.1 )ك/و(</v>
      </c>
      <c r="E529" s="12" t="str">
        <f>IF(C529&lt;&gt;"", IFERROR(INDEX('بنود العقد'!D$3:D$388,C529), ""), "")</f>
        <v>عدد</v>
      </c>
      <c r="F529" s="9">
        <f>IF(C529&lt;&gt;"", IFERROR(INDEX('بنود العقد'!E$3:E$388,C529), 0), "")</f>
        <v>6600</v>
      </c>
      <c r="G529" s="9">
        <f>IF(C529&lt;&gt;"", IFERROR(INDEX('بنود العقد'!F$3:F$388,C529), 0), "")</f>
        <v>9</v>
      </c>
      <c r="H529" s="18">
        <f t="shared" si="26"/>
        <v>5.3</v>
      </c>
      <c r="I529" s="7">
        <v>1.7</v>
      </c>
      <c r="J529" s="18">
        <f t="shared" si="22"/>
        <v>7</v>
      </c>
      <c r="K529" s="10">
        <f t="shared" si="25"/>
        <v>11220</v>
      </c>
      <c r="L529" s="21">
        <f t="shared" si="24"/>
        <v>77.777777777777786</v>
      </c>
    </row>
    <row r="530" spans="1:12" s="72" customFormat="1" ht="25.95" customHeight="1">
      <c r="A530" s="12">
        <v>528</v>
      </c>
      <c r="B530" s="6">
        <v>11</v>
      </c>
      <c r="C530" s="6">
        <v>222</v>
      </c>
      <c r="D530" s="20" t="str">
        <f>IF(C530&lt;&gt;"", IFERROR(INDEX('بنود العقد'!B$3:B$388,C530),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02-VAV ، اجمالي الهواء 0-500 ) ق/د( استطاعة التخزين 2 )ك/و(</v>
      </c>
      <c r="E530" s="12" t="str">
        <f>IF(C530&lt;&gt;"", IFERROR(INDEX('بنود العقد'!D$3:D$388,C530), ""), "")</f>
        <v>عدد</v>
      </c>
      <c r="F530" s="9">
        <f>IF(C530&lt;&gt;"", IFERROR(INDEX('بنود العقد'!E$3:E$388,C530), 0), "")</f>
        <v>6960</v>
      </c>
      <c r="G530" s="9">
        <f>IF(C530&lt;&gt;"", IFERROR(INDEX('بنود العقد'!F$3:F$388,C530), 0), "")</f>
        <v>127</v>
      </c>
      <c r="H530" s="18">
        <f t="shared" si="26"/>
        <v>52.2</v>
      </c>
      <c r="I530" s="7">
        <v>7.8</v>
      </c>
      <c r="J530" s="18">
        <f t="shared" si="22"/>
        <v>60</v>
      </c>
      <c r="K530" s="10">
        <f t="shared" si="25"/>
        <v>54288</v>
      </c>
      <c r="L530" s="21">
        <f t="shared" si="24"/>
        <v>47.244094488188978</v>
      </c>
    </row>
    <row r="531" spans="1:12" s="72" customFormat="1" ht="25.95" customHeight="1">
      <c r="A531" s="12">
        <v>529</v>
      </c>
      <c r="B531" s="6">
        <v>11</v>
      </c>
      <c r="C531" s="6">
        <v>223</v>
      </c>
      <c r="D531" s="20" t="str">
        <f>IF(C531&lt;&gt;"", IFERROR(INDEX('بنود العقد'!B$3:B$388,C531), "⚠"), "")</f>
        <v xml:space="preserve">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03-VAV ، اجمالي الهواء 0-750 ) ق/د( استطاعة التخزين 3 )ك/و( </v>
      </c>
      <c r="E531" s="12" t="str">
        <f>IF(C531&lt;&gt;"", IFERROR(INDEX('بنود العقد'!D$3:D$388,C531), ""), "")</f>
        <v>عدد</v>
      </c>
      <c r="F531" s="9">
        <f>IF(C531&lt;&gt;"", IFERROR(INDEX('بنود العقد'!E$3:E$388,C531), 0), "")</f>
        <v>7200</v>
      </c>
      <c r="G531" s="9">
        <f>IF(C531&lt;&gt;"", IFERROR(INDEX('بنود العقد'!F$3:F$388,C531), 0), "")</f>
        <v>51</v>
      </c>
      <c r="H531" s="18">
        <f t="shared" si="26"/>
        <v>36.4</v>
      </c>
      <c r="I531" s="7">
        <v>4.5999999999999996</v>
      </c>
      <c r="J531" s="18">
        <f t="shared" si="22"/>
        <v>41</v>
      </c>
      <c r="K531" s="10">
        <f t="shared" si="25"/>
        <v>33120</v>
      </c>
      <c r="L531" s="21">
        <f t="shared" si="24"/>
        <v>80.392156862745097</v>
      </c>
    </row>
    <row r="532" spans="1:12" s="72" customFormat="1" ht="25.95" customHeight="1">
      <c r="A532" s="12">
        <v>530</v>
      </c>
      <c r="B532" s="6">
        <v>11</v>
      </c>
      <c r="C532" s="6">
        <v>224</v>
      </c>
      <c r="D532" s="20" t="str">
        <f>IF(C532&lt;&gt;"", IFERROR(INDEX('بنود العقد'!B$3:B$388,C532),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04-VAV ، اجمالي الهواء 0-1000 ) ق/د( استطاعة التخزين 5.3 )ك/و(</v>
      </c>
      <c r="E532" s="12" t="str">
        <f>IF(C532&lt;&gt;"", IFERROR(INDEX('بنود العقد'!D$3:D$388,C532), ""), "")</f>
        <v>عدد</v>
      </c>
      <c r="F532" s="9">
        <f>IF(C532&lt;&gt;"", IFERROR(INDEX('بنود العقد'!E$3:E$388,C532), 0), "")</f>
        <v>7200</v>
      </c>
      <c r="G532" s="9">
        <f>IF(C532&lt;&gt;"", IFERROR(INDEX('بنود العقد'!F$3:F$388,C532), 0), "")</f>
        <v>24</v>
      </c>
      <c r="H532" s="18">
        <f t="shared" si="26"/>
        <v>15.5</v>
      </c>
      <c r="I532" s="7">
        <v>1.5</v>
      </c>
      <c r="J532" s="18">
        <f t="shared" si="22"/>
        <v>17</v>
      </c>
      <c r="K532" s="10">
        <f t="shared" si="25"/>
        <v>10800</v>
      </c>
      <c r="L532" s="21">
        <f t="shared" si="24"/>
        <v>70.833333333333343</v>
      </c>
    </row>
    <row r="533" spans="1:12" s="72" customFormat="1" ht="25.95" customHeight="1">
      <c r="A533" s="12">
        <v>531</v>
      </c>
      <c r="B533" s="6">
        <v>11</v>
      </c>
      <c r="C533" s="6">
        <v>225</v>
      </c>
      <c r="D533" s="20" t="str">
        <f>IF(C533&lt;&gt;"", IFERROR(INDEX('بنود العقد'!B$3:B$388,C533),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05-VAV ، اجمالي الهواء 0-1500 ) ق/د( استطاعة التخزين 5.3 )ك/و(</v>
      </c>
      <c r="E533" s="12" t="str">
        <f>IF(C533&lt;&gt;"", IFERROR(INDEX('بنود العقد'!D$3:D$388,C533), ""), "")</f>
        <v>عدد</v>
      </c>
      <c r="F533" s="9">
        <f>IF(C533&lt;&gt;"", IFERROR(INDEX('بنود العقد'!E$3:E$388,C533), 0), "")</f>
        <v>9000</v>
      </c>
      <c r="G533" s="9">
        <f>IF(C533&lt;&gt;"", IFERROR(INDEX('بنود العقد'!F$3:F$388,C533), 0), "")</f>
        <v>44</v>
      </c>
      <c r="H533" s="18">
        <f t="shared" si="26"/>
        <v>19.7</v>
      </c>
      <c r="I533" s="7">
        <v>3.3</v>
      </c>
      <c r="J533" s="18">
        <f t="shared" si="22"/>
        <v>23</v>
      </c>
      <c r="K533" s="10">
        <f t="shared" si="25"/>
        <v>29700</v>
      </c>
      <c r="L533" s="21">
        <f t="shared" si="24"/>
        <v>52.272727272727273</v>
      </c>
    </row>
    <row r="534" spans="1:12" s="72" customFormat="1" ht="25.95" customHeight="1">
      <c r="A534" s="12">
        <v>532</v>
      </c>
      <c r="B534" s="6">
        <v>11</v>
      </c>
      <c r="C534" s="6">
        <v>226</v>
      </c>
      <c r="D534" s="20" t="str">
        <f>IF(C534&lt;&gt;"", IFERROR(INDEX('بنود العقد'!B$3:B$388,C534),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06-VAV ، اجمالي الهواء 0-2000 ) ق/د( استطاعة التخزين 6.3 )ك/و(</v>
      </c>
      <c r="E534" s="12" t="str">
        <f>IF(C534&lt;&gt;"", IFERROR(INDEX('بنود العقد'!D$3:D$388,C534), ""), "")</f>
        <v>عدد</v>
      </c>
      <c r="F534" s="9">
        <f>IF(C534&lt;&gt;"", IFERROR(INDEX('بنود العقد'!E$3:E$388,C534), 0), "")</f>
        <v>10200</v>
      </c>
      <c r="G534" s="9">
        <f>IF(C534&lt;&gt;"", IFERROR(INDEX('بنود العقد'!F$3:F$388,C534), 0), "")</f>
        <v>49</v>
      </c>
      <c r="H534" s="18">
        <f t="shared" si="26"/>
        <v>14.3</v>
      </c>
      <c r="I534" s="7">
        <v>1.7</v>
      </c>
      <c r="J534" s="18">
        <f t="shared" si="22"/>
        <v>16</v>
      </c>
      <c r="K534" s="10">
        <f t="shared" si="25"/>
        <v>17340</v>
      </c>
      <c r="L534" s="21">
        <f t="shared" si="24"/>
        <v>32.653061224489797</v>
      </c>
    </row>
    <row r="535" spans="1:12" s="72" customFormat="1" ht="25.95" customHeight="1">
      <c r="A535" s="12">
        <v>533</v>
      </c>
      <c r="B535" s="6">
        <v>11</v>
      </c>
      <c r="C535" s="6">
        <v>230</v>
      </c>
      <c r="D535" s="20" t="str">
        <f>IF(C535&lt;&gt;"", IFERROR(INDEX('بنود العقد'!B$3:B$388,C535),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E535" s="12" t="str">
        <f>IF(C535&lt;&gt;"", IFERROR(INDEX('بنود العقد'!D$3:D$388,C535), ""), "")</f>
        <v>م.ط</v>
      </c>
      <c r="F535" s="9">
        <f>IF(C535&lt;&gt;"", IFERROR(INDEX('بنود العقد'!E$3:E$388,C535), 0), "")</f>
        <v>300</v>
      </c>
      <c r="G535" s="9">
        <f>IF(C535&lt;&gt;"", IFERROR(INDEX('بنود العقد'!F$3:F$388,C535), 0), "")</f>
        <v>7000</v>
      </c>
      <c r="H535" s="18">
        <f t="shared" si="26"/>
        <v>5126</v>
      </c>
      <c r="I535" s="7">
        <v>122</v>
      </c>
      <c r="J535" s="18">
        <f t="shared" si="22"/>
        <v>5248</v>
      </c>
      <c r="K535" s="10">
        <f t="shared" si="25"/>
        <v>36600</v>
      </c>
      <c r="L535" s="21">
        <f t="shared" si="24"/>
        <v>74.971428571428561</v>
      </c>
    </row>
    <row r="536" spans="1:12" s="72" customFormat="1" ht="25.95" customHeight="1">
      <c r="A536" s="12">
        <v>534</v>
      </c>
      <c r="B536" s="6">
        <v>11</v>
      </c>
      <c r="C536" s="6">
        <v>231</v>
      </c>
      <c r="D536" s="20" t="str">
        <f>IF(C536&lt;&gt;"", IFERROR(INDEX('بنود العقد'!B$3:B$388,C536), "⚠"), "")</f>
        <v>ناشرة هواء ذات فتحات طولية  للهواء الداخل مصنعة من الألمنيوم المشكل بالبثق ومطلية بمسحوق البولستركاملة، مخمدات صوت ذات أرياش متضادّة ،وصندوق حجمى معزول من الداخل بعازل صوتى وميكانيزم للتحكم فى الهواء من واجهة الناشر وكل قطع الأكسسوار حسب المواصفات والمخططات مع توفير عينات للاعتماد من مهندس المشرف. ثلاثة فتحات / ثقب 25مم عرض</v>
      </c>
      <c r="E536" s="12" t="str">
        <f>IF(C536&lt;&gt;"", IFERROR(INDEX('بنود العقد'!D$3:D$388,C536), ""), "")</f>
        <v>م.ط</v>
      </c>
      <c r="F536" s="9">
        <f>IF(C536&lt;&gt;"", IFERROR(INDEX('بنود العقد'!E$3:E$388,C536), 0), "")</f>
        <v>480</v>
      </c>
      <c r="G536" s="9">
        <f>IF(C536&lt;&gt;"", IFERROR(INDEX('بنود العقد'!F$3:F$388,C536), 0), "")</f>
        <v>1925</v>
      </c>
      <c r="H536" s="18">
        <f t="shared" si="26"/>
        <v>341</v>
      </c>
      <c r="I536" s="7">
        <v>209</v>
      </c>
      <c r="J536" s="18">
        <f t="shared" si="22"/>
        <v>550</v>
      </c>
      <c r="K536" s="10">
        <f t="shared" si="25"/>
        <v>100320</v>
      </c>
      <c r="L536" s="21">
        <f t="shared" si="24"/>
        <v>28.571428571428569</v>
      </c>
    </row>
    <row r="537" spans="1:12" s="72" customFormat="1" ht="25.95" customHeight="1">
      <c r="A537" s="12">
        <v>535</v>
      </c>
      <c r="B537" s="6">
        <v>11</v>
      </c>
      <c r="C537" s="6">
        <v>232</v>
      </c>
      <c r="D537" s="20" t="str">
        <f>IF(C537&lt;&gt;"", IFERROR(INDEX('بنود العقد'!B$3:B$388,C537), "⚠"), "")</f>
        <v>ناشرة هواء ذات فتحات طولية للهواء الراجع مصنعة من الألمنيوم المشكل بالبثق ومطلية بمسحوق البولستركاملة، وكل قطع الأكسسوار حسب المواصفات والمخططات مع توفير عينات للاعتماد من مهندس المشرف. ثلاثة فتحات / ثقب 25مم عرض</v>
      </c>
      <c r="E537" s="12" t="str">
        <f>IF(C537&lt;&gt;"", IFERROR(INDEX('بنود العقد'!D$3:D$388,C537), ""), "")</f>
        <v>م.ط</v>
      </c>
      <c r="F537" s="9">
        <f>IF(C537&lt;&gt;"", IFERROR(INDEX('بنود العقد'!E$3:E$388,C537), 0), "")</f>
        <v>480</v>
      </c>
      <c r="G537" s="9">
        <f>IF(C537&lt;&gt;"", IFERROR(INDEX('بنود العقد'!F$3:F$388,C537), 0), "")</f>
        <v>1925</v>
      </c>
      <c r="H537" s="18">
        <f t="shared" si="26"/>
        <v>342</v>
      </c>
      <c r="I537" s="7">
        <v>197</v>
      </c>
      <c r="J537" s="18">
        <f t="shared" si="22"/>
        <v>539</v>
      </c>
      <c r="K537" s="10">
        <f t="shared" si="25"/>
        <v>94560</v>
      </c>
      <c r="L537" s="21">
        <f t="shared" si="24"/>
        <v>28.000000000000004</v>
      </c>
    </row>
    <row r="538" spans="1:12" s="72" customFormat="1" ht="25.95" customHeight="1">
      <c r="A538" s="12">
        <v>536</v>
      </c>
      <c r="B538" s="6">
        <v>11</v>
      </c>
      <c r="C538" s="6">
        <v>233</v>
      </c>
      <c r="D538" s="20" t="str">
        <f>IF(C538&lt;&gt;"", IFERROR(INDEX('بنود العقد'!B$3:B$388,C538), "⚠"), "")</f>
        <v xml:space="preserve"> جريلات تغذية من الالومينيوم مغطاة ببودرة البوليستر كاملة وجميع الملحقات حسب المخططات..والمواصفات مع توفير عينات للاعتماد من مهندس المشرف 600mm X 600mm</v>
      </c>
      <c r="E538" s="12" t="str">
        <f>IF(C538&lt;&gt;"", IFERROR(INDEX('بنود العقد'!D$3:D$388,C538), ""), "")</f>
        <v>عدد</v>
      </c>
      <c r="F538" s="9">
        <f>IF(C538&lt;&gt;"", IFERROR(INDEX('بنود العقد'!E$3:E$388,C538), 0), "")</f>
        <v>456</v>
      </c>
      <c r="G538" s="9">
        <f>IF(C538&lt;&gt;"", IFERROR(INDEX('بنود العقد'!F$3:F$388,C538), 0), "")</f>
        <v>724</v>
      </c>
      <c r="H538" s="18">
        <f t="shared" si="26"/>
        <v>164</v>
      </c>
      <c r="I538" s="7">
        <v>127</v>
      </c>
      <c r="J538" s="18">
        <f t="shared" si="22"/>
        <v>291</v>
      </c>
      <c r="K538" s="10">
        <f t="shared" si="25"/>
        <v>57912</v>
      </c>
      <c r="L538" s="21">
        <f t="shared" si="24"/>
        <v>40.193370165745854</v>
      </c>
    </row>
    <row r="539" spans="1:12" s="72" customFormat="1" ht="25.95" customHeight="1">
      <c r="A539" s="12">
        <v>537</v>
      </c>
      <c r="B539" s="6">
        <v>11</v>
      </c>
      <c r="C539" s="6">
        <v>234</v>
      </c>
      <c r="D539" s="20" t="str">
        <f>IF(C539&lt;&gt;"", IFERROR(INDEX('بنود العقد'!B$3:B$388,C539), "⚠"), "")</f>
        <v xml:space="preserve"> جريلات رجوع من الالومينيوم مغطاة ببودرة البوليستر كاملة وجميع الملحقات حسب المخططات.والمواصفات مع توفير عينات للاعتماد من مهندس المشرف 600mm X 600mm</v>
      </c>
      <c r="E539" s="12" t="str">
        <f>IF(C539&lt;&gt;"", IFERROR(INDEX('بنود العقد'!D$3:D$388,C539), ""), "")</f>
        <v>عدد</v>
      </c>
      <c r="F539" s="9">
        <f>IF(C539&lt;&gt;"", IFERROR(INDEX('بنود العقد'!E$3:E$388,C539), 0), "")</f>
        <v>264</v>
      </c>
      <c r="G539" s="9">
        <f>IF(C539&lt;&gt;"", IFERROR(INDEX('بنود العقد'!F$3:F$388,C539), 0), "")</f>
        <v>724</v>
      </c>
      <c r="H539" s="18">
        <f t="shared" si="26"/>
        <v>123</v>
      </c>
      <c r="I539" s="7">
        <v>54</v>
      </c>
      <c r="J539" s="18">
        <f t="shared" si="22"/>
        <v>177</v>
      </c>
      <c r="K539" s="10">
        <f t="shared" si="25"/>
        <v>14256</v>
      </c>
      <c r="L539" s="21">
        <f t="shared" si="24"/>
        <v>24.447513812154696</v>
      </c>
    </row>
    <row r="540" spans="1:12" s="72" customFormat="1" ht="25.95" customHeight="1">
      <c r="A540" s="12">
        <v>538</v>
      </c>
      <c r="B540" s="6">
        <v>11</v>
      </c>
      <c r="C540" s="6">
        <v>235</v>
      </c>
      <c r="D540" s="20" t="str">
        <f>IF(C540&lt;&gt;"", IFERROR(INDEX('بنود العقد'!B$3:B$388,C540), "⚠"), "")</f>
        <v xml:space="preserve"> جريلات لسحب الهواء من الالمونيوم مغطاة ببودرة البوليستر كاملة بجميع ملحقات التركيب وحسب.المخططات والمواصفات مع توفير عينات للاعتماد من مهندس المشرف 150mm X 150MM</v>
      </c>
      <c r="E540" s="12" t="str">
        <f>IF(C540&lt;&gt;"", IFERROR(INDEX('بنود العقد'!D$3:D$388,C540), ""), "")</f>
        <v>عدد</v>
      </c>
      <c r="F540" s="9">
        <f>IF(C540&lt;&gt;"", IFERROR(INDEX('بنود العقد'!E$3:E$388,C540), 0), "")</f>
        <v>210</v>
      </c>
      <c r="G540" s="9">
        <f>IF(C540&lt;&gt;"", IFERROR(INDEX('بنود العقد'!F$3:F$388,C540), 0), "")</f>
        <v>102</v>
      </c>
      <c r="H540" s="18">
        <f t="shared" si="26"/>
        <v>62</v>
      </c>
      <c r="I540" s="7">
        <v>40</v>
      </c>
      <c r="J540" s="18">
        <f t="shared" si="22"/>
        <v>102</v>
      </c>
      <c r="K540" s="10">
        <f t="shared" si="25"/>
        <v>8400</v>
      </c>
      <c r="L540" s="21">
        <f t="shared" si="24"/>
        <v>100</v>
      </c>
    </row>
    <row r="541" spans="1:12" s="72" customFormat="1" ht="25.95" customHeight="1">
      <c r="A541" s="12">
        <v>539</v>
      </c>
      <c r="B541" s="6">
        <v>11</v>
      </c>
      <c r="C541" s="6">
        <v>254</v>
      </c>
      <c r="D541" s="20" t="str">
        <f>IF(C541&lt;&gt;"", IFERROR(INDEX('بنود العقد'!B$3:B$388,C541),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)A(  )تحتوى على  4 قوى &amp; 4 داتا (</v>
      </c>
      <c r="E541" s="12" t="str">
        <f>IF(C541&lt;&gt;"", IFERROR(INDEX('بنود العقد'!D$3:D$388,C541), ""), "")</f>
        <v>عدد</v>
      </c>
      <c r="F541" s="9">
        <f>IF(C541&lt;&gt;"", IFERROR(INDEX('بنود العقد'!E$3:E$388,C541), 0), "")</f>
        <v>2160</v>
      </c>
      <c r="G541" s="9">
        <f>IF(C541&lt;&gt;"", IFERROR(INDEX('بنود العقد'!F$3:F$388,C541), 0), "")</f>
        <v>286</v>
      </c>
      <c r="H541" s="18">
        <f t="shared" si="26"/>
        <v>161</v>
      </c>
      <c r="I541" s="7">
        <v>65</v>
      </c>
      <c r="J541" s="18">
        <f t="shared" si="22"/>
        <v>226</v>
      </c>
      <c r="K541" s="10">
        <f t="shared" si="25"/>
        <v>140400</v>
      </c>
      <c r="L541" s="21">
        <f t="shared" si="24"/>
        <v>79.020979020979027</v>
      </c>
    </row>
    <row r="542" spans="1:12" s="72" customFormat="1" ht="25.95" customHeight="1">
      <c r="A542" s="12">
        <v>540</v>
      </c>
      <c r="B542" s="6">
        <v>11</v>
      </c>
      <c r="C542" s="6">
        <v>255</v>
      </c>
      <c r="D542" s="20" t="str">
        <f>IF(C542&lt;&gt;"", IFERROR(INDEX('بنود العقد'!B$3:B$388,C542),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)B(   )تحتوى على 2 قوى &amp; 2 داتا (</v>
      </c>
      <c r="E542" s="12" t="str">
        <f>IF(C542&lt;&gt;"", IFERROR(INDEX('بنود العقد'!D$3:D$388,C542), ""), "")</f>
        <v>عدد</v>
      </c>
      <c r="F542" s="9">
        <f>IF(C542&lt;&gt;"", IFERROR(INDEX('بنود العقد'!E$3:E$388,C542), 0), "")</f>
        <v>1800</v>
      </c>
      <c r="G542" s="9">
        <f>IF(C542&lt;&gt;"", IFERROR(INDEX('بنود العقد'!F$3:F$388,C542), 0), "")</f>
        <v>20</v>
      </c>
      <c r="H542" s="18">
        <f t="shared" si="26"/>
        <v>145</v>
      </c>
      <c r="I542" s="7">
        <v>30</v>
      </c>
      <c r="J542" s="18">
        <f t="shared" si="22"/>
        <v>175</v>
      </c>
      <c r="K542" s="10">
        <f t="shared" si="25"/>
        <v>54000</v>
      </c>
      <c r="L542" s="21">
        <f t="shared" si="24"/>
        <v>875</v>
      </c>
    </row>
    <row r="543" spans="1:12" s="72" customFormat="1" ht="25.95" customHeight="1">
      <c r="A543" s="12">
        <v>541</v>
      </c>
      <c r="B543" s="6">
        <v>11</v>
      </c>
      <c r="C543" s="6">
        <v>256</v>
      </c>
      <c r="D543" s="20" t="str">
        <f>IF(C543&lt;&gt;"", IFERROR(INDEX('بنود العقد'!B$3:B$388,C543),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)1FB(   )تحتوى على 1 قوى (</v>
      </c>
      <c r="E543" s="12" t="str">
        <f>IF(C543&lt;&gt;"", IFERROR(INDEX('بنود العقد'!D$3:D$388,C543), ""), "")</f>
        <v>عدد</v>
      </c>
      <c r="F543" s="9">
        <f>IF(C543&lt;&gt;"", IFERROR(INDEX('بنود العقد'!E$3:E$388,C543), 0), "")</f>
        <v>720</v>
      </c>
      <c r="G543" s="9">
        <f>IF(C543&lt;&gt;"", IFERROR(INDEX('بنود العقد'!F$3:F$388,C543), 0), "")</f>
        <v>141</v>
      </c>
      <c r="H543" s="18">
        <f t="shared" si="26"/>
        <v>21</v>
      </c>
      <c r="I543" s="7">
        <v>11</v>
      </c>
      <c r="J543" s="18">
        <f t="shared" si="22"/>
        <v>32</v>
      </c>
      <c r="K543" s="10">
        <f t="shared" si="25"/>
        <v>7920</v>
      </c>
      <c r="L543" s="21">
        <f t="shared" si="24"/>
        <v>22.695035460992909</v>
      </c>
    </row>
    <row r="544" spans="1:12" s="72" customFormat="1" ht="25.95" customHeight="1">
      <c r="A544" s="12">
        <v>542</v>
      </c>
      <c r="B544" s="6">
        <v>11</v>
      </c>
      <c r="C544" s="6">
        <v>262</v>
      </c>
      <c r="D544" s="20" t="str">
        <f>IF(C544&lt;&gt;"", IFERROR(INDEX('بنود العقد'!B$3:B$388,C544),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v>
      </c>
      <c r="E544" s="12" t="str">
        <f>IF(C544&lt;&gt;"", IFERROR(INDEX('بنود العقد'!D$3:D$388,C544), ""), "")</f>
        <v>عدد</v>
      </c>
      <c r="F544" s="9">
        <f>IF(C544&lt;&gt;"", IFERROR(INDEX('بنود العقد'!E$3:E$388,C544), 0), "")</f>
        <v>348</v>
      </c>
      <c r="G544" s="9">
        <f>IF(C544&lt;&gt;"", IFERROR(INDEX('بنود العقد'!F$3:F$388,C544), 0), "")</f>
        <v>530</v>
      </c>
      <c r="H544" s="18">
        <f t="shared" si="26"/>
        <v>111</v>
      </c>
      <c r="I544" s="7">
        <v>21</v>
      </c>
      <c r="J544" s="18">
        <f t="shared" si="22"/>
        <v>132</v>
      </c>
      <c r="K544" s="10">
        <f t="shared" si="25"/>
        <v>7308</v>
      </c>
      <c r="L544" s="21">
        <f t="shared" si="24"/>
        <v>24.90566037735849</v>
      </c>
    </row>
    <row r="545" spans="1:12" s="72" customFormat="1" ht="25.95" customHeight="1">
      <c r="A545" s="12">
        <v>543</v>
      </c>
      <c r="B545" s="6">
        <v>11</v>
      </c>
      <c r="C545" s="6">
        <v>263</v>
      </c>
      <c r="D545" s="20" t="str">
        <f>IF(C545&lt;&gt;"", IFERROR(INDEX('بنود العقد'!B$3:B$388,C545),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A1E</v>
      </c>
      <c r="E545" s="12" t="str">
        <f>IF(C545&lt;&gt;"", IFERROR(INDEX('بنود العقد'!D$3:D$388,C545), ""), "")</f>
        <v>عدد</v>
      </c>
      <c r="F545" s="9">
        <f>IF(C545&lt;&gt;"", IFERROR(INDEX('بنود العقد'!E$3:E$388,C545), 0), "")</f>
        <v>660</v>
      </c>
      <c r="G545" s="9">
        <f>IF(C545&lt;&gt;"", IFERROR(INDEX('بنود العقد'!F$3:F$388,C545), 0), "")</f>
        <v>241</v>
      </c>
      <c r="H545" s="18">
        <f t="shared" si="26"/>
        <v>50</v>
      </c>
      <c r="I545" s="7">
        <v>34</v>
      </c>
      <c r="J545" s="18">
        <f t="shared" si="22"/>
        <v>84</v>
      </c>
      <c r="K545" s="10">
        <f t="shared" si="25"/>
        <v>22440</v>
      </c>
      <c r="L545" s="21">
        <f t="shared" si="24"/>
        <v>34.854771784232362</v>
      </c>
    </row>
    <row r="546" spans="1:12" s="72" customFormat="1" ht="25.95" customHeight="1">
      <c r="A546" s="12">
        <v>544</v>
      </c>
      <c r="B546" s="6">
        <v>11</v>
      </c>
      <c r="C546" s="6">
        <v>264</v>
      </c>
      <c r="D546" s="20" t="str">
        <f>IF(C546&lt;&gt;"", IFERROR(INDEX('بنود العقد'!B$3:B$388,C546),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A2</v>
      </c>
      <c r="E546" s="12" t="str">
        <f>IF(C546&lt;&gt;"", IFERROR(INDEX('بنود العقد'!D$3:D$388,C546), ""), "")</f>
        <v>عدد</v>
      </c>
      <c r="F546" s="9">
        <f>IF(C546&lt;&gt;"", IFERROR(INDEX('بنود العقد'!E$3:E$388,C546), 0), "")</f>
        <v>1044</v>
      </c>
      <c r="G546" s="9">
        <f>IF(C546&lt;&gt;"", IFERROR(INDEX('بنود العقد'!F$3:F$388,C546), 0), "")</f>
        <v>1113</v>
      </c>
      <c r="H546" s="18">
        <f t="shared" si="26"/>
        <v>416</v>
      </c>
      <c r="I546" s="7">
        <v>85</v>
      </c>
      <c r="J546" s="18">
        <f t="shared" si="22"/>
        <v>501</v>
      </c>
      <c r="K546" s="10">
        <f t="shared" si="25"/>
        <v>88740</v>
      </c>
      <c r="L546" s="21">
        <f t="shared" si="24"/>
        <v>45.01347708894879</v>
      </c>
    </row>
    <row r="547" spans="1:12" s="72" customFormat="1" ht="25.95" customHeight="1">
      <c r="A547" s="12">
        <v>545</v>
      </c>
      <c r="B547" s="6">
        <v>11</v>
      </c>
      <c r="C547" s="6">
        <v>272</v>
      </c>
      <c r="D547" s="20" t="str">
        <f>IF(C547&lt;&gt;"", IFERROR(INDEX('بنود العقد'!B$3:B$388,C547),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B1</v>
      </c>
      <c r="E547" s="12" t="str">
        <f>IF(C547&lt;&gt;"", IFERROR(INDEX('بنود العقد'!D$3:D$388,C547), ""), "")</f>
        <v>عدد</v>
      </c>
      <c r="F547" s="9">
        <f>IF(C547&lt;&gt;"", IFERROR(INDEX('بنود العقد'!E$3:E$388,C547), 0), "")</f>
        <v>720</v>
      </c>
      <c r="G547" s="9">
        <f>IF(C547&lt;&gt;"", IFERROR(INDEX('بنود العقد'!F$3:F$388,C547), 0), "")</f>
        <v>343</v>
      </c>
      <c r="H547" s="18">
        <f t="shared" si="26"/>
        <v>32</v>
      </c>
      <c r="I547" s="7">
        <v>8</v>
      </c>
      <c r="J547" s="18">
        <f t="shared" si="22"/>
        <v>40</v>
      </c>
      <c r="K547" s="10">
        <f t="shared" si="25"/>
        <v>5760</v>
      </c>
      <c r="L547" s="21">
        <f t="shared" si="24"/>
        <v>11.661807580174926</v>
      </c>
    </row>
    <row r="548" spans="1:12" s="72" customFormat="1" ht="25.95" customHeight="1">
      <c r="A548" s="12">
        <v>546</v>
      </c>
      <c r="B548" s="6">
        <v>11</v>
      </c>
      <c r="C548" s="6">
        <v>276</v>
      </c>
      <c r="D548" s="20" t="str">
        <f>IF(C548&lt;&gt;"", IFERROR(INDEX('بنود العقد'!B$3:B$388,C548),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v>
      </c>
      <c r="E548" s="12" t="str">
        <f>IF(C548&lt;&gt;"", IFERROR(INDEX('بنود العقد'!D$3:D$388,C548), ""), "")</f>
        <v>عدد</v>
      </c>
      <c r="F548" s="9">
        <f>IF(C548&lt;&gt;"", IFERROR(INDEX('بنود العقد'!E$3:E$388,C548), 0), "")</f>
        <v>444</v>
      </c>
      <c r="G548" s="9">
        <f>IF(C548&lt;&gt;"", IFERROR(INDEX('بنود العقد'!F$3:F$388,C548), 0), "")</f>
        <v>1062</v>
      </c>
      <c r="H548" s="18">
        <f t="shared" si="26"/>
        <v>219</v>
      </c>
      <c r="I548" s="7">
        <v>145</v>
      </c>
      <c r="J548" s="18">
        <f t="shared" si="22"/>
        <v>364</v>
      </c>
      <c r="K548" s="10">
        <f t="shared" si="25"/>
        <v>64380</v>
      </c>
      <c r="L548" s="21">
        <f t="shared" si="24"/>
        <v>34.27495291902072</v>
      </c>
    </row>
    <row r="549" spans="1:12" s="72" customFormat="1" ht="25.95" customHeight="1">
      <c r="A549" s="12">
        <v>547</v>
      </c>
      <c r="B549" s="6">
        <v>11</v>
      </c>
      <c r="C549" s="6">
        <v>277</v>
      </c>
      <c r="D549" s="20" t="str">
        <f>IF(C549&lt;&gt;"", IFERROR(INDEX('بنود العقد'!B$3:B$388,C549),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v>
      </c>
      <c r="E549" s="12" t="str">
        <f>IF(C549&lt;&gt;"", IFERROR(INDEX('بنود العقد'!D$3:D$388,C549), ""), "")</f>
        <v>عدد</v>
      </c>
      <c r="F549" s="9">
        <f>IF(C549&lt;&gt;"", IFERROR(INDEX('بنود العقد'!E$3:E$388,C549), 0), "")</f>
        <v>300</v>
      </c>
      <c r="G549" s="9">
        <f>IF(C549&lt;&gt;"", IFERROR(INDEX('بنود العقد'!F$3:F$388,C549), 0), "")</f>
        <v>284</v>
      </c>
      <c r="H549" s="18">
        <f t="shared" si="26"/>
        <v>92</v>
      </c>
      <c r="I549" s="7">
        <v>21</v>
      </c>
      <c r="J549" s="18">
        <f t="shared" si="22"/>
        <v>113</v>
      </c>
      <c r="K549" s="10">
        <f t="shared" si="25"/>
        <v>6300</v>
      </c>
      <c r="L549" s="21">
        <f t="shared" si="24"/>
        <v>39.7887323943662</v>
      </c>
    </row>
    <row r="550" spans="1:12" s="72" customFormat="1" ht="25.95" customHeight="1">
      <c r="A550" s="12">
        <v>548</v>
      </c>
      <c r="B550" s="6">
        <v>11</v>
      </c>
      <c r="C550" s="6">
        <v>279</v>
      </c>
      <c r="D550" s="20" t="str">
        <f>IF(C550&lt;&gt;"", IFERROR(INDEX('بنود العقد'!B$3:B$388,C550),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C6</v>
      </c>
      <c r="E550" s="12" t="str">
        <f>IF(C550&lt;&gt;"", IFERROR(INDEX('بنود العقد'!D$3:D$388,C550), ""), "")</f>
        <v>عدد</v>
      </c>
      <c r="F550" s="9">
        <f>IF(C550&lt;&gt;"", IFERROR(INDEX('بنود العقد'!E$3:E$388,C550), 0), "")</f>
        <v>288</v>
      </c>
      <c r="G550" s="9">
        <f>IF(C550&lt;&gt;"", IFERROR(INDEX('بنود العقد'!F$3:F$388,C550), 0), "")</f>
        <v>158</v>
      </c>
      <c r="H550" s="18">
        <f t="shared" si="26"/>
        <v>50</v>
      </c>
      <c r="I550" s="7">
        <v>34</v>
      </c>
      <c r="J550" s="18">
        <f t="shared" si="22"/>
        <v>84</v>
      </c>
      <c r="K550" s="10">
        <f t="shared" si="25"/>
        <v>9792</v>
      </c>
      <c r="L550" s="21">
        <f t="shared" si="24"/>
        <v>53.164556962025308</v>
      </c>
    </row>
    <row r="551" spans="1:12" s="72" customFormat="1" ht="25.95" customHeight="1">
      <c r="A551" s="12">
        <v>549</v>
      </c>
      <c r="B551" s="6">
        <v>11</v>
      </c>
      <c r="C551" s="6">
        <v>283</v>
      </c>
      <c r="D551" s="20" t="str">
        <f>IF(C551&lt;&gt;"", IFERROR(INDEX('بنود العقد'!B$3:B$388,C551),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D3</v>
      </c>
      <c r="E551" s="12" t="str">
        <f>IF(C551&lt;&gt;"", IFERROR(INDEX('بنود العقد'!D$3:D$388,C551), ""), "")</f>
        <v>عدد</v>
      </c>
      <c r="F551" s="9">
        <f>IF(C551&lt;&gt;"", IFERROR(INDEX('بنود العقد'!E$3:E$388,C551), 0), "")</f>
        <v>288</v>
      </c>
      <c r="G551" s="9">
        <f>IF(C551&lt;&gt;"", IFERROR(INDEX('بنود العقد'!F$3:F$388,C551), 0), "")</f>
        <v>179</v>
      </c>
      <c r="H551" s="18">
        <f t="shared" si="26"/>
        <v>78</v>
      </c>
      <c r="I551" s="7">
        <v>6</v>
      </c>
      <c r="J551" s="18">
        <f t="shared" si="22"/>
        <v>84</v>
      </c>
      <c r="K551" s="10">
        <f t="shared" si="25"/>
        <v>1728</v>
      </c>
      <c r="L551" s="21">
        <f t="shared" si="24"/>
        <v>46.927374301675975</v>
      </c>
    </row>
    <row r="552" spans="1:12" s="72" customFormat="1" ht="25.95" customHeight="1">
      <c r="A552" s="12">
        <v>550</v>
      </c>
      <c r="B552" s="6">
        <v>11</v>
      </c>
      <c r="C552" s="6">
        <v>286</v>
      </c>
      <c r="D552" s="20" t="str">
        <f>IF(C552&lt;&gt;"", IFERROR(INDEX('بنود العقد'!B$3:B$388,C552),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E2</v>
      </c>
      <c r="E552" s="12" t="str">
        <f>IF(C552&lt;&gt;"", IFERROR(INDEX('بنود العقد'!D$3:D$388,C552), ""), "")</f>
        <v>عدد</v>
      </c>
      <c r="F552" s="9">
        <f>IF(C552&lt;&gt;"", IFERROR(INDEX('بنود العقد'!E$3:E$388,C552), 0), "")</f>
        <v>504</v>
      </c>
      <c r="G552" s="9">
        <f>IF(C552&lt;&gt;"", IFERROR(INDEX('بنود العقد'!F$3:F$388,C552), 0), "")</f>
        <v>186</v>
      </c>
      <c r="H552" s="18">
        <f t="shared" si="26"/>
        <v>48</v>
      </c>
      <c r="I552" s="7">
        <v>69</v>
      </c>
      <c r="J552" s="18">
        <f t="shared" si="22"/>
        <v>117</v>
      </c>
      <c r="K552" s="10">
        <f t="shared" si="25"/>
        <v>34776</v>
      </c>
      <c r="L552" s="21">
        <f t="shared" si="24"/>
        <v>62.903225806451616</v>
      </c>
    </row>
    <row r="553" spans="1:12" s="72" customFormat="1" ht="25.95" customHeight="1">
      <c r="A553" s="12">
        <v>551</v>
      </c>
      <c r="B553" s="6">
        <v>11</v>
      </c>
      <c r="C553" s="6">
        <v>288</v>
      </c>
      <c r="D553" s="20" t="str">
        <f>IF(C553&lt;&gt;"", IFERROR(INDEX('بنود العقد'!B$3:B$388,C553),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LB1</v>
      </c>
      <c r="E553" s="12" t="str">
        <f>IF(C553&lt;&gt;"", IFERROR(INDEX('بنود العقد'!D$3:D$388,C553), ""), "")</f>
        <v>م.ط</v>
      </c>
      <c r="F553" s="9">
        <f>IF(C553&lt;&gt;"", IFERROR(INDEX('بنود العقد'!E$3:E$388,C553), 0), "")</f>
        <v>170.4</v>
      </c>
      <c r="G553" s="9">
        <f>IF(C553&lt;&gt;"", IFERROR(INDEX('بنود العقد'!F$3:F$388,C553), 0), "")</f>
        <v>5772</v>
      </c>
      <c r="H553" s="18">
        <f t="shared" si="26"/>
        <v>1736</v>
      </c>
      <c r="I553" s="7">
        <v>764</v>
      </c>
      <c r="J553" s="18">
        <f t="shared" si="22"/>
        <v>2500</v>
      </c>
      <c r="K553" s="10">
        <f t="shared" si="25"/>
        <v>130185.60000000001</v>
      </c>
      <c r="L553" s="21">
        <f t="shared" si="24"/>
        <v>43.312543312543312</v>
      </c>
    </row>
    <row r="554" spans="1:12" s="72" customFormat="1" ht="25.95" customHeight="1">
      <c r="A554" s="12">
        <v>552</v>
      </c>
      <c r="B554" s="6">
        <v>11</v>
      </c>
      <c r="C554" s="6">
        <v>291</v>
      </c>
      <c r="D554" s="20" t="str">
        <f>IF(C554&lt;&gt;"", IFERROR(INDEX('بنود العقد'!B$3:B$388,C554),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LB4</v>
      </c>
      <c r="E554" s="12" t="str">
        <f>IF(C554&lt;&gt;"", IFERROR(INDEX('بنود العقد'!D$3:D$388,C554), ""), "")</f>
        <v>عدد</v>
      </c>
      <c r="F554" s="9">
        <f>IF(C554&lt;&gt;"", IFERROR(INDEX('بنود العقد'!E$3:E$388,C554), 0), "")</f>
        <v>1104</v>
      </c>
      <c r="G554" s="9">
        <f>IF(C554&lt;&gt;"", IFERROR(INDEX('بنود العقد'!F$3:F$388,C554), 0), "")</f>
        <v>132</v>
      </c>
      <c r="H554" s="18">
        <f t="shared" si="26"/>
        <v>29</v>
      </c>
      <c r="I554" s="7">
        <v>19</v>
      </c>
      <c r="J554" s="18">
        <f t="shared" si="22"/>
        <v>48</v>
      </c>
      <c r="K554" s="10">
        <f t="shared" si="25"/>
        <v>20976</v>
      </c>
      <c r="L554" s="21">
        <f t="shared" si="24"/>
        <v>36.363636363636367</v>
      </c>
    </row>
    <row r="555" spans="1:12" s="72" customFormat="1" ht="25.95" customHeight="1">
      <c r="A555" s="12">
        <v>553</v>
      </c>
      <c r="B555" s="6">
        <v>11</v>
      </c>
      <c r="C555" s="6">
        <v>298</v>
      </c>
      <c r="D555" s="20" t="str">
        <f>IF(C555&lt;&gt;"", IFERROR(INDEX('بنود العقد'!B$3:B$388,C555),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P1</v>
      </c>
      <c r="E555" s="12" t="str">
        <f>IF(C555&lt;&gt;"", IFERROR(INDEX('بنود العقد'!D$3:D$388,C555), ""), "")</f>
        <v>عدد</v>
      </c>
      <c r="F555" s="9">
        <f>IF(C555&lt;&gt;"", IFERROR(INDEX('بنود العقد'!E$3:E$388,C555), 0), "")</f>
        <v>420</v>
      </c>
      <c r="G555" s="9">
        <f>IF(C555&lt;&gt;"", IFERROR(INDEX('بنود العقد'!F$3:F$388,C555), 0), "")</f>
        <v>75</v>
      </c>
      <c r="H555" s="18">
        <f t="shared" si="26"/>
        <v>10</v>
      </c>
      <c r="I555" s="7">
        <v>21</v>
      </c>
      <c r="J555" s="18">
        <f t="shared" si="22"/>
        <v>31</v>
      </c>
      <c r="K555" s="10">
        <f t="shared" si="25"/>
        <v>8820</v>
      </c>
      <c r="L555" s="21">
        <f t="shared" si="24"/>
        <v>41.333333333333336</v>
      </c>
    </row>
    <row r="556" spans="1:12" s="72" customFormat="1" ht="25.95" customHeight="1">
      <c r="A556" s="12">
        <v>554</v>
      </c>
      <c r="B556" s="6">
        <v>11</v>
      </c>
      <c r="C556" s="6">
        <v>299</v>
      </c>
      <c r="D556" s="20" t="str">
        <f>IF(C556&lt;&gt;"", IFERROR(INDEX('بنود العقد'!B$3:B$388,C556),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T1</v>
      </c>
      <c r="E556" s="12" t="str">
        <f>IF(C556&lt;&gt;"", IFERROR(INDEX('بنود العقد'!D$3:D$388,C556), ""), "")</f>
        <v>عدد</v>
      </c>
      <c r="F556" s="9">
        <f>IF(C556&lt;&gt;"", IFERROR(INDEX('بنود العقد'!E$3:E$388,C556), 0), "")</f>
        <v>744</v>
      </c>
      <c r="G556" s="9">
        <f>IF(C556&lt;&gt;"", IFERROR(INDEX('بنود العقد'!F$3:F$388,C556), 0), "")</f>
        <v>1146</v>
      </c>
      <c r="H556" s="18">
        <f t="shared" si="26"/>
        <v>225</v>
      </c>
      <c r="I556" s="7">
        <v>195</v>
      </c>
      <c r="J556" s="18">
        <f t="shared" si="22"/>
        <v>420</v>
      </c>
      <c r="K556" s="10">
        <f t="shared" si="25"/>
        <v>145080</v>
      </c>
      <c r="L556" s="21">
        <f t="shared" si="24"/>
        <v>36.64921465968586</v>
      </c>
    </row>
    <row r="557" spans="1:12" s="72" customFormat="1" ht="25.95" customHeight="1">
      <c r="A557" s="12">
        <v>555</v>
      </c>
      <c r="B557" s="6">
        <v>11</v>
      </c>
      <c r="C557" s="6">
        <v>316</v>
      </c>
      <c r="D557" s="20" t="str">
        <f>IF(C557&lt;&gt;"", IFERROR(INDEX('بنود العقد'!B$3:B$388,C557), "⚠"), "")</f>
        <v>وحدات لاسلكية لتوفير خدمة شبكة المعلومات )Wireless Access Points(</v>
      </c>
      <c r="E557" s="12" t="str">
        <f>IF(C557&lt;&gt;"", IFERROR(INDEX('بنود العقد'!D$3:D$388,C557), ""), "")</f>
        <v>عدد</v>
      </c>
      <c r="F557" s="9">
        <f>IF(C557&lt;&gt;"", IFERROR(INDEX('بنود العقد'!E$3:E$388,C557), 0), "")</f>
        <v>1080</v>
      </c>
      <c r="G557" s="9">
        <f>IF(C557&lt;&gt;"", IFERROR(INDEX('بنود العقد'!F$3:F$388,C557), 0), "")</f>
        <v>181</v>
      </c>
      <c r="H557" s="18">
        <f t="shared" si="26"/>
        <v>38</v>
      </c>
      <c r="I557" s="7">
        <v>22</v>
      </c>
      <c r="J557" s="18">
        <f t="shared" si="22"/>
        <v>60</v>
      </c>
      <c r="K557" s="10">
        <f t="shared" si="25"/>
        <v>23760</v>
      </c>
      <c r="L557" s="21">
        <f t="shared" si="24"/>
        <v>33.149171270718227</v>
      </c>
    </row>
    <row r="558" spans="1:12" s="72" customFormat="1" ht="25.95" customHeight="1">
      <c r="A558" s="12">
        <v>556</v>
      </c>
      <c r="B558" s="6">
        <v>11</v>
      </c>
      <c r="C558" s="6">
        <v>317</v>
      </c>
      <c r="D558" s="20" t="str">
        <f>IF(C558&lt;&gt;"", IFERROR(INDEX('بنود العقد'!B$3:B$388,C558), "⚠"), "")</f>
        <v>عن طريق مقاول متخصص ذو خبرة كبيرة في هذا المجال ويقدم للاعتماد من إدارة الـ IT بالوزارة و يربط النظام مع الانظمة المعنية بالتحكم و الموازنة و يشمل البند جميع الوصلات و الكابلات و غيرها من المتطلبات الخاصة بنهو النظام كاملا توريد وتركيب واختبارنقاط كاميرا مراقبة داخلية سقفية و جميع ما يلزم من توصيلات و تركيبات و خلافة  لنهو النظام .</v>
      </c>
      <c r="E558" s="12" t="str">
        <f>IF(C558&lt;&gt;"", IFERROR(INDEX('بنود العقد'!D$3:D$388,C558), ""), "")</f>
        <v>عدد</v>
      </c>
      <c r="F558" s="9">
        <f>IF(C558&lt;&gt;"", IFERROR(INDEX('بنود العقد'!E$3:E$388,C558), 0), "")</f>
        <v>2640</v>
      </c>
      <c r="G558" s="9">
        <f>IF(C558&lt;&gt;"", IFERROR(INDEX('بنود العقد'!F$3:F$388,C558), 0), "")</f>
        <v>258</v>
      </c>
      <c r="H558" s="18">
        <f t="shared" si="26"/>
        <v>68</v>
      </c>
      <c r="I558" s="7">
        <v>40</v>
      </c>
      <c r="J558" s="18">
        <f t="shared" si="22"/>
        <v>108</v>
      </c>
      <c r="K558" s="10">
        <f t="shared" si="25"/>
        <v>105600</v>
      </c>
      <c r="L558" s="21">
        <f t="shared" si="24"/>
        <v>41.860465116279073</v>
      </c>
    </row>
    <row r="559" spans="1:12" s="72" customFormat="1" ht="25.95" customHeight="1">
      <c r="A559" s="12">
        <v>557</v>
      </c>
      <c r="B559" s="6">
        <v>11</v>
      </c>
      <c r="C559" s="6">
        <v>324</v>
      </c>
      <c r="D559" s="20" t="str">
        <f>IF(C559&lt;&gt;"", IFERROR(INDEX('بنود العقد'!B$3:B$388,C559), "⚠"), "")</f>
        <v xml:space="preserve">توريد وتركيب وإختبار نظام النداء الصوتي العام يتضمن كافة الكابالت و المواسير و العلب و النهايات مع كامل اكسسوارات التركيب الالزمة وتشغيل تجهيزات الصوت و تركيب المعدات الرئيسية بغرفة التحكم حسب المخططات و المواصفات وتعليمات الشركة المصنعة مشتمال على كل ما يلزم التمام العمل
و ربطه مع نظام الحريق و ادارة المبنى و يتكون من االتي -:
سماعة سقفية 6 وات
</v>
      </c>
      <c r="E559" s="12" t="str">
        <f>IF(C559&lt;&gt;"", IFERROR(INDEX('بنود العقد'!D$3:D$388,C559), ""), "")</f>
        <v>عدد</v>
      </c>
      <c r="F559" s="9">
        <f>IF(C559&lt;&gt;"", IFERROR(INDEX('بنود العقد'!E$3:E$388,C559), 0), "")</f>
        <v>420</v>
      </c>
      <c r="G559" s="9">
        <f>IF(C559&lt;&gt;"", IFERROR(INDEX('بنود العقد'!F$3:F$388,C559), 0), "")</f>
        <v>252</v>
      </c>
      <c r="H559" s="18">
        <f t="shared" si="26"/>
        <v>34</v>
      </c>
      <c r="I559" s="7">
        <v>14</v>
      </c>
      <c r="J559" s="18">
        <f t="shared" si="22"/>
        <v>48</v>
      </c>
      <c r="K559" s="10">
        <f t="shared" si="25"/>
        <v>5880</v>
      </c>
      <c r="L559" s="21">
        <f t="shared" si="24"/>
        <v>19.047619047619047</v>
      </c>
    </row>
    <row r="560" spans="1:12" s="72" customFormat="1" ht="25.95" customHeight="1">
      <c r="A560" s="12">
        <v>558</v>
      </c>
      <c r="B560" s="6">
        <v>11</v>
      </c>
      <c r="C560" s="6">
        <v>327</v>
      </c>
      <c r="D560" s="20" t="str">
        <f>IF(C560&lt;&gt;"", IFERROR(INDEX('بنود العقد'!B$3:B$388,C560), "⚠"), "")</f>
        <v xml:space="preserve">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فردي حائطي مزود بعدد واحد مأخذ RJ-45
</v>
      </c>
      <c r="E560" s="12" t="str">
        <f>IF(C560&lt;&gt;"", IFERROR(INDEX('بنود العقد'!D$3:D$388,C560), ""), "")</f>
        <v>عدد</v>
      </c>
      <c r="F560" s="9">
        <f>IF(C560&lt;&gt;"", IFERROR(INDEX('بنود العقد'!E$3:E$388,C560), 0), "")</f>
        <v>432</v>
      </c>
      <c r="G560" s="9">
        <f>IF(C560&lt;&gt;"", IFERROR(INDEX('بنود العقد'!F$3:F$388,C560), 0), "")</f>
        <v>206</v>
      </c>
      <c r="H560" s="18">
        <f t="shared" si="26"/>
        <v>65</v>
      </c>
      <c r="I560" s="7">
        <v>53</v>
      </c>
      <c r="J560" s="18">
        <f t="shared" si="22"/>
        <v>118</v>
      </c>
      <c r="K560" s="10">
        <f t="shared" si="25"/>
        <v>22896</v>
      </c>
      <c r="L560" s="21">
        <f t="shared" si="24"/>
        <v>57.28155339805825</v>
      </c>
    </row>
    <row r="561" spans="1:12" s="72" customFormat="1" ht="25.95" customHeight="1">
      <c r="A561" s="12">
        <v>559</v>
      </c>
      <c r="B561" s="6">
        <v>11</v>
      </c>
      <c r="C561" s="6">
        <v>334</v>
      </c>
      <c r="D561" s="20" t="str">
        <f>IF(C561&lt;&gt;"", IFERROR(INDEX('بنود العقد'!B$3:B$388,C561), "⚠"), "")</f>
        <v xml:space="preserve">فك و تقطيع وتنزيل و ترحيل مواسير شبكة الصرف و التغذية القائمة و البند يشمل فك القطع والترحيل خارج الموقع وتسليم جميع مكونات شبكة الصرف و التغذية للجهة مالكة المشروع </v>
      </c>
      <c r="E561" s="12" t="str">
        <f>IF(C561&lt;&gt;"", IFERROR(INDEX('بنود العقد'!D$3:D$388,C561), ""), "")</f>
        <v>م.ط</v>
      </c>
      <c r="F561" s="9">
        <f>IF(C561&lt;&gt;"", IFERROR(INDEX('بنود العقد'!E$3:E$388,C561), 0), "")</f>
        <v>16.523</v>
      </c>
      <c r="G561" s="9">
        <f>IF(C561&lt;&gt;"", IFERROR(INDEX('بنود العقد'!F$3:F$388,C561), 0), "")</f>
        <v>0</v>
      </c>
      <c r="H561" s="18">
        <f t="shared" si="26"/>
        <v>2198.6999999999998</v>
      </c>
      <c r="I561" s="7">
        <v>684.3</v>
      </c>
      <c r="J561" s="18">
        <f t="shared" si="22"/>
        <v>2883</v>
      </c>
      <c r="K561" s="10">
        <f t="shared" si="25"/>
        <v>11306.688899999999</v>
      </c>
      <c r="L561" s="21" t="str">
        <f t="shared" si="24"/>
        <v/>
      </c>
    </row>
    <row r="562" spans="1:12" s="72" customFormat="1" ht="25.95" customHeight="1">
      <c r="A562" s="12">
        <v>560</v>
      </c>
      <c r="B562" s="6">
        <v>11</v>
      </c>
      <c r="C562" s="6">
        <v>341</v>
      </c>
      <c r="D562" s="20" t="str">
        <f>IF(C562&lt;&gt;"", IFERROR(INDEX('بنود العقد'!B$3:B$388,C562), "⚠"), "")</f>
        <v xml:space="preserve">فك و تقطيع وتنزيل و ترحيل مواسير شبكة مكافحة الحريق القائمة و البند يشمل فك الرشاشات والترحيل خارج الموقع وتسليم جميع مكونات شبكة الحريق للجهة مالكة المشروع </v>
      </c>
      <c r="E562" s="12" t="str">
        <f>IF(C562&lt;&gt;"", IFERROR(INDEX('بنود العقد'!D$3:D$388,C562), ""), "")</f>
        <v>م.ط</v>
      </c>
      <c r="F562" s="9">
        <f>IF(C562&lt;&gt;"", IFERROR(INDEX('بنود العقد'!E$3:E$388,C562), 0), "")</f>
        <v>20.88</v>
      </c>
      <c r="G562" s="9">
        <f>IF(C562&lt;&gt;"", IFERROR(INDEX('بنود العقد'!F$3:F$388,C562), 0), "")</f>
        <v>0</v>
      </c>
      <c r="H562" s="18">
        <f t="shared" si="26"/>
        <v>9700</v>
      </c>
      <c r="I562" s="7">
        <v>1250</v>
      </c>
      <c r="J562" s="18">
        <f t="shared" si="22"/>
        <v>10950</v>
      </c>
      <c r="K562" s="10">
        <f t="shared" si="25"/>
        <v>26100</v>
      </c>
      <c r="L562" s="21" t="str">
        <f t="shared" si="24"/>
        <v/>
      </c>
    </row>
    <row r="563" spans="1:12" s="72" customFormat="1" ht="25.95" customHeight="1">
      <c r="A563" s="12">
        <v>561</v>
      </c>
      <c r="B563" s="6">
        <v>11</v>
      </c>
      <c r="C563" s="6">
        <v>342</v>
      </c>
      <c r="D563" s="20" t="str">
        <f>IF(C563&lt;&gt;"", IFERROR(INDEX('بنود العقد'!B$3:B$388,C563), "⚠"), "")</f>
        <v xml:space="preserve">فك وفحص و إختبار وحدات VAV القائمة بالمبنى و البند يشمل  الترحيل لمستودعات الجهة مالكة المشروع بمدينة الرياض </v>
      </c>
      <c r="E563" s="12" t="str">
        <f>IF(C563&lt;&gt;"", IFERROR(INDEX('بنود العقد'!D$3:D$388,C563), ""), "")</f>
        <v>عدد</v>
      </c>
      <c r="F563" s="9">
        <f>IF(C563&lt;&gt;"", IFERROR(INDEX('بنود العقد'!E$3:E$388,C563), 0), "")</f>
        <v>450</v>
      </c>
      <c r="G563" s="9">
        <f>IF(C563&lt;&gt;"", IFERROR(INDEX('بنود العقد'!F$3:F$388,C563), 0), "")</f>
        <v>0</v>
      </c>
      <c r="H563" s="18">
        <f t="shared" si="26"/>
        <v>181</v>
      </c>
      <c r="I563" s="7">
        <v>13</v>
      </c>
      <c r="J563" s="18">
        <f t="shared" si="22"/>
        <v>194</v>
      </c>
      <c r="K563" s="10">
        <f t="shared" si="25"/>
        <v>5850</v>
      </c>
      <c r="L563" s="21" t="str">
        <f t="shared" si="24"/>
        <v/>
      </c>
    </row>
    <row r="564" spans="1:12" s="72" customFormat="1" ht="25.95" customHeight="1">
      <c r="A564" s="12">
        <v>562</v>
      </c>
      <c r="B564" s="6">
        <v>11</v>
      </c>
      <c r="C564" s="6">
        <v>343</v>
      </c>
      <c r="D564" s="20" t="str">
        <f>IF(C564&lt;&gt;"", IFERROR(INDEX('بنود العقد'!B$3:B$388,C564), "⚠"), "")</f>
        <v xml:space="preserve">فك و إزالة  مجاري الهواء من الصفائح المعدنية المجلفنة شامل الاكواع و التفريعات و التحويله و العامة وحاملة التعليق و الترحيل إلى مستودعات الجهة مالكة المشروع بمدينة الرياض  </v>
      </c>
      <c r="E564" s="12" t="str">
        <f>IF(C564&lt;&gt;"", IFERROR(INDEX('بنود العقد'!D$3:D$388,C564), ""), "")</f>
        <v>م.ط</v>
      </c>
      <c r="F564" s="9">
        <f>IF(C564&lt;&gt;"", IFERROR(INDEX('بنود العقد'!E$3:E$388,C564), 0), "")</f>
        <v>106</v>
      </c>
      <c r="G564" s="9">
        <f>IF(C564&lt;&gt;"", IFERROR(INDEX('بنود العقد'!F$3:F$388,C564), 0), "")</f>
        <v>0</v>
      </c>
      <c r="H564" s="18">
        <f t="shared" si="26"/>
        <v>7556.94</v>
      </c>
      <c r="I564" s="7">
        <v>1321.06</v>
      </c>
      <c r="J564" s="18">
        <f t="shared" si="22"/>
        <v>8878</v>
      </c>
      <c r="K564" s="10">
        <f t="shared" si="25"/>
        <v>140032.35999999999</v>
      </c>
      <c r="L564" s="21" t="str">
        <f t="shared" si="24"/>
        <v/>
      </c>
    </row>
    <row r="565" spans="1:12" s="72" customFormat="1" ht="25.95" customHeight="1">
      <c r="A565" s="12">
        <v>563</v>
      </c>
      <c r="B565" s="6">
        <v>11</v>
      </c>
      <c r="C565" s="6">
        <v>349</v>
      </c>
      <c r="D565" s="20" t="str">
        <f>IF(C565&lt;&gt;"", IFERROR(INDEX('بنود العقد'!B$3:B$388,C565), "⚠"), "")</f>
        <v xml:space="preserve"> توريد و تركيب مراوح سحب الهواء (AXIAL INLINE FAN)  تشمل عمليات التوريد و التركيب و الاختبار و التثبيت  سعة 100 قدم مكعب بالدقيقة بالدور الثالث والرابع والخامس</v>
      </c>
      <c r="E565" s="12" t="str">
        <f>IF(C565&lt;&gt;"", IFERROR(INDEX('بنود العقد'!D$3:D$388,C565), ""), "")</f>
        <v>عدد</v>
      </c>
      <c r="F565" s="9">
        <f>IF(C565&lt;&gt;"", IFERROR(INDEX('بنود العقد'!E$3:E$388,C565), 0), "")</f>
        <v>1160.4000000000001</v>
      </c>
      <c r="G565" s="9">
        <f>IF(C565&lt;&gt;"", IFERROR(INDEX('بنود العقد'!F$3:F$388,C565), 0), "")</f>
        <v>0</v>
      </c>
      <c r="H565" s="18">
        <f t="shared" si="26"/>
        <v>2</v>
      </c>
      <c r="I565" s="7">
        <v>2</v>
      </c>
      <c r="J565" s="18">
        <f t="shared" si="22"/>
        <v>4</v>
      </c>
      <c r="K565" s="10">
        <f t="shared" si="25"/>
        <v>2320.8000000000002</v>
      </c>
      <c r="L565" s="21" t="str">
        <f t="shared" si="24"/>
        <v/>
      </c>
    </row>
    <row r="566" spans="1:12" s="72" customFormat="1" ht="25.95" customHeight="1">
      <c r="A566" s="12">
        <v>564</v>
      </c>
      <c r="B566" s="6">
        <v>11</v>
      </c>
      <c r="C566" s="6">
        <v>350</v>
      </c>
      <c r="D566" s="20" t="str">
        <f>IF(C566&lt;&gt;"", IFERROR(INDEX('بنود العقد'!B$3:B$388,C566), "⚠"), "")</f>
        <v xml:space="preserve">توريد وتركيب  
سماعة معلقة 6 وات لون اسود مع الكابلات والتمديدات  حسب المخططات   والبند يشمل جميع التمديدات المواسير للسماعات قطر 3/4  بوصة من الEMT  وسحب الاسلاك  الخاصة بنظام الصوت. </v>
      </c>
      <c r="E566" s="12" t="str">
        <f>IF(C566&lt;&gt;"", IFERROR(INDEX('بنود العقد'!D$3:D$388,C566), ""), "")</f>
        <v>عدد</v>
      </c>
      <c r="F566" s="9">
        <f>IF(C566&lt;&gt;"", IFERROR(INDEX('بنود العقد'!E$3:E$388,C566), 0), "")</f>
        <v>1380</v>
      </c>
      <c r="G566" s="9">
        <f>IF(C566&lt;&gt;"", IFERROR(INDEX('بنود العقد'!F$3:F$388,C566), 0), "")</f>
        <v>0</v>
      </c>
      <c r="H566" s="18">
        <f t="shared" si="26"/>
        <v>0</v>
      </c>
      <c r="I566" s="7">
        <v>16</v>
      </c>
      <c r="J566" s="18">
        <f t="shared" si="22"/>
        <v>16</v>
      </c>
      <c r="K566" s="10">
        <f t="shared" si="25"/>
        <v>22080</v>
      </c>
      <c r="L566" s="21" t="str">
        <f t="shared" si="24"/>
        <v/>
      </c>
    </row>
    <row r="567" spans="1:12" s="72" customFormat="1" ht="25.95" customHeight="1">
      <c r="A567" s="12">
        <v>565</v>
      </c>
      <c r="B567" s="6">
        <v>11</v>
      </c>
      <c r="C567" s="6">
        <v>361</v>
      </c>
      <c r="D567" s="20" t="str">
        <f>IF(C567&lt;&gt;"", IFERROR(INDEX('بنود العقد'!B$3:B$388,C567), "⚠"), "")</f>
        <v>01-MT 02&amp; MT رخام مون ستون غراي رمادي فاتح و رمادي غامق 
مقاس  1200× 300 مم لمنطقة القهوة و المدخل سماكة 16مم .</v>
      </c>
      <c r="E567" s="12" t="str">
        <f>IF(C567&lt;&gt;"", IFERROR(INDEX('بنود العقد'!D$3:D$388,C567), ""), "")</f>
        <v>م²</v>
      </c>
      <c r="F567" s="9">
        <f>IF(C567&lt;&gt;"", IFERROR(INDEX('بنود العقد'!E$3:E$388,C567), 0), "")</f>
        <v>454</v>
      </c>
      <c r="G567" s="9">
        <f>IF(C567&lt;&gt;"", IFERROR(INDEX('بنود العقد'!F$3:F$388,C567), 0), "")</f>
        <v>0</v>
      </c>
      <c r="H567" s="18">
        <f t="shared" si="26"/>
        <v>459.35</v>
      </c>
      <c r="I567" s="7">
        <v>454</v>
      </c>
      <c r="J567" s="18">
        <f t="shared" si="22"/>
        <v>913.35</v>
      </c>
      <c r="K567" s="10">
        <f t="shared" si="25"/>
        <v>206116</v>
      </c>
      <c r="L567" s="21" t="str">
        <f t="shared" si="24"/>
        <v/>
      </c>
    </row>
    <row r="568" spans="1:12" s="72" customFormat="1" ht="25.95" customHeight="1">
      <c r="A568" s="12">
        <v>566</v>
      </c>
      <c r="B568" s="6">
        <v>11</v>
      </c>
      <c r="C568" s="6">
        <v>367</v>
      </c>
      <c r="D568" s="20" t="str">
        <f>IF(C568&lt;&gt;"", IFERROR(INDEX('بنود العقد'!B$3:B$388,C568), "⚠"), "")</f>
        <v xml:space="preserve"> توريد و تركيب حوض خدمة  (JANITOR SINK) والبند يشمل كوع الصرف والخلاط وجميع ما يلزم للتركيب والتثبيت</v>
      </c>
      <c r="E568" s="12" t="str">
        <f>IF(C568&lt;&gt;"", IFERROR(INDEX('بنود العقد'!D$3:D$388,C568), ""), "")</f>
        <v>عدد</v>
      </c>
      <c r="F568" s="9">
        <f>IF(C568&lt;&gt;"", IFERROR(INDEX('بنود العقد'!E$3:E$388,C568), 0), "")</f>
        <v>2445</v>
      </c>
      <c r="G568" s="9">
        <f>IF(C568&lt;&gt;"", IFERROR(INDEX('بنود العقد'!F$3:F$388,C568), 0), "")</f>
        <v>0</v>
      </c>
      <c r="H568" s="18">
        <f t="shared" si="26"/>
        <v>4</v>
      </c>
      <c r="I568" s="7">
        <v>4</v>
      </c>
      <c r="J568" s="18">
        <f t="shared" si="22"/>
        <v>8</v>
      </c>
      <c r="K568" s="10">
        <f t="shared" si="25"/>
        <v>9780</v>
      </c>
      <c r="L568" s="21" t="str">
        <f t="shared" si="24"/>
        <v/>
      </c>
    </row>
    <row r="569" spans="1:12" s="72" customFormat="1" ht="25.95" customHeight="1">
      <c r="A569" s="12">
        <v>567</v>
      </c>
      <c r="B569" s="6">
        <v>12</v>
      </c>
      <c r="C569" s="6">
        <v>1</v>
      </c>
      <c r="D569" s="20" t="str">
        <f>IF(C569&lt;&gt;"", IFERROR(INDEX('بنود العقد'!B$3:B$388,C569),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الجدران وتشمل  جميع أنواع جدران الطوب  والقواطع الجبسية و الخشبية و الزجاجية  بحسب المخططات المعتمدة وتعليمات المهندس المشرف.</v>
      </c>
      <c r="E569" s="12" t="str">
        <f>IF(C569&lt;&gt;"", IFERROR(INDEX('بنود العقد'!D$3:D$388,C569), ""), "")</f>
        <v>م2</v>
      </c>
      <c r="F569" s="9">
        <f>IF(C569&lt;&gt;"", IFERROR(INDEX('بنود العقد'!E$3:E$388,C569), 0), "")</f>
        <v>18</v>
      </c>
      <c r="G569" s="9">
        <f>IF(C569&lt;&gt;"", IFERROR(INDEX('بنود العقد'!F$3:F$388,C569), 0), "")</f>
        <v>17900</v>
      </c>
      <c r="H569" s="18">
        <f t="shared" si="26"/>
        <v>11194.17</v>
      </c>
      <c r="I569" s="7">
        <v>3886.4</v>
      </c>
      <c r="J569" s="18">
        <f t="shared" si="22"/>
        <v>15080.57</v>
      </c>
      <c r="K569" s="10">
        <f t="shared" si="25"/>
        <v>69955.199999999997</v>
      </c>
      <c r="L569" s="21">
        <f t="shared" si="24"/>
        <v>84.248994413407814</v>
      </c>
    </row>
    <row r="570" spans="1:12" s="72" customFormat="1" ht="25.95" customHeight="1">
      <c r="A570" s="12">
        <v>568</v>
      </c>
      <c r="B570" s="6">
        <v>12</v>
      </c>
      <c r="C570" s="6">
        <v>2</v>
      </c>
      <c r="D570" s="20" t="str">
        <f>IF(C570&lt;&gt;"", IFERROR(INDEX('بنود العقد'!B$3:B$388,C570),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number)-AR-هدم وإزالة تشطيبات رخام أو بلاط بورسلان أو سيراميك  للأرضيات والجدران الحالية  بحسب المخططات المعتمدة وتعليمات المهندس المشرف.</v>
      </c>
      <c r="E570" s="12" t="str">
        <f>IF(C570&lt;&gt;"", IFERROR(INDEX('بنود العقد'!D$3:D$388,C570), ""), "")</f>
        <v>م2</v>
      </c>
      <c r="F570" s="9">
        <f>IF(C570&lt;&gt;"", IFERROR(INDEX('بنود العقد'!E$3:E$388,C570), 0), "")</f>
        <v>14.5</v>
      </c>
      <c r="G570" s="9">
        <f>IF(C570&lt;&gt;"", IFERROR(INDEX('بنود العقد'!F$3:F$388,C570), 0), "")</f>
        <v>10362</v>
      </c>
      <c r="H570" s="18">
        <f t="shared" si="26"/>
        <v>4901.0600000000004</v>
      </c>
      <c r="I570" s="7">
        <v>623.66</v>
      </c>
      <c r="J570" s="18">
        <f t="shared" si="22"/>
        <v>5524.72</v>
      </c>
      <c r="K570" s="10">
        <f t="shared" si="25"/>
        <v>9043.07</v>
      </c>
      <c r="L570" s="21">
        <f t="shared" si="24"/>
        <v>53.317120247056558</v>
      </c>
    </row>
    <row r="571" spans="1:12" s="72" customFormat="1" ht="25.95" customHeight="1">
      <c r="A571" s="12">
        <v>569</v>
      </c>
      <c r="B571" s="6">
        <v>12</v>
      </c>
      <c r="C571" s="6">
        <v>3</v>
      </c>
      <c r="D571" s="20" t="str">
        <f>IF(C571&lt;&gt;"", IFERROR(INDEX('بنود العقد'!B$3:B$388,C571),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تشطيبات الأسقف المستعارة الحالية بما تشمل أسقف جبسية وبلاطات صناعية وأسقف معدنية  بحسب المخططات المعتمدة وتعليمات المهندس المشرف.</v>
      </c>
      <c r="E571" s="12" t="str">
        <f>IF(C571&lt;&gt;"", IFERROR(INDEX('بنود العقد'!D$3:D$388,C571), ""), "")</f>
        <v>م2</v>
      </c>
      <c r="F571" s="9">
        <f>IF(C571&lt;&gt;"", IFERROR(INDEX('بنود العقد'!E$3:E$388,C571), 0), "")</f>
        <v>8.5</v>
      </c>
      <c r="G571" s="9">
        <f>IF(C571&lt;&gt;"", IFERROR(INDEX('بنود العقد'!F$3:F$388,C571), 0), "")</f>
        <v>18420</v>
      </c>
      <c r="H571" s="18">
        <f t="shared" si="26"/>
        <v>8275.58</v>
      </c>
      <c r="I571" s="7">
        <v>7195</v>
      </c>
      <c r="J571" s="18">
        <f t="shared" si="22"/>
        <v>15470.58</v>
      </c>
      <c r="K571" s="10">
        <f t="shared" si="25"/>
        <v>61157.5</v>
      </c>
      <c r="L571" s="21">
        <f t="shared" si="24"/>
        <v>83.987947882736165</v>
      </c>
    </row>
    <row r="572" spans="1:12" s="72" customFormat="1" ht="25.95" customHeight="1">
      <c r="A572" s="12">
        <v>570</v>
      </c>
      <c r="B572" s="6">
        <v>12</v>
      </c>
      <c r="C572" s="6">
        <v>5</v>
      </c>
      <c r="D572" s="20" t="str">
        <f>IF(C572&lt;&gt;"", IFERROR(INDEX('بنود العقد'!B$3:B$388,C572), "⚠"), "")</f>
        <v>صبة أسمنتية كطبقة حماية للعزل في الأماكن الرطبة. ويشمل السعر وأي مواد أو أعمال يتطلبها تنفيذ العمل حسب المواصفات والمخططات وتعليمات المهندس المشرف.</v>
      </c>
      <c r="E572" s="12" t="str">
        <f>IF(C572&lt;&gt;"", IFERROR(INDEX('بنود العقد'!D$3:D$388,C572), ""), "")</f>
        <v>م3</v>
      </c>
      <c r="F572" s="9">
        <f>IF(C572&lt;&gt;"", IFERROR(INDEX('بنود العقد'!E$3:E$388,C572), 0), "")</f>
        <v>366</v>
      </c>
      <c r="G572" s="9">
        <f>IF(C572&lt;&gt;"", IFERROR(INDEX('بنود العقد'!F$3:F$388,C572), 0), "")</f>
        <v>1345</v>
      </c>
      <c r="H572" s="18">
        <f t="shared" si="26"/>
        <v>163.47999999999999</v>
      </c>
      <c r="I572" s="7">
        <v>31.84</v>
      </c>
      <c r="J572" s="18">
        <f t="shared" si="22"/>
        <v>195.32</v>
      </c>
      <c r="K572" s="10">
        <f t="shared" si="25"/>
        <v>11653.44</v>
      </c>
      <c r="L572" s="21">
        <f t="shared" si="24"/>
        <v>14.521933085501859</v>
      </c>
    </row>
    <row r="573" spans="1:12" s="72" customFormat="1" ht="25.95" customHeight="1">
      <c r="A573" s="12">
        <v>571</v>
      </c>
      <c r="B573" s="6">
        <v>12</v>
      </c>
      <c r="C573" s="6">
        <v>6</v>
      </c>
      <c r="D573" s="20" t="str">
        <f>IF(C573&lt;&gt;"", IFERROR(INDEX('بنود العقد'!B$3:B$388,C573),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v>
      </c>
      <c r="E573" s="12" t="str">
        <f>IF(C573&lt;&gt;"", IFERROR(INDEX('بنود العقد'!D$3:D$388,C573), ""), "")</f>
        <v>م2</v>
      </c>
      <c r="F573" s="9">
        <f>IF(C573&lt;&gt;"", IFERROR(INDEX('بنود العقد'!E$3:E$388,C573), 0), "")</f>
        <v>150</v>
      </c>
      <c r="G573" s="9">
        <f>IF(C573&lt;&gt;"", IFERROR(INDEX('بنود العقد'!F$3:F$388,C573), 0), "")</f>
        <v>450</v>
      </c>
      <c r="H573" s="18">
        <f t="shared" si="26"/>
        <v>2694</v>
      </c>
      <c r="I573" s="7">
        <v>728.59</v>
      </c>
      <c r="J573" s="18">
        <f t="shared" si="22"/>
        <v>3422.59</v>
      </c>
      <c r="K573" s="10">
        <f t="shared" si="25"/>
        <v>109288.5</v>
      </c>
      <c r="L573" s="21">
        <f t="shared" si="24"/>
        <v>760.57555555555552</v>
      </c>
    </row>
    <row r="574" spans="1:12" s="72" customFormat="1" ht="25.95" customHeight="1">
      <c r="A574" s="12">
        <v>572</v>
      </c>
      <c r="B574" s="6">
        <v>12</v>
      </c>
      <c r="C574" s="6">
        <v>25</v>
      </c>
      <c r="D574" s="20" t="str">
        <f>IF(C574&lt;&gt;"", IFERROR(INDEX('بنود العقد'!B$3:B$388,C574), "⚠"), "")</f>
        <v>تصنيع وتركيب لوح خشبي بشكل طولي من  الـ )Mdf(  مع قشرة الجوز او ما يتناسب مع العينة المتفق عليها طول 25سم وعرض 10سم وارتفاع 270 سم الى جانب الابواب الزجاجية حسب المناظير والرسومات وتعليمات المهندس المشرف.Code: WDP2-08</v>
      </c>
      <c r="E574" s="12" t="str">
        <f>IF(C574&lt;&gt;"", IFERROR(INDEX('بنود العقد'!D$3:D$388,C574), ""), "")</f>
        <v>عدد</v>
      </c>
      <c r="F574" s="9">
        <f>IF(C574&lt;&gt;"", IFERROR(INDEX('بنود العقد'!E$3:E$388,C574), 0), "")</f>
        <v>240</v>
      </c>
      <c r="G574" s="9">
        <f>IF(C574&lt;&gt;"", IFERROR(INDEX('بنود العقد'!F$3:F$388,C574), 0), "")</f>
        <v>248</v>
      </c>
      <c r="H574" s="18">
        <f t="shared" si="26"/>
        <v>78</v>
      </c>
      <c r="I574" s="7">
        <v>16</v>
      </c>
      <c r="J574" s="18">
        <f t="shared" si="22"/>
        <v>94</v>
      </c>
      <c r="K574" s="10">
        <f t="shared" si="25"/>
        <v>3840</v>
      </c>
      <c r="L574" s="21">
        <f t="shared" si="24"/>
        <v>37.903225806451616</v>
      </c>
    </row>
    <row r="575" spans="1:12" s="72" customFormat="1" ht="25.95" customHeight="1">
      <c r="A575" s="12">
        <v>573</v>
      </c>
      <c r="B575" s="6">
        <v>12</v>
      </c>
      <c r="C575" s="6">
        <v>26</v>
      </c>
      <c r="D575" s="20" t="str">
        <f>IF(C575&lt;&gt;"", IFERROR(INDEX('بنود العقد'!B$3:B$388,C575),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العامود الخرساني بدهان رمادي على شكل وهيئة الأسطح الاسمنتية )matt( بتصميم مع غروف حسب الرسومات والمناظير وتعليمات المهندس المشرف.Code: WDP3-04</v>
      </c>
      <c r="E575" s="12" t="str">
        <f>IF(C575&lt;&gt;"", IFERROR(INDEX('بنود العقد'!D$3:D$388,C575), ""), "")</f>
        <v>م2</v>
      </c>
      <c r="F575" s="9">
        <f>IF(C575&lt;&gt;"", IFERROR(INDEX('بنود العقد'!E$3:E$388,C575), 0), "")</f>
        <v>528</v>
      </c>
      <c r="G575" s="9">
        <f>IF(C575&lt;&gt;"", IFERROR(INDEX('بنود العقد'!F$3:F$388,C575), 0), "")</f>
        <v>345</v>
      </c>
      <c r="H575" s="18">
        <f t="shared" ref="H575:H638" si="27">IFERROR(SUMIFS(I$3:I$1805, B$3:B$1805, "&lt;"&amp;B575, C$3:C$1805, C575), 0)</f>
        <v>168.66</v>
      </c>
      <c r="I575" s="7">
        <v>25.34</v>
      </c>
      <c r="J575" s="18">
        <f t="shared" si="22"/>
        <v>194</v>
      </c>
      <c r="K575" s="10">
        <f t="shared" si="25"/>
        <v>13379.52</v>
      </c>
      <c r="L575" s="21">
        <f t="shared" si="24"/>
        <v>56.231884057971016</v>
      </c>
    </row>
    <row r="576" spans="1:12" s="72" customFormat="1" ht="25.95" customHeight="1">
      <c r="A576" s="12">
        <v>574</v>
      </c>
      <c r="B576" s="6">
        <v>12</v>
      </c>
      <c r="C576" s="6">
        <v>27</v>
      </c>
      <c r="D576" s="20" t="str">
        <f>IF(C576&lt;&gt;"", IFERROR(INDEX('بنود العقد'!B$3:B$388,C576),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القواطع الجبسية بدهان رمادي بيج  )matt( ، وبتصميم مع غروف حسب الرسومات والمناظير وتعليمات المهندس المشرف.Code: WPD4-01,WDP4-01.A</v>
      </c>
      <c r="E576" s="12" t="str">
        <f>IF(C576&lt;&gt;"", IFERROR(INDEX('بنود العقد'!D$3:D$388,C576), ""), "")</f>
        <v>م2</v>
      </c>
      <c r="F576" s="9">
        <f>IF(C576&lt;&gt;"", IFERROR(INDEX('بنود العقد'!E$3:E$388,C576), 0), "")</f>
        <v>528</v>
      </c>
      <c r="G576" s="9">
        <f>IF(C576&lt;&gt;"", IFERROR(INDEX('بنود العقد'!F$3:F$388,C576), 0), "")</f>
        <v>331</v>
      </c>
      <c r="H576" s="18">
        <f t="shared" si="27"/>
        <v>71.41</v>
      </c>
      <c r="I576" s="7">
        <v>25.59</v>
      </c>
      <c r="J576" s="18">
        <f t="shared" si="22"/>
        <v>97</v>
      </c>
      <c r="K576" s="10">
        <f t="shared" si="25"/>
        <v>13511.52</v>
      </c>
      <c r="L576" s="21">
        <f t="shared" si="24"/>
        <v>29.305135951661633</v>
      </c>
    </row>
    <row r="577" spans="1:12" s="72" customFormat="1" ht="25.95" customHeight="1">
      <c r="A577" s="12">
        <v>575</v>
      </c>
      <c r="B577" s="6">
        <v>12</v>
      </c>
      <c r="C577" s="6">
        <v>28</v>
      </c>
      <c r="D577" s="20" t="str">
        <f>IF(C577&lt;&gt;"", IFERROR(INDEX('بنود العقد'!B$3:B$388,C577),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مثبتة على القواطع الجبسية مع قشرة صناعية بحسب العينة الموافق عليها وغروف حسب الرسومات والمناظير وتعليمات المهندس المشرفCode: WDP2</v>
      </c>
      <c r="E577" s="12" t="str">
        <f>IF(C577&lt;&gt;"", IFERROR(INDEX('بنود العقد'!D$3:D$388,C577), ""), "")</f>
        <v>م2</v>
      </c>
      <c r="F577" s="9">
        <f>IF(C577&lt;&gt;"", IFERROR(INDEX('بنود العقد'!E$3:E$388,C577), 0), "")</f>
        <v>528</v>
      </c>
      <c r="G577" s="9">
        <f>IF(C577&lt;&gt;"", IFERROR(INDEX('بنود العقد'!F$3:F$388,C577), 0), "")</f>
        <v>2517</v>
      </c>
      <c r="H577" s="18">
        <f t="shared" si="27"/>
        <v>916</v>
      </c>
      <c r="I577" s="7">
        <v>125</v>
      </c>
      <c r="J577" s="18">
        <f t="shared" si="22"/>
        <v>1041</v>
      </c>
      <c r="K577" s="10">
        <f t="shared" si="25"/>
        <v>66000</v>
      </c>
      <c r="L577" s="21">
        <f t="shared" si="24"/>
        <v>41.358760429082238</v>
      </c>
    </row>
    <row r="578" spans="1:12" s="72" customFormat="1" ht="25.95" customHeight="1">
      <c r="A578" s="12">
        <v>576</v>
      </c>
      <c r="B578" s="6">
        <v>12</v>
      </c>
      <c r="C578" s="6">
        <v>29</v>
      </c>
      <c r="D578" s="20" t="str">
        <f>IF(C578&lt;&gt;"", IFERROR(INDEX('بنود العقد'!B$3:B$388,C578),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االقواطع الجبسية بدهان رمادي على شكل وهيئة الأسطح الاسمنتية ) matt( مع تصميم بفتحات حسب الرسومات والمناظير وتعليمات المهندس المشرف.Code: WDP3-01, WDP3-02, WDP3-03</v>
      </c>
      <c r="E578" s="12" t="str">
        <f>IF(C578&lt;&gt;"", IFERROR(INDEX('بنود العقد'!D$3:D$388,C578), ""), "")</f>
        <v>م2</v>
      </c>
      <c r="F578" s="9">
        <f>IF(C578&lt;&gt;"", IFERROR(INDEX('بنود العقد'!E$3:E$388,C578), 0), "")</f>
        <v>528</v>
      </c>
      <c r="G578" s="9">
        <f>IF(C578&lt;&gt;"", IFERROR(INDEX('بنود العقد'!F$3:F$388,C578), 0), "")</f>
        <v>846</v>
      </c>
      <c r="H578" s="18">
        <f t="shared" si="27"/>
        <v>322</v>
      </c>
      <c r="I578" s="7">
        <v>66</v>
      </c>
      <c r="J578" s="18">
        <f t="shared" si="22"/>
        <v>388</v>
      </c>
      <c r="K578" s="10">
        <f t="shared" si="25"/>
        <v>34848</v>
      </c>
      <c r="L578" s="21">
        <f t="shared" si="24"/>
        <v>45.862884160756501</v>
      </c>
    </row>
    <row r="579" spans="1:12" s="72" customFormat="1" ht="25.95" customHeight="1">
      <c r="A579" s="12">
        <v>577</v>
      </c>
      <c r="B579" s="6">
        <v>12</v>
      </c>
      <c r="C579" s="6">
        <v>30</v>
      </c>
      <c r="D579" s="20" t="str">
        <f>IF(C579&lt;&gt;"", IFERROR(INDEX('بنود العقد'!B$3:B$388,C579),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مع قشرة السنديان المطلي بدهان ابيض  مع غروف وفتحات إضاءة مخفية مغلفة من الداخل بطبقة Acrylic مغشى  حسب الرسومات والمناظير وتعليمات المهندس المشرف.Code: WDP1-03, WDP1-04, WDP1-05, WDP1-06</v>
      </c>
      <c r="E579" s="12" t="str">
        <f>IF(C579&lt;&gt;"", IFERROR(INDEX('بنود العقد'!D$3:D$388,C579), ""), "")</f>
        <v>م2</v>
      </c>
      <c r="F579" s="9">
        <f>IF(C579&lt;&gt;"", IFERROR(INDEX('بنود العقد'!E$3:E$388,C579), 0), "")</f>
        <v>570</v>
      </c>
      <c r="G579" s="9">
        <f>IF(C579&lt;&gt;"", IFERROR(INDEX('بنود العقد'!F$3:F$388,C579), 0), "")</f>
        <v>456</v>
      </c>
      <c r="H579" s="18">
        <f t="shared" si="27"/>
        <v>221</v>
      </c>
      <c r="I579" s="7">
        <v>35</v>
      </c>
      <c r="J579" s="18">
        <f t="shared" si="22"/>
        <v>256</v>
      </c>
      <c r="K579" s="10">
        <f t="shared" si="25"/>
        <v>19950</v>
      </c>
      <c r="L579" s="21">
        <f t="shared" si="24"/>
        <v>56.140350877192979</v>
      </c>
    </row>
    <row r="580" spans="1:12" s="72" customFormat="1" ht="25.95" customHeight="1">
      <c r="A580" s="12">
        <v>578</v>
      </c>
      <c r="B580" s="6">
        <v>12</v>
      </c>
      <c r="C580" s="6">
        <v>39</v>
      </c>
      <c r="D580" s="20" t="str">
        <f>IF(C580&lt;&gt;"", IFERROR(INDEX('بنود العقد'!B$3:B$388,C580), "⚠"), "")</f>
        <v>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خشبي03-WDC من من خشب الـ)Mdf( على شكل مربعات بسماكة تصميم  5سم، وفتحات على شكل مثلث مع اضاءة مخفية مغلفة من الاعلى بطبقة Acrylic شفاف مغشى سماكة 4مم مثبتة بنظام تعليق متصلة بالسقف الخرساني حسب الرسومات والمناظير وتعليمات المهندس المشرف.Code: WDC-03</v>
      </c>
      <c r="E580" s="12" t="str">
        <f>IF(C580&lt;&gt;"", IFERROR(INDEX('بنود العقد'!D$3:D$388,C580), ""), "")</f>
        <v>م2</v>
      </c>
      <c r="F580" s="9">
        <f>IF(C580&lt;&gt;"", IFERROR(INDEX('بنود العقد'!E$3:E$388,C580), 0), "")</f>
        <v>780</v>
      </c>
      <c r="G580" s="9">
        <f>IF(C580&lt;&gt;"", IFERROR(INDEX('بنود العقد'!F$3:F$388,C580), 0), "")</f>
        <v>64</v>
      </c>
      <c r="H580" s="18">
        <f t="shared" si="27"/>
        <v>26</v>
      </c>
      <c r="I580" s="7">
        <v>6</v>
      </c>
      <c r="J580" s="18">
        <f t="shared" si="22"/>
        <v>32</v>
      </c>
      <c r="K580" s="10">
        <f t="shared" si="25"/>
        <v>4680</v>
      </c>
      <c r="L580" s="21">
        <f t="shared" si="24"/>
        <v>50</v>
      </c>
    </row>
    <row r="581" spans="1:12" s="72" customFormat="1" ht="25.95" customHeight="1">
      <c r="A581" s="12">
        <v>579</v>
      </c>
      <c r="B581" s="6">
        <v>12</v>
      </c>
      <c r="C581" s="6">
        <v>66</v>
      </c>
      <c r="D581" s="20" t="str">
        <f>IF(C581&lt;&gt;"", IFERROR(INDEX('بنود العقد'!B$3:B$388,C581), "⚠"),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E581" s="12" t="str">
        <f>IF(C581&lt;&gt;"", IFERROR(INDEX('بنود العقد'!D$3:D$388,C581), ""), "")</f>
        <v>م²</v>
      </c>
      <c r="F581" s="9">
        <f>IF(C581&lt;&gt;"", IFERROR(INDEX('بنود العقد'!E$3:E$388,C581), 0), "")</f>
        <v>900</v>
      </c>
      <c r="G581" s="9">
        <f>IF(C581&lt;&gt;"", IFERROR(INDEX('بنود العقد'!F$3:F$388,C581), 0), "")</f>
        <v>4000</v>
      </c>
      <c r="H581" s="18">
        <f t="shared" si="27"/>
        <v>1822</v>
      </c>
      <c r="I581" s="7">
        <v>66</v>
      </c>
      <c r="J581" s="18">
        <f t="shared" si="22"/>
        <v>1888</v>
      </c>
      <c r="K581" s="10">
        <f t="shared" si="25"/>
        <v>59400</v>
      </c>
      <c r="L581" s="21">
        <f t="shared" si="24"/>
        <v>47.199999999999996</v>
      </c>
    </row>
    <row r="582" spans="1:12" s="72" customFormat="1" ht="25.95" customHeight="1">
      <c r="A582" s="12">
        <v>580</v>
      </c>
      <c r="B582" s="6">
        <v>12</v>
      </c>
      <c r="C582" s="6">
        <v>72</v>
      </c>
      <c r="D582" s="20" t="str">
        <f>IF(C582&lt;&gt;"", IFERROR(INDEX('بنود العقد'!B$3:B$388,C582), "⚠"), "")</f>
        <v>طبقة من اللياسة الأسمنتية فوق الأسطح الخرسانية والجدران الداخلية  بسمك متوسط 20 مم على طبقات  طرطشة بسمك 5 مم وضهارة 15 مم حسب المواصفات مع المعالجة اليومية  بالمياه لمنع التنميلات ويتم عمل افريز بين البلوك والخرسانة يملئ بمواد قابلة للدهان والسعر يشمل كامل الأكسسوارات اللازمة من شبك معدني ممدد وزوايا ونهايات معدنية  ومواد الترابط  وعمل تجاويف في طبقة اللياسة بعمق 10مم عرض 10مم  في الاعمدة  وفي الجدران ان وجدت حسب الرسومات والمناظير وتعليمات المهندس المشرف ذلك حسب الاصول الفنية وتعليمات المهندس المشرف. لياسة الجدران والأعمدة الداخلية  وتشمل جميع الإكسسوارات بإرتفاع 20 سم أعلي الأسقف الجبسيه لزوم الجدران الداخلية</v>
      </c>
      <c r="E582" s="12" t="str">
        <f>IF(C582&lt;&gt;"", IFERROR(INDEX('بنود العقد'!D$3:D$388,C582), ""), "")</f>
        <v>م²</v>
      </c>
      <c r="F582" s="9">
        <f>IF(C582&lt;&gt;"", IFERROR(INDEX('بنود العقد'!E$3:E$388,C582), 0), "")</f>
        <v>42</v>
      </c>
      <c r="G582" s="9">
        <f>IF(C582&lt;&gt;"", IFERROR(INDEX('بنود العقد'!F$3:F$388,C582), 0), "")</f>
        <v>758</v>
      </c>
      <c r="H582" s="18">
        <f t="shared" si="27"/>
        <v>4644.0039999999999</v>
      </c>
      <c r="I582" s="7">
        <v>72</v>
      </c>
      <c r="J582" s="18">
        <f t="shared" si="22"/>
        <v>4716.0039999999999</v>
      </c>
      <c r="K582" s="10">
        <f t="shared" si="25"/>
        <v>3024</v>
      </c>
      <c r="L582" s="21">
        <f t="shared" si="24"/>
        <v>622.16411609498675</v>
      </c>
    </row>
    <row r="583" spans="1:12" s="72" customFormat="1" ht="25.95" customHeight="1">
      <c r="A583" s="12">
        <v>581</v>
      </c>
      <c r="B583" s="6">
        <v>12</v>
      </c>
      <c r="C583" s="6">
        <v>74</v>
      </c>
      <c r="D583" s="20" t="str">
        <f>IF(C583&lt;&gt;"", IFERROR(INDEX('بنود العقد'!B$3:B$388,C583), "⚠"), "")</f>
        <v>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v>
      </c>
      <c r="E583" s="12" t="str">
        <f>IF(C583&lt;&gt;"", IFERROR(INDEX('بنود العقد'!D$3:D$388,C583), ""), "")</f>
        <v>م²</v>
      </c>
      <c r="F583" s="9">
        <f>IF(C583&lt;&gt;"", IFERROR(INDEX('بنود العقد'!E$3:E$388,C583), 0), "")</f>
        <v>180</v>
      </c>
      <c r="G583" s="9">
        <f>IF(C583&lt;&gt;"", IFERROR(INDEX('بنود العقد'!F$3:F$388,C583), 0), "")</f>
        <v>12526</v>
      </c>
      <c r="H583" s="18">
        <f t="shared" si="27"/>
        <v>3998</v>
      </c>
      <c r="I583" s="7">
        <v>1132</v>
      </c>
      <c r="J583" s="18">
        <f t="shared" si="22"/>
        <v>5130</v>
      </c>
      <c r="K583" s="10">
        <f t="shared" si="25"/>
        <v>203760</v>
      </c>
      <c r="L583" s="21">
        <f t="shared" si="24"/>
        <v>40.954813986907233</v>
      </c>
    </row>
    <row r="584" spans="1:12" s="72" customFormat="1" ht="25.95" customHeight="1">
      <c r="A584" s="12">
        <v>582</v>
      </c>
      <c r="B584" s="6">
        <v>12</v>
      </c>
      <c r="C584" s="6">
        <v>75</v>
      </c>
      <c r="D584" s="20" t="str">
        <f>IF(C584&lt;&gt;"", IFERROR(INDEX('بنود العقد'!B$3:B$388,C584), "⚠"), "")</f>
        <v>توريد وتركيب أسقف معلقة من الالواح الجبسيه )01-GBC( ثخانة 12 مم المقاومة للحريق شاملة نظام التعليق وضبط الحواف والزوايا وأبواب لفتحات الكشف بالأسقف لأعمال الصيانة )أبواب جاهزة من النوع السهل الاستعمال والمزود بمفصلات مخفية( والإكسسوارات. ويشمل السعر أي مواد أو أعمال يتطلبها استكمال العمل حسب المواصفات والمخططات.</v>
      </c>
      <c r="E584" s="12" t="str">
        <f>IF(C584&lt;&gt;"", IFERROR(INDEX('بنود العقد'!D$3:D$388,C584), ""), "")</f>
        <v>م²</v>
      </c>
      <c r="F584" s="9">
        <f>IF(C584&lt;&gt;"", IFERROR(INDEX('بنود العقد'!E$3:E$388,C584), 0), "")</f>
        <v>150</v>
      </c>
      <c r="G584" s="9">
        <f>IF(C584&lt;&gt;"", IFERROR(INDEX('بنود العقد'!F$3:F$388,C584), 0), "")</f>
        <v>24468</v>
      </c>
      <c r="H584" s="18">
        <f t="shared" si="27"/>
        <v>8196.0000700000001</v>
      </c>
      <c r="I584" s="7">
        <v>310</v>
      </c>
      <c r="J584" s="18">
        <f t="shared" si="22"/>
        <v>8506.0000700000001</v>
      </c>
      <c r="K584" s="10">
        <f t="shared" si="25"/>
        <v>46500</v>
      </c>
      <c r="L584" s="21">
        <f t="shared" si="24"/>
        <v>34.763773377472617</v>
      </c>
    </row>
    <row r="585" spans="1:12" s="72" customFormat="1" ht="25.95" customHeight="1">
      <c r="A585" s="12">
        <v>583</v>
      </c>
      <c r="B585" s="6">
        <v>12</v>
      </c>
      <c r="C585" s="6">
        <v>85</v>
      </c>
      <c r="D585" s="20" t="str">
        <f>IF(C585&lt;&gt;"", IFERROR(INDEX('بنود العقد'!B$3:B$388,C585), "⚠"), "")</f>
        <v xml:space="preserve"> جدران بورسلان (PW-03(type A&amp;B  مقاس 600×300×12مم فرز ثاني بالمقاسات والالوان المطلوبة لدورات المياة العامة  طبقاً للمخططات والمواصفات.</v>
      </c>
      <c r="E585" s="12" t="str">
        <f>IF(C585&lt;&gt;"", IFERROR(INDEX('بنود العقد'!D$3:D$388,C585), ""), "")</f>
        <v>م²</v>
      </c>
      <c r="F585" s="9">
        <f>IF(C585&lt;&gt;"", IFERROR(INDEX('بنود العقد'!E$3:E$388,C585), 0), "")</f>
        <v>96</v>
      </c>
      <c r="G585" s="9">
        <f>IF(C585&lt;&gt;"", IFERROR(INDEX('بنود العقد'!F$3:F$388,C585), 0), "")</f>
        <v>2648</v>
      </c>
      <c r="H585" s="18">
        <f t="shared" si="27"/>
        <v>473</v>
      </c>
      <c r="I585" s="7">
        <v>88</v>
      </c>
      <c r="J585" s="18">
        <f t="shared" si="22"/>
        <v>561</v>
      </c>
      <c r="K585" s="10">
        <f t="shared" si="25"/>
        <v>8448</v>
      </c>
      <c r="L585" s="21">
        <f t="shared" si="24"/>
        <v>21.185800604229605</v>
      </c>
    </row>
    <row r="586" spans="1:12" s="72" customFormat="1" ht="25.95" customHeight="1">
      <c r="A586" s="12">
        <v>584</v>
      </c>
      <c r="B586" s="6">
        <v>12</v>
      </c>
      <c r="C586" s="6">
        <v>95</v>
      </c>
      <c r="D586" s="20" t="str">
        <f>IF(C586&lt;&gt;"", IFERROR(INDEX('بنود العقد'!B$3:B$388,C586), "⚠"), "")</f>
        <v>معالجة وتنظيف وصقل وجلاء بلاط رخام الأرضيات والدرج مع بودرة الرخام المستخدم والتلميع 4 أوجه وملو الفواصل بمادة مقاومة للرطوبة والبكتيريا  والسعر يشمل جميع المواد والأعمال اللازمة لإتمام العمل المطلوب طبقا للمخططات والمواصفات الفنية وبحسب توجيهات واعتماد المهندس المشرف. رخام الأرضيات في المداخل و الممرات الرئيسية وبسطات الدرج.</v>
      </c>
      <c r="E586" s="12" t="str">
        <f>IF(C586&lt;&gt;"", IFERROR(INDEX('بنود العقد'!D$3:D$388,C586), ""), "")</f>
        <v>م²</v>
      </c>
      <c r="F586" s="9">
        <f>IF(C586&lt;&gt;"", IFERROR(INDEX('بنود العقد'!E$3:E$388,C586), 0), "")</f>
        <v>42</v>
      </c>
      <c r="G586" s="9">
        <f>IF(C586&lt;&gt;"", IFERROR(INDEX('بنود العقد'!F$3:F$388,C586), 0), "")</f>
        <v>4800</v>
      </c>
      <c r="H586" s="18">
        <f t="shared" si="27"/>
        <v>371.8</v>
      </c>
      <c r="I586" s="7">
        <v>368.2</v>
      </c>
      <c r="J586" s="18">
        <f t="shared" si="22"/>
        <v>740</v>
      </c>
      <c r="K586" s="10">
        <f t="shared" ref="K586:K649" si="28">IF(AND(I586&lt;&gt;"",F586&lt;&gt;""), I586*F586, "")</f>
        <v>15464.4</v>
      </c>
      <c r="L586" s="21">
        <f t="shared" si="24"/>
        <v>15.416666666666668</v>
      </c>
    </row>
    <row r="587" spans="1:12" s="72" customFormat="1" ht="25.95" customHeight="1">
      <c r="A587" s="12">
        <v>585</v>
      </c>
      <c r="B587" s="6">
        <v>12</v>
      </c>
      <c r="C587" s="6">
        <v>133</v>
      </c>
      <c r="D587" s="20" t="str">
        <f>IF(C587&lt;&gt;"", IFERROR(INDEX('بنود العقد'!B$3:B$388,C587),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ابيض</v>
      </c>
      <c r="E587" s="12" t="str">
        <f>IF(C587&lt;&gt;"", IFERROR(INDEX('بنود العقد'!D$3:D$388,C587), ""), "")</f>
        <v>م²</v>
      </c>
      <c r="F587" s="9">
        <f>IF(C587&lt;&gt;"", IFERROR(INDEX('بنود العقد'!E$3:E$388,C587), 0), "")</f>
        <v>24</v>
      </c>
      <c r="G587" s="9">
        <f>IF(C587&lt;&gt;"", IFERROR(INDEX('بنود العقد'!F$3:F$388,C587), 0), "")</f>
        <v>25559</v>
      </c>
      <c r="H587" s="18">
        <f t="shared" si="27"/>
        <v>3618.0039999999999</v>
      </c>
      <c r="I587" s="7">
        <v>171</v>
      </c>
      <c r="J587" s="18">
        <f t="shared" si="22"/>
        <v>3789.0039999999999</v>
      </c>
      <c r="K587" s="10">
        <f t="shared" si="28"/>
        <v>4104</v>
      </c>
      <c r="L587" s="21">
        <f t="shared" si="24"/>
        <v>14.824539301224618</v>
      </c>
    </row>
    <row r="588" spans="1:12" s="72" customFormat="1" ht="25.95" customHeight="1">
      <c r="A588" s="12">
        <v>586</v>
      </c>
      <c r="B588" s="6">
        <v>12</v>
      </c>
      <c r="C588" s="6">
        <v>137</v>
      </c>
      <c r="D588" s="20" t="str">
        <f>IF(C588&lt;&gt;"", IFERROR(INDEX('بنود العقد'!B$3:B$388,C588), "⚠"), "")</f>
        <v>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 دهان  بلون اسود</v>
      </c>
      <c r="E588" s="12" t="str">
        <f>IF(C588&lt;&gt;"", IFERROR(INDEX('بنود العقد'!D$3:D$388,C588), ""), "")</f>
        <v>م²</v>
      </c>
      <c r="F588" s="9">
        <f>IF(C588&lt;&gt;"", IFERROR(INDEX('بنود العقد'!E$3:E$388,C588), 0), "")</f>
        <v>30</v>
      </c>
      <c r="G588" s="9">
        <f>IF(C588&lt;&gt;"", IFERROR(INDEX('بنود العقد'!F$3:F$388,C588), 0), "")</f>
        <v>9442</v>
      </c>
      <c r="H588" s="18">
        <f t="shared" si="27"/>
        <v>2662</v>
      </c>
      <c r="I588" s="7">
        <v>800</v>
      </c>
      <c r="J588" s="18">
        <f t="shared" si="22"/>
        <v>3462</v>
      </c>
      <c r="K588" s="10">
        <f t="shared" si="28"/>
        <v>24000</v>
      </c>
      <c r="L588" s="21">
        <f t="shared" si="24"/>
        <v>36.665960601567463</v>
      </c>
    </row>
    <row r="589" spans="1:12" s="72" customFormat="1" ht="25.95" customHeight="1">
      <c r="A589" s="12">
        <v>587</v>
      </c>
      <c r="B589" s="6">
        <v>12</v>
      </c>
      <c r="C589" s="6">
        <v>176</v>
      </c>
      <c r="D589" s="20" t="str">
        <f>IF(C589&lt;&gt;"", IFERROR(INDEX('بنود العقد'!B$3:B$388,C589),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589" s="12" t="str">
        <f>IF(C589&lt;&gt;"", IFERROR(INDEX('بنود العقد'!D$3:D$388,C589), ""), "")</f>
        <v>م.ط</v>
      </c>
      <c r="F589" s="9">
        <f>IF(C589&lt;&gt;"", IFERROR(INDEX('بنود العقد'!E$3:E$388,C589), 0), "")</f>
        <v>66</v>
      </c>
      <c r="G589" s="9">
        <f>IF(C589&lt;&gt;"", IFERROR(INDEX('بنود العقد'!F$3:F$388,C589), 0), "")</f>
        <v>532</v>
      </c>
      <c r="H589" s="18">
        <f t="shared" si="27"/>
        <v>860.34</v>
      </c>
      <c r="I589" s="7">
        <v>21.66</v>
      </c>
      <c r="J589" s="18">
        <f t="shared" si="22"/>
        <v>882</v>
      </c>
      <c r="K589" s="10">
        <f t="shared" si="28"/>
        <v>1429.56</v>
      </c>
      <c r="L589" s="21">
        <f t="shared" si="24"/>
        <v>165.78947368421052</v>
      </c>
    </row>
    <row r="590" spans="1:12" s="72" customFormat="1" ht="25.95" customHeight="1">
      <c r="A590" s="12">
        <v>588</v>
      </c>
      <c r="B590" s="6">
        <v>12</v>
      </c>
      <c r="C590" s="6">
        <v>177</v>
      </c>
      <c r="D590" s="20" t="str">
        <f>IF(C590&lt;&gt;"", IFERROR(INDEX('بنود العقد'!B$3:B$388,C590),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E590" s="12" t="str">
        <f>IF(C590&lt;&gt;"", IFERROR(INDEX('بنود العقد'!D$3:D$388,C590), ""), "")</f>
        <v>م.ط</v>
      </c>
      <c r="F590" s="9">
        <f>IF(C590&lt;&gt;"", IFERROR(INDEX('بنود العقد'!E$3:E$388,C590), 0), "")</f>
        <v>70.8</v>
      </c>
      <c r="G590" s="9">
        <f>IF(C590&lt;&gt;"", IFERROR(INDEX('بنود العقد'!F$3:F$388,C590), 0), "")</f>
        <v>221</v>
      </c>
      <c r="H590" s="18">
        <f t="shared" si="27"/>
        <v>218</v>
      </c>
      <c r="I590" s="7">
        <v>5</v>
      </c>
      <c r="J590" s="18">
        <f t="shared" si="22"/>
        <v>223</v>
      </c>
      <c r="K590" s="10">
        <f t="shared" si="28"/>
        <v>354</v>
      </c>
      <c r="L590" s="21">
        <f t="shared" si="24"/>
        <v>100.90497737556561</v>
      </c>
    </row>
    <row r="591" spans="1:12" s="72" customFormat="1" ht="25.95" customHeight="1">
      <c r="A591" s="12">
        <v>589</v>
      </c>
      <c r="B591" s="6">
        <v>12</v>
      </c>
      <c r="C591" s="6">
        <v>178</v>
      </c>
      <c r="D591" s="20" t="str">
        <f>IF(C591&lt;&gt;"", IFERROR(INDEX('بنود العقد'!B$3:B$388,C591),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32مم</v>
      </c>
      <c r="E591" s="12" t="str">
        <f>IF(C591&lt;&gt;"", IFERROR(INDEX('بنود العقد'!D$3:D$388,C591), ""), "")</f>
        <v>م.ط</v>
      </c>
      <c r="F591" s="9">
        <f>IF(C591&lt;&gt;"", IFERROR(INDEX('بنود العقد'!E$3:E$388,C591), 0), "")</f>
        <v>102</v>
      </c>
      <c r="G591" s="9">
        <f>IF(C591&lt;&gt;"", IFERROR(INDEX('بنود العقد'!F$3:F$388,C591), 0), "")</f>
        <v>207</v>
      </c>
      <c r="H591" s="18">
        <f t="shared" si="27"/>
        <v>133.00000000000003</v>
      </c>
      <c r="I591" s="7">
        <v>6</v>
      </c>
      <c r="J591" s="18">
        <f t="shared" si="22"/>
        <v>139.00000000000003</v>
      </c>
      <c r="K591" s="10">
        <f t="shared" si="28"/>
        <v>612</v>
      </c>
      <c r="L591" s="21">
        <f t="shared" si="24"/>
        <v>67.149758454106291</v>
      </c>
    </row>
    <row r="592" spans="1:12" s="72" customFormat="1" ht="25.95" customHeight="1">
      <c r="A592" s="12">
        <v>590</v>
      </c>
      <c r="B592" s="6">
        <v>12</v>
      </c>
      <c r="C592" s="6">
        <v>179</v>
      </c>
      <c r="D592" s="20" t="str">
        <f>IF(C592&lt;&gt;"", IFERROR(INDEX('بنود العقد'!B$3:B$388,C592),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40 مم</v>
      </c>
      <c r="E592" s="12" t="str">
        <f>IF(C592&lt;&gt;"", IFERROR(INDEX('بنود العقد'!D$3:D$388,C592), ""), "")</f>
        <v>م.ط</v>
      </c>
      <c r="F592" s="9">
        <f>IF(C592&lt;&gt;"", IFERROR(INDEX('بنود العقد'!E$3:E$388,C592), 0), "")</f>
        <v>85.2</v>
      </c>
      <c r="G592" s="9">
        <f>IF(C592&lt;&gt;"", IFERROR(INDEX('بنود العقد'!F$3:F$388,C592), 0), "")</f>
        <v>103</v>
      </c>
      <c r="H592" s="18">
        <f t="shared" si="27"/>
        <v>235</v>
      </c>
      <c r="I592" s="7">
        <v>7</v>
      </c>
      <c r="J592" s="18">
        <f t="shared" si="22"/>
        <v>242</v>
      </c>
      <c r="K592" s="10">
        <f t="shared" si="28"/>
        <v>596.4</v>
      </c>
      <c r="L592" s="21">
        <f t="shared" si="24"/>
        <v>234.95145631067959</v>
      </c>
    </row>
    <row r="593" spans="1:12" s="72" customFormat="1" ht="25.95" customHeight="1">
      <c r="A593" s="12">
        <v>591</v>
      </c>
      <c r="B593" s="6">
        <v>12</v>
      </c>
      <c r="C593" s="6">
        <v>181</v>
      </c>
      <c r="D593" s="20" t="str">
        <f>IF(C593&lt;&gt;"", IFERROR(INDEX('بنود العقد'!B$3:B$388,C593),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593" s="12" t="str">
        <f>IF(C593&lt;&gt;"", IFERROR(INDEX('بنود العقد'!D$3:D$388,C593), ""), "")</f>
        <v>م.ط</v>
      </c>
      <c r="F593" s="9">
        <f>IF(C593&lt;&gt;"", IFERROR(INDEX('بنود العقد'!E$3:E$388,C593), 0), "")</f>
        <v>70.8</v>
      </c>
      <c r="G593" s="9">
        <f>IF(C593&lt;&gt;"", IFERROR(INDEX('بنود العقد'!F$3:F$388,C593), 0), "")</f>
        <v>150</v>
      </c>
      <c r="H593" s="18">
        <f t="shared" si="27"/>
        <v>483.7</v>
      </c>
      <c r="I593" s="7">
        <v>16.3</v>
      </c>
      <c r="J593" s="18">
        <f t="shared" si="22"/>
        <v>500</v>
      </c>
      <c r="K593" s="10">
        <f t="shared" si="28"/>
        <v>1154.04</v>
      </c>
      <c r="L593" s="21">
        <f t="shared" si="24"/>
        <v>333.33333333333337</v>
      </c>
    </row>
    <row r="594" spans="1:12" s="72" customFormat="1" ht="25.95" customHeight="1">
      <c r="A594" s="12">
        <v>592</v>
      </c>
      <c r="B594" s="6">
        <v>12</v>
      </c>
      <c r="C594" s="6">
        <v>182</v>
      </c>
      <c r="D594" s="20" t="str">
        <f>IF(C594&lt;&gt;"", IFERROR(INDEX('بنود العقد'!B$3:B$388,C594),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E594" s="12" t="str">
        <f>IF(C594&lt;&gt;"", IFERROR(INDEX('بنود العقد'!D$3:D$388,C594), ""), "")</f>
        <v>م.ط</v>
      </c>
      <c r="F594" s="9">
        <f>IF(C594&lt;&gt;"", IFERROR(INDEX('بنود العقد'!E$3:E$388,C594), 0), "")</f>
        <v>75.599999999999994</v>
      </c>
      <c r="G594" s="9">
        <f>IF(C594&lt;&gt;"", IFERROR(INDEX('بنود العقد'!F$3:F$388,C594), 0), "")</f>
        <v>100</v>
      </c>
      <c r="H594" s="18">
        <f t="shared" si="27"/>
        <v>55.1</v>
      </c>
      <c r="I594" s="7">
        <v>4.9000000000000004</v>
      </c>
      <c r="J594" s="18">
        <f t="shared" si="22"/>
        <v>60</v>
      </c>
      <c r="K594" s="10">
        <f t="shared" si="28"/>
        <v>370.44</v>
      </c>
      <c r="L594" s="21">
        <f t="shared" si="24"/>
        <v>60</v>
      </c>
    </row>
    <row r="595" spans="1:12" s="72" customFormat="1" ht="25.95" customHeight="1">
      <c r="A595" s="12">
        <v>593</v>
      </c>
      <c r="B595" s="6">
        <v>12</v>
      </c>
      <c r="C595" s="6">
        <v>185</v>
      </c>
      <c r="D595" s="20" t="str">
        <f>IF(C595&lt;&gt;"", IFERROR(INDEX('بنود العقد'!B$3:B$388,C595),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v>
      </c>
      <c r="E595" s="12" t="str">
        <f>IF(C595&lt;&gt;"", IFERROR(INDEX('بنود العقد'!D$3:D$388,C595), ""), "")</f>
        <v>م.ط</v>
      </c>
      <c r="F595" s="9">
        <f>IF(C595&lt;&gt;"", IFERROR(INDEX('بنود العقد'!E$3:E$388,C595), 0), "")</f>
        <v>75.599999999999994</v>
      </c>
      <c r="G595" s="9">
        <f>IF(C595&lt;&gt;"", IFERROR(INDEX('بنود العقد'!F$3:F$388,C595), 0), "")</f>
        <v>426</v>
      </c>
      <c r="H595" s="18">
        <f t="shared" si="27"/>
        <v>1057</v>
      </c>
      <c r="I595" s="7">
        <v>107</v>
      </c>
      <c r="J595" s="18">
        <f t="shared" si="22"/>
        <v>1164</v>
      </c>
      <c r="K595" s="10">
        <f t="shared" si="28"/>
        <v>8089.2</v>
      </c>
      <c r="L595" s="21">
        <f t="shared" si="24"/>
        <v>273.23943661971828</v>
      </c>
    </row>
    <row r="596" spans="1:12" s="72" customFormat="1" ht="25.95" customHeight="1">
      <c r="A596" s="12">
        <v>594</v>
      </c>
      <c r="B596" s="6">
        <v>12</v>
      </c>
      <c r="C596" s="6">
        <v>186</v>
      </c>
      <c r="D596" s="20" t="str">
        <f>IF(C596&lt;&gt;"", IFERROR(INDEX('بنود العقد'!B$3:B$388,C596),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75 مم</v>
      </c>
      <c r="E596" s="12" t="str">
        <f>IF(C596&lt;&gt;"", IFERROR(INDEX('بنود العقد'!D$3:D$388,C596), ""), "")</f>
        <v>م.ط</v>
      </c>
      <c r="F596" s="9">
        <f>IF(C596&lt;&gt;"", IFERROR(INDEX('بنود العقد'!E$3:E$388,C596), 0), "")</f>
        <v>91.2</v>
      </c>
      <c r="G596" s="9">
        <f>IF(C596&lt;&gt;"", IFERROR(INDEX('بنود العقد'!F$3:F$388,C596), 0), "")</f>
        <v>934</v>
      </c>
      <c r="H596" s="18">
        <f t="shared" si="27"/>
        <v>603</v>
      </c>
      <c r="I596" s="7">
        <v>45</v>
      </c>
      <c r="J596" s="18">
        <f t="shared" si="22"/>
        <v>648</v>
      </c>
      <c r="K596" s="10">
        <f t="shared" si="28"/>
        <v>4104</v>
      </c>
      <c r="L596" s="21">
        <f t="shared" si="24"/>
        <v>69.379014989293367</v>
      </c>
    </row>
    <row r="597" spans="1:12" s="72" customFormat="1" ht="25.95" customHeight="1">
      <c r="A597" s="12">
        <v>595</v>
      </c>
      <c r="B597" s="6">
        <v>12</v>
      </c>
      <c r="C597" s="6">
        <v>187</v>
      </c>
      <c r="D597" s="20" t="str">
        <f>IF(C597&lt;&gt;"", IFERROR(INDEX('بنود العقد'!B$3:B$388,C597),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v>
      </c>
      <c r="E597" s="12" t="str">
        <f>IF(C597&lt;&gt;"", IFERROR(INDEX('بنود العقد'!D$3:D$388,C597), ""), "")</f>
        <v>م.ط</v>
      </c>
      <c r="F597" s="9">
        <f>IF(C597&lt;&gt;"", IFERROR(INDEX('بنود العقد'!E$3:E$388,C597), 0), "")</f>
        <v>102</v>
      </c>
      <c r="G597" s="9">
        <f>IF(C597&lt;&gt;"", IFERROR(INDEX('بنود العقد'!F$3:F$388,C597), 0), "")</f>
        <v>961</v>
      </c>
      <c r="H597" s="18">
        <f t="shared" si="27"/>
        <v>1656</v>
      </c>
      <c r="I597" s="7">
        <v>148</v>
      </c>
      <c r="J597" s="18">
        <f t="shared" si="22"/>
        <v>1804</v>
      </c>
      <c r="K597" s="10">
        <f t="shared" si="28"/>
        <v>15096</v>
      </c>
      <c r="L597" s="21">
        <f t="shared" si="24"/>
        <v>187.72112382934444</v>
      </c>
    </row>
    <row r="598" spans="1:12" s="72" customFormat="1" ht="25.95" customHeight="1">
      <c r="A598" s="12">
        <v>596</v>
      </c>
      <c r="B598" s="6">
        <v>12</v>
      </c>
      <c r="C598" s="6">
        <v>199</v>
      </c>
      <c r="D598" s="20" t="str">
        <f>IF(C598&lt;&gt;"", IFERROR(INDEX('بنود العقد'!B$3:B$388,C598),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E598" s="12" t="str">
        <f>IF(C598&lt;&gt;"", IFERROR(INDEX('بنود العقد'!D$3:D$388,C598), ""), "")</f>
        <v>م.ط</v>
      </c>
      <c r="F598" s="9">
        <f>IF(C598&lt;&gt;"", IFERROR(INDEX('بنود العقد'!E$3:E$388,C598), 0), "")</f>
        <v>108</v>
      </c>
      <c r="G598" s="9">
        <f>IF(C598&lt;&gt;"", IFERROR(INDEX('بنود العقد'!F$3:F$388,C598), 0), "")</f>
        <v>3900</v>
      </c>
      <c r="H598" s="18">
        <f t="shared" si="27"/>
        <v>3181</v>
      </c>
      <c r="I598" s="7">
        <v>10</v>
      </c>
      <c r="J598" s="18">
        <f t="shared" si="22"/>
        <v>3191</v>
      </c>
      <c r="K598" s="10">
        <f t="shared" si="28"/>
        <v>1080</v>
      </c>
      <c r="L598" s="21">
        <f t="shared" si="24"/>
        <v>81.820512820512832</v>
      </c>
    </row>
    <row r="599" spans="1:12" s="72" customFormat="1" ht="25.95" customHeight="1">
      <c r="A599" s="12">
        <v>597</v>
      </c>
      <c r="B599" s="6">
        <v>12</v>
      </c>
      <c r="C599" s="6">
        <v>230</v>
      </c>
      <c r="D599" s="20" t="str">
        <f>IF(C599&lt;&gt;"", IFERROR(INDEX('بنود العقد'!B$3:B$388,C599),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E599" s="12" t="str">
        <f>IF(C599&lt;&gt;"", IFERROR(INDEX('بنود العقد'!D$3:D$388,C599), ""), "")</f>
        <v>م.ط</v>
      </c>
      <c r="F599" s="9">
        <f>IF(C599&lt;&gt;"", IFERROR(INDEX('بنود العقد'!E$3:E$388,C599), 0), "")</f>
        <v>300</v>
      </c>
      <c r="G599" s="9">
        <f>IF(C599&lt;&gt;"", IFERROR(INDEX('بنود العقد'!F$3:F$388,C599), 0), "")</f>
        <v>7000</v>
      </c>
      <c r="H599" s="18">
        <f t="shared" si="27"/>
        <v>5248</v>
      </c>
      <c r="I599" s="7">
        <v>782</v>
      </c>
      <c r="J599" s="18">
        <f t="shared" si="22"/>
        <v>6030</v>
      </c>
      <c r="K599" s="10">
        <f t="shared" si="28"/>
        <v>234600</v>
      </c>
      <c r="L599" s="21">
        <f t="shared" si="24"/>
        <v>86.142857142857139</v>
      </c>
    </row>
    <row r="600" spans="1:12" s="72" customFormat="1" ht="25.95" customHeight="1">
      <c r="A600" s="12">
        <v>598</v>
      </c>
      <c r="B600" s="6">
        <v>12</v>
      </c>
      <c r="C600" s="6">
        <v>248</v>
      </c>
      <c r="D600" s="20" t="str">
        <f>IF(C600&lt;&gt;"", IFERROR(INDEX('بنود العقد'!B$3:B$388,C600),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v>
      </c>
      <c r="E600" s="12" t="str">
        <f>IF(C600&lt;&gt;"", IFERROR(INDEX('بنود العقد'!D$3:D$388,C600), ""), "")</f>
        <v>عدد</v>
      </c>
      <c r="F600" s="9">
        <f>IF(C600&lt;&gt;"", IFERROR(INDEX('بنود العقد'!E$3:E$388,C600), 0), "")</f>
        <v>216</v>
      </c>
      <c r="G600" s="9">
        <f>IF(C600&lt;&gt;"", IFERROR(INDEX('بنود العقد'!F$3:F$388,C600), 0), "")</f>
        <v>282</v>
      </c>
      <c r="H600" s="18">
        <f t="shared" si="27"/>
        <v>92</v>
      </c>
      <c r="I600" s="7">
        <v>40</v>
      </c>
      <c r="J600" s="18">
        <f t="shared" si="22"/>
        <v>132</v>
      </c>
      <c r="K600" s="10">
        <f t="shared" si="28"/>
        <v>8640</v>
      </c>
      <c r="L600" s="21">
        <f t="shared" si="24"/>
        <v>46.808510638297875</v>
      </c>
    </row>
    <row r="601" spans="1:12" s="72" customFormat="1" ht="25.95" customHeight="1">
      <c r="A601" s="12">
        <v>599</v>
      </c>
      <c r="B601" s="6">
        <v>12</v>
      </c>
      <c r="C601" s="6">
        <v>249</v>
      </c>
      <c r="D601" s="20" t="str">
        <f>IF(C601&lt;&gt;"", IFERROR(INDEX('بنود العقد'!B$3:B$388,C601),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مقبس ثنائي سقفى، من النوع المؤرض، 15 أمبير، 230 فولت، طور واحد، قطبين، 3 أسلاك.</v>
      </c>
      <c r="E601" s="12" t="str">
        <f>IF(C601&lt;&gt;"", IFERROR(INDEX('بنود العقد'!D$3:D$388,C601), ""), "")</f>
        <v>عدد</v>
      </c>
      <c r="F601" s="9">
        <f>IF(C601&lt;&gt;"", IFERROR(INDEX('بنود العقد'!E$3:E$388,C601), 0), "")</f>
        <v>216</v>
      </c>
      <c r="G601" s="9">
        <f>IF(C601&lt;&gt;"", IFERROR(INDEX('بنود العقد'!F$3:F$388,C601), 0), "")</f>
        <v>126</v>
      </c>
      <c r="H601" s="18">
        <f t="shared" si="27"/>
        <v>50</v>
      </c>
      <c r="I601" s="7">
        <v>13</v>
      </c>
      <c r="J601" s="18">
        <f t="shared" si="22"/>
        <v>63</v>
      </c>
      <c r="K601" s="10">
        <f t="shared" si="28"/>
        <v>2808</v>
      </c>
      <c r="L601" s="21">
        <f t="shared" si="24"/>
        <v>50</v>
      </c>
    </row>
    <row r="602" spans="1:12" s="72" customFormat="1" ht="25.95" customHeight="1">
      <c r="A602" s="12">
        <v>600</v>
      </c>
      <c r="B602" s="6">
        <v>12</v>
      </c>
      <c r="C602" s="6">
        <v>253</v>
      </c>
      <c r="D602" s="20" t="str">
        <f>IF(C602&lt;&gt;"", IFERROR(INDEX('بنود العقد'!B$3:B$388,C602), "⚠"), "")</f>
        <v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المشرفمخرج  ومؤرض 30 أمبير ، 230 فولت 3 أسلاك ، 1 فاز لمجفف الأيدي</v>
      </c>
      <c r="E602" s="12" t="str">
        <f>IF(C602&lt;&gt;"", IFERROR(INDEX('بنود العقد'!D$3:D$388,C602), ""), "")</f>
        <v>عدد</v>
      </c>
      <c r="F602" s="9">
        <f>IF(C602&lt;&gt;"", IFERROR(INDEX('بنود العقد'!E$3:E$388,C602), 0), "")</f>
        <v>264</v>
      </c>
      <c r="G602" s="9">
        <f>IF(C602&lt;&gt;"", IFERROR(INDEX('بنود العقد'!F$3:F$388,C602), 0), "")</f>
        <v>72</v>
      </c>
      <c r="H602" s="18">
        <f t="shared" si="27"/>
        <v>14</v>
      </c>
      <c r="I602" s="7">
        <v>13</v>
      </c>
      <c r="J602" s="18">
        <f t="shared" si="22"/>
        <v>27</v>
      </c>
      <c r="K602" s="10">
        <f t="shared" si="28"/>
        <v>3432</v>
      </c>
      <c r="L602" s="21">
        <f t="shared" si="24"/>
        <v>37.5</v>
      </c>
    </row>
    <row r="603" spans="1:12" s="72" customFormat="1" ht="25.95" customHeight="1">
      <c r="A603" s="12">
        <v>601</v>
      </c>
      <c r="B603" s="6">
        <v>12</v>
      </c>
      <c r="C603" s="6">
        <v>254</v>
      </c>
      <c r="D603" s="20" t="str">
        <f>IF(C603&lt;&gt;"", IFERROR(INDEX('بنود العقد'!B$3:B$388,C603),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)A(  )تحتوى على  4 قوى &amp; 4 داتا (</v>
      </c>
      <c r="E603" s="12" t="str">
        <f>IF(C603&lt;&gt;"", IFERROR(INDEX('بنود العقد'!D$3:D$388,C603), ""), "")</f>
        <v>عدد</v>
      </c>
      <c r="F603" s="9">
        <f>IF(C603&lt;&gt;"", IFERROR(INDEX('بنود العقد'!E$3:E$388,C603), 0), "")</f>
        <v>2160</v>
      </c>
      <c r="G603" s="9">
        <f>IF(C603&lt;&gt;"", IFERROR(INDEX('بنود العقد'!F$3:F$388,C603), 0), "")</f>
        <v>286</v>
      </c>
      <c r="H603" s="18">
        <f t="shared" si="27"/>
        <v>226</v>
      </c>
      <c r="I603" s="7">
        <v>12</v>
      </c>
      <c r="J603" s="18">
        <f t="shared" si="22"/>
        <v>238</v>
      </c>
      <c r="K603" s="10">
        <f t="shared" si="28"/>
        <v>25920</v>
      </c>
      <c r="L603" s="21">
        <f t="shared" si="24"/>
        <v>83.216783216783213</v>
      </c>
    </row>
    <row r="604" spans="1:12" s="72" customFormat="1" ht="25.95" customHeight="1">
      <c r="A604" s="12">
        <v>602</v>
      </c>
      <c r="B604" s="6">
        <v>12</v>
      </c>
      <c r="C604" s="6">
        <v>255</v>
      </c>
      <c r="D604" s="20" t="str">
        <f>IF(C604&lt;&gt;"", IFERROR(INDEX('بنود العقد'!B$3:B$388,C604),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)B(   )تحتوى على 2 قوى &amp; 2 داتا (</v>
      </c>
      <c r="E604" s="12" t="str">
        <f>IF(C604&lt;&gt;"", IFERROR(INDEX('بنود العقد'!D$3:D$388,C604), ""), "")</f>
        <v>عدد</v>
      </c>
      <c r="F604" s="9">
        <f>IF(C604&lt;&gt;"", IFERROR(INDEX('بنود العقد'!E$3:E$388,C604), 0), "")</f>
        <v>1800</v>
      </c>
      <c r="G604" s="9">
        <f>IF(C604&lt;&gt;"", IFERROR(INDEX('بنود العقد'!F$3:F$388,C604), 0), "")</f>
        <v>20</v>
      </c>
      <c r="H604" s="18">
        <f t="shared" si="27"/>
        <v>175</v>
      </c>
      <c r="I604" s="7">
        <v>23</v>
      </c>
      <c r="J604" s="18">
        <f t="shared" si="22"/>
        <v>198</v>
      </c>
      <c r="K604" s="10">
        <f t="shared" si="28"/>
        <v>41400</v>
      </c>
      <c r="L604" s="21">
        <f t="shared" si="24"/>
        <v>990</v>
      </c>
    </row>
    <row r="605" spans="1:12" s="72" customFormat="1" ht="25.95" customHeight="1">
      <c r="A605" s="12">
        <v>603</v>
      </c>
      <c r="B605" s="6">
        <v>12</v>
      </c>
      <c r="C605" s="6">
        <v>256</v>
      </c>
      <c r="D605" s="20" t="str">
        <f>IF(C605&lt;&gt;"", IFERROR(INDEX('بنود العقد'!B$3:B$388,C605),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)1FB(   )تحتوى على 1 قوى (</v>
      </c>
      <c r="E605" s="12" t="str">
        <f>IF(C605&lt;&gt;"", IFERROR(INDEX('بنود العقد'!D$3:D$388,C605), ""), "")</f>
        <v>عدد</v>
      </c>
      <c r="F605" s="9">
        <f>IF(C605&lt;&gt;"", IFERROR(INDEX('بنود العقد'!E$3:E$388,C605), 0), "")</f>
        <v>720</v>
      </c>
      <c r="G605" s="9">
        <f>IF(C605&lt;&gt;"", IFERROR(INDEX('بنود العقد'!F$3:F$388,C605), 0), "")</f>
        <v>141</v>
      </c>
      <c r="H605" s="18">
        <f t="shared" si="27"/>
        <v>32</v>
      </c>
      <c r="I605" s="7">
        <v>4</v>
      </c>
      <c r="J605" s="18">
        <f t="shared" si="22"/>
        <v>36</v>
      </c>
      <c r="K605" s="10">
        <f t="shared" si="28"/>
        <v>2880</v>
      </c>
      <c r="L605" s="21">
        <f t="shared" si="24"/>
        <v>25.531914893617021</v>
      </c>
    </row>
    <row r="606" spans="1:12" s="72" customFormat="1" ht="25.95" customHeight="1">
      <c r="A606" s="12">
        <v>604</v>
      </c>
      <c r="B606" s="6">
        <v>12</v>
      </c>
      <c r="C606" s="6">
        <v>261</v>
      </c>
      <c r="D606" s="20" t="str">
        <f>IF(C606&lt;&gt;"", IFERROR(INDEX('بنود العقد'!B$3:B$388,C606), "⚠"), "")</f>
        <v xml:space="preserve"> توريد وتركيب واختبار والتشغيل التجريبي لمفاتيح فصل على الحمل من النوع عالية التحمل مع ماسورة  التثبيت المعدنية المرنة والمانعة لنفاذ السوائل، وقطع الإكسسوارعلى المقاول المعاينة و فحص الشبكة الحالية و الاستفادة من التمديدات الحالية و دمجها مع التركيبات الجديدة بعد عمل الاختبارات اللازمة و بعدالموافقة من مهندس المشرف  وبالإستطاعات التالية 30 A, 250 V, 2P</v>
      </c>
      <c r="E606" s="12" t="str">
        <f>IF(C606&lt;&gt;"", IFERROR(INDEX('بنود العقد'!D$3:D$388,C606), ""), "")</f>
        <v>عدد</v>
      </c>
      <c r="F606" s="9">
        <f>IF(C606&lt;&gt;"", IFERROR(INDEX('بنود العقد'!E$3:E$388,C606), 0), "")</f>
        <v>384</v>
      </c>
      <c r="G606" s="9">
        <f>IF(C606&lt;&gt;"", IFERROR(INDEX('بنود العقد'!F$3:F$388,C606), 0), "")</f>
        <v>445</v>
      </c>
      <c r="H606" s="18">
        <f t="shared" si="27"/>
        <v>126</v>
      </c>
      <c r="I606" s="7">
        <v>18</v>
      </c>
      <c r="J606" s="18">
        <f t="shared" si="22"/>
        <v>144</v>
      </c>
      <c r="K606" s="10">
        <f t="shared" si="28"/>
        <v>6912</v>
      </c>
      <c r="L606" s="21">
        <f t="shared" si="24"/>
        <v>32.359550561797754</v>
      </c>
    </row>
    <row r="607" spans="1:12" s="72" customFormat="1" ht="25.95" customHeight="1">
      <c r="A607" s="12">
        <v>605</v>
      </c>
      <c r="B607" s="6">
        <v>12</v>
      </c>
      <c r="C607" s="6">
        <v>263</v>
      </c>
      <c r="D607" s="20" t="str">
        <f>IF(C607&lt;&gt;"", IFERROR(INDEX('بنود العقد'!B$3:B$388,C607),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A1E</v>
      </c>
      <c r="E607" s="12" t="str">
        <f>IF(C607&lt;&gt;"", IFERROR(INDEX('بنود العقد'!D$3:D$388,C607), ""), "")</f>
        <v>عدد</v>
      </c>
      <c r="F607" s="9">
        <f>IF(C607&lt;&gt;"", IFERROR(INDEX('بنود العقد'!E$3:E$388,C607), 0), "")</f>
        <v>660</v>
      </c>
      <c r="G607" s="9">
        <f>IF(C607&lt;&gt;"", IFERROR(INDEX('بنود العقد'!F$3:F$388,C607), 0), "")</f>
        <v>241</v>
      </c>
      <c r="H607" s="18">
        <f t="shared" si="27"/>
        <v>84</v>
      </c>
      <c r="I607" s="7">
        <v>20</v>
      </c>
      <c r="J607" s="18">
        <f t="shared" si="22"/>
        <v>104</v>
      </c>
      <c r="K607" s="10">
        <f t="shared" si="28"/>
        <v>13200</v>
      </c>
      <c r="L607" s="21">
        <f t="shared" si="24"/>
        <v>43.15352697095436</v>
      </c>
    </row>
    <row r="608" spans="1:12" s="72" customFormat="1" ht="25.95" customHeight="1">
      <c r="A608" s="12">
        <v>606</v>
      </c>
      <c r="B608" s="6">
        <v>12</v>
      </c>
      <c r="C608" s="6">
        <v>275</v>
      </c>
      <c r="D608" s="20" t="str">
        <f>IF(C608&lt;&gt;"", IFERROR(INDEX('بنود العقد'!B$3:B$388,C608),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v>
      </c>
      <c r="E608" s="12" t="str">
        <f>IF(C608&lt;&gt;"", IFERROR(INDEX('بنود العقد'!D$3:D$388,C608), ""), "")</f>
        <v>عدد</v>
      </c>
      <c r="F608" s="9">
        <f>IF(C608&lt;&gt;"", IFERROR(INDEX('بنود العقد'!E$3:E$388,C608), 0), "")</f>
        <v>420</v>
      </c>
      <c r="G608" s="9">
        <f>IF(C608&lt;&gt;"", IFERROR(INDEX('بنود العقد'!F$3:F$388,C608), 0), "")</f>
        <v>1422</v>
      </c>
      <c r="H608" s="18">
        <f t="shared" si="27"/>
        <v>555</v>
      </c>
      <c r="I608" s="7">
        <v>21</v>
      </c>
      <c r="J608" s="18">
        <f t="shared" si="22"/>
        <v>576</v>
      </c>
      <c r="K608" s="10">
        <f t="shared" si="28"/>
        <v>8820</v>
      </c>
      <c r="L608" s="21">
        <f t="shared" si="24"/>
        <v>40.506329113924053</v>
      </c>
    </row>
    <row r="609" spans="1:12" s="72" customFormat="1" ht="25.95" customHeight="1">
      <c r="A609" s="12">
        <v>607</v>
      </c>
      <c r="B609" s="6">
        <v>12</v>
      </c>
      <c r="C609" s="6">
        <v>276</v>
      </c>
      <c r="D609" s="20" t="str">
        <f>IF(C609&lt;&gt;"", IFERROR(INDEX('بنود العقد'!B$3:B$388,C609),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v>
      </c>
      <c r="E609" s="12" t="str">
        <f>IF(C609&lt;&gt;"", IFERROR(INDEX('بنود العقد'!D$3:D$388,C609), ""), "")</f>
        <v>عدد</v>
      </c>
      <c r="F609" s="9">
        <f>IF(C609&lt;&gt;"", IFERROR(INDEX('بنود العقد'!E$3:E$388,C609), 0), "")</f>
        <v>444</v>
      </c>
      <c r="G609" s="9">
        <f>IF(C609&lt;&gt;"", IFERROR(INDEX('بنود العقد'!F$3:F$388,C609), 0), "")</f>
        <v>1062</v>
      </c>
      <c r="H609" s="18">
        <f t="shared" si="27"/>
        <v>364</v>
      </c>
      <c r="I609" s="7">
        <v>28</v>
      </c>
      <c r="J609" s="18">
        <f t="shared" si="22"/>
        <v>392</v>
      </c>
      <c r="K609" s="10">
        <f t="shared" si="28"/>
        <v>12432</v>
      </c>
      <c r="L609" s="21">
        <f t="shared" si="24"/>
        <v>36.911487758945391</v>
      </c>
    </row>
    <row r="610" spans="1:12" s="72" customFormat="1" ht="25.95" customHeight="1">
      <c r="A610" s="12">
        <v>608</v>
      </c>
      <c r="B610" s="6">
        <v>12</v>
      </c>
      <c r="C610" s="6">
        <v>303</v>
      </c>
      <c r="D610" s="20" t="str">
        <f>IF(C610&lt;&gt;"", IFERROR(INDEX('بنود العقد'!B$3:B$388,C610),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مفتاح أحادي ، أحادي الكباّس، 10 أمبير</v>
      </c>
      <c r="E610" s="12" t="str">
        <f>IF(C610&lt;&gt;"", IFERROR(INDEX('بنود العقد'!D$3:D$388,C610), ""), "")</f>
        <v>عدد</v>
      </c>
      <c r="F610" s="9">
        <f>IF(C610&lt;&gt;"", IFERROR(INDEX('بنود العقد'!E$3:E$388,C610), 0), "")</f>
        <v>216</v>
      </c>
      <c r="G610" s="9">
        <f>IF(C610&lt;&gt;"", IFERROR(INDEX('بنود العقد'!F$3:F$388,C610), 0), "")</f>
        <v>226</v>
      </c>
      <c r="H610" s="18">
        <f t="shared" si="27"/>
        <v>67</v>
      </c>
      <c r="I610" s="7">
        <v>30</v>
      </c>
      <c r="J610" s="18">
        <f t="shared" si="22"/>
        <v>97</v>
      </c>
      <c r="K610" s="10">
        <f t="shared" si="28"/>
        <v>6480</v>
      </c>
      <c r="L610" s="21">
        <f t="shared" si="24"/>
        <v>42.920353982300888</v>
      </c>
    </row>
    <row r="611" spans="1:12" s="72" customFormat="1" ht="25.95" customHeight="1">
      <c r="A611" s="12">
        <v>609</v>
      </c>
      <c r="B611" s="6">
        <v>12</v>
      </c>
      <c r="C611" s="6">
        <v>304</v>
      </c>
      <c r="D611" s="20" t="str">
        <f>IF(C611&lt;&gt;"", IFERROR(INDEX('بنود العقد'!B$3:B$388,C611),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أحادي ، ثنائي الكباّس، 10 أمبير</v>
      </c>
      <c r="E611" s="12" t="str">
        <f>IF(C611&lt;&gt;"", IFERROR(INDEX('بنود العقد'!D$3:D$388,C611), ""), "")</f>
        <v>عدد</v>
      </c>
      <c r="F611" s="9">
        <f>IF(C611&lt;&gt;"", IFERROR(INDEX('بنود العقد'!E$3:E$388,C611), 0), "")</f>
        <v>216</v>
      </c>
      <c r="G611" s="9">
        <f>IF(C611&lt;&gt;"", IFERROR(INDEX('بنود العقد'!F$3:F$388,C611), 0), "")</f>
        <v>490</v>
      </c>
      <c r="H611" s="18">
        <f t="shared" si="27"/>
        <v>168</v>
      </c>
      <c r="I611" s="7">
        <v>53</v>
      </c>
      <c r="J611" s="18">
        <f t="shared" si="22"/>
        <v>221</v>
      </c>
      <c r="K611" s="10">
        <f t="shared" si="28"/>
        <v>11448</v>
      </c>
      <c r="L611" s="21">
        <f t="shared" si="24"/>
        <v>45.102040816326536</v>
      </c>
    </row>
    <row r="612" spans="1:12" s="72" customFormat="1" ht="25.95" customHeight="1">
      <c r="A612" s="12">
        <v>610</v>
      </c>
      <c r="B612" s="6">
        <v>12</v>
      </c>
      <c r="C612" s="6">
        <v>306</v>
      </c>
      <c r="D612" s="20" t="str">
        <f>IF(C612&lt;&gt;"", IFERROR(INDEX('بنود العقد'!B$3:B$388,C612),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ثنائي ، ثنائي الكباّس، 10 أمبير</v>
      </c>
      <c r="E612" s="12" t="str">
        <f>IF(C612&lt;&gt;"", IFERROR(INDEX('بنود العقد'!D$3:D$388,C612), ""), "")</f>
        <v>عدد</v>
      </c>
      <c r="F612" s="9">
        <f>IF(C612&lt;&gt;"", IFERROR(INDEX('بنود العقد'!E$3:E$388,C612), 0), "")</f>
        <v>216</v>
      </c>
      <c r="G612" s="9">
        <f>IF(C612&lt;&gt;"", IFERROR(INDEX('بنود العقد'!F$3:F$388,C612), 0), "")</f>
        <v>66</v>
      </c>
      <c r="H612" s="18">
        <f t="shared" si="27"/>
        <v>18</v>
      </c>
      <c r="I612" s="7">
        <v>6</v>
      </c>
      <c r="J612" s="18">
        <f t="shared" si="22"/>
        <v>24</v>
      </c>
      <c r="K612" s="10">
        <f t="shared" si="28"/>
        <v>1296</v>
      </c>
      <c r="L612" s="21">
        <f t="shared" si="24"/>
        <v>36.363636363636367</v>
      </c>
    </row>
    <row r="613" spans="1:12" s="72" customFormat="1" ht="25.95" customHeight="1">
      <c r="A613" s="12">
        <v>611</v>
      </c>
      <c r="B613" s="6">
        <v>12</v>
      </c>
      <c r="C613" s="6">
        <v>307</v>
      </c>
      <c r="D613" s="20" t="str">
        <f>IF(C613&lt;&gt;"", IFERROR(INDEX('بنود العقد'!B$3:B$388,C613), "⚠"), "")</f>
        <v xml:space="preserve"> توريد وتركيب وتوصيل وتجريب مفاتيح ذات أضواء دليلية وتشمل الماسورة والأسلاك حسب المبيّن على.المخططات و ذلك لسخانات المياه  وحسب المواصفات 20 Amp., 230 V, 1PH</v>
      </c>
      <c r="E613" s="12" t="str">
        <f>IF(C613&lt;&gt;"", IFERROR(INDEX('بنود العقد'!D$3:D$388,C613), ""), "")</f>
        <v>عدد</v>
      </c>
      <c r="F613" s="9">
        <f>IF(C613&lt;&gt;"", IFERROR(INDEX('بنود العقد'!E$3:E$388,C613), 0), "")</f>
        <v>300</v>
      </c>
      <c r="G613" s="9">
        <f>IF(C613&lt;&gt;"", IFERROR(INDEX('بنود العقد'!F$3:F$388,C613), 0), "")</f>
        <v>77</v>
      </c>
      <c r="H613" s="18">
        <f t="shared" si="27"/>
        <v>20</v>
      </c>
      <c r="I613" s="7">
        <v>20</v>
      </c>
      <c r="J613" s="18">
        <f t="shared" si="22"/>
        <v>40</v>
      </c>
      <c r="K613" s="10">
        <f t="shared" si="28"/>
        <v>6000</v>
      </c>
      <c r="L613" s="21">
        <f t="shared" si="24"/>
        <v>51.94805194805194</v>
      </c>
    </row>
    <row r="614" spans="1:12" s="72" customFormat="1" ht="25.95" customHeight="1">
      <c r="A614" s="12">
        <v>612</v>
      </c>
      <c r="B614" s="6">
        <v>12</v>
      </c>
      <c r="C614" s="6">
        <v>316</v>
      </c>
      <c r="D614" s="20" t="str">
        <f>IF(C614&lt;&gt;"", IFERROR(INDEX('بنود العقد'!B$3:B$388,C614), "⚠"), "")</f>
        <v>وحدات لاسلكية لتوفير خدمة شبكة المعلومات )Wireless Access Points(</v>
      </c>
      <c r="E614" s="12" t="str">
        <f>IF(C614&lt;&gt;"", IFERROR(INDEX('بنود العقد'!D$3:D$388,C614), ""), "")</f>
        <v>عدد</v>
      </c>
      <c r="F614" s="9">
        <f>IF(C614&lt;&gt;"", IFERROR(INDEX('بنود العقد'!E$3:E$388,C614), 0), "")</f>
        <v>1080</v>
      </c>
      <c r="G614" s="9">
        <f>IF(C614&lt;&gt;"", IFERROR(INDEX('بنود العقد'!F$3:F$388,C614), 0), "")</f>
        <v>181</v>
      </c>
      <c r="H614" s="18">
        <f t="shared" si="27"/>
        <v>60</v>
      </c>
      <c r="I614" s="7">
        <v>6</v>
      </c>
      <c r="J614" s="18">
        <f t="shared" si="22"/>
        <v>66</v>
      </c>
      <c r="K614" s="10">
        <f t="shared" si="28"/>
        <v>6480</v>
      </c>
      <c r="L614" s="21">
        <f t="shared" si="24"/>
        <v>36.464088397790057</v>
      </c>
    </row>
    <row r="615" spans="1:12" s="72" customFormat="1" ht="25.95" customHeight="1">
      <c r="A615" s="12">
        <v>613</v>
      </c>
      <c r="B615" s="6">
        <v>12</v>
      </c>
      <c r="C615" s="6">
        <v>317</v>
      </c>
      <c r="D615" s="20" t="str">
        <f>IF(C615&lt;&gt;"", IFERROR(INDEX('بنود العقد'!B$3:B$388,C615), "⚠"), "")</f>
        <v>عن طريق مقاول متخصص ذو خبرة كبيرة في هذا المجال ويقدم للاعتماد من إدارة الـ IT بالوزارة و يربط النظام مع الانظمة المعنية بالتحكم و الموازنة و يشمل البند جميع الوصلات و الكابلات و غيرها من المتطلبات الخاصة بنهو النظام كاملا توريد وتركيب واختبارنقاط كاميرا مراقبة داخلية سقفية و جميع ما يلزم من توصيلات و تركيبات و خلافة  لنهو النظام .</v>
      </c>
      <c r="E615" s="12" t="str">
        <f>IF(C615&lt;&gt;"", IFERROR(INDEX('بنود العقد'!D$3:D$388,C615), ""), "")</f>
        <v>عدد</v>
      </c>
      <c r="F615" s="9">
        <f>IF(C615&lt;&gt;"", IFERROR(INDEX('بنود العقد'!E$3:E$388,C615), 0), "")</f>
        <v>2640</v>
      </c>
      <c r="G615" s="9">
        <f>IF(C615&lt;&gt;"", IFERROR(INDEX('بنود العقد'!F$3:F$388,C615), 0), "")</f>
        <v>258</v>
      </c>
      <c r="H615" s="18">
        <f t="shared" si="27"/>
        <v>108</v>
      </c>
      <c r="I615" s="7">
        <v>5</v>
      </c>
      <c r="J615" s="18">
        <f t="shared" si="22"/>
        <v>113</v>
      </c>
      <c r="K615" s="10">
        <f t="shared" si="28"/>
        <v>13200</v>
      </c>
      <c r="L615" s="21">
        <f t="shared" si="24"/>
        <v>43.798449612403104</v>
      </c>
    </row>
    <row r="616" spans="1:12" s="72" customFormat="1" ht="25.95" customHeight="1">
      <c r="A616" s="12">
        <v>614</v>
      </c>
      <c r="B616" s="6">
        <v>12</v>
      </c>
      <c r="C616" s="6">
        <v>324</v>
      </c>
      <c r="D616" s="20" t="str">
        <f>IF(C616&lt;&gt;"", IFERROR(INDEX('بنود العقد'!B$3:B$388,C616), "⚠"), "")</f>
        <v xml:space="preserve">توريد وتركيب وإختبار نظام النداء الصوتي العام يتضمن كافة الكابالت و المواسير و العلب و النهايات مع كامل اكسسوارات التركيب الالزمة وتشغيل تجهيزات الصوت و تركيب المعدات الرئيسية بغرفة التحكم حسب المخططات و المواصفات وتعليمات الشركة المصنعة مشتمال على كل ما يلزم التمام العمل
و ربطه مع نظام الحريق و ادارة المبنى و يتكون من االتي -:
سماعة سقفية 6 وات
</v>
      </c>
      <c r="E616" s="12" t="str">
        <f>IF(C616&lt;&gt;"", IFERROR(INDEX('بنود العقد'!D$3:D$388,C616), ""), "")</f>
        <v>عدد</v>
      </c>
      <c r="F616" s="9">
        <f>IF(C616&lt;&gt;"", IFERROR(INDEX('بنود العقد'!E$3:E$388,C616), 0), "")</f>
        <v>420</v>
      </c>
      <c r="G616" s="9">
        <f>IF(C616&lt;&gt;"", IFERROR(INDEX('بنود العقد'!F$3:F$388,C616), 0), "")</f>
        <v>252</v>
      </c>
      <c r="H616" s="18">
        <f t="shared" si="27"/>
        <v>48</v>
      </c>
      <c r="I616" s="7">
        <v>8</v>
      </c>
      <c r="J616" s="18">
        <f t="shared" si="22"/>
        <v>56</v>
      </c>
      <c r="K616" s="10">
        <f t="shared" si="28"/>
        <v>3360</v>
      </c>
      <c r="L616" s="21">
        <f t="shared" si="24"/>
        <v>22.222222222222221</v>
      </c>
    </row>
    <row r="617" spans="1:12" s="72" customFormat="1" ht="25.95" customHeight="1">
      <c r="A617" s="12">
        <v>615</v>
      </c>
      <c r="B617" s="6">
        <v>12</v>
      </c>
      <c r="C617" s="6">
        <v>334</v>
      </c>
      <c r="D617" s="20" t="str">
        <f>IF(C617&lt;&gt;"", IFERROR(INDEX('بنود العقد'!B$3:B$388,C617), "⚠"), "")</f>
        <v xml:space="preserve">فك و تقطيع وتنزيل و ترحيل مواسير شبكة الصرف و التغذية القائمة و البند يشمل فك القطع والترحيل خارج الموقع وتسليم جميع مكونات شبكة الصرف و التغذية للجهة مالكة المشروع </v>
      </c>
      <c r="E617" s="12" t="str">
        <f>IF(C617&lt;&gt;"", IFERROR(INDEX('بنود العقد'!D$3:D$388,C617), ""), "")</f>
        <v>م.ط</v>
      </c>
      <c r="F617" s="9">
        <f>IF(C617&lt;&gt;"", IFERROR(INDEX('بنود العقد'!E$3:E$388,C617), 0), "")</f>
        <v>16.523</v>
      </c>
      <c r="G617" s="9">
        <f>IF(C617&lt;&gt;"", IFERROR(INDEX('بنود العقد'!F$3:F$388,C617), 0), "")</f>
        <v>0</v>
      </c>
      <c r="H617" s="18">
        <f t="shared" si="27"/>
        <v>2883</v>
      </c>
      <c r="I617" s="7">
        <v>80</v>
      </c>
      <c r="J617" s="18">
        <f t="shared" si="22"/>
        <v>2963</v>
      </c>
      <c r="K617" s="10">
        <f t="shared" si="28"/>
        <v>1321.84</v>
      </c>
      <c r="L617" s="21" t="str">
        <f t="shared" si="24"/>
        <v/>
      </c>
    </row>
    <row r="618" spans="1:12" s="72" customFormat="1" ht="25.95" customHeight="1">
      <c r="A618" s="12">
        <v>616</v>
      </c>
      <c r="B618" s="6">
        <v>12</v>
      </c>
      <c r="C618" s="6">
        <v>340</v>
      </c>
      <c r="D618" s="20" t="str">
        <f>IF(C618&lt;&gt;"", IFERROR(INDEX('بنود العقد'!B$3:B$388,C618), "⚠"), "")</f>
        <v>ازالة وتكسير وترحيل ارضيات الخرسانة</v>
      </c>
      <c r="E618" s="12" t="str">
        <f>IF(C618&lt;&gt;"", IFERROR(INDEX('بنود العقد'!D$3:D$388,C618), ""), "")</f>
        <v>م²</v>
      </c>
      <c r="F618" s="9">
        <f>IF(C618&lt;&gt;"", IFERROR(INDEX('بنود العقد'!E$3:E$388,C618), 0), "")</f>
        <v>69.42</v>
      </c>
      <c r="G618" s="9">
        <f>IF(C618&lt;&gt;"", IFERROR(INDEX('بنود العقد'!F$3:F$388,C618), 0), "")</f>
        <v>0</v>
      </c>
      <c r="H618" s="18">
        <f t="shared" si="27"/>
        <v>1108.23</v>
      </c>
      <c r="I618" s="7">
        <v>339.77</v>
      </c>
      <c r="J618" s="18">
        <f t="shared" si="22"/>
        <v>1448</v>
      </c>
      <c r="K618" s="10">
        <f t="shared" si="28"/>
        <v>23586.8334</v>
      </c>
      <c r="L618" s="21" t="str">
        <f t="shared" si="24"/>
        <v/>
      </c>
    </row>
    <row r="619" spans="1:12" s="72" customFormat="1" ht="25.95" customHeight="1">
      <c r="A619" s="12">
        <v>617</v>
      </c>
      <c r="B619" s="6">
        <v>12</v>
      </c>
      <c r="C619" s="6">
        <v>341</v>
      </c>
      <c r="D619" s="20" t="str">
        <f>IF(C619&lt;&gt;"", IFERROR(INDEX('بنود العقد'!B$3:B$388,C619), "⚠"), "")</f>
        <v xml:space="preserve">فك و تقطيع وتنزيل و ترحيل مواسير شبكة مكافحة الحريق القائمة و البند يشمل فك الرشاشات والترحيل خارج الموقع وتسليم جميع مكونات شبكة الحريق للجهة مالكة المشروع </v>
      </c>
      <c r="E619" s="12" t="str">
        <f>IF(C619&lt;&gt;"", IFERROR(INDEX('بنود العقد'!D$3:D$388,C619), ""), "")</f>
        <v>م.ط</v>
      </c>
      <c r="F619" s="9">
        <f>IF(C619&lt;&gt;"", IFERROR(INDEX('بنود العقد'!E$3:E$388,C619), 0), "")</f>
        <v>20.88</v>
      </c>
      <c r="G619" s="9">
        <f>IF(C619&lt;&gt;"", IFERROR(INDEX('بنود العقد'!F$3:F$388,C619), 0), "")</f>
        <v>0</v>
      </c>
      <c r="H619" s="18">
        <f t="shared" si="27"/>
        <v>10950</v>
      </c>
      <c r="I619" s="7">
        <v>3540</v>
      </c>
      <c r="J619" s="18">
        <f t="shared" si="22"/>
        <v>14490</v>
      </c>
      <c r="K619" s="10">
        <f t="shared" si="28"/>
        <v>73915.199999999997</v>
      </c>
      <c r="L619" s="21" t="str">
        <f t="shared" si="24"/>
        <v/>
      </c>
    </row>
    <row r="620" spans="1:12" s="72" customFormat="1" ht="25.95" customHeight="1">
      <c r="A620" s="12">
        <v>618</v>
      </c>
      <c r="B620" s="6">
        <v>12</v>
      </c>
      <c r="C620" s="6">
        <v>343</v>
      </c>
      <c r="D620" s="20" t="str">
        <f>IF(C620&lt;&gt;"", IFERROR(INDEX('بنود العقد'!B$3:B$388,C620), "⚠"), "")</f>
        <v xml:space="preserve">فك و إزالة  مجاري الهواء من الصفائح المعدنية المجلفنة شامل الاكواع و التفريعات و التحويله و العامة وحاملة التعليق و الترحيل إلى مستودعات الجهة مالكة المشروع بمدينة الرياض  </v>
      </c>
      <c r="E620" s="12" t="str">
        <f>IF(C620&lt;&gt;"", IFERROR(INDEX('بنود العقد'!D$3:D$388,C620), ""), "")</f>
        <v>م.ط</v>
      </c>
      <c r="F620" s="9">
        <f>IF(C620&lt;&gt;"", IFERROR(INDEX('بنود العقد'!E$3:E$388,C620), 0), "")</f>
        <v>106</v>
      </c>
      <c r="G620" s="9">
        <f>IF(C620&lt;&gt;"", IFERROR(INDEX('بنود العقد'!F$3:F$388,C620), 0), "")</f>
        <v>0</v>
      </c>
      <c r="H620" s="18">
        <f t="shared" si="27"/>
        <v>8878</v>
      </c>
      <c r="I620" s="7">
        <v>2236.42</v>
      </c>
      <c r="J620" s="18">
        <f t="shared" si="22"/>
        <v>11114.42</v>
      </c>
      <c r="K620" s="10">
        <f t="shared" si="28"/>
        <v>237060.52000000002</v>
      </c>
      <c r="L620" s="21" t="str">
        <f t="shared" si="24"/>
        <v/>
      </c>
    </row>
    <row r="621" spans="1:12" s="72" customFormat="1" ht="25.95" customHeight="1">
      <c r="A621" s="12">
        <v>619</v>
      </c>
      <c r="B621" s="6">
        <v>12</v>
      </c>
      <c r="C621" s="6">
        <v>351</v>
      </c>
      <c r="D621" s="20" t="str">
        <f>IF(C621&lt;&gt;"", IFERROR(INDEX('بنود العقد'!B$3:B$388,C621), "⚠"), "")</f>
        <v>توريد وتركيب وفرد دهان ايبوكسي لزوم الدربزينات بالفناء الوسطي و البهو الداخلي بين الادوار و المدخل ويتم التركيب طبقاً للمخططات والمواصفات الفنية و المواد المعتمدة  .</v>
      </c>
      <c r="E621" s="12" t="str">
        <f>IF(C621&lt;&gt;"", IFERROR(INDEX('بنود العقد'!D$3:D$388,C621), ""), "")</f>
        <v>م.ط</v>
      </c>
      <c r="F621" s="9">
        <f>IF(C621&lt;&gt;"", IFERROR(INDEX('بنود العقد'!E$3:E$388,C621), 0), "")</f>
        <v>45</v>
      </c>
      <c r="G621" s="9">
        <f>IF(C621&lt;&gt;"", IFERROR(INDEX('بنود العقد'!F$3:F$388,C621), 0), "")</f>
        <v>0</v>
      </c>
      <c r="H621" s="18">
        <f t="shared" si="27"/>
        <v>80</v>
      </c>
      <c r="I621" s="7">
        <v>154</v>
      </c>
      <c r="J621" s="18">
        <f t="shared" si="22"/>
        <v>234</v>
      </c>
      <c r="K621" s="10">
        <f t="shared" si="28"/>
        <v>6930</v>
      </c>
      <c r="L621" s="21" t="str">
        <f t="shared" si="24"/>
        <v/>
      </c>
    </row>
    <row r="622" spans="1:12" s="72" customFormat="1" ht="25.95" customHeight="1">
      <c r="A622" s="12">
        <v>620</v>
      </c>
      <c r="B622" s="6">
        <v>12</v>
      </c>
      <c r="C622" s="6">
        <v>353</v>
      </c>
      <c r="D622" s="20" t="str">
        <f>IF(C622&lt;&gt;"", IFERROR(INDEX('بنود العقد'!B$3:B$388,C622),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والمنحنيات والتفريعات والدعامات ، كما هو مبين في المخططات لتركيب مايلي من الأقطار الداخلية مع ربطه بالشبكة الحالية لاقرب نقطة و على المقاول تقديم المخططات التنفيذية و الحسابات الهيدروليكية و اعتمادها قبل البدأ بتنفيذ الاعمال من المهندس المشرف للاقطار  الداخلية :
قطر 75 مم</v>
      </c>
      <c r="E622" s="12" t="str">
        <f>IF(C622&lt;&gt;"", IFERROR(INDEX('بنود العقد'!D$3:D$388,C622), ""), "")</f>
        <v>م.ط</v>
      </c>
      <c r="F622" s="9">
        <f>IF(C622&lt;&gt;"", IFERROR(INDEX('بنود العقد'!E$3:E$388,C622), 0), "")</f>
        <v>298</v>
      </c>
      <c r="G622" s="9">
        <f>IF(C622&lt;&gt;"", IFERROR(INDEX('بنود العقد'!F$3:F$388,C622), 0), "")</f>
        <v>0</v>
      </c>
      <c r="H622" s="18">
        <f t="shared" si="27"/>
        <v>34.700000000000003</v>
      </c>
      <c r="I622" s="7">
        <v>36.299999999999997</v>
      </c>
      <c r="J622" s="18">
        <f t="shared" si="22"/>
        <v>71</v>
      </c>
      <c r="K622" s="10">
        <f t="shared" si="28"/>
        <v>10817.4</v>
      </c>
      <c r="L622" s="21" t="str">
        <f t="shared" si="24"/>
        <v/>
      </c>
    </row>
    <row r="623" spans="1:12" s="72" customFormat="1" ht="25.95" customHeight="1">
      <c r="A623" s="12">
        <v>621</v>
      </c>
      <c r="B623" s="6">
        <v>13</v>
      </c>
      <c r="C623" s="6">
        <v>6</v>
      </c>
      <c r="D623" s="20" t="str">
        <f>IF(C623&lt;&gt;"", IFERROR(INDEX('بنود العقد'!B$3:B$388,C623),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v>
      </c>
      <c r="E623" s="12" t="str">
        <f>IF(C623&lt;&gt;"", IFERROR(INDEX('بنود العقد'!D$3:D$388,C623), ""), "")</f>
        <v>م2</v>
      </c>
      <c r="F623" s="9">
        <f>IF(C623&lt;&gt;"", IFERROR(INDEX('بنود العقد'!E$3:E$388,C623), 0), "")</f>
        <v>150</v>
      </c>
      <c r="G623" s="9">
        <f>IF(C623&lt;&gt;"", IFERROR(INDEX('بنود العقد'!F$3:F$388,C623), 0), "")</f>
        <v>450</v>
      </c>
      <c r="H623" s="18">
        <f t="shared" si="27"/>
        <v>3422.59</v>
      </c>
      <c r="I623" s="7">
        <v>257.92</v>
      </c>
      <c r="J623" s="18">
        <f t="shared" si="22"/>
        <v>3680.51</v>
      </c>
      <c r="K623" s="10">
        <f t="shared" si="28"/>
        <v>38688</v>
      </c>
      <c r="L623" s="21">
        <f t="shared" si="24"/>
        <v>817.89111111111106</v>
      </c>
    </row>
    <row r="624" spans="1:12" s="72" customFormat="1" ht="25.95" customHeight="1">
      <c r="A624" s="12">
        <v>622</v>
      </c>
      <c r="B624" s="6">
        <v>13</v>
      </c>
      <c r="C624" s="6">
        <v>7</v>
      </c>
      <c r="D624" s="20" t="str">
        <f>IF(C624&lt;&gt;"", IFERROR(INDEX('بنود العقد'!B$3:B$388,C624),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القسمRef drawing: 07-MRA-DD-(as per floor number) وتعليمات المهندس المشرف 04200-Ar-100</v>
      </c>
      <c r="E624" s="12" t="str">
        <f>IF(C624&lt;&gt;"", IFERROR(INDEX('بنود العقد'!D$3:D$388,C624), ""), "")</f>
        <v>م2</v>
      </c>
      <c r="F624" s="9">
        <f>IF(C624&lt;&gt;"", IFERROR(INDEX('بنود العقد'!E$3:E$388,C624), 0), "")</f>
        <v>150</v>
      </c>
      <c r="G624" s="9">
        <f>IF(C624&lt;&gt;"", IFERROR(INDEX('بنود العقد'!F$3:F$388,C624), 0), "")</f>
        <v>76</v>
      </c>
      <c r="H624" s="18">
        <f t="shared" si="27"/>
        <v>228</v>
      </c>
      <c r="I624" s="7">
        <v>161.43</v>
      </c>
      <c r="J624" s="18">
        <f t="shared" si="22"/>
        <v>389.43</v>
      </c>
      <c r="K624" s="10">
        <f t="shared" si="28"/>
        <v>24214.5</v>
      </c>
      <c r="L624" s="21">
        <f t="shared" si="24"/>
        <v>512.40789473684208</v>
      </c>
    </row>
    <row r="625" spans="1:12" s="72" customFormat="1" ht="25.95" customHeight="1">
      <c r="A625" s="12">
        <v>623</v>
      </c>
      <c r="B625" s="6">
        <v>13</v>
      </c>
      <c r="C625" s="6">
        <v>28</v>
      </c>
      <c r="D625" s="20" t="str">
        <f>IF(C625&lt;&gt;"", IFERROR(INDEX('بنود العقد'!B$3:B$388,C625),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مثبتة على القواطع الجبسية مع قشرة صناعية بحسب العينة الموافق عليها وغروف حسب الرسومات والمناظير وتعليمات المهندس المشرفCode: WDP2</v>
      </c>
      <c r="E625" s="12" t="str">
        <f>IF(C625&lt;&gt;"", IFERROR(INDEX('بنود العقد'!D$3:D$388,C625), ""), "")</f>
        <v>م2</v>
      </c>
      <c r="F625" s="9">
        <f>IF(C625&lt;&gt;"", IFERROR(INDEX('بنود العقد'!E$3:E$388,C625), 0), "")</f>
        <v>528</v>
      </c>
      <c r="G625" s="9">
        <f>IF(C625&lt;&gt;"", IFERROR(INDEX('بنود العقد'!F$3:F$388,C625), 0), "")</f>
        <v>2517</v>
      </c>
      <c r="H625" s="18">
        <f t="shared" si="27"/>
        <v>1041</v>
      </c>
      <c r="I625" s="7">
        <v>16</v>
      </c>
      <c r="J625" s="18">
        <f t="shared" si="22"/>
        <v>1057</v>
      </c>
      <c r="K625" s="10">
        <f t="shared" si="28"/>
        <v>8448</v>
      </c>
      <c r="L625" s="21">
        <f t="shared" si="24"/>
        <v>41.994437822804926</v>
      </c>
    </row>
    <row r="626" spans="1:12" s="72" customFormat="1" ht="25.95" customHeight="1">
      <c r="A626" s="12">
        <v>624</v>
      </c>
      <c r="B626" s="6">
        <v>13</v>
      </c>
      <c r="C626" s="6">
        <v>32</v>
      </c>
      <c r="D626" s="20" t="str">
        <f>IF(C626&lt;&gt;"", IFERROR(INDEX('بنود العقد'!B$3:B$388,C626),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المطلي بدهان رمادي  Code: WDP6</v>
      </c>
      <c r="E626" s="12" t="str">
        <f>IF(C626&lt;&gt;"", IFERROR(INDEX('بنود العقد'!D$3:D$388,C626), ""), "")</f>
        <v>م2</v>
      </c>
      <c r="F626" s="9">
        <f>IF(C626&lt;&gt;"", IFERROR(INDEX('بنود العقد'!E$3:E$388,C626), 0), "")</f>
        <v>468</v>
      </c>
      <c r="G626" s="9">
        <f>IF(C626&lt;&gt;"", IFERROR(INDEX('بنود العقد'!F$3:F$388,C626), 0), "")</f>
        <v>29</v>
      </c>
      <c r="H626" s="18">
        <f t="shared" si="27"/>
        <v>0</v>
      </c>
      <c r="I626" s="7">
        <v>17</v>
      </c>
      <c r="J626" s="18">
        <f t="shared" si="22"/>
        <v>17</v>
      </c>
      <c r="K626" s="10">
        <f t="shared" si="28"/>
        <v>7956</v>
      </c>
      <c r="L626" s="21">
        <f t="shared" si="24"/>
        <v>58.620689655172406</v>
      </c>
    </row>
    <row r="627" spans="1:12" s="72" customFormat="1" ht="25.95" customHeight="1">
      <c r="A627" s="12">
        <v>625</v>
      </c>
      <c r="B627" s="6">
        <v>13</v>
      </c>
      <c r="C627" s="6">
        <v>38</v>
      </c>
      <c r="D627" s="20" t="str">
        <f>IF(C627&lt;&gt;"", IFERROR(INDEX('بنود العقد'!B$3:B$388,C627), "⚠"), "")</f>
        <v>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 من من خشب الـ)Mdf(  مع قشرة صناعية بحسب العينة الموافق عليها وغروف مثبتة بنظام تعليق متصلة بالسقف الخرساني حسب الرسومات والمناظير وتعليمات المهندس المشرف.Code: WDC-01 &amp; WDC-02</v>
      </c>
      <c r="E627" s="12" t="str">
        <f>IF(C627&lt;&gt;"", IFERROR(INDEX('بنود العقد'!D$3:D$388,C627), ""), "")</f>
        <v>م2</v>
      </c>
      <c r="F627" s="9">
        <f>IF(C627&lt;&gt;"", IFERROR(INDEX('بنود العقد'!E$3:E$388,C627), 0), "")</f>
        <v>840</v>
      </c>
      <c r="G627" s="9">
        <f>IF(C627&lt;&gt;"", IFERROR(INDEX('بنود العقد'!F$3:F$388,C627), 0), "")</f>
        <v>684</v>
      </c>
      <c r="H627" s="18">
        <f t="shared" si="27"/>
        <v>250</v>
      </c>
      <c r="I627" s="7">
        <v>17</v>
      </c>
      <c r="J627" s="18">
        <f t="shared" si="22"/>
        <v>267</v>
      </c>
      <c r="K627" s="10">
        <f t="shared" si="28"/>
        <v>14280</v>
      </c>
      <c r="L627" s="21">
        <f t="shared" si="24"/>
        <v>39.035087719298247</v>
      </c>
    </row>
    <row r="628" spans="1:12" s="72" customFormat="1" ht="25.95" customHeight="1">
      <c r="A628" s="12">
        <v>626</v>
      </c>
      <c r="B628" s="6">
        <v>13</v>
      </c>
      <c r="C628" s="6">
        <v>45</v>
      </c>
      <c r="D628" s="20" t="str">
        <f>IF(C628&lt;&gt;"", IFERROR(INDEX('بنود العقد'!B$3:B$388,C628), "⚠"), "")</f>
        <v xml:space="preserve"> توريد وتنفيذ طبقتين من غشاء عازل للمياه من الـبيتومين ثخانة 4 مم للأماكن الرطبة وحتى ارتفاع 10   سم على الجدران المحيطة ويشمل تحضير السطوح ومواد حشو الزوايا وطبقات الحماية جيوتكستايل الأفُقية والعمودية. ويشمل السعر أي مواد وأعمال مطلوبة لاستكمال العمل حسب المواصفات والمخططات.وتعليمات المهندس المشرف</v>
      </c>
      <c r="E628" s="12" t="str">
        <f>IF(C628&lt;&gt;"", IFERROR(INDEX('بنود العقد'!D$3:D$388,C628), ""), "")</f>
        <v>م2</v>
      </c>
      <c r="F628" s="9">
        <f>IF(C628&lt;&gt;"", IFERROR(INDEX('بنود العقد'!E$3:E$388,C628), 0), "")</f>
        <v>78</v>
      </c>
      <c r="G628" s="9">
        <f>IF(C628&lt;&gt;"", IFERROR(INDEX('بنود العقد'!F$3:F$388,C628), 0), "")</f>
        <v>1345</v>
      </c>
      <c r="H628" s="18">
        <f t="shared" si="27"/>
        <v>740</v>
      </c>
      <c r="I628" s="7">
        <v>32</v>
      </c>
      <c r="J628" s="18">
        <f t="shared" si="22"/>
        <v>772</v>
      </c>
      <c r="K628" s="10">
        <f t="shared" si="28"/>
        <v>2496</v>
      </c>
      <c r="L628" s="21">
        <f t="shared" si="24"/>
        <v>57.397769516728623</v>
      </c>
    </row>
    <row r="629" spans="1:12" s="72" customFormat="1" ht="25.95" customHeight="1">
      <c r="A629" s="12">
        <v>627</v>
      </c>
      <c r="B629" s="6">
        <v>13</v>
      </c>
      <c r="C629" s="6">
        <v>66</v>
      </c>
      <c r="D629" s="20" t="str">
        <f>IF(C629&lt;&gt;"", IFERROR(INDEX('بنود العقد'!B$3:B$388,C629), "⚠"),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E629" s="12" t="str">
        <f>IF(C629&lt;&gt;"", IFERROR(INDEX('بنود العقد'!D$3:D$388,C629), ""), "")</f>
        <v>م²</v>
      </c>
      <c r="F629" s="9">
        <f>IF(C629&lt;&gt;"", IFERROR(INDEX('بنود العقد'!E$3:E$388,C629), 0), "")</f>
        <v>900</v>
      </c>
      <c r="G629" s="9">
        <f>IF(C629&lt;&gt;"", IFERROR(INDEX('بنود العقد'!F$3:F$388,C629), 0), "")</f>
        <v>4000</v>
      </c>
      <c r="H629" s="18">
        <f t="shared" si="27"/>
        <v>1888</v>
      </c>
      <c r="I629" s="7">
        <v>165</v>
      </c>
      <c r="J629" s="18">
        <f t="shared" si="22"/>
        <v>2053</v>
      </c>
      <c r="K629" s="10">
        <f t="shared" si="28"/>
        <v>148500</v>
      </c>
      <c r="L629" s="21">
        <f t="shared" si="24"/>
        <v>51.324999999999996</v>
      </c>
    </row>
    <row r="630" spans="1:12" s="72" customFormat="1" ht="25.95" customHeight="1">
      <c r="A630" s="12">
        <v>628</v>
      </c>
      <c r="B630" s="6">
        <v>13</v>
      </c>
      <c r="C630" s="6">
        <v>72</v>
      </c>
      <c r="D630" s="20" t="str">
        <f>IF(C630&lt;&gt;"", IFERROR(INDEX('بنود العقد'!B$3:B$388,C630), "⚠"), "")</f>
        <v>طبقة من اللياسة الأسمنتية فوق الأسطح الخرسانية والجدران الداخلية  بسمك متوسط 20 مم على طبقات  طرطشة بسمك 5 مم وضهارة 15 مم حسب المواصفات مع المعالجة اليومية  بالمياه لمنع التنميلات ويتم عمل افريز بين البلوك والخرسانة يملئ بمواد قابلة للدهان والسعر يشمل كامل الأكسسوارات اللازمة من شبك معدني ممدد وزوايا ونهايات معدنية  ومواد الترابط  وعمل تجاويف في طبقة اللياسة بعمق 10مم عرض 10مم  في الاعمدة  وفي الجدران ان وجدت حسب الرسومات والمناظير وتعليمات المهندس المشرف ذلك حسب الاصول الفنية وتعليمات المهندس المشرف. لياسة الجدران والأعمدة الداخلية  وتشمل جميع الإكسسوارات بإرتفاع 20 سم أعلي الأسقف الجبسيه لزوم الجدران الداخلية</v>
      </c>
      <c r="E630" s="12" t="str">
        <f>IF(C630&lt;&gt;"", IFERROR(INDEX('بنود العقد'!D$3:D$388,C630), ""), "")</f>
        <v>م²</v>
      </c>
      <c r="F630" s="9">
        <f>IF(C630&lt;&gt;"", IFERROR(INDEX('بنود العقد'!E$3:E$388,C630), 0), "")</f>
        <v>42</v>
      </c>
      <c r="G630" s="9">
        <f>IF(C630&lt;&gt;"", IFERROR(INDEX('بنود العقد'!F$3:F$388,C630), 0), "")</f>
        <v>758</v>
      </c>
      <c r="H630" s="18">
        <f t="shared" si="27"/>
        <v>4716.0039999999999</v>
      </c>
      <c r="I630" s="7">
        <v>85</v>
      </c>
      <c r="J630" s="18">
        <f t="shared" si="22"/>
        <v>4801.0039999999999</v>
      </c>
      <c r="K630" s="10">
        <f t="shared" si="28"/>
        <v>3570</v>
      </c>
      <c r="L630" s="21">
        <f t="shared" si="24"/>
        <v>633.37783641160956</v>
      </c>
    </row>
    <row r="631" spans="1:12" s="72" customFormat="1" ht="25.95" customHeight="1">
      <c r="A631" s="12">
        <v>629</v>
      </c>
      <c r="B631" s="6">
        <v>13</v>
      </c>
      <c r="C631" s="6">
        <v>74</v>
      </c>
      <c r="D631" s="20" t="str">
        <f>IF(C631&lt;&gt;"", IFERROR(INDEX('بنود العقد'!B$3:B$388,C631), "⚠"), "")</f>
        <v>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v>
      </c>
      <c r="E631" s="12" t="str">
        <f>IF(C631&lt;&gt;"", IFERROR(INDEX('بنود العقد'!D$3:D$388,C631), ""), "")</f>
        <v>م²</v>
      </c>
      <c r="F631" s="9">
        <f>IF(C631&lt;&gt;"", IFERROR(INDEX('بنود العقد'!E$3:E$388,C631), 0), "")</f>
        <v>180</v>
      </c>
      <c r="G631" s="9">
        <f>IF(C631&lt;&gt;"", IFERROR(INDEX('بنود العقد'!F$3:F$388,C631), 0), "")</f>
        <v>12526</v>
      </c>
      <c r="H631" s="18">
        <f t="shared" si="27"/>
        <v>5130</v>
      </c>
      <c r="I631" s="7">
        <v>1182</v>
      </c>
      <c r="J631" s="18">
        <f t="shared" si="22"/>
        <v>6312</v>
      </c>
      <c r="K631" s="10">
        <f t="shared" si="28"/>
        <v>212760</v>
      </c>
      <c r="L631" s="21">
        <f t="shared" si="24"/>
        <v>50.391186332428553</v>
      </c>
    </row>
    <row r="632" spans="1:12" s="72" customFormat="1" ht="25.95" customHeight="1">
      <c r="A632" s="12">
        <v>630</v>
      </c>
      <c r="B632" s="6">
        <v>13</v>
      </c>
      <c r="C632" s="6">
        <v>75</v>
      </c>
      <c r="D632" s="20" t="str">
        <f>IF(C632&lt;&gt;"", IFERROR(INDEX('بنود العقد'!B$3:B$388,C632), "⚠"), "")</f>
        <v>توريد وتركيب أسقف معلقة من الالواح الجبسيه )01-GBC( ثخانة 12 مم المقاومة للحريق شاملة نظام التعليق وضبط الحواف والزوايا وأبواب لفتحات الكشف بالأسقف لأعمال الصيانة )أبواب جاهزة من النوع السهل الاستعمال والمزود بمفصلات مخفية( والإكسسوارات. ويشمل السعر أي مواد أو أعمال يتطلبها استكمال العمل حسب المواصفات والمخططات.</v>
      </c>
      <c r="E632" s="12" t="str">
        <f>IF(C632&lt;&gt;"", IFERROR(INDEX('بنود العقد'!D$3:D$388,C632), ""), "")</f>
        <v>م²</v>
      </c>
      <c r="F632" s="9">
        <f>IF(C632&lt;&gt;"", IFERROR(INDEX('بنود العقد'!E$3:E$388,C632), 0), "")</f>
        <v>150</v>
      </c>
      <c r="G632" s="9">
        <f>IF(C632&lt;&gt;"", IFERROR(INDEX('بنود العقد'!F$3:F$388,C632), 0), "")</f>
        <v>24468</v>
      </c>
      <c r="H632" s="18">
        <f t="shared" si="27"/>
        <v>8506.0000700000001</v>
      </c>
      <c r="I632" s="7">
        <v>1591</v>
      </c>
      <c r="J632" s="18">
        <f t="shared" si="22"/>
        <v>10097.00007</v>
      </c>
      <c r="K632" s="10">
        <f t="shared" si="28"/>
        <v>238650</v>
      </c>
      <c r="L632" s="21">
        <f t="shared" si="24"/>
        <v>41.266143820500247</v>
      </c>
    </row>
    <row r="633" spans="1:12" s="72" customFormat="1" ht="25.95" customHeight="1">
      <c r="A633" s="12">
        <v>631</v>
      </c>
      <c r="B633" s="6">
        <v>13</v>
      </c>
      <c r="C633" s="6">
        <v>76</v>
      </c>
      <c r="D633" s="20" t="str">
        <f>IF(C633&lt;&gt;"", IFERROR(INDEX('بنود العقد'!B$3:B$388,C633), "⚠"), "")</f>
        <v>توريد وتركيب أسقف معلقة من الالواح الجبسيه  )02-GBC( ثخانة 12 مم المقاومة للرطوبة شاملة نظام التعليق وضبط الحواف والزوايا وأبواب لفتحات الكشف بالأسقف لأعمال الصيانة )أبواب جاهزة من النوع السهل الاستعمال والمزود بمفصلات مخفية( واالإكسسوارات. ويشمل السعر أي مواد أو أعمال يتطلبها استكمال العمل حسب المواصفات والمخططات وتعليمات المهندس المشرف.</v>
      </c>
      <c r="E633" s="12" t="str">
        <f>IF(C633&lt;&gt;"", IFERROR(INDEX('بنود العقد'!D$3:D$388,C633), ""), "")</f>
        <v>م²</v>
      </c>
      <c r="F633" s="9">
        <f>IF(C633&lt;&gt;"", IFERROR(INDEX('بنود العقد'!E$3:E$388,C633), 0), "")</f>
        <v>150</v>
      </c>
      <c r="G633" s="9">
        <f>IF(C633&lt;&gt;"", IFERROR(INDEX('بنود العقد'!F$3:F$388,C633), 0), "")</f>
        <v>1091</v>
      </c>
      <c r="H633" s="18">
        <f t="shared" si="27"/>
        <v>449</v>
      </c>
      <c r="I633" s="7">
        <v>25</v>
      </c>
      <c r="J633" s="18">
        <f t="shared" si="22"/>
        <v>474</v>
      </c>
      <c r="K633" s="10">
        <f t="shared" si="28"/>
        <v>3750</v>
      </c>
      <c r="L633" s="21">
        <f t="shared" si="24"/>
        <v>43.446379468377636</v>
      </c>
    </row>
    <row r="634" spans="1:12" s="72" customFormat="1" ht="25.95" customHeight="1">
      <c r="A634" s="12">
        <v>632</v>
      </c>
      <c r="B634" s="6">
        <v>13</v>
      </c>
      <c r="C634" s="6">
        <v>77</v>
      </c>
      <c r="D634" s="20" t="str">
        <f>IF(C634&lt;&gt;"", IFERROR(INDEX('بنود العقد'!B$3:B$388,C634), "⚠"), "")</f>
        <v>600×600مم توريد وتركيب اسقف اصطناعية  والسعر يشمل نظام التعليق من الحديد المجفلن مع جميع الاكسسوارات وكل مايلزم حسب المواصفات والمخططات وتعليمات الشركة المصنعة .</v>
      </c>
      <c r="E634" s="12" t="str">
        <f>IF(C634&lt;&gt;"", IFERROR(INDEX('بنود العقد'!D$3:D$388,C634), ""), "")</f>
        <v>م²</v>
      </c>
      <c r="F634" s="9">
        <f>IF(C634&lt;&gt;"", IFERROR(INDEX('بنود العقد'!E$3:E$388,C634), 0), "")</f>
        <v>150</v>
      </c>
      <c r="G634" s="9">
        <f>IF(C634&lt;&gt;"", IFERROR(INDEX('بنود العقد'!F$3:F$388,C634), 0), "")</f>
        <v>3323</v>
      </c>
      <c r="H634" s="18">
        <f t="shared" si="27"/>
        <v>1240.3499999999999</v>
      </c>
      <c r="I634" s="7">
        <v>200.65</v>
      </c>
      <c r="J634" s="18">
        <f t="shared" si="22"/>
        <v>1441</v>
      </c>
      <c r="K634" s="10">
        <f t="shared" si="28"/>
        <v>30097.5</v>
      </c>
      <c r="L634" s="21">
        <f t="shared" si="24"/>
        <v>43.364429732169725</v>
      </c>
    </row>
    <row r="635" spans="1:12" s="72" customFormat="1" ht="25.95" customHeight="1">
      <c r="A635" s="12">
        <v>633</v>
      </c>
      <c r="B635" s="6">
        <v>13</v>
      </c>
      <c r="C635" s="6">
        <v>133</v>
      </c>
      <c r="D635" s="20" t="str">
        <f>IF(C635&lt;&gt;"", IFERROR(INDEX('بنود العقد'!B$3:B$388,C635),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ابيض</v>
      </c>
      <c r="E635" s="12" t="str">
        <f>IF(C635&lt;&gt;"", IFERROR(INDEX('بنود العقد'!D$3:D$388,C635), ""), "")</f>
        <v>م²</v>
      </c>
      <c r="F635" s="9">
        <f>IF(C635&lt;&gt;"", IFERROR(INDEX('بنود العقد'!E$3:E$388,C635), 0), "")</f>
        <v>24</v>
      </c>
      <c r="G635" s="9">
        <f>IF(C635&lt;&gt;"", IFERROR(INDEX('بنود العقد'!F$3:F$388,C635), 0), "")</f>
        <v>25559</v>
      </c>
      <c r="H635" s="18">
        <f t="shared" si="27"/>
        <v>3789.0039999999999</v>
      </c>
      <c r="I635" s="7">
        <v>403</v>
      </c>
      <c r="J635" s="18">
        <f t="shared" si="22"/>
        <v>4192.0039999999999</v>
      </c>
      <c r="K635" s="10">
        <f t="shared" si="28"/>
        <v>9672</v>
      </c>
      <c r="L635" s="21">
        <f t="shared" si="24"/>
        <v>16.401283305293635</v>
      </c>
    </row>
    <row r="636" spans="1:12" s="72" customFormat="1" ht="25.95" customHeight="1">
      <c r="A636" s="12">
        <v>634</v>
      </c>
      <c r="B636" s="6">
        <v>13</v>
      </c>
      <c r="C636" s="6">
        <v>143</v>
      </c>
      <c r="D636" s="20" t="str">
        <f>IF(C636&lt;&gt;"", IFERROR(INDEX('بنود العقد'!B$3:B$388,C636), "⚠"), "")</f>
        <v>موزع صابون سائل</v>
      </c>
      <c r="E636" s="12" t="str">
        <f>IF(C636&lt;&gt;"", IFERROR(INDEX('بنود العقد'!D$3:D$388,C636), ""), "")</f>
        <v>عدد</v>
      </c>
      <c r="F636" s="9">
        <f>IF(C636&lt;&gt;"", IFERROR(INDEX('بنود العقد'!E$3:E$388,C636), 0), "")</f>
        <v>192</v>
      </c>
      <c r="G636" s="9">
        <f>IF(C636&lt;&gt;"", IFERROR(INDEX('بنود العقد'!F$3:F$388,C636), 0), "")</f>
        <v>115</v>
      </c>
      <c r="H636" s="18">
        <f t="shared" si="27"/>
        <v>0</v>
      </c>
      <c r="I636" s="7">
        <v>21</v>
      </c>
      <c r="J636" s="18">
        <f t="shared" si="22"/>
        <v>21</v>
      </c>
      <c r="K636" s="10">
        <f t="shared" si="28"/>
        <v>4032</v>
      </c>
      <c r="L636" s="21">
        <f t="shared" si="24"/>
        <v>18.260869565217391</v>
      </c>
    </row>
    <row r="637" spans="1:12" s="72" customFormat="1" ht="25.95" customHeight="1">
      <c r="A637" s="12">
        <v>635</v>
      </c>
      <c r="B637" s="6">
        <v>13</v>
      </c>
      <c r="C637" s="6">
        <v>144</v>
      </c>
      <c r="D637" s="20" t="str">
        <f>IF(C637&lt;&gt;"", IFERROR(INDEX('بنود العقد'!B$3:B$388,C637), "⚠"), "")</f>
        <v>حاملة لفة ورق توليت</v>
      </c>
      <c r="E637" s="12" t="str">
        <f>IF(C637&lt;&gt;"", IFERROR(INDEX('بنود العقد'!D$3:D$388,C637), ""), "")</f>
        <v>عدد</v>
      </c>
      <c r="F637" s="9">
        <f>IF(C637&lt;&gt;"", IFERROR(INDEX('بنود العقد'!E$3:E$388,C637), 0), "")</f>
        <v>192</v>
      </c>
      <c r="G637" s="9">
        <f>IF(C637&lt;&gt;"", IFERROR(INDEX('بنود العقد'!F$3:F$388,C637), 0), "")</f>
        <v>138</v>
      </c>
      <c r="H637" s="18">
        <f t="shared" si="27"/>
        <v>0</v>
      </c>
      <c r="I637" s="7">
        <v>6</v>
      </c>
      <c r="J637" s="18">
        <f t="shared" si="22"/>
        <v>6</v>
      </c>
      <c r="K637" s="10">
        <f t="shared" si="28"/>
        <v>1152</v>
      </c>
      <c r="L637" s="21">
        <f t="shared" si="24"/>
        <v>4.3478260869565215</v>
      </c>
    </row>
    <row r="638" spans="1:12" s="72" customFormat="1" ht="25.95" customHeight="1">
      <c r="A638" s="12">
        <v>636</v>
      </c>
      <c r="B638" s="6">
        <v>13</v>
      </c>
      <c r="C638" s="6">
        <v>161</v>
      </c>
      <c r="D638" s="20" t="str">
        <f>IF(C638&lt;&gt;"", IFERROR(INDEX('بنود العقد'!B$3:B$388,C638),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1200طول × عرض600 مم</v>
      </c>
      <c r="E638" s="12" t="str">
        <f>IF(C638&lt;&gt;"", IFERROR(INDEX('بنود العقد'!D$3:D$388,C638), ""), "")</f>
        <v>عدد</v>
      </c>
      <c r="F638" s="9">
        <f>IF(C638&lt;&gt;"", IFERROR(INDEX('بنود العقد'!E$3:E$388,C638), 0), "")</f>
        <v>1800</v>
      </c>
      <c r="G638" s="9">
        <f>IF(C638&lt;&gt;"", IFERROR(INDEX('بنود العقد'!F$3:F$388,C638), 0), "")</f>
        <v>20</v>
      </c>
      <c r="H638" s="18">
        <f t="shared" si="27"/>
        <v>0</v>
      </c>
      <c r="I638" s="7">
        <v>2</v>
      </c>
      <c r="J638" s="18">
        <f t="shared" si="22"/>
        <v>2</v>
      </c>
      <c r="K638" s="10">
        <f t="shared" si="28"/>
        <v>3600</v>
      </c>
      <c r="L638" s="21">
        <f t="shared" si="24"/>
        <v>10</v>
      </c>
    </row>
    <row r="639" spans="1:12" s="72" customFormat="1" ht="25.95" customHeight="1">
      <c r="A639" s="12">
        <v>637</v>
      </c>
      <c r="B639" s="6">
        <v>13</v>
      </c>
      <c r="C639" s="6">
        <v>162</v>
      </c>
      <c r="D639" s="20" t="str">
        <f>IF(C639&lt;&gt;"", IFERROR(INDEX('بنود العقد'!B$3:B$388,C639),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المشرف.Ref drawing: 07-MRA-DD-(as per floor number)-AR-700 to 703 مقاس: 1000طول × عرض600 مم</v>
      </c>
      <c r="E639" s="12" t="str">
        <f>IF(C639&lt;&gt;"", IFERROR(INDEX('بنود العقد'!D$3:D$388,C639), ""), "")</f>
        <v>عدد</v>
      </c>
      <c r="F639" s="9">
        <f>IF(C639&lt;&gt;"", IFERROR(INDEX('بنود العقد'!E$3:E$388,C639), 0), "")</f>
        <v>1800</v>
      </c>
      <c r="G639" s="9">
        <f>IF(C639&lt;&gt;"", IFERROR(INDEX('بنود العقد'!F$3:F$388,C639), 0), "")</f>
        <v>22</v>
      </c>
      <c r="H639" s="18">
        <f t="shared" ref="H639:H685" si="29">IFERROR(SUMIFS(I$3:I$1805, B$3:B$1805, "&lt;"&amp;B639, C$3:C$1805, C639), 0)</f>
        <v>0</v>
      </c>
      <c r="I639" s="7">
        <v>5</v>
      </c>
      <c r="J639" s="18">
        <f t="shared" si="22"/>
        <v>5</v>
      </c>
      <c r="K639" s="10">
        <f t="shared" si="28"/>
        <v>9000</v>
      </c>
      <c r="L639" s="21">
        <f t="shared" si="24"/>
        <v>22.727272727272727</v>
      </c>
    </row>
    <row r="640" spans="1:12" s="72" customFormat="1" ht="25.95" customHeight="1">
      <c r="A640" s="12">
        <v>638</v>
      </c>
      <c r="B640" s="6">
        <v>13</v>
      </c>
      <c r="C640" s="6">
        <v>176</v>
      </c>
      <c r="D640" s="20" t="str">
        <f>IF(C640&lt;&gt;"", IFERROR(INDEX('بنود العقد'!B$3:B$388,C640),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640" s="12" t="str">
        <f>IF(C640&lt;&gt;"", IFERROR(INDEX('بنود العقد'!D$3:D$388,C640), ""), "")</f>
        <v>م.ط</v>
      </c>
      <c r="F640" s="9">
        <f>IF(C640&lt;&gt;"", IFERROR(INDEX('بنود العقد'!E$3:E$388,C640), 0), "")</f>
        <v>66</v>
      </c>
      <c r="G640" s="9">
        <f>IF(C640&lt;&gt;"", IFERROR(INDEX('بنود العقد'!F$3:F$388,C640), 0), "")</f>
        <v>532</v>
      </c>
      <c r="H640" s="18">
        <f t="shared" si="29"/>
        <v>882</v>
      </c>
      <c r="I640" s="7">
        <v>79</v>
      </c>
      <c r="J640" s="18">
        <f t="shared" si="22"/>
        <v>961</v>
      </c>
      <c r="K640" s="10">
        <f t="shared" si="28"/>
        <v>5214</v>
      </c>
      <c r="L640" s="21">
        <f t="shared" si="24"/>
        <v>180.63909774436092</v>
      </c>
    </row>
    <row r="641" spans="1:12" s="72" customFormat="1" ht="25.95" customHeight="1">
      <c r="A641" s="12">
        <v>639</v>
      </c>
      <c r="B641" s="6">
        <v>13</v>
      </c>
      <c r="C641" s="6">
        <v>177</v>
      </c>
      <c r="D641" s="20" t="str">
        <f>IF(C641&lt;&gt;"", IFERROR(INDEX('بنود العقد'!B$3:B$388,C641),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E641" s="12" t="str">
        <f>IF(C641&lt;&gt;"", IFERROR(INDEX('بنود العقد'!D$3:D$388,C641), ""), "")</f>
        <v>م.ط</v>
      </c>
      <c r="F641" s="9">
        <f>IF(C641&lt;&gt;"", IFERROR(INDEX('بنود العقد'!E$3:E$388,C641), 0), "")</f>
        <v>70.8</v>
      </c>
      <c r="G641" s="9">
        <f>IF(C641&lt;&gt;"", IFERROR(INDEX('بنود العقد'!F$3:F$388,C641), 0), "")</f>
        <v>221</v>
      </c>
      <c r="H641" s="18">
        <f t="shared" si="29"/>
        <v>223</v>
      </c>
      <c r="I641" s="7">
        <v>20</v>
      </c>
      <c r="J641" s="18">
        <f t="shared" si="22"/>
        <v>243</v>
      </c>
      <c r="K641" s="10">
        <f t="shared" si="28"/>
        <v>1416</v>
      </c>
      <c r="L641" s="21">
        <f t="shared" si="24"/>
        <v>109.95475113122173</v>
      </c>
    </row>
    <row r="642" spans="1:12" s="72" customFormat="1" ht="25.95" customHeight="1">
      <c r="A642" s="12">
        <v>640</v>
      </c>
      <c r="B642" s="6">
        <v>13</v>
      </c>
      <c r="C642" s="6">
        <v>178</v>
      </c>
      <c r="D642" s="20" t="str">
        <f>IF(C642&lt;&gt;"", IFERROR(INDEX('بنود العقد'!B$3:B$388,C642),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32مم</v>
      </c>
      <c r="E642" s="12" t="str">
        <f>IF(C642&lt;&gt;"", IFERROR(INDEX('بنود العقد'!D$3:D$388,C642), ""), "")</f>
        <v>م.ط</v>
      </c>
      <c r="F642" s="9">
        <f>IF(C642&lt;&gt;"", IFERROR(INDEX('بنود العقد'!E$3:E$388,C642), 0), "")</f>
        <v>102</v>
      </c>
      <c r="G642" s="9">
        <f>IF(C642&lt;&gt;"", IFERROR(INDEX('بنود العقد'!F$3:F$388,C642), 0), "")</f>
        <v>207</v>
      </c>
      <c r="H642" s="18">
        <f t="shared" si="29"/>
        <v>139.00000000000003</v>
      </c>
      <c r="I642" s="7">
        <v>27</v>
      </c>
      <c r="J642" s="18">
        <f t="shared" si="22"/>
        <v>166.00000000000003</v>
      </c>
      <c r="K642" s="10">
        <f t="shared" si="28"/>
        <v>2754</v>
      </c>
      <c r="L642" s="21">
        <f t="shared" si="24"/>
        <v>80.193236714975853</v>
      </c>
    </row>
    <row r="643" spans="1:12" s="72" customFormat="1" ht="25.95" customHeight="1">
      <c r="A643" s="12">
        <v>641</v>
      </c>
      <c r="B643" s="6">
        <v>13</v>
      </c>
      <c r="C643" s="6">
        <v>179</v>
      </c>
      <c r="D643" s="20" t="str">
        <f>IF(C643&lt;&gt;"", IFERROR(INDEX('بنود العقد'!B$3:B$388,C643),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40 مم</v>
      </c>
      <c r="E643" s="12" t="str">
        <f>IF(C643&lt;&gt;"", IFERROR(INDEX('بنود العقد'!D$3:D$388,C643), ""), "")</f>
        <v>م.ط</v>
      </c>
      <c r="F643" s="9">
        <f>IF(C643&lt;&gt;"", IFERROR(INDEX('بنود العقد'!E$3:E$388,C643), 0), "")</f>
        <v>85.2</v>
      </c>
      <c r="G643" s="9">
        <f>IF(C643&lt;&gt;"", IFERROR(INDEX('بنود العقد'!F$3:F$388,C643), 0), "")</f>
        <v>103</v>
      </c>
      <c r="H643" s="18">
        <f t="shared" si="29"/>
        <v>242</v>
      </c>
      <c r="I643" s="7">
        <v>15</v>
      </c>
      <c r="J643" s="18">
        <f t="shared" si="22"/>
        <v>257</v>
      </c>
      <c r="K643" s="10">
        <f t="shared" si="28"/>
        <v>1278</v>
      </c>
      <c r="L643" s="21">
        <f t="shared" si="24"/>
        <v>249.51456310679609</v>
      </c>
    </row>
    <row r="644" spans="1:12" s="72" customFormat="1" ht="25.95" customHeight="1">
      <c r="A644" s="12">
        <v>642</v>
      </c>
      <c r="B644" s="6">
        <v>13</v>
      </c>
      <c r="C644" s="6">
        <v>180</v>
      </c>
      <c r="D644" s="20" t="str">
        <f>IF(C644&lt;&gt;"", IFERROR(INDEX('بنود العقد'!B$3:B$388,C644),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الداخلية:قطر 50 مم</v>
      </c>
      <c r="E644" s="12" t="str">
        <f>IF(C644&lt;&gt;"", IFERROR(INDEX('بنود العقد'!D$3:D$388,C644), ""), "")</f>
        <v>م.ط</v>
      </c>
      <c r="F644" s="9">
        <f>IF(C644&lt;&gt;"", IFERROR(INDEX('بنود العقد'!E$3:E$388,C644), 0), "")</f>
        <v>94.8</v>
      </c>
      <c r="G644" s="9">
        <f>IF(C644&lt;&gt;"", IFERROR(INDEX('بنود العقد'!F$3:F$388,C644), 0), "")</f>
        <v>218</v>
      </c>
      <c r="H644" s="18">
        <f t="shared" si="29"/>
        <v>148</v>
      </c>
      <c r="I644" s="7">
        <v>6</v>
      </c>
      <c r="J644" s="18">
        <f t="shared" si="22"/>
        <v>154</v>
      </c>
      <c r="K644" s="10">
        <f t="shared" si="28"/>
        <v>568.79999999999995</v>
      </c>
      <c r="L644" s="21">
        <f t="shared" si="24"/>
        <v>70.642201834862391</v>
      </c>
    </row>
    <row r="645" spans="1:12" s="72" customFormat="1" ht="25.95" customHeight="1">
      <c r="A645" s="12">
        <v>643</v>
      </c>
      <c r="B645" s="6">
        <v>13</v>
      </c>
      <c r="C645" s="6">
        <v>181</v>
      </c>
      <c r="D645" s="20" t="str">
        <f>IF(C645&lt;&gt;"", IFERROR(INDEX('بنود العقد'!B$3:B$388,C645),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645" s="12" t="str">
        <f>IF(C645&lt;&gt;"", IFERROR(INDEX('بنود العقد'!D$3:D$388,C645), ""), "")</f>
        <v>م.ط</v>
      </c>
      <c r="F645" s="9">
        <f>IF(C645&lt;&gt;"", IFERROR(INDEX('بنود العقد'!E$3:E$388,C645), 0), "")</f>
        <v>70.8</v>
      </c>
      <c r="G645" s="9">
        <f>IF(C645&lt;&gt;"", IFERROR(INDEX('بنود العقد'!F$3:F$388,C645), 0), "")</f>
        <v>150</v>
      </c>
      <c r="H645" s="18">
        <f t="shared" si="29"/>
        <v>500</v>
      </c>
      <c r="I645" s="7">
        <v>43</v>
      </c>
      <c r="J645" s="18">
        <f t="shared" si="22"/>
        <v>543</v>
      </c>
      <c r="K645" s="10">
        <f t="shared" si="28"/>
        <v>3044.4</v>
      </c>
      <c r="L645" s="21">
        <f t="shared" si="24"/>
        <v>362</v>
      </c>
    </row>
    <row r="646" spans="1:12" s="72" customFormat="1" ht="25.95" customHeight="1">
      <c r="A646" s="12">
        <v>644</v>
      </c>
      <c r="B646" s="6">
        <v>13</v>
      </c>
      <c r="C646" s="6">
        <v>182</v>
      </c>
      <c r="D646" s="20" t="str">
        <f>IF(C646&lt;&gt;"", IFERROR(INDEX('بنود العقد'!B$3:B$388,C646),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E646" s="12" t="str">
        <f>IF(C646&lt;&gt;"", IFERROR(INDEX('بنود العقد'!D$3:D$388,C646), ""), "")</f>
        <v>م.ط</v>
      </c>
      <c r="F646" s="9">
        <f>IF(C646&lt;&gt;"", IFERROR(INDEX('بنود العقد'!E$3:E$388,C646), 0), "")</f>
        <v>75.599999999999994</v>
      </c>
      <c r="G646" s="9">
        <f>IF(C646&lt;&gt;"", IFERROR(INDEX('بنود العقد'!F$3:F$388,C646), 0), "")</f>
        <v>100</v>
      </c>
      <c r="H646" s="18">
        <f t="shared" si="29"/>
        <v>60</v>
      </c>
      <c r="I646" s="7">
        <v>15</v>
      </c>
      <c r="J646" s="18">
        <f t="shared" si="22"/>
        <v>75</v>
      </c>
      <c r="K646" s="10">
        <f t="shared" si="28"/>
        <v>1134</v>
      </c>
      <c r="L646" s="21">
        <f t="shared" si="24"/>
        <v>75</v>
      </c>
    </row>
    <row r="647" spans="1:12" s="72" customFormat="1" ht="25.95" customHeight="1">
      <c r="A647" s="12">
        <v>645</v>
      </c>
      <c r="B647" s="6">
        <v>13</v>
      </c>
      <c r="C647" s="6">
        <v>183</v>
      </c>
      <c r="D647" s="20" t="str">
        <f>IF(C647&lt;&gt;"", IFERROR(INDEX('بنود العقد'!B$3:B$388,C647), "⚠"), "")</f>
        <v>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التالية:توريد و تركيب و اختبار سخان بسعة 30 لتر، وقدرة 2.1  كيلو وات، مرجع     1-EWH</v>
      </c>
      <c r="E647" s="12" t="str">
        <f>IF(C647&lt;&gt;"", IFERROR(INDEX('بنود العقد'!D$3:D$388,C647), ""), "")</f>
        <v>عدد</v>
      </c>
      <c r="F647" s="9">
        <f>IF(C647&lt;&gt;"", IFERROR(INDEX('بنود العقد'!E$3:E$388,C647), 0), "")</f>
        <v>672</v>
      </c>
      <c r="G647" s="9">
        <f>IF(C647&lt;&gt;"", IFERROR(INDEX('بنود العقد'!F$3:F$388,C647), 0), "")</f>
        <v>77</v>
      </c>
      <c r="H647" s="18">
        <f t="shared" si="29"/>
        <v>29</v>
      </c>
      <c r="I647" s="7">
        <v>4</v>
      </c>
      <c r="J647" s="18">
        <f t="shared" si="22"/>
        <v>33</v>
      </c>
      <c r="K647" s="10">
        <f t="shared" si="28"/>
        <v>2688</v>
      </c>
      <c r="L647" s="21">
        <f t="shared" si="24"/>
        <v>42.857142857142854</v>
      </c>
    </row>
    <row r="648" spans="1:12" s="72" customFormat="1" ht="25.95" customHeight="1">
      <c r="A648" s="12">
        <v>646</v>
      </c>
      <c r="B648" s="6">
        <v>13</v>
      </c>
      <c r="C648" s="6">
        <v>184</v>
      </c>
      <c r="D648" s="20" t="str">
        <f>IF(C648&lt;&gt;"", IFERROR(INDEX('بنود العقد'!B$3:B$388,C648), "⚠"), "")</f>
        <v>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التالية:اعادة تركيب و اختبار السخان الحالي بسعة 100 ليتر   بعد الكشف و المعاينة و الفحص حسب تعليمات مهندس المشرف</v>
      </c>
      <c r="E648" s="12" t="str">
        <f>IF(C648&lt;&gt;"", IFERROR(INDEX('بنود العقد'!D$3:D$388,C648), ""), "")</f>
        <v>عدد</v>
      </c>
      <c r="F648" s="9">
        <f>IF(C648&lt;&gt;"", IFERROR(INDEX('بنود العقد'!E$3:E$388,C648), 0), "")</f>
        <v>816</v>
      </c>
      <c r="G648" s="9">
        <f>IF(C648&lt;&gt;"", IFERROR(INDEX('بنود العقد'!F$3:F$388,C648), 0), "")</f>
        <v>24</v>
      </c>
      <c r="H648" s="18">
        <f t="shared" si="29"/>
        <v>12</v>
      </c>
      <c r="I648" s="7">
        <v>2</v>
      </c>
      <c r="J648" s="18">
        <f t="shared" si="22"/>
        <v>14</v>
      </c>
      <c r="K648" s="10">
        <f t="shared" si="28"/>
        <v>1632</v>
      </c>
      <c r="L648" s="21">
        <f t="shared" si="24"/>
        <v>58.333333333333336</v>
      </c>
    </row>
    <row r="649" spans="1:12" ht="25.95" customHeight="1">
      <c r="A649" s="12">
        <v>647</v>
      </c>
      <c r="B649" s="6">
        <v>13</v>
      </c>
      <c r="C649" s="6">
        <v>188</v>
      </c>
      <c r="D649" s="20" t="str">
        <f>IF(C649&lt;&gt;"", IFERROR(INDEX('بنود العقد'!B$3:B$388,C649), "⚠"), "")</f>
        <v>صفاية أرضية )FD(، من PVC مع مصفاة معدنية  مطلية بالكروم شاملة سيفون كما هو موصف بالمقاسات التالية:مخرج قطر 75 مم</v>
      </c>
      <c r="E649" s="12" t="str">
        <f>IF(C649&lt;&gt;"", IFERROR(INDEX('بنود العقد'!D$3:D$388,C649), ""), "")</f>
        <v>عدد</v>
      </c>
      <c r="F649" s="9">
        <f>IF(C649&lt;&gt;"", IFERROR(INDEX('بنود العقد'!E$3:E$388,C649), 0), "")</f>
        <v>300</v>
      </c>
      <c r="G649" s="9">
        <f>IF(C649&lt;&gt;"", IFERROR(INDEX('بنود العقد'!F$3:F$388,C649), 0), "")</f>
        <v>161</v>
      </c>
      <c r="H649" s="18">
        <f t="shared" si="29"/>
        <v>67</v>
      </c>
      <c r="I649" s="7">
        <v>14</v>
      </c>
      <c r="J649" s="18">
        <f t="shared" si="22"/>
        <v>81</v>
      </c>
      <c r="K649" s="10">
        <f t="shared" si="28"/>
        <v>4200</v>
      </c>
      <c r="L649" s="21">
        <f t="shared" si="24"/>
        <v>50.310559006211179</v>
      </c>
    </row>
    <row r="650" spans="1:12" ht="25.95" customHeight="1">
      <c r="A650" s="12">
        <v>648</v>
      </c>
      <c r="B650" s="6">
        <v>13</v>
      </c>
      <c r="C650" s="6">
        <v>190</v>
      </c>
      <c r="D650" s="20" t="str">
        <f>IF(C650&lt;&gt;"", IFERROR(INDEX('بنود العقد'!B$3:B$388,C650),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:حوض وجه على رخامة )مرجع 1-LAV ( من نفس نوع الرخام الصناعي كوريان للكاونتر والكاونتر محسوب في بند منفصل</v>
      </c>
      <c r="E650" s="12" t="str">
        <f>IF(C650&lt;&gt;"", IFERROR(INDEX('بنود العقد'!D$3:D$388,C650), ""), "")</f>
        <v>عدد</v>
      </c>
      <c r="F650" s="9">
        <f>IF(C650&lt;&gt;"", IFERROR(INDEX('بنود العقد'!E$3:E$388,C650), 0), "")</f>
        <v>2640</v>
      </c>
      <c r="G650" s="9">
        <f>IF(C650&lt;&gt;"", IFERROR(INDEX('بنود العقد'!F$3:F$388,C650), 0), "")</f>
        <v>68</v>
      </c>
      <c r="H650" s="18">
        <f t="shared" si="29"/>
        <v>3</v>
      </c>
      <c r="I650" s="7">
        <v>9</v>
      </c>
      <c r="J650" s="18">
        <f t="shared" si="22"/>
        <v>12</v>
      </c>
      <c r="K650" s="10">
        <f t="shared" ref="K650:K889" si="30">IF(AND(I650&lt;&gt;"",F650&lt;&gt;""), I650*F650, "")</f>
        <v>23760</v>
      </c>
      <c r="L650" s="21">
        <f t="shared" si="24"/>
        <v>17.647058823529413</v>
      </c>
    </row>
    <row r="651" spans="1:12" s="72" customFormat="1" ht="25.95" customHeight="1">
      <c r="A651" s="12">
        <v>649</v>
      </c>
      <c r="B651" s="6">
        <v>13</v>
      </c>
      <c r="C651" s="6">
        <v>195</v>
      </c>
      <c r="D651" s="20" t="str">
        <f>IF(C651&lt;&gt;"", IFERROR(INDEX('بنود العقد'!B$3:B$388,C651),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افرنجي ) مرجع 2-WWC (  مثبت على الحائط بخزان  طرد مخفي مع زر دفق من الصلب الذي لا يصدأ - مع غطاء للمرحاض مقاوم للبكتريا من نوع soft closing</v>
      </c>
      <c r="E651" s="12" t="str">
        <f>IF(C651&lt;&gt;"", IFERROR(INDEX('بنود العقد'!D$3:D$388,C651), ""), "")</f>
        <v>عدد</v>
      </c>
      <c r="F651" s="9">
        <f>IF(C651&lt;&gt;"", IFERROR(INDEX('بنود العقد'!E$3:E$388,C651), 0), "")</f>
        <v>2760</v>
      </c>
      <c r="G651" s="9">
        <f>IF(C651&lt;&gt;"", IFERROR(INDEX('بنود العقد'!F$3:F$388,C651), 0), "")</f>
        <v>55</v>
      </c>
      <c r="H651" s="18">
        <f t="shared" si="29"/>
        <v>9</v>
      </c>
      <c r="I651" s="7">
        <v>8</v>
      </c>
      <c r="J651" s="18">
        <f t="shared" si="22"/>
        <v>17</v>
      </c>
      <c r="K651" s="10">
        <f t="shared" si="30"/>
        <v>22080</v>
      </c>
      <c r="L651" s="21">
        <f t="shared" si="24"/>
        <v>30.909090909090907</v>
      </c>
    </row>
    <row r="652" spans="1:12" s="72" customFormat="1" ht="25.95" customHeight="1">
      <c r="A652" s="12">
        <v>650</v>
      </c>
      <c r="B652" s="6">
        <v>13</v>
      </c>
      <c r="C652" s="6">
        <v>197</v>
      </c>
      <c r="D652" s="20" t="str">
        <f>IF(C652&lt;&gt;"", IFERROR(INDEX('بنود العقد'!B$3:B$388,C652),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:مقبض رشاش مع الخرطوم وأداة التعليق، مرجع PS</v>
      </c>
      <c r="E652" s="12" t="str">
        <f>IF(C652&lt;&gt;"", IFERROR(INDEX('بنود العقد'!D$3:D$388,C652), ""), "")</f>
        <v>عدد</v>
      </c>
      <c r="F652" s="9">
        <f>IF(C652&lt;&gt;"", IFERROR(INDEX('بنود العقد'!E$3:E$388,C652), 0), "")</f>
        <v>180</v>
      </c>
      <c r="G652" s="9">
        <f>IF(C652&lt;&gt;"", IFERROR(INDEX('بنود العقد'!F$3:F$388,C652), 0), "")</f>
        <v>191</v>
      </c>
      <c r="H652" s="18">
        <f t="shared" si="29"/>
        <v>53</v>
      </c>
      <c r="I652" s="7">
        <v>8</v>
      </c>
      <c r="J652" s="18">
        <f t="shared" si="22"/>
        <v>61</v>
      </c>
      <c r="K652" s="10">
        <f t="shared" si="30"/>
        <v>1440</v>
      </c>
      <c r="L652" s="21">
        <f t="shared" si="24"/>
        <v>31.937172774869111</v>
      </c>
    </row>
    <row r="653" spans="1:12" s="72" customFormat="1" ht="25.95" customHeight="1">
      <c r="A653" s="12">
        <v>651</v>
      </c>
      <c r="B653" s="6">
        <v>13</v>
      </c>
      <c r="C653" s="6">
        <v>198</v>
      </c>
      <c r="D653" s="20" t="str">
        <f>IF(C653&lt;&gt;"", IFERROR(INDEX('بنود العقد'!B$3:B$388,C653),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:خلاط مياة  يركب على الحوض</v>
      </c>
      <c r="E653" s="12" t="str">
        <f>IF(C653&lt;&gt;"", IFERROR(INDEX('بنود العقد'!D$3:D$388,C653), ""), "")</f>
        <v>عدد</v>
      </c>
      <c r="F653" s="9">
        <f>IF(C653&lt;&gt;"", IFERROR(INDEX('بنود العقد'!E$3:E$388,C653), 0), "")</f>
        <v>1080</v>
      </c>
      <c r="G653" s="9">
        <f>IF(C653&lt;&gt;"", IFERROR(INDEX('بنود العقد'!F$3:F$388,C653), 0), "")</f>
        <v>208</v>
      </c>
      <c r="H653" s="18">
        <f t="shared" si="29"/>
        <v>27</v>
      </c>
      <c r="I653" s="7">
        <v>8</v>
      </c>
      <c r="J653" s="18">
        <f t="shared" si="22"/>
        <v>35</v>
      </c>
      <c r="K653" s="10">
        <f t="shared" si="30"/>
        <v>8640</v>
      </c>
      <c r="L653" s="21">
        <f t="shared" si="24"/>
        <v>16.826923076923077</v>
      </c>
    </row>
    <row r="654" spans="1:12" s="72" customFormat="1" ht="25.95" customHeight="1">
      <c r="A654" s="12">
        <v>652</v>
      </c>
      <c r="B654" s="6">
        <v>13</v>
      </c>
      <c r="C654" s="6">
        <v>199</v>
      </c>
      <c r="D654" s="20" t="str">
        <f>IF(C654&lt;&gt;"", IFERROR(INDEX('بنود العقد'!B$3:B$388,C654),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E654" s="12" t="str">
        <f>IF(C654&lt;&gt;"", IFERROR(INDEX('بنود العقد'!D$3:D$388,C654), ""), "")</f>
        <v>م.ط</v>
      </c>
      <c r="F654" s="9">
        <f>IF(C654&lt;&gt;"", IFERROR(INDEX('بنود العقد'!E$3:E$388,C654), 0), "")</f>
        <v>108</v>
      </c>
      <c r="G654" s="9">
        <f>IF(C654&lt;&gt;"", IFERROR(INDEX('بنود العقد'!F$3:F$388,C654), 0), "")</f>
        <v>3900</v>
      </c>
      <c r="H654" s="18">
        <f t="shared" si="29"/>
        <v>3191</v>
      </c>
      <c r="I654" s="7">
        <v>1640</v>
      </c>
      <c r="J654" s="18">
        <f t="shared" si="22"/>
        <v>4831</v>
      </c>
      <c r="K654" s="10">
        <f t="shared" si="30"/>
        <v>177120</v>
      </c>
      <c r="L654" s="21">
        <f t="shared" si="24"/>
        <v>123.87179487179488</v>
      </c>
    </row>
    <row r="655" spans="1:12" s="72" customFormat="1" ht="25.95" customHeight="1">
      <c r="A655" s="12">
        <v>653</v>
      </c>
      <c r="B655" s="6">
        <v>13</v>
      </c>
      <c r="C655" s="6">
        <v>200</v>
      </c>
      <c r="D655" s="20" t="str">
        <f>IF(C655&lt;&gt;"", IFERROR(INDEX('بنود العقد'!B$3:B$388,C655),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28</v>
      </c>
      <c r="E655" s="12" t="str">
        <f>IF(C655&lt;&gt;"", IFERROR(INDEX('بنود العقد'!D$3:D$388,C655), ""), "")</f>
        <v>م.ط</v>
      </c>
      <c r="F655" s="9">
        <f>IF(C655&lt;&gt;"", IFERROR(INDEX('بنود العقد'!E$3:E$388,C655), 0), "")</f>
        <v>138</v>
      </c>
      <c r="G655" s="9">
        <f>IF(C655&lt;&gt;"", IFERROR(INDEX('بنود العقد'!F$3:F$388,C655), 0), "")</f>
        <v>323</v>
      </c>
      <c r="H655" s="18">
        <f t="shared" si="29"/>
        <v>206</v>
      </c>
      <c r="I655" s="7">
        <v>103</v>
      </c>
      <c r="J655" s="18">
        <f t="shared" si="22"/>
        <v>309</v>
      </c>
      <c r="K655" s="10">
        <f t="shared" si="30"/>
        <v>14214</v>
      </c>
      <c r="L655" s="21">
        <f t="shared" si="24"/>
        <v>95.6656346749226</v>
      </c>
    </row>
    <row r="656" spans="1:12" s="72" customFormat="1" ht="25.95" customHeight="1">
      <c r="A656" s="12">
        <v>654</v>
      </c>
      <c r="B656" s="6">
        <v>13</v>
      </c>
      <c r="C656" s="6">
        <v>201</v>
      </c>
      <c r="D656" s="20" t="str">
        <f>IF(C656&lt;&gt;"", IFERROR(INDEX('بنود العقد'!B$3:B$388,C656),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33</v>
      </c>
      <c r="E656" s="12" t="str">
        <f>IF(C656&lt;&gt;"", IFERROR(INDEX('بنود العقد'!D$3:D$388,C656), ""), "")</f>
        <v>م.ط</v>
      </c>
      <c r="F656" s="9">
        <f>IF(C656&lt;&gt;"", IFERROR(INDEX('بنود العقد'!E$3:E$388,C656), 0), "")</f>
        <v>192</v>
      </c>
      <c r="G656" s="9">
        <f>IF(C656&lt;&gt;"", IFERROR(INDEX('بنود العقد'!F$3:F$388,C656), 0), "")</f>
        <v>660</v>
      </c>
      <c r="H656" s="18">
        <f t="shared" si="29"/>
        <v>415</v>
      </c>
      <c r="I656" s="7">
        <v>225</v>
      </c>
      <c r="J656" s="18">
        <f t="shared" si="22"/>
        <v>640</v>
      </c>
      <c r="K656" s="10">
        <f t="shared" si="30"/>
        <v>43200</v>
      </c>
      <c r="L656" s="21">
        <f t="shared" si="24"/>
        <v>96.969696969696969</v>
      </c>
    </row>
    <row r="657" spans="1:12" s="72" customFormat="1" ht="25.95" customHeight="1">
      <c r="A657" s="12">
        <v>655</v>
      </c>
      <c r="B657" s="6">
        <v>13</v>
      </c>
      <c r="C657" s="6">
        <v>202</v>
      </c>
      <c r="D657" s="20" t="str">
        <f>IF(C657&lt;&gt;"", IFERROR(INDEX('بنود العقد'!B$3:B$388,C657),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40</v>
      </c>
      <c r="E657" s="12" t="str">
        <f>IF(C657&lt;&gt;"", IFERROR(INDEX('بنود العقد'!D$3:D$388,C657), ""), "")</f>
        <v>م.ط</v>
      </c>
      <c r="F657" s="9">
        <f>IF(C657&lt;&gt;"", IFERROR(INDEX('بنود العقد'!E$3:E$388,C657), 0), "")</f>
        <v>222</v>
      </c>
      <c r="G657" s="9">
        <f>IF(C657&lt;&gt;"", IFERROR(INDEX('بنود العقد'!F$3:F$388,C657), 0), "")</f>
        <v>600</v>
      </c>
      <c r="H657" s="18">
        <f t="shared" si="29"/>
        <v>277</v>
      </c>
      <c r="I657" s="7">
        <v>173</v>
      </c>
      <c r="J657" s="18">
        <f t="shared" si="22"/>
        <v>450</v>
      </c>
      <c r="K657" s="10">
        <f t="shared" si="30"/>
        <v>38406</v>
      </c>
      <c r="L657" s="21">
        <f t="shared" si="24"/>
        <v>75</v>
      </c>
    </row>
    <row r="658" spans="1:12" s="72" customFormat="1" ht="25.95" customHeight="1">
      <c r="A658" s="12">
        <v>656</v>
      </c>
      <c r="B658" s="6">
        <v>13</v>
      </c>
      <c r="C658" s="6">
        <v>203</v>
      </c>
      <c r="D658" s="20" t="str">
        <f>IF(C658&lt;&gt;"", IFERROR(INDEX('بنود العقد'!B$3:B$388,C658),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63</v>
      </c>
      <c r="E658" s="12" t="str">
        <f>IF(C658&lt;&gt;"", IFERROR(INDEX('بنود العقد'!D$3:D$388,C658), ""), "")</f>
        <v>م.ط</v>
      </c>
      <c r="F658" s="9">
        <f>IF(C658&lt;&gt;"", IFERROR(INDEX('بنود العقد'!E$3:E$388,C658), 0), "")</f>
        <v>240</v>
      </c>
      <c r="G658" s="9">
        <f>IF(C658&lt;&gt;"", IFERROR(INDEX('بنود العقد'!F$3:F$388,C658), 0), "")</f>
        <v>646</v>
      </c>
      <c r="H658" s="18">
        <f t="shared" si="29"/>
        <v>283</v>
      </c>
      <c r="I658" s="7">
        <v>197</v>
      </c>
      <c r="J658" s="18">
        <f t="shared" si="22"/>
        <v>480</v>
      </c>
      <c r="K658" s="10">
        <f t="shared" si="30"/>
        <v>47280</v>
      </c>
      <c r="L658" s="21">
        <f t="shared" si="24"/>
        <v>74.303405572755423</v>
      </c>
    </row>
    <row r="659" spans="1:12" s="72" customFormat="1" ht="25.95" customHeight="1">
      <c r="A659" s="12">
        <v>657</v>
      </c>
      <c r="B659" s="6">
        <v>13</v>
      </c>
      <c r="C659" s="6">
        <v>204</v>
      </c>
      <c r="D659" s="20" t="str">
        <f>IF(C659&lt;&gt;"", IFERROR(INDEX('بنود العقد'!B$3:B$388,C659),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77</v>
      </c>
      <c r="E659" s="12" t="str">
        <f>IF(C659&lt;&gt;"", IFERROR(INDEX('بنود العقد'!D$3:D$388,C659), ""), "")</f>
        <v>م.ط</v>
      </c>
      <c r="F659" s="9">
        <f>IF(C659&lt;&gt;"", IFERROR(INDEX('بنود العقد'!E$3:E$388,C659), 0), "")</f>
        <v>288</v>
      </c>
      <c r="G659" s="9">
        <f>IF(C659&lt;&gt;"", IFERROR(INDEX('بنود العقد'!F$3:F$388,C659), 0), "")</f>
        <v>110</v>
      </c>
      <c r="H659" s="18">
        <f t="shared" si="29"/>
        <v>131</v>
      </c>
      <c r="I659" s="7">
        <v>69</v>
      </c>
      <c r="J659" s="18">
        <f t="shared" si="22"/>
        <v>200</v>
      </c>
      <c r="K659" s="10">
        <f t="shared" si="30"/>
        <v>19872</v>
      </c>
      <c r="L659" s="21">
        <f t="shared" si="24"/>
        <v>181.81818181818181</v>
      </c>
    </row>
    <row r="660" spans="1:12" s="72" customFormat="1" ht="25.95" customHeight="1">
      <c r="A660" s="12">
        <v>658</v>
      </c>
      <c r="B660" s="6">
        <v>13</v>
      </c>
      <c r="C660" s="6">
        <v>205</v>
      </c>
      <c r="D660" s="20" t="str">
        <f>IF(C660&lt;&gt;"", IFERROR(INDEX('بنود العقد'!B$3:B$388,C660),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94</v>
      </c>
      <c r="E660" s="12" t="str">
        <f>IF(C660&lt;&gt;"", IFERROR(INDEX('بنود العقد'!D$3:D$388,C660), ""), "")</f>
        <v>م.ط</v>
      </c>
      <c r="F660" s="9">
        <f>IF(C660&lt;&gt;"", IFERROR(INDEX('بنود العقد'!E$3:E$388,C660), 0), "")</f>
        <v>324</v>
      </c>
      <c r="G660" s="9">
        <f>IF(C660&lt;&gt;"", IFERROR(INDEX('بنود العقد'!F$3:F$388,C660), 0), "")</f>
        <v>314</v>
      </c>
      <c r="H660" s="18">
        <f t="shared" si="29"/>
        <v>81</v>
      </c>
      <c r="I660" s="7">
        <v>62</v>
      </c>
      <c r="J660" s="18">
        <f t="shared" si="22"/>
        <v>143</v>
      </c>
      <c r="K660" s="10">
        <f t="shared" si="30"/>
        <v>20088</v>
      </c>
      <c r="L660" s="21">
        <f t="shared" si="24"/>
        <v>45.541401273885349</v>
      </c>
    </row>
    <row r="661" spans="1:12" s="72" customFormat="1" ht="25.95" customHeight="1">
      <c r="A661" s="12">
        <v>659</v>
      </c>
      <c r="B661" s="6">
        <v>13</v>
      </c>
      <c r="C661" s="6">
        <v>206</v>
      </c>
      <c r="D661" s="20" t="str">
        <f>IF(C661&lt;&gt;"", IFERROR(INDEX('بنود العقد'!B$3:B$388,C661),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141</v>
      </c>
      <c r="E661" s="12" t="str">
        <f>IF(C661&lt;&gt;"", IFERROR(INDEX('بنود العقد'!D$3:D$388,C661), ""), "")</f>
        <v>م.ط</v>
      </c>
      <c r="F661" s="9">
        <f>IF(C661&lt;&gt;"", IFERROR(INDEX('بنود العقد'!E$3:E$388,C661), 0), "")</f>
        <v>360</v>
      </c>
      <c r="G661" s="9">
        <f>IF(C661&lt;&gt;"", IFERROR(INDEX('بنود العقد'!F$3:F$388,C661), 0), "")</f>
        <v>200</v>
      </c>
      <c r="H661" s="18">
        <f t="shared" si="29"/>
        <v>262</v>
      </c>
      <c r="I661" s="7">
        <v>109</v>
      </c>
      <c r="J661" s="18">
        <f t="shared" si="22"/>
        <v>371</v>
      </c>
      <c r="K661" s="10">
        <f t="shared" si="30"/>
        <v>39240</v>
      </c>
      <c r="L661" s="21">
        <f t="shared" si="24"/>
        <v>185.5</v>
      </c>
    </row>
    <row r="662" spans="1:12" s="72" customFormat="1" ht="25.95" customHeight="1">
      <c r="A662" s="12">
        <v>660</v>
      </c>
      <c r="B662" s="6">
        <v>13</v>
      </c>
      <c r="C662" s="6">
        <v>230</v>
      </c>
      <c r="D662" s="20" t="str">
        <f>IF(C662&lt;&gt;"", IFERROR(INDEX('بنود العقد'!B$3:B$388,C662),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E662" s="12" t="str">
        <f>IF(C662&lt;&gt;"", IFERROR(INDEX('بنود العقد'!D$3:D$388,C662), ""), "")</f>
        <v>م.ط</v>
      </c>
      <c r="F662" s="9">
        <f>IF(C662&lt;&gt;"", IFERROR(INDEX('بنود العقد'!E$3:E$388,C662), 0), "")</f>
        <v>300</v>
      </c>
      <c r="G662" s="9">
        <f>IF(C662&lt;&gt;"", IFERROR(INDEX('بنود العقد'!F$3:F$388,C662), 0), "")</f>
        <v>7000</v>
      </c>
      <c r="H662" s="18">
        <f t="shared" si="29"/>
        <v>6030</v>
      </c>
      <c r="I662" s="7">
        <v>278</v>
      </c>
      <c r="J662" s="18">
        <f t="shared" si="22"/>
        <v>6308</v>
      </c>
      <c r="K662" s="10">
        <f t="shared" si="30"/>
        <v>83400</v>
      </c>
      <c r="L662" s="21">
        <f t="shared" si="24"/>
        <v>90.114285714285714</v>
      </c>
    </row>
    <row r="663" spans="1:12" s="72" customFormat="1" ht="25.95" customHeight="1">
      <c r="A663" s="12">
        <v>661</v>
      </c>
      <c r="B663" s="6">
        <v>13</v>
      </c>
      <c r="C663" s="6">
        <v>248</v>
      </c>
      <c r="D663" s="20" t="str">
        <f>IF(C663&lt;&gt;"", IFERROR(INDEX('بنود العقد'!B$3:B$388,C663),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v>
      </c>
      <c r="E663" s="12" t="str">
        <f>IF(C663&lt;&gt;"", IFERROR(INDEX('بنود العقد'!D$3:D$388,C663), ""), "")</f>
        <v>عدد</v>
      </c>
      <c r="F663" s="9">
        <f>IF(C663&lt;&gt;"", IFERROR(INDEX('بنود العقد'!E$3:E$388,C663), 0), "")</f>
        <v>216</v>
      </c>
      <c r="G663" s="9">
        <f>IF(C663&lt;&gt;"", IFERROR(INDEX('بنود العقد'!F$3:F$388,C663), 0), "")</f>
        <v>282</v>
      </c>
      <c r="H663" s="18">
        <f t="shared" si="29"/>
        <v>132</v>
      </c>
      <c r="I663" s="7">
        <v>5</v>
      </c>
      <c r="J663" s="18">
        <f t="shared" si="22"/>
        <v>137</v>
      </c>
      <c r="K663" s="10">
        <f t="shared" si="30"/>
        <v>1080</v>
      </c>
      <c r="L663" s="21">
        <f t="shared" si="24"/>
        <v>48.581560283687942</v>
      </c>
    </row>
    <row r="664" spans="1:12" s="72" customFormat="1" ht="25.95" customHeight="1">
      <c r="A664" s="12">
        <v>662</v>
      </c>
      <c r="B664" s="6">
        <v>13</v>
      </c>
      <c r="C664" s="6">
        <v>249</v>
      </c>
      <c r="D664" s="20" t="str">
        <f>IF(C664&lt;&gt;"", IFERROR(INDEX('بنود العقد'!B$3:B$388,C664),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مقبس ثنائي سقفى، من النوع المؤرض، 15 أمبير، 230 فولت، طور واحد، قطبين، 3 أسلاك.</v>
      </c>
      <c r="E664" s="12" t="str">
        <f>IF(C664&lt;&gt;"", IFERROR(INDEX('بنود العقد'!D$3:D$388,C664), ""), "")</f>
        <v>عدد</v>
      </c>
      <c r="F664" s="9">
        <f>IF(C664&lt;&gt;"", IFERROR(INDEX('بنود العقد'!E$3:E$388,C664), 0), "")</f>
        <v>216</v>
      </c>
      <c r="G664" s="9">
        <f>IF(C664&lt;&gt;"", IFERROR(INDEX('بنود العقد'!F$3:F$388,C664), 0), "")</f>
        <v>126</v>
      </c>
      <c r="H664" s="18">
        <f t="shared" si="29"/>
        <v>63</v>
      </c>
      <c r="I664" s="7">
        <v>2</v>
      </c>
      <c r="J664" s="18">
        <f t="shared" si="22"/>
        <v>65</v>
      </c>
      <c r="K664" s="10">
        <f t="shared" si="30"/>
        <v>432</v>
      </c>
      <c r="L664" s="21">
        <f t="shared" si="24"/>
        <v>51.587301587301596</v>
      </c>
    </row>
    <row r="665" spans="1:12" s="72" customFormat="1" ht="25.95" customHeight="1">
      <c r="A665" s="12">
        <v>663</v>
      </c>
      <c r="B665" s="6">
        <v>13</v>
      </c>
      <c r="C665" s="6">
        <v>253</v>
      </c>
      <c r="D665" s="20" t="str">
        <f>IF(C665&lt;&gt;"", IFERROR(INDEX('بنود العقد'!B$3:B$388,C665), "⚠"), "")</f>
        <v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المشرفمخرج  ومؤرض 30 أمبير ، 230 فولت 3 أسلاك ، 1 فاز لمجفف الأيدي</v>
      </c>
      <c r="E665" s="12" t="str">
        <f>IF(C665&lt;&gt;"", IFERROR(INDEX('بنود العقد'!D$3:D$388,C665), ""), "")</f>
        <v>عدد</v>
      </c>
      <c r="F665" s="9">
        <f>IF(C665&lt;&gt;"", IFERROR(INDEX('بنود العقد'!E$3:E$388,C665), 0), "")</f>
        <v>264</v>
      </c>
      <c r="G665" s="9">
        <f>IF(C665&lt;&gt;"", IFERROR(INDEX('بنود العقد'!F$3:F$388,C665), 0), "")</f>
        <v>72</v>
      </c>
      <c r="H665" s="18">
        <f t="shared" si="29"/>
        <v>27</v>
      </c>
      <c r="I665" s="7">
        <v>2</v>
      </c>
      <c r="J665" s="18">
        <f t="shared" si="22"/>
        <v>29</v>
      </c>
      <c r="K665" s="10">
        <f t="shared" si="30"/>
        <v>528</v>
      </c>
      <c r="L665" s="21">
        <f t="shared" si="24"/>
        <v>40.277777777777779</v>
      </c>
    </row>
    <row r="666" spans="1:12" s="72" customFormat="1" ht="25.95" customHeight="1">
      <c r="A666" s="12">
        <v>664</v>
      </c>
      <c r="B666" s="6">
        <v>13</v>
      </c>
      <c r="C666" s="6">
        <v>254</v>
      </c>
      <c r="D666" s="20" t="str">
        <f>IF(C666&lt;&gt;"", IFERROR(INDEX('بنود العقد'!B$3:B$388,C666),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)A(  )تحتوى على  4 قوى &amp; 4 داتا (</v>
      </c>
      <c r="E666" s="12" t="str">
        <f>IF(C666&lt;&gt;"", IFERROR(INDEX('بنود العقد'!D$3:D$388,C666), ""), "")</f>
        <v>عدد</v>
      </c>
      <c r="F666" s="9">
        <f>IF(C666&lt;&gt;"", IFERROR(INDEX('بنود العقد'!E$3:E$388,C666), 0), "")</f>
        <v>2160</v>
      </c>
      <c r="G666" s="9">
        <f>IF(C666&lt;&gt;"", IFERROR(INDEX('بنود العقد'!F$3:F$388,C666), 0), "")</f>
        <v>286</v>
      </c>
      <c r="H666" s="18">
        <f t="shared" si="29"/>
        <v>238</v>
      </c>
      <c r="I666" s="7">
        <v>38</v>
      </c>
      <c r="J666" s="18">
        <f t="shared" si="22"/>
        <v>276</v>
      </c>
      <c r="K666" s="10">
        <f t="shared" si="30"/>
        <v>82080</v>
      </c>
      <c r="L666" s="21">
        <f t="shared" si="24"/>
        <v>96.503496503496507</v>
      </c>
    </row>
    <row r="667" spans="1:12" s="72" customFormat="1" ht="25.95" customHeight="1">
      <c r="A667" s="12">
        <v>665</v>
      </c>
      <c r="B667" s="6">
        <v>13</v>
      </c>
      <c r="C667" s="6">
        <v>255</v>
      </c>
      <c r="D667" s="20" t="str">
        <f>IF(C667&lt;&gt;"", IFERROR(INDEX('بنود العقد'!B$3:B$388,C667),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)B(   )تحتوى على 2 قوى &amp; 2 داتا (</v>
      </c>
      <c r="E667" s="12" t="str">
        <f>IF(C667&lt;&gt;"", IFERROR(INDEX('بنود العقد'!D$3:D$388,C667), ""), "")</f>
        <v>عدد</v>
      </c>
      <c r="F667" s="9">
        <f>IF(C667&lt;&gt;"", IFERROR(INDEX('بنود العقد'!E$3:E$388,C667), 0), "")</f>
        <v>1800</v>
      </c>
      <c r="G667" s="9">
        <f>IF(C667&lt;&gt;"", IFERROR(INDEX('بنود العقد'!F$3:F$388,C667), 0), "")</f>
        <v>20</v>
      </c>
      <c r="H667" s="18">
        <f t="shared" si="29"/>
        <v>198</v>
      </c>
      <c r="I667" s="7">
        <v>38</v>
      </c>
      <c r="J667" s="18">
        <f t="shared" si="22"/>
        <v>236</v>
      </c>
      <c r="K667" s="10">
        <f t="shared" si="30"/>
        <v>68400</v>
      </c>
      <c r="L667" s="21">
        <f t="shared" si="24"/>
        <v>1180</v>
      </c>
    </row>
    <row r="668" spans="1:12" s="72" customFormat="1" ht="25.95" customHeight="1">
      <c r="A668" s="12">
        <v>666</v>
      </c>
      <c r="B668" s="6">
        <v>13</v>
      </c>
      <c r="C668" s="6">
        <v>256</v>
      </c>
      <c r="D668" s="20" t="str">
        <f>IF(C668&lt;&gt;"", IFERROR(INDEX('بنود العقد'!B$3:B$388,C668),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)1FB(   )تحتوى على 1 قوى (</v>
      </c>
      <c r="E668" s="12" t="str">
        <f>IF(C668&lt;&gt;"", IFERROR(INDEX('بنود العقد'!D$3:D$388,C668), ""), "")</f>
        <v>عدد</v>
      </c>
      <c r="F668" s="9">
        <f>IF(C668&lt;&gt;"", IFERROR(INDEX('بنود العقد'!E$3:E$388,C668), 0), "")</f>
        <v>720</v>
      </c>
      <c r="G668" s="9">
        <f>IF(C668&lt;&gt;"", IFERROR(INDEX('بنود العقد'!F$3:F$388,C668), 0), "")</f>
        <v>141</v>
      </c>
      <c r="H668" s="18">
        <f t="shared" si="29"/>
        <v>36</v>
      </c>
      <c r="I668" s="7">
        <v>6</v>
      </c>
      <c r="J668" s="18">
        <f t="shared" si="22"/>
        <v>42</v>
      </c>
      <c r="K668" s="10">
        <f t="shared" si="30"/>
        <v>4320</v>
      </c>
      <c r="L668" s="21">
        <f t="shared" si="24"/>
        <v>29.787234042553191</v>
      </c>
    </row>
    <row r="669" spans="1:12" s="72" customFormat="1" ht="25.95" customHeight="1">
      <c r="A669" s="12">
        <v>667</v>
      </c>
      <c r="B669" s="6">
        <v>13</v>
      </c>
      <c r="C669" s="6">
        <v>262</v>
      </c>
      <c r="D669" s="20" t="str">
        <f>IF(C669&lt;&gt;"", IFERROR(INDEX('بنود العقد'!B$3:B$388,C669),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v>
      </c>
      <c r="E669" s="12" t="str">
        <f>IF(C669&lt;&gt;"", IFERROR(INDEX('بنود العقد'!D$3:D$388,C669), ""), "")</f>
        <v>عدد</v>
      </c>
      <c r="F669" s="9">
        <f>IF(C669&lt;&gt;"", IFERROR(INDEX('بنود العقد'!E$3:E$388,C669), 0), "")</f>
        <v>348</v>
      </c>
      <c r="G669" s="9">
        <f>IF(C669&lt;&gt;"", IFERROR(INDEX('بنود العقد'!F$3:F$388,C669), 0), "")</f>
        <v>530</v>
      </c>
      <c r="H669" s="18">
        <f t="shared" si="29"/>
        <v>132</v>
      </c>
      <c r="I669" s="7">
        <v>24</v>
      </c>
      <c r="J669" s="18">
        <f t="shared" si="22"/>
        <v>156</v>
      </c>
      <c r="K669" s="10">
        <f t="shared" si="30"/>
        <v>8352</v>
      </c>
      <c r="L669" s="21">
        <f t="shared" si="24"/>
        <v>29.433962264150942</v>
      </c>
    </row>
    <row r="670" spans="1:12" s="72" customFormat="1" ht="25.95" customHeight="1">
      <c r="A670" s="12">
        <v>668</v>
      </c>
      <c r="B670" s="6">
        <v>13</v>
      </c>
      <c r="C670" s="6">
        <v>264</v>
      </c>
      <c r="D670" s="20" t="str">
        <f>IF(C670&lt;&gt;"", IFERROR(INDEX('بنود العقد'!B$3:B$388,C670),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A2</v>
      </c>
      <c r="E670" s="12" t="str">
        <f>IF(C670&lt;&gt;"", IFERROR(INDEX('بنود العقد'!D$3:D$388,C670), ""), "")</f>
        <v>عدد</v>
      </c>
      <c r="F670" s="9">
        <f>IF(C670&lt;&gt;"", IFERROR(INDEX('بنود العقد'!E$3:E$388,C670), 0), "")</f>
        <v>1044</v>
      </c>
      <c r="G670" s="9">
        <f>IF(C670&lt;&gt;"", IFERROR(INDEX('بنود العقد'!F$3:F$388,C670), 0), "")</f>
        <v>1113</v>
      </c>
      <c r="H670" s="18">
        <f t="shared" si="29"/>
        <v>501</v>
      </c>
      <c r="I670" s="7">
        <v>74</v>
      </c>
      <c r="J670" s="18">
        <f t="shared" si="22"/>
        <v>575</v>
      </c>
      <c r="K670" s="10">
        <f t="shared" si="30"/>
        <v>77256</v>
      </c>
      <c r="L670" s="21">
        <f t="shared" si="24"/>
        <v>51.662174303683742</v>
      </c>
    </row>
    <row r="671" spans="1:12" s="72" customFormat="1" ht="25.95" customHeight="1">
      <c r="A671" s="12">
        <v>669</v>
      </c>
      <c r="B671" s="6">
        <v>13</v>
      </c>
      <c r="C671" s="6">
        <v>272</v>
      </c>
      <c r="D671" s="20" t="str">
        <f>IF(C671&lt;&gt;"", IFERROR(INDEX('بنود العقد'!B$3:B$388,C671),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B1</v>
      </c>
      <c r="E671" s="12" t="str">
        <f>IF(C671&lt;&gt;"", IFERROR(INDEX('بنود العقد'!D$3:D$388,C671), ""), "")</f>
        <v>عدد</v>
      </c>
      <c r="F671" s="9">
        <f>IF(C671&lt;&gt;"", IFERROR(INDEX('بنود العقد'!E$3:E$388,C671), 0), "")</f>
        <v>720</v>
      </c>
      <c r="G671" s="9">
        <f>IF(C671&lt;&gt;"", IFERROR(INDEX('بنود العقد'!F$3:F$388,C671), 0), "")</f>
        <v>343</v>
      </c>
      <c r="H671" s="18">
        <f t="shared" si="29"/>
        <v>40</v>
      </c>
      <c r="I671" s="7">
        <v>2</v>
      </c>
      <c r="J671" s="18">
        <f t="shared" si="22"/>
        <v>42</v>
      </c>
      <c r="K671" s="10">
        <f t="shared" si="30"/>
        <v>1440</v>
      </c>
      <c r="L671" s="21">
        <f t="shared" si="24"/>
        <v>12.244897959183673</v>
      </c>
    </row>
    <row r="672" spans="1:12" s="72" customFormat="1" ht="25.95" customHeight="1">
      <c r="A672" s="12">
        <v>670</v>
      </c>
      <c r="B672" s="6">
        <v>13</v>
      </c>
      <c r="C672" s="6">
        <v>274</v>
      </c>
      <c r="D672" s="20" t="str">
        <f>IF(C672&lt;&gt;"", IFERROR(INDEX('بنود العقد'!B$3:B$388,C672),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C1</v>
      </c>
      <c r="E672" s="12" t="str">
        <f>IF(C672&lt;&gt;"", IFERROR(INDEX('بنود العقد'!D$3:D$388,C672), ""), "")</f>
        <v>عدد</v>
      </c>
      <c r="F672" s="9">
        <f>IF(C672&lt;&gt;"", IFERROR(INDEX('بنود العقد'!E$3:E$388,C672), 0), "")</f>
        <v>1128</v>
      </c>
      <c r="G672" s="9">
        <f>IF(C672&lt;&gt;"", IFERROR(INDEX('بنود العقد'!F$3:F$388,C672), 0), "")</f>
        <v>172</v>
      </c>
      <c r="H672" s="18">
        <f t="shared" si="29"/>
        <v>50</v>
      </c>
      <c r="I672" s="7">
        <v>2</v>
      </c>
      <c r="J672" s="18">
        <f t="shared" si="22"/>
        <v>52</v>
      </c>
      <c r="K672" s="10">
        <f t="shared" si="30"/>
        <v>2256</v>
      </c>
      <c r="L672" s="21">
        <f t="shared" si="24"/>
        <v>30.232558139534881</v>
      </c>
    </row>
    <row r="673" spans="1:12" s="72" customFormat="1" ht="25.95" customHeight="1">
      <c r="A673" s="12">
        <v>671</v>
      </c>
      <c r="B673" s="6">
        <v>13</v>
      </c>
      <c r="C673" s="6">
        <v>275</v>
      </c>
      <c r="D673" s="20" t="str">
        <f>IF(C673&lt;&gt;"", IFERROR(INDEX('بنود العقد'!B$3:B$388,C673),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v>
      </c>
      <c r="E673" s="12" t="str">
        <f>IF(C673&lt;&gt;"", IFERROR(INDEX('بنود العقد'!D$3:D$388,C673), ""), "")</f>
        <v>عدد</v>
      </c>
      <c r="F673" s="9">
        <f>IF(C673&lt;&gt;"", IFERROR(INDEX('بنود العقد'!E$3:E$388,C673), 0), "")</f>
        <v>420</v>
      </c>
      <c r="G673" s="9">
        <f>IF(C673&lt;&gt;"", IFERROR(INDEX('بنود العقد'!F$3:F$388,C673), 0), "")</f>
        <v>1422</v>
      </c>
      <c r="H673" s="18">
        <f t="shared" si="29"/>
        <v>576</v>
      </c>
      <c r="I673" s="7">
        <v>48</v>
      </c>
      <c r="J673" s="18">
        <f t="shared" si="22"/>
        <v>624</v>
      </c>
      <c r="K673" s="10">
        <f t="shared" si="30"/>
        <v>20160</v>
      </c>
      <c r="L673" s="21">
        <f t="shared" si="24"/>
        <v>43.881856540084392</v>
      </c>
    </row>
    <row r="674" spans="1:12" s="72" customFormat="1" ht="25.95" customHeight="1">
      <c r="A674" s="12">
        <v>672</v>
      </c>
      <c r="B674" s="6">
        <v>13</v>
      </c>
      <c r="C674" s="6">
        <v>276</v>
      </c>
      <c r="D674" s="20" t="str">
        <f>IF(C674&lt;&gt;"", IFERROR(INDEX('بنود العقد'!B$3:B$388,C674),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v>
      </c>
      <c r="E674" s="12" t="str">
        <f>IF(C674&lt;&gt;"", IFERROR(INDEX('بنود العقد'!D$3:D$388,C674), ""), "")</f>
        <v>عدد</v>
      </c>
      <c r="F674" s="9">
        <f>IF(C674&lt;&gt;"", IFERROR(INDEX('بنود العقد'!E$3:E$388,C674), 0), "")</f>
        <v>444</v>
      </c>
      <c r="G674" s="9">
        <f>IF(C674&lt;&gt;"", IFERROR(INDEX('بنود العقد'!F$3:F$388,C674), 0), "")</f>
        <v>1062</v>
      </c>
      <c r="H674" s="18">
        <f t="shared" si="29"/>
        <v>392</v>
      </c>
      <c r="I674" s="7">
        <v>16</v>
      </c>
      <c r="J674" s="18">
        <f t="shared" si="22"/>
        <v>408</v>
      </c>
      <c r="K674" s="10">
        <f t="shared" si="30"/>
        <v>7104</v>
      </c>
      <c r="L674" s="21">
        <f t="shared" si="24"/>
        <v>38.418079096045197</v>
      </c>
    </row>
    <row r="675" spans="1:12" s="72" customFormat="1" ht="25.95" customHeight="1">
      <c r="A675" s="12">
        <v>673</v>
      </c>
      <c r="B675" s="6">
        <v>13</v>
      </c>
      <c r="C675" s="6">
        <v>277</v>
      </c>
      <c r="D675" s="20" t="str">
        <f>IF(C675&lt;&gt;"", IFERROR(INDEX('بنود العقد'!B$3:B$388,C675),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v>
      </c>
      <c r="E675" s="12" t="str">
        <f>IF(C675&lt;&gt;"", IFERROR(INDEX('بنود العقد'!D$3:D$388,C675), ""), "")</f>
        <v>عدد</v>
      </c>
      <c r="F675" s="9">
        <f>IF(C675&lt;&gt;"", IFERROR(INDEX('بنود العقد'!E$3:E$388,C675), 0), "")</f>
        <v>300</v>
      </c>
      <c r="G675" s="9">
        <f>IF(C675&lt;&gt;"", IFERROR(INDEX('بنود العقد'!F$3:F$388,C675), 0), "")</f>
        <v>284</v>
      </c>
      <c r="H675" s="18">
        <f t="shared" si="29"/>
        <v>113</v>
      </c>
      <c r="I675" s="7">
        <v>11</v>
      </c>
      <c r="J675" s="18">
        <f t="shared" si="22"/>
        <v>124</v>
      </c>
      <c r="K675" s="10">
        <f t="shared" si="30"/>
        <v>3300</v>
      </c>
      <c r="L675" s="21">
        <f t="shared" si="24"/>
        <v>43.661971830985912</v>
      </c>
    </row>
    <row r="676" spans="1:12" s="72" customFormat="1" ht="25.95" customHeight="1">
      <c r="A676" s="12">
        <v>674</v>
      </c>
      <c r="B676" s="6">
        <v>13</v>
      </c>
      <c r="C676" s="6">
        <v>278</v>
      </c>
      <c r="D676" s="20" t="str">
        <f>IF(C676&lt;&gt;"", IFERROR(INDEX('بنود العقد'!B$3:B$388,C676),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C5</v>
      </c>
      <c r="E676" s="12" t="str">
        <f>IF(C676&lt;&gt;"", IFERROR(INDEX('بنود العقد'!D$3:D$388,C676), ""), "")</f>
        <v>عدد</v>
      </c>
      <c r="F676" s="9">
        <f>IF(C676&lt;&gt;"", IFERROR(INDEX('بنود العقد'!E$3:E$388,C676), 0), "")</f>
        <v>438</v>
      </c>
      <c r="G676" s="9">
        <f>IF(C676&lt;&gt;"", IFERROR(INDEX('بنود العقد'!F$3:F$388,C676), 0), "")</f>
        <v>149</v>
      </c>
      <c r="H676" s="18">
        <f t="shared" si="29"/>
        <v>75</v>
      </c>
      <c r="I676" s="7">
        <v>3</v>
      </c>
      <c r="J676" s="18">
        <f t="shared" si="22"/>
        <v>78</v>
      </c>
      <c r="K676" s="10">
        <f t="shared" si="30"/>
        <v>1314</v>
      </c>
      <c r="L676" s="21">
        <f t="shared" si="24"/>
        <v>52.348993288590606</v>
      </c>
    </row>
    <row r="677" spans="1:12" s="72" customFormat="1" ht="25.95" customHeight="1">
      <c r="A677" s="12">
        <v>675</v>
      </c>
      <c r="B677" s="6">
        <v>13</v>
      </c>
      <c r="C677" s="6">
        <v>279</v>
      </c>
      <c r="D677" s="20" t="str">
        <f>IF(C677&lt;&gt;"", IFERROR(INDEX('بنود العقد'!B$3:B$388,C677),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C6</v>
      </c>
      <c r="E677" s="12" t="str">
        <f>IF(C677&lt;&gt;"", IFERROR(INDEX('بنود العقد'!D$3:D$388,C677), ""), "")</f>
        <v>عدد</v>
      </c>
      <c r="F677" s="9">
        <f>IF(C677&lt;&gt;"", IFERROR(INDEX('بنود العقد'!E$3:E$388,C677), 0), "")</f>
        <v>288</v>
      </c>
      <c r="G677" s="9">
        <f>IF(C677&lt;&gt;"", IFERROR(INDEX('بنود العقد'!F$3:F$388,C677), 0), "")</f>
        <v>158</v>
      </c>
      <c r="H677" s="18">
        <f t="shared" si="29"/>
        <v>84</v>
      </c>
      <c r="I677" s="7">
        <v>12</v>
      </c>
      <c r="J677" s="18">
        <f t="shared" si="22"/>
        <v>96</v>
      </c>
      <c r="K677" s="10">
        <f t="shared" si="30"/>
        <v>3456</v>
      </c>
      <c r="L677" s="21">
        <f t="shared" si="24"/>
        <v>60.75949367088608</v>
      </c>
    </row>
    <row r="678" spans="1:12" s="72" customFormat="1" ht="25.95" customHeight="1">
      <c r="A678" s="12">
        <v>676</v>
      </c>
      <c r="B678" s="6">
        <v>13</v>
      </c>
      <c r="C678" s="6">
        <v>286</v>
      </c>
      <c r="D678" s="20" t="str">
        <f>IF(C678&lt;&gt;"", IFERROR(INDEX('بنود العقد'!B$3:B$388,C678),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E2</v>
      </c>
      <c r="E678" s="12" t="str">
        <f>IF(C678&lt;&gt;"", IFERROR(INDEX('بنود العقد'!D$3:D$388,C678), ""), "")</f>
        <v>عدد</v>
      </c>
      <c r="F678" s="9">
        <f>IF(C678&lt;&gt;"", IFERROR(INDEX('بنود العقد'!E$3:E$388,C678), 0), "")</f>
        <v>504</v>
      </c>
      <c r="G678" s="9">
        <f>IF(C678&lt;&gt;"", IFERROR(INDEX('بنود العقد'!F$3:F$388,C678), 0), "")</f>
        <v>186</v>
      </c>
      <c r="H678" s="18">
        <f t="shared" si="29"/>
        <v>117</v>
      </c>
      <c r="I678" s="7">
        <v>20</v>
      </c>
      <c r="J678" s="18">
        <f t="shared" si="22"/>
        <v>137</v>
      </c>
      <c r="K678" s="10">
        <f t="shared" si="30"/>
        <v>10080</v>
      </c>
      <c r="L678" s="21">
        <f t="shared" si="24"/>
        <v>73.655913978494624</v>
      </c>
    </row>
    <row r="679" spans="1:12" s="72" customFormat="1" ht="25.95" customHeight="1">
      <c r="A679" s="12">
        <v>677</v>
      </c>
      <c r="B679" s="6">
        <v>13</v>
      </c>
      <c r="C679" s="6">
        <v>291</v>
      </c>
      <c r="D679" s="20" t="str">
        <f>IF(C679&lt;&gt;"", IFERROR(INDEX('بنود العقد'!B$3:B$388,C679),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LB4</v>
      </c>
      <c r="E679" s="12" t="str">
        <f>IF(C679&lt;&gt;"", IFERROR(INDEX('بنود العقد'!D$3:D$388,C679), ""), "")</f>
        <v>عدد</v>
      </c>
      <c r="F679" s="9">
        <f>IF(C679&lt;&gt;"", IFERROR(INDEX('بنود العقد'!E$3:E$388,C679), 0), "")</f>
        <v>1104</v>
      </c>
      <c r="G679" s="9">
        <f>IF(C679&lt;&gt;"", IFERROR(INDEX('بنود العقد'!F$3:F$388,C679), 0), "")</f>
        <v>132</v>
      </c>
      <c r="H679" s="18">
        <f t="shared" si="29"/>
        <v>48</v>
      </c>
      <c r="I679" s="7">
        <v>4</v>
      </c>
      <c r="J679" s="18">
        <f t="shared" ref="J679:J885" si="31">IF(I679&lt;&gt;"", H679+I679, 0)</f>
        <v>52</v>
      </c>
      <c r="K679" s="10">
        <f t="shared" si="30"/>
        <v>4416</v>
      </c>
      <c r="L679" s="21">
        <f t="shared" si="24"/>
        <v>39.393939393939391</v>
      </c>
    </row>
    <row r="680" spans="1:12" s="72" customFormat="1" ht="25.95" customHeight="1">
      <c r="A680" s="12">
        <v>678</v>
      </c>
      <c r="B680" s="6">
        <v>13</v>
      </c>
      <c r="C680" s="6">
        <v>294</v>
      </c>
      <c r="D680" s="20" t="str">
        <f>IF(C680&lt;&gt;"", IFERROR(INDEX('بنود العقد'!B$3:B$388,C680),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LB7</v>
      </c>
      <c r="E680" s="12" t="str">
        <f>IF(C680&lt;&gt;"", IFERROR(INDEX('بنود العقد'!D$3:D$388,C680), ""), "")</f>
        <v>عدد</v>
      </c>
      <c r="F680" s="9">
        <f>IF(C680&lt;&gt;"", IFERROR(INDEX('بنود العقد'!E$3:E$388,C680), 0), "")</f>
        <v>174</v>
      </c>
      <c r="G680" s="9">
        <f>IF(C680&lt;&gt;"", IFERROR(INDEX('بنود العقد'!F$3:F$388,C680), 0), "")</f>
        <v>2</v>
      </c>
      <c r="H680" s="18">
        <f t="shared" si="29"/>
        <v>0</v>
      </c>
      <c r="I680" s="7">
        <v>2</v>
      </c>
      <c r="J680" s="18">
        <f t="shared" si="31"/>
        <v>2</v>
      </c>
      <c r="K680" s="10">
        <f t="shared" si="30"/>
        <v>348</v>
      </c>
      <c r="L680" s="21">
        <f t="shared" si="24"/>
        <v>100</v>
      </c>
    </row>
    <row r="681" spans="1:12" s="72" customFormat="1" ht="25.95" customHeight="1">
      <c r="A681" s="12">
        <v>679</v>
      </c>
      <c r="B681" s="6">
        <v>13</v>
      </c>
      <c r="C681" s="6">
        <v>295</v>
      </c>
      <c r="D681" s="20" t="str">
        <f>IF(C681&lt;&gt;"", IFERROR(INDEX('بنود العقد'!B$3:B$388,C681),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ES-1</v>
      </c>
      <c r="E681" s="12" t="str">
        <f>IF(C681&lt;&gt;"", IFERROR(INDEX('بنود العقد'!D$3:D$388,C681), ""), "")</f>
        <v>عدد</v>
      </c>
      <c r="F681" s="9">
        <f>IF(C681&lt;&gt;"", IFERROR(INDEX('بنود العقد'!E$3:E$388,C681), 0), "")</f>
        <v>360</v>
      </c>
      <c r="G681" s="9">
        <f>IF(C681&lt;&gt;"", IFERROR(INDEX('بنود العقد'!F$3:F$388,C681), 0), "")</f>
        <v>430</v>
      </c>
      <c r="H681" s="18">
        <f t="shared" si="29"/>
        <v>91</v>
      </c>
      <c r="I681" s="7">
        <v>14</v>
      </c>
      <c r="J681" s="18">
        <f t="shared" si="31"/>
        <v>105</v>
      </c>
      <c r="K681" s="10">
        <f t="shared" si="30"/>
        <v>5040</v>
      </c>
      <c r="L681" s="21">
        <f t="shared" si="24"/>
        <v>24.418604651162788</v>
      </c>
    </row>
    <row r="682" spans="1:12" s="72" customFormat="1" ht="25.95" customHeight="1">
      <c r="A682" s="12">
        <v>680</v>
      </c>
      <c r="B682" s="6">
        <v>13</v>
      </c>
      <c r="C682" s="6">
        <v>298</v>
      </c>
      <c r="D682" s="20" t="str">
        <f>IF(C682&lt;&gt;"", IFERROR(INDEX('بنود العقد'!B$3:B$388,C682),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P1</v>
      </c>
      <c r="E682" s="12" t="str">
        <f>IF(C682&lt;&gt;"", IFERROR(INDEX('بنود العقد'!D$3:D$388,C682), ""), "")</f>
        <v>عدد</v>
      </c>
      <c r="F682" s="9">
        <f>IF(C682&lt;&gt;"", IFERROR(INDEX('بنود العقد'!E$3:E$388,C682), 0), "")</f>
        <v>420</v>
      </c>
      <c r="G682" s="9">
        <f>IF(C682&lt;&gt;"", IFERROR(INDEX('بنود العقد'!F$3:F$388,C682), 0), "")</f>
        <v>75</v>
      </c>
      <c r="H682" s="18">
        <f t="shared" si="29"/>
        <v>31</v>
      </c>
      <c r="I682" s="7">
        <v>1</v>
      </c>
      <c r="J682" s="18">
        <f t="shared" si="31"/>
        <v>32</v>
      </c>
      <c r="K682" s="10">
        <f t="shared" si="30"/>
        <v>420</v>
      </c>
      <c r="L682" s="21">
        <f t="shared" si="24"/>
        <v>42.666666666666671</v>
      </c>
    </row>
    <row r="683" spans="1:12" s="72" customFormat="1" ht="25.95" customHeight="1">
      <c r="A683" s="12">
        <v>681</v>
      </c>
      <c r="B683" s="6">
        <v>13</v>
      </c>
      <c r="C683" s="6">
        <v>303</v>
      </c>
      <c r="D683" s="20" t="str">
        <f>IF(C683&lt;&gt;"", IFERROR(INDEX('بنود العقد'!B$3:B$388,C683),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مفتاح أحادي ، أحادي الكباّس، 10 أمبير</v>
      </c>
      <c r="E683" s="12" t="str">
        <f>IF(C683&lt;&gt;"", IFERROR(INDEX('بنود العقد'!D$3:D$388,C683), ""), "")</f>
        <v>عدد</v>
      </c>
      <c r="F683" s="9">
        <f>IF(C683&lt;&gt;"", IFERROR(INDEX('بنود العقد'!E$3:E$388,C683), 0), "")</f>
        <v>216</v>
      </c>
      <c r="G683" s="9">
        <f>IF(C683&lt;&gt;"", IFERROR(INDEX('بنود العقد'!F$3:F$388,C683), 0), "")</f>
        <v>226</v>
      </c>
      <c r="H683" s="18">
        <f t="shared" si="29"/>
        <v>97</v>
      </c>
      <c r="I683" s="7">
        <v>3</v>
      </c>
      <c r="J683" s="18">
        <f t="shared" si="31"/>
        <v>100</v>
      </c>
      <c r="K683" s="10">
        <f t="shared" si="30"/>
        <v>648</v>
      </c>
      <c r="L683" s="21">
        <f t="shared" si="24"/>
        <v>44.247787610619469</v>
      </c>
    </row>
    <row r="684" spans="1:12" s="72" customFormat="1" ht="25.95" customHeight="1">
      <c r="A684" s="12">
        <v>682</v>
      </c>
      <c r="B684" s="6">
        <v>13</v>
      </c>
      <c r="C684" s="6">
        <v>304</v>
      </c>
      <c r="D684" s="20" t="str">
        <f>IF(C684&lt;&gt;"", IFERROR(INDEX('بنود العقد'!B$3:B$388,C684),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أحادي ، ثنائي الكباّس، 10 أمبير</v>
      </c>
      <c r="E684" s="12" t="str">
        <f>IF(C684&lt;&gt;"", IFERROR(INDEX('بنود العقد'!D$3:D$388,C684), ""), "")</f>
        <v>عدد</v>
      </c>
      <c r="F684" s="9">
        <f>IF(C684&lt;&gt;"", IFERROR(INDEX('بنود العقد'!E$3:E$388,C684), 0), "")</f>
        <v>216</v>
      </c>
      <c r="G684" s="9">
        <f>IF(C684&lt;&gt;"", IFERROR(INDEX('بنود العقد'!F$3:F$388,C684), 0), "")</f>
        <v>490</v>
      </c>
      <c r="H684" s="18">
        <f t="shared" si="29"/>
        <v>221</v>
      </c>
      <c r="I684" s="7">
        <v>7</v>
      </c>
      <c r="J684" s="18">
        <f t="shared" si="31"/>
        <v>228</v>
      </c>
      <c r="K684" s="10">
        <f t="shared" si="30"/>
        <v>1512</v>
      </c>
      <c r="L684" s="21">
        <f t="shared" si="24"/>
        <v>46.530612244897959</v>
      </c>
    </row>
    <row r="685" spans="1:12" s="72" customFormat="1" ht="25.95" customHeight="1">
      <c r="A685" s="12">
        <v>683</v>
      </c>
      <c r="B685" s="6">
        <v>13</v>
      </c>
      <c r="C685" s="6">
        <v>334</v>
      </c>
      <c r="D685" s="20" t="str">
        <f>IF(C685&lt;&gt;"", IFERROR(INDEX('بنود العقد'!B$3:B$388,C685), "⚠"), "")</f>
        <v xml:space="preserve">فك و تقطيع وتنزيل و ترحيل مواسير شبكة الصرف و التغذية القائمة و البند يشمل فك القطع والترحيل خارج الموقع وتسليم جميع مكونات شبكة الصرف و التغذية للجهة مالكة المشروع </v>
      </c>
      <c r="E685" s="12" t="str">
        <f>IF(C685&lt;&gt;"", IFERROR(INDEX('بنود العقد'!D$3:D$388,C685), ""), "")</f>
        <v>م.ط</v>
      </c>
      <c r="F685" s="9">
        <f>IF(C685&lt;&gt;"", IFERROR(INDEX('بنود العقد'!E$3:E$388,C685), 0), "")</f>
        <v>16.523</v>
      </c>
      <c r="G685" s="9">
        <f>IF(C685&lt;&gt;"", IFERROR(INDEX('بنود العقد'!F$3:F$388,C685), 0), "")</f>
        <v>0</v>
      </c>
      <c r="H685" s="18">
        <f t="shared" si="29"/>
        <v>2963</v>
      </c>
      <c r="I685" s="7">
        <v>408</v>
      </c>
      <c r="J685" s="18">
        <f t="shared" si="31"/>
        <v>3371</v>
      </c>
      <c r="K685" s="10">
        <f t="shared" si="30"/>
        <v>6741.384</v>
      </c>
      <c r="L685" s="21" t="str">
        <f t="shared" si="24"/>
        <v/>
      </c>
    </row>
    <row r="686" spans="1:12" s="72" customFormat="1" ht="25.95" customHeight="1">
      <c r="A686" s="12">
        <v>684</v>
      </c>
      <c r="B686" s="6">
        <v>14</v>
      </c>
      <c r="C686" s="6">
        <v>25</v>
      </c>
      <c r="D686" s="20" t="str">
        <f>IF(C686&lt;&gt;"", IFERROR(INDEX('بنود العقد'!B$3:B$388,C686), "⚠"), "")</f>
        <v>تصنيع وتركيب لوح خشبي بشكل طولي من  الـ )Mdf(  مع قشرة الجوز او ما يتناسب مع العينة المتفق عليها طول 25سم وعرض 10سم وارتفاع 270 سم الى جانب الابواب الزجاجية حسب المناظير والرسومات وتعليمات المهندس المشرف.Code: WDP2-08</v>
      </c>
      <c r="E686" s="12" t="str">
        <f>IF(C686&lt;&gt;"", IFERROR(INDEX('بنود العقد'!D$3:D$388,C686), ""), "")</f>
        <v>عدد</v>
      </c>
      <c r="F686" s="9">
        <f>IF(C686&lt;&gt;"", IFERROR(INDEX('بنود العقد'!E$3:E$388,C686), 0), "")</f>
        <v>240</v>
      </c>
      <c r="G686" s="9">
        <f>IF(C686&lt;&gt;"", IFERROR(INDEX('بنود العقد'!F$3:F$388,C686), 0), "")</f>
        <v>248</v>
      </c>
      <c r="H686" s="18">
        <f t="shared" ref="H686:H749" si="32">IFERROR(SUMIFS(I$3:I$1805, B$3:B$1805, "&lt;"&amp;B686, C$3:C$1805, C686), 0)</f>
        <v>94</v>
      </c>
      <c r="I686" s="7">
        <v>29</v>
      </c>
      <c r="J686" s="18">
        <f t="shared" si="31"/>
        <v>123</v>
      </c>
      <c r="K686" s="10">
        <f t="shared" si="30"/>
        <v>6960</v>
      </c>
      <c r="L686" s="21">
        <f t="shared" si="24"/>
        <v>49.596774193548384</v>
      </c>
    </row>
    <row r="687" spans="1:12" s="72" customFormat="1" ht="25.95" customHeight="1">
      <c r="A687" s="12">
        <v>685</v>
      </c>
      <c r="B687" s="6">
        <v>14</v>
      </c>
      <c r="C687" s="6">
        <v>26</v>
      </c>
      <c r="D687" s="20" t="str">
        <f>IF(C687&lt;&gt;"", IFERROR(INDEX('بنود العقد'!B$3:B$388,C687),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العامود الخرساني بدهان رمادي على شكل وهيئة الأسطح الاسمنتية )matt( بتصميم مع غروف حسب الرسومات والمناظير وتعليمات المهندس المشرف.Code: WDP3-04</v>
      </c>
      <c r="E687" s="12" t="str">
        <f>IF(C687&lt;&gt;"", IFERROR(INDEX('بنود العقد'!D$3:D$388,C687), ""), "")</f>
        <v>م2</v>
      </c>
      <c r="F687" s="9">
        <f>IF(C687&lt;&gt;"", IFERROR(INDEX('بنود العقد'!E$3:E$388,C687), 0), "")</f>
        <v>528</v>
      </c>
      <c r="G687" s="9">
        <f>IF(C687&lt;&gt;"", IFERROR(INDEX('بنود العقد'!F$3:F$388,C687), 0), "")</f>
        <v>345</v>
      </c>
      <c r="H687" s="18">
        <f t="shared" si="32"/>
        <v>194</v>
      </c>
      <c r="I687" s="7">
        <v>6</v>
      </c>
      <c r="J687" s="18">
        <f t="shared" si="31"/>
        <v>200</v>
      </c>
      <c r="K687" s="10">
        <f t="shared" si="30"/>
        <v>3168</v>
      </c>
      <c r="L687" s="21">
        <f t="shared" si="24"/>
        <v>57.971014492753625</v>
      </c>
    </row>
    <row r="688" spans="1:12" s="72" customFormat="1" ht="25.95" customHeight="1">
      <c r="A688" s="12">
        <v>686</v>
      </c>
      <c r="B688" s="6">
        <v>14</v>
      </c>
      <c r="C688" s="6">
        <v>28</v>
      </c>
      <c r="D688" s="20" t="str">
        <f>IF(C688&lt;&gt;"", IFERROR(INDEX('بنود العقد'!B$3:B$388,C688),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مثبتة على القواطع الجبسية مع قشرة صناعية بحسب العينة الموافق عليها وغروف حسب الرسومات والمناظير وتعليمات المهندس المشرفCode: WDP2</v>
      </c>
      <c r="E688" s="12" t="str">
        <f>IF(C688&lt;&gt;"", IFERROR(INDEX('بنود العقد'!D$3:D$388,C688), ""), "")</f>
        <v>م2</v>
      </c>
      <c r="F688" s="9">
        <f>IF(C688&lt;&gt;"", IFERROR(INDEX('بنود العقد'!E$3:E$388,C688), 0), "")</f>
        <v>528</v>
      </c>
      <c r="G688" s="9">
        <f>IF(C688&lt;&gt;"", IFERROR(INDEX('بنود العقد'!F$3:F$388,C688), 0), "")</f>
        <v>2517</v>
      </c>
      <c r="H688" s="18">
        <f t="shared" si="32"/>
        <v>1057</v>
      </c>
      <c r="I688" s="7">
        <v>321</v>
      </c>
      <c r="J688" s="18">
        <f t="shared" si="31"/>
        <v>1378</v>
      </c>
      <c r="K688" s="10">
        <f t="shared" si="30"/>
        <v>169488</v>
      </c>
      <c r="L688" s="21">
        <f t="shared" si="24"/>
        <v>54.747715534366307</v>
      </c>
    </row>
    <row r="689" spans="1:12" s="72" customFormat="1" ht="25.95" customHeight="1">
      <c r="A689" s="12">
        <v>687</v>
      </c>
      <c r="B689" s="6">
        <v>14</v>
      </c>
      <c r="C689" s="6">
        <v>29</v>
      </c>
      <c r="D689" s="20" t="str">
        <f>IF(C689&lt;&gt;"", IFERROR(INDEX('بنود العقد'!B$3:B$388,C689),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االقواطع الجبسية بدهان رمادي على شكل وهيئة الأسطح الاسمنتية ) matt( مع تصميم بفتحات حسب الرسومات والمناظير وتعليمات المهندس المشرف.Code: WDP3-01, WDP3-02, WDP3-03</v>
      </c>
      <c r="E689" s="12" t="str">
        <f>IF(C689&lt;&gt;"", IFERROR(INDEX('بنود العقد'!D$3:D$388,C689), ""), "")</f>
        <v>م2</v>
      </c>
      <c r="F689" s="9">
        <f>IF(C689&lt;&gt;"", IFERROR(INDEX('بنود العقد'!E$3:E$388,C689), 0), "")</f>
        <v>528</v>
      </c>
      <c r="G689" s="9">
        <f>IF(C689&lt;&gt;"", IFERROR(INDEX('بنود العقد'!F$3:F$388,C689), 0), "")</f>
        <v>846</v>
      </c>
      <c r="H689" s="18">
        <f t="shared" si="32"/>
        <v>388</v>
      </c>
      <c r="I689" s="7">
        <v>133</v>
      </c>
      <c r="J689" s="18">
        <f t="shared" si="31"/>
        <v>521</v>
      </c>
      <c r="K689" s="10">
        <f t="shared" si="30"/>
        <v>70224</v>
      </c>
      <c r="L689" s="21">
        <f t="shared" si="24"/>
        <v>61.583924349881791</v>
      </c>
    </row>
    <row r="690" spans="1:12" s="72" customFormat="1" ht="25.95" customHeight="1">
      <c r="A690" s="12">
        <v>688</v>
      </c>
      <c r="B690" s="6">
        <v>14</v>
      </c>
      <c r="C690" s="6">
        <v>30</v>
      </c>
      <c r="D690" s="20" t="str">
        <f>IF(C690&lt;&gt;"", IFERROR(INDEX('بنود العقد'!B$3:B$388,C690),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مع قشرة السنديان المطلي بدهان ابيض  مع غروف وفتحات إضاءة مخفية مغلفة من الداخل بطبقة Acrylic مغشى  حسب الرسومات والمناظير وتعليمات المهندس المشرف.Code: WDP1-03, WDP1-04, WDP1-05, WDP1-06</v>
      </c>
      <c r="E690" s="12" t="str">
        <f>IF(C690&lt;&gt;"", IFERROR(INDEX('بنود العقد'!D$3:D$388,C690), ""), "")</f>
        <v>م2</v>
      </c>
      <c r="F690" s="9">
        <f>IF(C690&lt;&gt;"", IFERROR(INDEX('بنود العقد'!E$3:E$388,C690), 0), "")</f>
        <v>570</v>
      </c>
      <c r="G690" s="9">
        <f>IF(C690&lt;&gt;"", IFERROR(INDEX('بنود العقد'!F$3:F$388,C690), 0), "")</f>
        <v>456</v>
      </c>
      <c r="H690" s="18">
        <f t="shared" si="32"/>
        <v>256</v>
      </c>
      <c r="I690" s="7">
        <v>31</v>
      </c>
      <c r="J690" s="18">
        <f t="shared" si="31"/>
        <v>287</v>
      </c>
      <c r="K690" s="10">
        <f t="shared" si="30"/>
        <v>17670</v>
      </c>
      <c r="L690" s="21">
        <f t="shared" si="24"/>
        <v>62.938596491228068</v>
      </c>
    </row>
    <row r="691" spans="1:12" s="72" customFormat="1" ht="25.95" customHeight="1">
      <c r="A691" s="12">
        <v>689</v>
      </c>
      <c r="B691" s="6">
        <v>14</v>
      </c>
      <c r="C691" s="6">
        <v>31</v>
      </c>
      <c r="D691" s="20" t="str">
        <f>IF(C691&lt;&gt;"", IFERROR(INDEX('بنود العقد'!B$3:B$388,C691),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بدهان رمادي   مع غروف وفتحات إضاءة مخفية مغلفة من الداخل بطبقة Acrylic مغشى  حسب الرسومات والمناظير وتعليمات المهندس المشرف.Code: WDP5</v>
      </c>
      <c r="E691" s="12" t="str">
        <f>IF(C691&lt;&gt;"", IFERROR(INDEX('بنود العقد'!D$3:D$388,C691), ""), "")</f>
        <v>م2</v>
      </c>
      <c r="F691" s="9">
        <f>IF(C691&lt;&gt;"", IFERROR(INDEX('بنود العقد'!E$3:E$388,C691), 0), "")</f>
        <v>720</v>
      </c>
      <c r="G691" s="9">
        <f>IF(C691&lt;&gt;"", IFERROR(INDEX('بنود العقد'!F$3:F$388,C691), 0), "")</f>
        <v>53</v>
      </c>
      <c r="H691" s="18">
        <f t="shared" si="32"/>
        <v>0</v>
      </c>
      <c r="I691" s="7">
        <v>26</v>
      </c>
      <c r="J691" s="18">
        <f t="shared" si="31"/>
        <v>26</v>
      </c>
      <c r="K691" s="10">
        <f t="shared" si="30"/>
        <v>18720</v>
      </c>
      <c r="L691" s="21">
        <f t="shared" si="24"/>
        <v>49.056603773584904</v>
      </c>
    </row>
    <row r="692" spans="1:12" s="72" customFormat="1" ht="25.95" customHeight="1">
      <c r="A692" s="12">
        <v>690</v>
      </c>
      <c r="B692" s="6">
        <v>14</v>
      </c>
      <c r="C692" s="6">
        <v>33</v>
      </c>
      <c r="D692" s="20" t="str">
        <f>IF(C692&lt;&gt;"", IFERROR(INDEX('بنود العقد'!B$3:B$388,C692),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number)-AR-600 to 07-MRA-DD (as per floor number)-AR-604كسوة من خشب الـ) Mdf(  ، مع قشرة  )walnut( لمدخل كبار الشخصيات ومكتب مدير مكتب معالي الوزير     حسب الرسومات والمناظير وتعليمات المهندس المشرف.Code: WDP7</v>
      </c>
      <c r="E692" s="12" t="str">
        <f>IF(C692&lt;&gt;"", IFERROR(INDEX('بنود العقد'!D$3:D$388,C692), ""), "")</f>
        <v>م2</v>
      </c>
      <c r="F692" s="9">
        <f>IF(C692&lt;&gt;"", IFERROR(INDEX('بنود العقد'!E$3:E$388,C692), 0), "")</f>
        <v>570</v>
      </c>
      <c r="G692" s="9">
        <f>IF(C692&lt;&gt;"", IFERROR(INDEX('بنود العقد'!F$3:F$388,C692), 0), "")</f>
        <v>118</v>
      </c>
      <c r="H692" s="18">
        <f t="shared" si="32"/>
        <v>0</v>
      </c>
      <c r="I692" s="7">
        <v>22</v>
      </c>
      <c r="J692" s="18">
        <f t="shared" si="31"/>
        <v>22</v>
      </c>
      <c r="K692" s="10">
        <f t="shared" si="30"/>
        <v>12540</v>
      </c>
      <c r="L692" s="21">
        <f t="shared" si="24"/>
        <v>18.64406779661017</v>
      </c>
    </row>
    <row r="693" spans="1:12" s="72" customFormat="1" ht="25.95" customHeight="1">
      <c r="A693" s="12">
        <v>691</v>
      </c>
      <c r="B693" s="6">
        <v>14</v>
      </c>
      <c r="C693" s="6">
        <v>34</v>
      </c>
      <c r="D693" s="20" t="str">
        <f>IF(C693&lt;&gt;"", IFERROR(INDEX('بنود العقد'!B$3:B$388,C693),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صناعية بلون رمادي بيج لمنطقة معالي الوزير   حسب الرسومات والمناظير وتعليمات المهندس المشرف.Code: WDP8</v>
      </c>
      <c r="E693" s="12" t="str">
        <f>IF(C693&lt;&gt;"", IFERROR(INDEX('بنود العقد'!D$3:D$388,C693), ""), "")</f>
        <v>م2</v>
      </c>
      <c r="F693" s="9">
        <f>IF(C693&lt;&gt;"", IFERROR(INDEX('بنود العقد'!E$3:E$388,C693), 0), "")</f>
        <v>870</v>
      </c>
      <c r="G693" s="9">
        <f>IF(C693&lt;&gt;"", IFERROR(INDEX('بنود العقد'!F$3:F$388,C693), 0), "")</f>
        <v>758</v>
      </c>
      <c r="H693" s="18">
        <f t="shared" si="32"/>
        <v>0</v>
      </c>
      <c r="I693" s="7">
        <v>512</v>
      </c>
      <c r="J693" s="18">
        <f t="shared" si="31"/>
        <v>512</v>
      </c>
      <c r="K693" s="10">
        <f t="shared" si="30"/>
        <v>445440</v>
      </c>
      <c r="L693" s="21">
        <f t="shared" si="24"/>
        <v>67.546174142480211</v>
      </c>
    </row>
    <row r="694" spans="1:12" s="72" customFormat="1" ht="25.95" customHeight="1">
      <c r="A694" s="12">
        <v>692</v>
      </c>
      <c r="B694" s="6">
        <v>14</v>
      </c>
      <c r="C694" s="6">
        <v>35</v>
      </c>
      <c r="D694" s="20" t="str">
        <f>IF(C694&lt;&gt;"", IFERROR(INDEX('بنود العقد'!B$3:B$388,C694),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ال )wenge( بشكل pattern مفرغة من الداخل مع ايطار خشبي ملبس بجلد لون بيج ومثبتة على الجدار الخشبي  لمنطقة معالي الوزير  حسب الرسومات والمناظير  وتعليمات المهندس المشرف.Code: P1</v>
      </c>
      <c r="E694" s="12" t="str">
        <f>IF(C694&lt;&gt;"", IFERROR(INDEX('بنود العقد'!D$3:D$388,C694), ""), "")</f>
        <v>م2</v>
      </c>
      <c r="F694" s="9">
        <f>IF(C694&lt;&gt;"", IFERROR(INDEX('بنود العقد'!E$3:E$388,C694), 0), "")</f>
        <v>1080</v>
      </c>
      <c r="G694" s="9">
        <f>IF(C694&lt;&gt;"", IFERROR(INDEX('بنود العقد'!F$3:F$388,C694), 0), "")</f>
        <v>60</v>
      </c>
      <c r="H694" s="18">
        <f t="shared" si="32"/>
        <v>28.73</v>
      </c>
      <c r="I694" s="7">
        <v>24.27</v>
      </c>
      <c r="J694" s="18">
        <f t="shared" si="31"/>
        <v>53</v>
      </c>
      <c r="K694" s="10">
        <f t="shared" si="30"/>
        <v>26211.599999999999</v>
      </c>
      <c r="L694" s="21">
        <f t="shared" si="24"/>
        <v>88.333333333333329</v>
      </c>
    </row>
    <row r="695" spans="1:12" s="72" customFormat="1" ht="25.95" customHeight="1">
      <c r="A695" s="12">
        <v>693</v>
      </c>
      <c r="B695" s="6">
        <v>14</v>
      </c>
      <c r="C695" s="6">
        <v>36</v>
      </c>
      <c r="D695" s="20" t="str">
        <f>IF(C695&lt;&gt;"", IFERROR(INDEX('بنود العقد'!B$3:B$388,C695),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ال )wenge( بشكل pattern مفرغة من الداخل مع ايطار خشبي ومثبتة على الجدار الخشبي  لمنطقة التنفيذيين حسب الرسومات والمناظير وتعليمات المهندس المشرف.Code: P2</v>
      </c>
      <c r="E695" s="12" t="str">
        <f>IF(C695&lt;&gt;"", IFERROR(INDEX('بنود العقد'!D$3:D$388,C695), ""), "")</f>
        <v>م2</v>
      </c>
      <c r="F695" s="9">
        <f>IF(C695&lt;&gt;"", IFERROR(INDEX('بنود العقد'!E$3:E$388,C695), 0), "")</f>
        <v>960</v>
      </c>
      <c r="G695" s="9">
        <f>IF(C695&lt;&gt;"", IFERROR(INDEX('بنود العقد'!F$3:F$388,C695), 0), "")</f>
        <v>75</v>
      </c>
      <c r="H695" s="18">
        <f t="shared" si="32"/>
        <v>18.899999999999999</v>
      </c>
      <c r="I695" s="7">
        <v>28.1</v>
      </c>
      <c r="J695" s="18">
        <f t="shared" si="31"/>
        <v>47</v>
      </c>
      <c r="K695" s="10">
        <f t="shared" si="30"/>
        <v>26976</v>
      </c>
      <c r="L695" s="21">
        <f t="shared" si="24"/>
        <v>62.666666666666671</v>
      </c>
    </row>
    <row r="696" spans="1:12" s="72" customFormat="1" ht="25.95" customHeight="1">
      <c r="A696" s="12">
        <v>694</v>
      </c>
      <c r="B696" s="6">
        <v>14</v>
      </c>
      <c r="C696" s="6">
        <v>37</v>
      </c>
      <c r="D696" s="20" t="str">
        <f>IF(C696&lt;&gt;"", IFERROR(INDEX('بنود العقد'!B$3:B$388,C696), "⚠"), "")</f>
        <v>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 سقف من خشب الـ)Mdf( ،  مطلي بدهان أبيض بشكل pattern مفرغة من الداخل  ومثبتة على ألواح خشبية مع قشرة الجوز مثبتة بنظام تعليق متصلة بالسقف الخرساني  لمنطقة معالي الوزير حسب الرسومات والمناظير وتعليمات المهندس المشرف.Code: WDC-04</v>
      </c>
      <c r="E696" s="12" t="str">
        <f>IF(C696&lt;&gt;"", IFERROR(INDEX('بنود العقد'!D$3:D$388,C696), ""), "")</f>
        <v>م2</v>
      </c>
      <c r="F696" s="9">
        <f>IF(C696&lt;&gt;"", IFERROR(INDEX('بنود العقد'!E$3:E$388,C696), 0), "")</f>
        <v>1080</v>
      </c>
      <c r="G696" s="9">
        <f>IF(C696&lt;&gt;"", IFERROR(INDEX('بنود العقد'!F$3:F$388,C696), 0), "")</f>
        <v>162</v>
      </c>
      <c r="H696" s="18">
        <f t="shared" si="32"/>
        <v>0</v>
      </c>
      <c r="I696" s="7">
        <v>67</v>
      </c>
      <c r="J696" s="18">
        <f t="shared" si="31"/>
        <v>67</v>
      </c>
      <c r="K696" s="10">
        <f t="shared" si="30"/>
        <v>72360</v>
      </c>
      <c r="L696" s="21">
        <f t="shared" si="24"/>
        <v>41.358024691358025</v>
      </c>
    </row>
    <row r="697" spans="1:12" s="72" customFormat="1" ht="25.95" customHeight="1">
      <c r="A697" s="12">
        <v>695</v>
      </c>
      <c r="B697" s="6">
        <v>14</v>
      </c>
      <c r="C697" s="6">
        <v>38</v>
      </c>
      <c r="D697" s="20" t="str">
        <f>IF(C697&lt;&gt;"", IFERROR(INDEX('بنود العقد'!B$3:B$388,C697), "⚠"), "")</f>
        <v>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 من من خشب الـ)Mdf(  مع قشرة صناعية بحسب العينة الموافق عليها وغروف مثبتة بنظام تعليق متصلة بالسقف الخرساني حسب الرسومات والمناظير وتعليمات المهندس المشرف.Code: WDC-01 &amp; WDC-02</v>
      </c>
      <c r="E697" s="12" t="str">
        <f>IF(C697&lt;&gt;"", IFERROR(INDEX('بنود العقد'!D$3:D$388,C697), ""), "")</f>
        <v>م2</v>
      </c>
      <c r="F697" s="9">
        <f>IF(C697&lt;&gt;"", IFERROR(INDEX('بنود العقد'!E$3:E$388,C697), 0), "")</f>
        <v>840</v>
      </c>
      <c r="G697" s="9">
        <f>IF(C697&lt;&gt;"", IFERROR(INDEX('بنود العقد'!F$3:F$388,C697), 0), "")</f>
        <v>684</v>
      </c>
      <c r="H697" s="18">
        <f t="shared" si="32"/>
        <v>267</v>
      </c>
      <c r="I697" s="7">
        <v>114</v>
      </c>
      <c r="J697" s="18">
        <f t="shared" si="31"/>
        <v>381</v>
      </c>
      <c r="K697" s="10">
        <f t="shared" si="30"/>
        <v>95760</v>
      </c>
      <c r="L697" s="21">
        <f t="shared" si="24"/>
        <v>55.701754385964911</v>
      </c>
    </row>
    <row r="698" spans="1:12" s="72" customFormat="1" ht="25.95" customHeight="1">
      <c r="A698" s="12">
        <v>696</v>
      </c>
      <c r="B698" s="6">
        <v>14</v>
      </c>
      <c r="C698" s="6">
        <v>39</v>
      </c>
      <c r="D698" s="20" t="str">
        <f>IF(C698&lt;&gt;"", IFERROR(INDEX('بنود العقد'!B$3:B$388,C698), "⚠"), "")</f>
        <v>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خشبي03-WDC من من خشب الـ)Mdf( على شكل مربعات بسماكة تصميم  5سم، وفتحات على شكل مثلث مع اضاءة مخفية مغلفة من الاعلى بطبقة Acrylic شفاف مغشى سماكة 4مم مثبتة بنظام تعليق متصلة بالسقف الخرساني حسب الرسومات والمناظير وتعليمات المهندس المشرف.Code: WDC-03</v>
      </c>
      <c r="E698" s="12" t="str">
        <f>IF(C698&lt;&gt;"", IFERROR(INDEX('بنود العقد'!D$3:D$388,C698), ""), "")</f>
        <v>م2</v>
      </c>
      <c r="F698" s="9">
        <f>IF(C698&lt;&gt;"", IFERROR(INDEX('بنود العقد'!E$3:E$388,C698), 0), "")</f>
        <v>780</v>
      </c>
      <c r="G698" s="9">
        <f>IF(C698&lt;&gt;"", IFERROR(INDEX('بنود العقد'!F$3:F$388,C698), 0), "")</f>
        <v>64</v>
      </c>
      <c r="H698" s="18">
        <f t="shared" si="32"/>
        <v>32</v>
      </c>
      <c r="I698" s="7">
        <v>6</v>
      </c>
      <c r="J698" s="18">
        <f t="shared" si="31"/>
        <v>38</v>
      </c>
      <c r="K698" s="10">
        <f t="shared" si="30"/>
        <v>4680</v>
      </c>
      <c r="L698" s="21">
        <f t="shared" si="24"/>
        <v>59.375</v>
      </c>
    </row>
    <row r="699" spans="1:12" s="72" customFormat="1" ht="25.95" customHeight="1">
      <c r="A699" s="12">
        <v>697</v>
      </c>
      <c r="B699" s="6">
        <v>14</v>
      </c>
      <c r="C699" s="6">
        <v>42</v>
      </c>
      <c r="D699" s="20" t="str">
        <f>IF(C699&lt;&gt;"", IFERROR(INDEX('بنود العقد'!B$3:B$388,C699),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خشبية04-WDC   من خشب الـ ) Mdf (  مطلية بدهان رمادي على شكل وهيئة الاسطح الاسمنتية مع غروف ومفصلات ومقابض مخفية ، وارفف مفتوحة من قشرة الجوز ،واضاءة مخفية ، مثبتة على الجدار الخارجي حسب الرسومات والمناظير  وتعليمات المهندس المشرف.</v>
      </c>
      <c r="E699" s="12" t="str">
        <f>IF(C699&lt;&gt;"", IFERROR(INDEX('بنود العقد'!D$3:D$388,C699), ""), "")</f>
        <v>م2</v>
      </c>
      <c r="F699" s="9">
        <f>IF(C699&lt;&gt;"", IFERROR(INDEX('بنود العقد'!E$3:E$388,C699), 0), "")</f>
        <v>1200</v>
      </c>
      <c r="G699" s="9">
        <f>IF(C699&lt;&gt;"", IFERROR(INDEX('بنود العقد'!F$3:F$388,C699), 0), "")</f>
        <v>297</v>
      </c>
      <c r="H699" s="18">
        <f t="shared" si="32"/>
        <v>83</v>
      </c>
      <c r="I699" s="7">
        <v>27</v>
      </c>
      <c r="J699" s="18">
        <f t="shared" si="31"/>
        <v>110</v>
      </c>
      <c r="K699" s="10">
        <f t="shared" si="30"/>
        <v>32400</v>
      </c>
      <c r="L699" s="21">
        <f t="shared" si="24"/>
        <v>37.037037037037038</v>
      </c>
    </row>
    <row r="700" spans="1:12" s="72" customFormat="1" ht="25.95" customHeight="1">
      <c r="A700" s="12">
        <v>698</v>
      </c>
      <c r="B700" s="6">
        <v>14</v>
      </c>
      <c r="C700" s="6">
        <v>43</v>
      </c>
      <c r="D700" s="20" t="str">
        <f>IF(C700&lt;&gt;"", IFERROR(INDEX('بنود العقد'!B$3:B$388,C700),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 خزانة خشبية05-WDC  من خشب الـ ) Mdf (  مع قشرة الوينغي الداكنة مع أرفف وإضاءة مخفية، أبواب الخزائن زجاجية   ribbed glass(مع إيطار خشبي وغروف ومفصلات ومقابض مخفية لمنطقة معالي الوزير حسب الرسومات والمناظير وتعليمات المهندس المشرف.</v>
      </c>
      <c r="E700" s="12" t="str">
        <f>IF(C700&lt;&gt;"", IFERROR(INDEX('بنود العقد'!D$3:D$388,C700), ""), "")</f>
        <v>م2</v>
      </c>
      <c r="F700" s="9">
        <f>IF(C700&lt;&gt;"", IFERROR(INDEX('بنود العقد'!E$3:E$388,C700), 0), "")</f>
        <v>1440</v>
      </c>
      <c r="G700" s="9">
        <f>IF(C700&lt;&gt;"", IFERROR(INDEX('بنود العقد'!F$3:F$388,C700), 0), "")</f>
        <v>69</v>
      </c>
      <c r="H700" s="18">
        <f t="shared" si="32"/>
        <v>34</v>
      </c>
      <c r="I700" s="7">
        <v>10</v>
      </c>
      <c r="J700" s="18">
        <f t="shared" si="31"/>
        <v>44</v>
      </c>
      <c r="K700" s="10">
        <f t="shared" si="30"/>
        <v>14400</v>
      </c>
      <c r="L700" s="21">
        <f t="shared" si="24"/>
        <v>63.768115942028977</v>
      </c>
    </row>
    <row r="701" spans="1:12" s="72" customFormat="1" ht="25.95" customHeight="1">
      <c r="A701" s="12">
        <v>699</v>
      </c>
      <c r="B701" s="6">
        <v>14</v>
      </c>
      <c r="C701" s="6">
        <v>44</v>
      </c>
      <c r="D701" s="20" t="str">
        <f>IF(C701&lt;&gt;"", IFERROR(INDEX('بنود العقد'!B$3:B$388,C701), "⚠"), "")</f>
        <v xml:space="preserve">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خشبية06-WDC   من خشب الـ ) Mdf (  مع قشرة الوينغي الداكنة مع أرفف وإضاءة مخفية، أبواب الخزائن زجاجية )black tinted clear glass(مع إيطار خشبي وغروف ومفصلات ومقابض مخفية لمنطقة معالي الوزير حسب الرسومات والمناظير وتعليمات المهندس المشرف. </v>
      </c>
      <c r="E701" s="12" t="str">
        <f>IF(C701&lt;&gt;"", IFERROR(INDEX('بنود العقد'!D$3:D$388,C701), ""), "")</f>
        <v>م2</v>
      </c>
      <c r="F701" s="9">
        <f>IF(C701&lt;&gt;"", IFERROR(INDEX('بنود العقد'!E$3:E$388,C701), 0), "")</f>
        <v>1440</v>
      </c>
      <c r="G701" s="9">
        <f>IF(C701&lt;&gt;"", IFERROR(INDEX('بنود العقد'!F$3:F$388,C701), 0), "")</f>
        <v>62</v>
      </c>
      <c r="H701" s="18">
        <f t="shared" si="32"/>
        <v>0</v>
      </c>
      <c r="I701" s="7">
        <v>47</v>
      </c>
      <c r="J701" s="18">
        <f t="shared" si="31"/>
        <v>47</v>
      </c>
      <c r="K701" s="10">
        <f t="shared" si="30"/>
        <v>67680</v>
      </c>
      <c r="L701" s="21">
        <f t="shared" ref="L701:L764" si="33">IF(AND(J701&lt;&gt;"",G701&lt;&gt;"",G701&gt;0), J701/G701*100, "")</f>
        <v>75.806451612903231</v>
      </c>
    </row>
    <row r="702" spans="1:12" s="72" customFormat="1" ht="25.95" customHeight="1">
      <c r="A702" s="12">
        <v>700</v>
      </c>
      <c r="B702" s="6">
        <v>14</v>
      </c>
      <c r="C702" s="6">
        <v>45</v>
      </c>
      <c r="D702" s="20" t="str">
        <f>IF(C702&lt;&gt;"", IFERROR(INDEX('بنود العقد'!B$3:B$388,C702), "⚠"), "")</f>
        <v xml:space="preserve"> توريد وتنفيذ طبقتين من غشاء عازل للمياه من الـبيتومين ثخانة 4 مم للأماكن الرطبة وحتى ارتفاع 10   سم على الجدران المحيطة ويشمل تحضير السطوح ومواد حشو الزوايا وطبقات الحماية جيوتكستايل الأفُقية والعمودية. ويشمل السعر أي مواد وأعمال مطلوبة لاستكمال العمل حسب المواصفات والمخططات.وتعليمات المهندس المشرف</v>
      </c>
      <c r="E702" s="12" t="str">
        <f>IF(C702&lt;&gt;"", IFERROR(INDEX('بنود العقد'!D$3:D$388,C702), ""), "")</f>
        <v>م2</v>
      </c>
      <c r="F702" s="9">
        <f>IF(C702&lt;&gt;"", IFERROR(INDEX('بنود العقد'!E$3:E$388,C702), 0), "")</f>
        <v>78</v>
      </c>
      <c r="G702" s="9">
        <f>IF(C702&lt;&gt;"", IFERROR(INDEX('بنود العقد'!F$3:F$388,C702), 0), "")</f>
        <v>1345</v>
      </c>
      <c r="H702" s="18">
        <f t="shared" si="32"/>
        <v>772</v>
      </c>
      <c r="I702" s="7">
        <v>48</v>
      </c>
      <c r="J702" s="18">
        <f t="shared" si="31"/>
        <v>820</v>
      </c>
      <c r="K702" s="10">
        <f t="shared" si="30"/>
        <v>3744</v>
      </c>
      <c r="L702" s="21">
        <f t="shared" si="33"/>
        <v>60.966542750929364</v>
      </c>
    </row>
    <row r="703" spans="1:12" s="72" customFormat="1" ht="25.95" customHeight="1">
      <c r="A703" s="12">
        <v>701</v>
      </c>
      <c r="B703" s="6">
        <v>14</v>
      </c>
      <c r="C703" s="6">
        <v>46</v>
      </c>
      <c r="D703" s="20" t="str">
        <f>IF(C703&lt;&gt;"", IFERROR(INDEX('بنود العقد'!B$3:B$388,C703), "⚠"), "")</f>
        <v>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المشرف.Ref drawing: 07-MRA-DD-(as per floor number)-AR-801 بعرض 1000 مم وارتفاع 2700 مم  GD01باب ضلفة واحدة  نموذج</v>
      </c>
      <c r="E703" s="12" t="str">
        <f>IF(C703&lt;&gt;"", IFERROR(INDEX('بنود العقد'!D$3:D$388,C703), ""), "")</f>
        <v>عدد</v>
      </c>
      <c r="F703" s="9">
        <f>IF(C703&lt;&gt;"", IFERROR(INDEX('بنود العقد'!E$3:E$388,C703), 0), "")</f>
        <v>2580</v>
      </c>
      <c r="G703" s="9">
        <f>IF(C703&lt;&gt;"", IFERROR(INDEX('بنود العقد'!F$3:F$388,C703), 0), "")</f>
        <v>238</v>
      </c>
      <c r="H703" s="18">
        <f t="shared" si="32"/>
        <v>91</v>
      </c>
      <c r="I703" s="7">
        <v>32</v>
      </c>
      <c r="J703" s="18">
        <f t="shared" si="31"/>
        <v>123</v>
      </c>
      <c r="K703" s="10">
        <f t="shared" si="30"/>
        <v>82560</v>
      </c>
      <c r="L703" s="21">
        <f t="shared" si="33"/>
        <v>51.680672268907571</v>
      </c>
    </row>
    <row r="704" spans="1:12" s="72" customFormat="1" ht="25.95" customHeight="1">
      <c r="A704" s="12">
        <v>702</v>
      </c>
      <c r="B704" s="6">
        <v>14</v>
      </c>
      <c r="C704" s="6">
        <v>47</v>
      </c>
      <c r="D704" s="20" t="str">
        <f>IF(C704&lt;&gt;"", IFERROR(INDEX('بنود العقد'!B$3:B$388,C704), "⚠"), "")</f>
        <v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2600 مم  GD02باب ضلفتين  نموذج </v>
      </c>
      <c r="E704" s="12" t="str">
        <f>IF(C704&lt;&gt;"", IFERROR(INDEX('بنود العقد'!D$3:D$388,C704), ""), "")</f>
        <v>عدد</v>
      </c>
      <c r="F704" s="9">
        <f>IF(C704&lt;&gt;"", IFERROR(INDEX('بنود العقد'!E$3:E$388,C704), 0), "")</f>
        <v>4020</v>
      </c>
      <c r="G704" s="9">
        <f>IF(C704&lt;&gt;"", IFERROR(INDEX('بنود العقد'!F$3:F$388,C704), 0), "")</f>
        <v>37</v>
      </c>
      <c r="H704" s="18">
        <f t="shared" si="32"/>
        <v>16</v>
      </c>
      <c r="I704" s="7">
        <v>4</v>
      </c>
      <c r="J704" s="18">
        <f t="shared" si="31"/>
        <v>20</v>
      </c>
      <c r="K704" s="10">
        <f t="shared" si="30"/>
        <v>16080</v>
      </c>
      <c r="L704" s="21">
        <f t="shared" si="33"/>
        <v>54.054054054054056</v>
      </c>
    </row>
    <row r="705" spans="1:12" s="72" customFormat="1" ht="25.95" customHeight="1">
      <c r="A705" s="12">
        <v>703</v>
      </c>
      <c r="B705" s="6">
        <v>14</v>
      </c>
      <c r="C705" s="6">
        <v>66</v>
      </c>
      <c r="D705" s="20" t="str">
        <f>IF(C705&lt;&gt;"", IFERROR(INDEX('بنود العقد'!B$3:B$388,C705), "⚠"),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E705" s="12" t="str">
        <f>IF(C705&lt;&gt;"", IFERROR(INDEX('بنود العقد'!D$3:D$388,C705), ""), "")</f>
        <v>م²</v>
      </c>
      <c r="F705" s="9">
        <f>IF(C705&lt;&gt;"", IFERROR(INDEX('بنود العقد'!E$3:E$388,C705), 0), "")</f>
        <v>900</v>
      </c>
      <c r="G705" s="9">
        <f>IF(C705&lt;&gt;"", IFERROR(INDEX('بنود العقد'!F$3:F$388,C705), 0), "")</f>
        <v>4000</v>
      </c>
      <c r="H705" s="18">
        <f t="shared" si="32"/>
        <v>2053</v>
      </c>
      <c r="I705" s="7">
        <v>570</v>
      </c>
      <c r="J705" s="18">
        <f t="shared" si="31"/>
        <v>2623</v>
      </c>
      <c r="K705" s="10">
        <f t="shared" si="30"/>
        <v>513000</v>
      </c>
      <c r="L705" s="21">
        <f t="shared" si="33"/>
        <v>65.575000000000003</v>
      </c>
    </row>
    <row r="706" spans="1:12" s="72" customFormat="1" ht="25.95" customHeight="1">
      <c r="A706" s="12">
        <v>704</v>
      </c>
      <c r="B706" s="6">
        <v>14</v>
      </c>
      <c r="C706" s="6">
        <v>72</v>
      </c>
      <c r="D706" s="20" t="str">
        <f>IF(C706&lt;&gt;"", IFERROR(INDEX('بنود العقد'!B$3:B$388,C706), "⚠"), "")</f>
        <v>طبقة من اللياسة الأسمنتية فوق الأسطح الخرسانية والجدران الداخلية  بسمك متوسط 20 مم على طبقات  طرطشة بسمك 5 مم وضهارة 15 مم حسب المواصفات مع المعالجة اليومية  بالمياه لمنع التنميلات ويتم عمل افريز بين البلوك والخرسانة يملئ بمواد قابلة للدهان والسعر يشمل كامل الأكسسوارات اللازمة من شبك معدني ممدد وزوايا ونهايات معدنية  ومواد الترابط  وعمل تجاويف في طبقة اللياسة بعمق 10مم عرض 10مم  في الاعمدة  وفي الجدران ان وجدت حسب الرسومات والمناظير وتعليمات المهندس المشرف ذلك حسب الاصول الفنية وتعليمات المهندس المشرف. لياسة الجدران والأعمدة الداخلية  وتشمل جميع الإكسسوارات بإرتفاع 20 سم أعلي الأسقف الجبسيه لزوم الجدران الداخلية</v>
      </c>
      <c r="E706" s="12" t="str">
        <f>IF(C706&lt;&gt;"", IFERROR(INDEX('بنود العقد'!D$3:D$388,C706), ""), "")</f>
        <v>م²</v>
      </c>
      <c r="F706" s="9">
        <f>IF(C706&lt;&gt;"", IFERROR(INDEX('بنود العقد'!E$3:E$388,C706), 0), "")</f>
        <v>42</v>
      </c>
      <c r="G706" s="9">
        <f>IF(C706&lt;&gt;"", IFERROR(INDEX('بنود العقد'!F$3:F$388,C706), 0), "")</f>
        <v>758</v>
      </c>
      <c r="H706" s="18">
        <f t="shared" si="32"/>
        <v>4801.0039999999999</v>
      </c>
      <c r="I706" s="7">
        <v>1450</v>
      </c>
      <c r="J706" s="18">
        <f t="shared" si="31"/>
        <v>6251.0039999999999</v>
      </c>
      <c r="K706" s="10">
        <f t="shared" si="30"/>
        <v>60900</v>
      </c>
      <c r="L706" s="21">
        <f t="shared" si="33"/>
        <v>824.67071240105531</v>
      </c>
    </row>
    <row r="707" spans="1:12" s="72" customFormat="1" ht="25.95" customHeight="1">
      <c r="A707" s="12">
        <v>705</v>
      </c>
      <c r="B707" s="6">
        <v>14</v>
      </c>
      <c r="C707" s="6">
        <v>74</v>
      </c>
      <c r="D707" s="20" t="str">
        <f>IF(C707&lt;&gt;"", IFERROR(INDEX('بنود العقد'!B$3:B$388,C707), "⚠"), "")</f>
        <v>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v>
      </c>
      <c r="E707" s="12" t="str">
        <f>IF(C707&lt;&gt;"", IFERROR(INDEX('بنود العقد'!D$3:D$388,C707), ""), "")</f>
        <v>م²</v>
      </c>
      <c r="F707" s="9">
        <f>IF(C707&lt;&gt;"", IFERROR(INDEX('بنود العقد'!E$3:E$388,C707), 0), "")</f>
        <v>180</v>
      </c>
      <c r="G707" s="9">
        <f>IF(C707&lt;&gt;"", IFERROR(INDEX('بنود العقد'!F$3:F$388,C707), 0), "")</f>
        <v>12526</v>
      </c>
      <c r="H707" s="18">
        <f t="shared" si="32"/>
        <v>6312</v>
      </c>
      <c r="I707" s="7">
        <v>1968</v>
      </c>
      <c r="J707" s="18">
        <f t="shared" si="31"/>
        <v>8280</v>
      </c>
      <c r="K707" s="10">
        <f t="shared" si="30"/>
        <v>354240</v>
      </c>
      <c r="L707" s="21">
        <f t="shared" si="33"/>
        <v>66.102506785885367</v>
      </c>
    </row>
    <row r="708" spans="1:12" s="72" customFormat="1" ht="25.95" customHeight="1">
      <c r="A708" s="12">
        <v>706</v>
      </c>
      <c r="B708" s="6">
        <v>14</v>
      </c>
      <c r="C708" s="6">
        <v>75</v>
      </c>
      <c r="D708" s="20" t="str">
        <f>IF(C708&lt;&gt;"", IFERROR(INDEX('بنود العقد'!B$3:B$388,C708), "⚠"), "")</f>
        <v>توريد وتركيب أسقف معلقة من الالواح الجبسيه )01-GBC( ثخانة 12 مم المقاومة للحريق شاملة نظام التعليق وضبط الحواف والزوايا وأبواب لفتحات الكشف بالأسقف لأعمال الصيانة )أبواب جاهزة من النوع السهل الاستعمال والمزود بمفصلات مخفية( والإكسسوارات. ويشمل السعر أي مواد أو أعمال يتطلبها استكمال العمل حسب المواصفات والمخططات.</v>
      </c>
      <c r="E708" s="12" t="str">
        <f>IF(C708&lt;&gt;"", IFERROR(INDEX('بنود العقد'!D$3:D$388,C708), ""), "")</f>
        <v>م²</v>
      </c>
      <c r="F708" s="9">
        <f>IF(C708&lt;&gt;"", IFERROR(INDEX('بنود العقد'!E$3:E$388,C708), 0), "")</f>
        <v>150</v>
      </c>
      <c r="G708" s="9">
        <f>IF(C708&lt;&gt;"", IFERROR(INDEX('بنود العقد'!F$3:F$388,C708), 0), "")</f>
        <v>24468</v>
      </c>
      <c r="H708" s="18">
        <f t="shared" si="32"/>
        <v>10097.00007</v>
      </c>
      <c r="I708" s="7">
        <v>2265</v>
      </c>
      <c r="J708" s="18">
        <f t="shared" si="31"/>
        <v>12362.00007</v>
      </c>
      <c r="K708" s="10">
        <f t="shared" si="30"/>
        <v>339750</v>
      </c>
      <c r="L708" s="21">
        <f t="shared" si="33"/>
        <v>50.523132540461013</v>
      </c>
    </row>
    <row r="709" spans="1:12" s="72" customFormat="1" ht="25.95" customHeight="1">
      <c r="A709" s="12">
        <v>707</v>
      </c>
      <c r="B709" s="6">
        <v>14</v>
      </c>
      <c r="C709" s="6">
        <v>76</v>
      </c>
      <c r="D709" s="20" t="str">
        <f>IF(C709&lt;&gt;"", IFERROR(INDEX('بنود العقد'!B$3:B$388,C709), "⚠"), "")</f>
        <v>توريد وتركيب أسقف معلقة من الالواح الجبسيه  )02-GBC( ثخانة 12 مم المقاومة للرطوبة شاملة نظام التعليق وضبط الحواف والزوايا وأبواب لفتحات الكشف بالأسقف لأعمال الصيانة )أبواب جاهزة من النوع السهل الاستعمال والمزود بمفصلات مخفية( واالإكسسوارات. ويشمل السعر أي مواد أو أعمال يتطلبها استكمال العمل حسب المواصفات والمخططات وتعليمات المهندس المشرف.</v>
      </c>
      <c r="E709" s="12" t="str">
        <f>IF(C709&lt;&gt;"", IFERROR(INDEX('بنود العقد'!D$3:D$388,C709), ""), "")</f>
        <v>م²</v>
      </c>
      <c r="F709" s="9">
        <f>IF(C709&lt;&gt;"", IFERROR(INDEX('بنود العقد'!E$3:E$388,C709), 0), "")</f>
        <v>150</v>
      </c>
      <c r="G709" s="9">
        <f>IF(C709&lt;&gt;"", IFERROR(INDEX('بنود العقد'!F$3:F$388,C709), 0), "")</f>
        <v>1091</v>
      </c>
      <c r="H709" s="18">
        <f t="shared" si="32"/>
        <v>474</v>
      </c>
      <c r="I709" s="7">
        <v>120</v>
      </c>
      <c r="J709" s="18">
        <f t="shared" si="31"/>
        <v>594</v>
      </c>
      <c r="K709" s="10">
        <f t="shared" si="30"/>
        <v>18000</v>
      </c>
      <c r="L709" s="21">
        <f t="shared" si="33"/>
        <v>54.445462878093487</v>
      </c>
    </row>
    <row r="710" spans="1:12" s="72" customFormat="1" ht="25.95" customHeight="1">
      <c r="A710" s="12">
        <v>708</v>
      </c>
      <c r="B710" s="6">
        <v>14</v>
      </c>
      <c r="C710" s="6">
        <v>77</v>
      </c>
      <c r="D710" s="20" t="str">
        <f>IF(C710&lt;&gt;"", IFERROR(INDEX('بنود العقد'!B$3:B$388,C710), "⚠"), "")</f>
        <v>600×600مم توريد وتركيب اسقف اصطناعية  والسعر يشمل نظام التعليق من الحديد المجفلن مع جميع الاكسسوارات وكل مايلزم حسب المواصفات والمخططات وتعليمات الشركة المصنعة .</v>
      </c>
      <c r="E710" s="12" t="str">
        <f>IF(C710&lt;&gt;"", IFERROR(INDEX('بنود العقد'!D$3:D$388,C710), ""), "")</f>
        <v>م²</v>
      </c>
      <c r="F710" s="9">
        <f>IF(C710&lt;&gt;"", IFERROR(INDEX('بنود العقد'!E$3:E$388,C710), 0), "")</f>
        <v>150</v>
      </c>
      <c r="G710" s="9">
        <f>IF(C710&lt;&gt;"", IFERROR(INDEX('بنود العقد'!F$3:F$388,C710), 0), "")</f>
        <v>3323</v>
      </c>
      <c r="H710" s="18">
        <f t="shared" si="32"/>
        <v>1441</v>
      </c>
      <c r="I710" s="7">
        <v>211</v>
      </c>
      <c r="J710" s="18">
        <f t="shared" si="31"/>
        <v>1652</v>
      </c>
      <c r="K710" s="10">
        <f t="shared" si="30"/>
        <v>31650</v>
      </c>
      <c r="L710" s="21">
        <f t="shared" si="33"/>
        <v>49.714113752633168</v>
      </c>
    </row>
    <row r="711" spans="1:12" s="72" customFormat="1" ht="25.95" customHeight="1">
      <c r="A711" s="12">
        <v>709</v>
      </c>
      <c r="B711" s="6">
        <v>14</v>
      </c>
      <c r="C711" s="6">
        <v>80</v>
      </c>
      <c r="D711" s="20" t="str">
        <f>IF(C711&lt;&gt;"", IFERROR(INDEX('بنود العقد'!B$3:B$388,C711), "⚠"), "")</f>
        <v xml:space="preserve"> أرضيات بورسلان 02-PTمقاس 600×600×12مم فرز اول بالمقاسات والالوان المطلوبة لدورات المياه الخاصة بمكاتب المدراء العامين  طبقاً للمخططات والمواصفات.</v>
      </c>
      <c r="E711" s="12" t="str">
        <f>IF(C711&lt;&gt;"", IFERROR(INDEX('بنود العقد'!D$3:D$388,C711), ""), "")</f>
        <v>م²</v>
      </c>
      <c r="F711" s="9">
        <f>IF(C711&lt;&gt;"", IFERROR(INDEX('بنود العقد'!E$3:E$388,C711), 0), "")</f>
        <v>120</v>
      </c>
      <c r="G711" s="9">
        <f>IF(C711&lt;&gt;"", IFERROR(INDEX('بنود العقد'!F$3:F$388,C711), 0), "")</f>
        <v>246</v>
      </c>
      <c r="H711" s="18">
        <f t="shared" si="32"/>
        <v>0</v>
      </c>
      <c r="I711" s="7">
        <v>20</v>
      </c>
      <c r="J711" s="18">
        <f t="shared" si="31"/>
        <v>20</v>
      </c>
      <c r="K711" s="10">
        <f t="shared" si="30"/>
        <v>2400</v>
      </c>
      <c r="L711" s="21">
        <f t="shared" si="33"/>
        <v>8.1300813008130071</v>
      </c>
    </row>
    <row r="712" spans="1:12" s="72" customFormat="1" ht="25.95" customHeight="1">
      <c r="A712" s="12">
        <v>710</v>
      </c>
      <c r="B712" s="6">
        <v>14</v>
      </c>
      <c r="C712" s="6">
        <v>100</v>
      </c>
      <c r="D712" s="20" t="str">
        <f>IF(C712&lt;&gt;"", IFERROR(INDEX('بنود العقد'!B$3:B$388,C712), "⚠"), "")</f>
        <v>رخام  الحوائط والأعمدة والكمر والوزرات لمدخل كبار الشخصيات ومدخل الموظفين وعلى المصاعد وفي الممرات الرئيسية والوجهات الداخلية للفناء الوسطي.</v>
      </c>
      <c r="E712" s="12" t="str">
        <f>IF(C712&lt;&gt;"", IFERROR(INDEX('بنود العقد'!D$3:D$388,C712), ""), "")</f>
        <v>م²</v>
      </c>
      <c r="F712" s="9">
        <f>IF(C712&lt;&gt;"", IFERROR(INDEX('بنود العقد'!E$3:E$388,C712), 0), "")</f>
        <v>60</v>
      </c>
      <c r="G712" s="9">
        <f>IF(C712&lt;&gt;"", IFERROR(INDEX('بنود العقد'!F$3:F$388,C712), 0), "")</f>
        <v>6000</v>
      </c>
      <c r="H712" s="18">
        <f t="shared" si="32"/>
        <v>0</v>
      </c>
      <c r="I712" s="7">
        <v>289</v>
      </c>
      <c r="J712" s="18">
        <f t="shared" si="31"/>
        <v>289</v>
      </c>
      <c r="K712" s="10">
        <f t="shared" si="30"/>
        <v>17340</v>
      </c>
      <c r="L712" s="21">
        <f t="shared" si="33"/>
        <v>4.8166666666666673</v>
      </c>
    </row>
    <row r="713" spans="1:12" s="72" customFormat="1" ht="25.95" customHeight="1">
      <c r="A713" s="12">
        <v>711</v>
      </c>
      <c r="B713" s="6">
        <v>14</v>
      </c>
      <c r="C713" s="6">
        <v>105</v>
      </c>
      <c r="D713" s="20" t="str">
        <f>IF(C713&lt;&gt;"", IFERROR(INDEX('بنود العقد'!B$3:B$388,C713), "⚠"), "")</f>
        <v>بلاط - سجاد 02-CT مقاس 500× 500 مم لون أزرق فاتح لمحطة العمل وغرفة الاجتماعات</v>
      </c>
      <c r="E713" s="12" t="str">
        <f>IF(C713&lt;&gt;"", IFERROR(INDEX('بنود العقد'!D$3:D$388,C713), ""), "")</f>
        <v>م²</v>
      </c>
      <c r="F713" s="9">
        <f>IF(C713&lt;&gt;"", IFERROR(INDEX('بنود العقد'!E$3:E$388,C713), 0), "")</f>
        <v>156</v>
      </c>
      <c r="G713" s="9">
        <f>IF(C713&lt;&gt;"", IFERROR(INDEX('بنود العقد'!F$3:F$388,C713), 0), "")</f>
        <v>6705</v>
      </c>
      <c r="H713" s="18">
        <f t="shared" si="32"/>
        <v>4126</v>
      </c>
      <c r="I713" s="7">
        <v>128</v>
      </c>
      <c r="J713" s="18">
        <f t="shared" si="31"/>
        <v>4254</v>
      </c>
      <c r="K713" s="10">
        <f t="shared" si="30"/>
        <v>19968</v>
      </c>
      <c r="L713" s="21">
        <f t="shared" si="33"/>
        <v>63.445190156599551</v>
      </c>
    </row>
    <row r="714" spans="1:12" s="72" customFormat="1" ht="25.95" customHeight="1">
      <c r="A714" s="12">
        <v>712</v>
      </c>
      <c r="B714" s="6">
        <v>14</v>
      </c>
      <c r="C714" s="6">
        <v>106</v>
      </c>
      <c r="D714" s="20" t="str">
        <f>IF(C714&lt;&gt;"", IFERROR(INDEX('بنود العقد'!B$3:B$388,C714), "⚠"), "")</f>
        <v>Ref drawing: 07-MRA-DD-(as per floor number)-AR-300 مقاس 500×500 مم لون بيج لمكتب المدير CT-03بلاط - سجاد</v>
      </c>
      <c r="E714" s="12" t="str">
        <f>IF(C714&lt;&gt;"", IFERROR(INDEX('بنود العقد'!D$3:D$388,C714), ""), "")</f>
        <v>م²</v>
      </c>
      <c r="F714" s="9">
        <f>IF(C714&lt;&gt;"", IFERROR(INDEX('بنود العقد'!E$3:E$388,C714), 0), "")</f>
        <v>156</v>
      </c>
      <c r="G714" s="9">
        <f>IF(C714&lt;&gt;"", IFERROR(INDEX('بنود العقد'!F$3:F$388,C714), 0), "")</f>
        <v>1213</v>
      </c>
      <c r="H714" s="18">
        <f t="shared" si="32"/>
        <v>812</v>
      </c>
      <c r="I714" s="7">
        <v>57</v>
      </c>
      <c r="J714" s="18">
        <f t="shared" si="31"/>
        <v>869</v>
      </c>
      <c r="K714" s="10">
        <f t="shared" si="30"/>
        <v>8892</v>
      </c>
      <c r="L714" s="21">
        <f t="shared" si="33"/>
        <v>71.64056059356966</v>
      </c>
    </row>
    <row r="715" spans="1:12" s="72" customFormat="1" ht="25.95" customHeight="1">
      <c r="A715" s="12">
        <v>713</v>
      </c>
      <c r="B715" s="6">
        <v>14</v>
      </c>
      <c r="C715" s="6">
        <v>125</v>
      </c>
      <c r="D715" s="20" t="str">
        <f>IF(C715&lt;&gt;"", IFERROR(INDEX('بنود العقد'!B$3:B$388,C715), "⚠"), "")</f>
        <v>دهان بلون رمادي بيج على الألواح الجبسية والألواح الاسمنتية 100-WPF</v>
      </c>
      <c r="E715" s="12" t="str">
        <f>IF(C715&lt;&gt;"", IFERROR(INDEX('بنود العقد'!D$3:D$388,C715), ""), "")</f>
        <v>م²</v>
      </c>
      <c r="F715" s="9">
        <f>IF(C715&lt;&gt;"", IFERROR(INDEX('بنود العقد'!E$3:E$388,C715), 0), "")</f>
        <v>25.2</v>
      </c>
      <c r="G715" s="9">
        <f>IF(C715&lt;&gt;"", IFERROR(INDEX('بنود العقد'!F$3:F$388,C715), 0), "")</f>
        <v>12700</v>
      </c>
      <c r="H715" s="18">
        <f t="shared" si="32"/>
        <v>2069.7539999999999</v>
      </c>
      <c r="I715" s="7">
        <v>1069.33</v>
      </c>
      <c r="J715" s="18">
        <f t="shared" si="31"/>
        <v>3139.0839999999998</v>
      </c>
      <c r="K715" s="10">
        <f t="shared" si="30"/>
        <v>26947.115999999998</v>
      </c>
      <c r="L715" s="21">
        <f t="shared" si="33"/>
        <v>24.717196850393698</v>
      </c>
    </row>
    <row r="716" spans="1:12" s="72" customFormat="1" ht="25.95" customHeight="1">
      <c r="A716" s="12">
        <v>714</v>
      </c>
      <c r="B716" s="6">
        <v>14</v>
      </c>
      <c r="C716" s="6">
        <v>128</v>
      </c>
      <c r="D716" s="20" t="str">
        <f>IF(C716&lt;&gt;"", IFERROR(INDEX('بنود العقد'!B$3:B$388,C716), "⚠"), "")</f>
        <v>.دهان بلون رمادي اسمنتي على الألواح الجبسية والألواح الاسمنتية 200-WPF</v>
      </c>
      <c r="E716" s="12" t="str">
        <f>IF(C716&lt;&gt;"", IFERROR(INDEX('بنود العقد'!D$3:D$388,C716), ""), "")</f>
        <v>م²</v>
      </c>
      <c r="F716" s="9">
        <f>IF(C716&lt;&gt;"", IFERROR(INDEX('بنود العقد'!E$3:E$388,C716), 0), "")</f>
        <v>30</v>
      </c>
      <c r="G716" s="9">
        <f>IF(C716&lt;&gt;"", IFERROR(INDEX('بنود العقد'!F$3:F$388,C716), 0), "")</f>
        <v>2088</v>
      </c>
      <c r="H716" s="18">
        <f t="shared" si="32"/>
        <v>257.99470000000002</v>
      </c>
      <c r="I716" s="7">
        <v>1034</v>
      </c>
      <c r="J716" s="18">
        <f t="shared" si="31"/>
        <v>1291.9947</v>
      </c>
      <c r="K716" s="10">
        <f t="shared" si="30"/>
        <v>31020</v>
      </c>
      <c r="L716" s="21">
        <f t="shared" si="33"/>
        <v>61.877140804597694</v>
      </c>
    </row>
    <row r="717" spans="1:12" s="72" customFormat="1" ht="25.95" customHeight="1">
      <c r="A717" s="12">
        <v>715</v>
      </c>
      <c r="B717" s="6">
        <v>14</v>
      </c>
      <c r="C717" s="6">
        <v>133</v>
      </c>
      <c r="D717" s="20" t="str">
        <f>IF(C717&lt;&gt;"", IFERROR(INDEX('بنود العقد'!B$3:B$388,C717),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ابيض</v>
      </c>
      <c r="E717" s="12" t="str">
        <f>IF(C717&lt;&gt;"", IFERROR(INDEX('بنود العقد'!D$3:D$388,C717), ""), "")</f>
        <v>م²</v>
      </c>
      <c r="F717" s="9">
        <f>IF(C717&lt;&gt;"", IFERROR(INDEX('بنود العقد'!E$3:E$388,C717), 0), "")</f>
        <v>24</v>
      </c>
      <c r="G717" s="9">
        <f>IF(C717&lt;&gt;"", IFERROR(INDEX('بنود العقد'!F$3:F$388,C717), 0), "")</f>
        <v>25559</v>
      </c>
      <c r="H717" s="18">
        <f t="shared" si="32"/>
        <v>4192.0039999999999</v>
      </c>
      <c r="I717" s="7">
        <v>3167</v>
      </c>
      <c r="J717" s="18">
        <f t="shared" si="31"/>
        <v>7359.0039999999999</v>
      </c>
      <c r="K717" s="10">
        <f t="shared" si="30"/>
        <v>76008</v>
      </c>
      <c r="L717" s="21">
        <f t="shared" si="33"/>
        <v>28.792221917915413</v>
      </c>
    </row>
    <row r="718" spans="1:12" s="72" customFormat="1" ht="25.95" customHeight="1">
      <c r="A718" s="12">
        <v>716</v>
      </c>
      <c r="B718" s="6">
        <v>14</v>
      </c>
      <c r="C718" s="6">
        <v>137</v>
      </c>
      <c r="D718" s="20" t="str">
        <f>IF(C718&lt;&gt;"", IFERROR(INDEX('بنود العقد'!B$3:B$388,C718), "⚠"), "")</f>
        <v>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 دهان  بلون اسود</v>
      </c>
      <c r="E718" s="12" t="str">
        <f>IF(C718&lt;&gt;"", IFERROR(INDEX('بنود العقد'!D$3:D$388,C718), ""), "")</f>
        <v>م²</v>
      </c>
      <c r="F718" s="9">
        <f>IF(C718&lt;&gt;"", IFERROR(INDEX('بنود العقد'!E$3:E$388,C718), 0), "")</f>
        <v>30</v>
      </c>
      <c r="G718" s="9">
        <f>IF(C718&lt;&gt;"", IFERROR(INDEX('بنود العقد'!F$3:F$388,C718), 0), "")</f>
        <v>9442</v>
      </c>
      <c r="H718" s="18">
        <f t="shared" si="32"/>
        <v>3462</v>
      </c>
      <c r="I718" s="7">
        <v>508</v>
      </c>
      <c r="J718" s="18">
        <f t="shared" si="31"/>
        <v>3970</v>
      </c>
      <c r="K718" s="10">
        <f t="shared" si="30"/>
        <v>15240</v>
      </c>
      <c r="L718" s="21">
        <f t="shared" si="33"/>
        <v>42.04617665748782</v>
      </c>
    </row>
    <row r="719" spans="1:12" s="72" customFormat="1" ht="25.95" customHeight="1">
      <c r="A719" s="12">
        <v>717</v>
      </c>
      <c r="B719" s="6">
        <v>14</v>
      </c>
      <c r="C719" s="6">
        <v>151</v>
      </c>
      <c r="D719" s="20" t="str">
        <f>IF(C719&lt;&gt;"", IFERROR(INDEX('بنود العقد'!B$3:B$388,C719), "⚠"), "")</f>
        <v>توريد وتركيب مرآة وجه 6 مم ترُكّب بارزة عن الجدار مع شطف على كل الجهات طبقا للمواصفات وبحسب تعليمات المهندس المشرف. مقاس 1200 × 800 مم</v>
      </c>
      <c r="E719" s="12" t="str">
        <f>IF(C719&lt;&gt;"", IFERROR(INDEX('بنود العقد'!D$3:D$388,C719), ""), "")</f>
        <v>عدد</v>
      </c>
      <c r="F719" s="9">
        <f>IF(C719&lt;&gt;"", IFERROR(INDEX('بنود العقد'!E$3:E$388,C719), 0), "")</f>
        <v>1200</v>
      </c>
      <c r="G719" s="9">
        <f>IF(C719&lt;&gt;"", IFERROR(INDEX('بنود العقد'!F$3:F$388,C719), 0), "")</f>
        <v>75</v>
      </c>
      <c r="H719" s="18">
        <f t="shared" si="32"/>
        <v>0</v>
      </c>
      <c r="I719" s="7">
        <v>12</v>
      </c>
      <c r="J719" s="18">
        <f t="shared" si="31"/>
        <v>12</v>
      </c>
      <c r="K719" s="10">
        <f t="shared" si="30"/>
        <v>14400</v>
      </c>
      <c r="L719" s="21">
        <f t="shared" si="33"/>
        <v>16</v>
      </c>
    </row>
    <row r="720" spans="1:12" s="72" customFormat="1" ht="25.95" customHeight="1">
      <c r="A720" s="12">
        <v>718</v>
      </c>
      <c r="B720" s="6">
        <v>14</v>
      </c>
      <c r="C720" s="6">
        <v>175</v>
      </c>
      <c r="D720" s="20" t="str">
        <f>IF(C720&lt;&gt;"", IFERROR(INDEX('بنود العقد'!B$3:B$388,C720), "⚠"), "")</f>
        <v>قواطع الحمامات مكونة من ألواح الفينوليك المضغوط ارتفاع 2 متر ذو المقاومة الشديدة للماء مع طبقة ميلامين بلون رمادي غامق مقاومة للخدش وسهلة التنظيف ، سمك الألواح هو  19 ملم ،. قواطع الحمامات تشمل إكسسوارات عالية الجودة ) مفصلات ذاتية الإغلاق وقفل ( والأبواب والاكسسوارات والعلاقات من الستانلس ستيل brushed finish وكل ما يلزم لانهاء العمل حسب الأصول الفنية والمواصفلت وتعليمات المهندس المشرف .</v>
      </c>
      <c r="E720" s="12" t="str">
        <f>IF(C720&lt;&gt;"", IFERROR(INDEX('بنود العقد'!D$3:D$388,C720), ""), "")</f>
        <v>م²</v>
      </c>
      <c r="F720" s="9">
        <f>IF(C720&lt;&gt;"", IFERROR(INDEX('بنود العقد'!E$3:E$388,C720), 0), "")</f>
        <v>780</v>
      </c>
      <c r="G720" s="9">
        <f>IF(C720&lt;&gt;"", IFERROR(INDEX('بنود العقد'!F$3:F$388,C720), 0), "")</f>
        <v>611</v>
      </c>
      <c r="H720" s="18">
        <f t="shared" si="32"/>
        <v>138.87</v>
      </c>
      <c r="I720" s="7">
        <v>87</v>
      </c>
      <c r="J720" s="18">
        <f t="shared" si="31"/>
        <v>225.87</v>
      </c>
      <c r="K720" s="10">
        <f t="shared" si="30"/>
        <v>67860</v>
      </c>
      <c r="L720" s="21">
        <f t="shared" si="33"/>
        <v>36.967266775777411</v>
      </c>
    </row>
    <row r="721" spans="1:12" s="72" customFormat="1" ht="25.95" customHeight="1">
      <c r="A721" s="12">
        <v>719</v>
      </c>
      <c r="B721" s="6">
        <v>14</v>
      </c>
      <c r="C721" s="6">
        <v>199</v>
      </c>
      <c r="D721" s="20" t="str">
        <f>IF(C721&lt;&gt;"", IFERROR(INDEX('بنود العقد'!B$3:B$388,C721),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E721" s="12" t="str">
        <f>IF(C721&lt;&gt;"", IFERROR(INDEX('بنود العقد'!D$3:D$388,C721), ""), "")</f>
        <v>م.ط</v>
      </c>
      <c r="F721" s="9">
        <f>IF(C721&lt;&gt;"", IFERROR(INDEX('بنود العقد'!E$3:E$388,C721), 0), "")</f>
        <v>108</v>
      </c>
      <c r="G721" s="9">
        <f>IF(C721&lt;&gt;"", IFERROR(INDEX('بنود العقد'!F$3:F$388,C721), 0), "")</f>
        <v>3900</v>
      </c>
      <c r="H721" s="18">
        <f t="shared" si="32"/>
        <v>4831</v>
      </c>
      <c r="I721" s="7">
        <v>856</v>
      </c>
      <c r="J721" s="18">
        <f t="shared" si="31"/>
        <v>5687</v>
      </c>
      <c r="K721" s="10">
        <f t="shared" si="30"/>
        <v>92448</v>
      </c>
      <c r="L721" s="21">
        <f t="shared" si="33"/>
        <v>145.82051282051282</v>
      </c>
    </row>
    <row r="722" spans="1:12" s="72" customFormat="1" ht="25.95" customHeight="1">
      <c r="A722" s="12">
        <v>720</v>
      </c>
      <c r="B722" s="6">
        <v>14</v>
      </c>
      <c r="C722" s="6">
        <v>200</v>
      </c>
      <c r="D722" s="20" t="str">
        <f>IF(C722&lt;&gt;"", IFERROR(INDEX('بنود العقد'!B$3:B$388,C722),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28</v>
      </c>
      <c r="E722" s="12" t="str">
        <f>IF(C722&lt;&gt;"", IFERROR(INDEX('بنود العقد'!D$3:D$388,C722), ""), "")</f>
        <v>م.ط</v>
      </c>
      <c r="F722" s="9">
        <f>IF(C722&lt;&gt;"", IFERROR(INDEX('بنود العقد'!E$3:E$388,C722), 0), "")</f>
        <v>138</v>
      </c>
      <c r="G722" s="9">
        <f>IF(C722&lt;&gt;"", IFERROR(INDEX('بنود العقد'!F$3:F$388,C722), 0), "")</f>
        <v>323</v>
      </c>
      <c r="H722" s="18">
        <f t="shared" si="32"/>
        <v>309</v>
      </c>
      <c r="I722" s="7">
        <v>40</v>
      </c>
      <c r="J722" s="18">
        <f t="shared" si="31"/>
        <v>349</v>
      </c>
      <c r="K722" s="10">
        <f t="shared" si="30"/>
        <v>5520</v>
      </c>
      <c r="L722" s="21">
        <f t="shared" si="33"/>
        <v>108.04953560371517</v>
      </c>
    </row>
    <row r="723" spans="1:12" s="72" customFormat="1" ht="25.95" customHeight="1">
      <c r="A723" s="12">
        <v>721</v>
      </c>
      <c r="B723" s="6">
        <v>14</v>
      </c>
      <c r="C723" s="6">
        <v>201</v>
      </c>
      <c r="D723" s="20" t="str">
        <f>IF(C723&lt;&gt;"", IFERROR(INDEX('بنود العقد'!B$3:B$388,C723),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33</v>
      </c>
      <c r="E723" s="12" t="str">
        <f>IF(C723&lt;&gt;"", IFERROR(INDEX('بنود العقد'!D$3:D$388,C723), ""), "")</f>
        <v>م.ط</v>
      </c>
      <c r="F723" s="9">
        <f>IF(C723&lt;&gt;"", IFERROR(INDEX('بنود العقد'!E$3:E$388,C723), 0), "")</f>
        <v>192</v>
      </c>
      <c r="G723" s="9">
        <f>IF(C723&lt;&gt;"", IFERROR(INDEX('بنود العقد'!F$3:F$388,C723), 0), "")</f>
        <v>660</v>
      </c>
      <c r="H723" s="18">
        <f t="shared" si="32"/>
        <v>640</v>
      </c>
      <c r="I723" s="7">
        <v>118</v>
      </c>
      <c r="J723" s="18">
        <f t="shared" si="31"/>
        <v>758</v>
      </c>
      <c r="K723" s="10">
        <f t="shared" si="30"/>
        <v>22656</v>
      </c>
      <c r="L723" s="21">
        <f t="shared" si="33"/>
        <v>114.84848484848484</v>
      </c>
    </row>
    <row r="724" spans="1:12" s="72" customFormat="1" ht="25.95" customHeight="1">
      <c r="A724" s="12">
        <v>722</v>
      </c>
      <c r="B724" s="6">
        <v>14</v>
      </c>
      <c r="C724" s="6">
        <v>202</v>
      </c>
      <c r="D724" s="20" t="str">
        <f>IF(C724&lt;&gt;"", IFERROR(INDEX('بنود العقد'!B$3:B$388,C724),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40</v>
      </c>
      <c r="E724" s="12" t="str">
        <f>IF(C724&lt;&gt;"", IFERROR(INDEX('بنود العقد'!D$3:D$388,C724), ""), "")</f>
        <v>م.ط</v>
      </c>
      <c r="F724" s="9">
        <f>IF(C724&lt;&gt;"", IFERROR(INDEX('بنود العقد'!E$3:E$388,C724), 0), "")</f>
        <v>222</v>
      </c>
      <c r="G724" s="9">
        <f>IF(C724&lt;&gt;"", IFERROR(INDEX('بنود العقد'!F$3:F$388,C724), 0), "")</f>
        <v>600</v>
      </c>
      <c r="H724" s="18">
        <f t="shared" si="32"/>
        <v>450</v>
      </c>
      <c r="I724" s="7">
        <v>43</v>
      </c>
      <c r="J724" s="18">
        <f t="shared" si="31"/>
        <v>493</v>
      </c>
      <c r="K724" s="10">
        <f t="shared" si="30"/>
        <v>9546</v>
      </c>
      <c r="L724" s="21">
        <f t="shared" si="33"/>
        <v>82.166666666666671</v>
      </c>
    </row>
    <row r="725" spans="1:12" s="72" customFormat="1" ht="25.95" customHeight="1">
      <c r="A725" s="12">
        <v>723</v>
      </c>
      <c r="B725" s="6">
        <v>14</v>
      </c>
      <c r="C725" s="6">
        <v>203</v>
      </c>
      <c r="D725" s="20" t="str">
        <f>IF(C725&lt;&gt;"", IFERROR(INDEX('بنود العقد'!B$3:B$388,C725),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63</v>
      </c>
      <c r="E725" s="12" t="str">
        <f>IF(C725&lt;&gt;"", IFERROR(INDEX('بنود العقد'!D$3:D$388,C725), ""), "")</f>
        <v>م.ط</v>
      </c>
      <c r="F725" s="9">
        <f>IF(C725&lt;&gt;"", IFERROR(INDEX('بنود العقد'!E$3:E$388,C725), 0), "")</f>
        <v>240</v>
      </c>
      <c r="G725" s="9">
        <f>IF(C725&lt;&gt;"", IFERROR(INDEX('بنود العقد'!F$3:F$388,C725), 0), "")</f>
        <v>646</v>
      </c>
      <c r="H725" s="18">
        <f t="shared" si="32"/>
        <v>480</v>
      </c>
      <c r="I725" s="7">
        <v>78</v>
      </c>
      <c r="J725" s="18">
        <f t="shared" si="31"/>
        <v>558</v>
      </c>
      <c r="K725" s="10">
        <f t="shared" si="30"/>
        <v>18720</v>
      </c>
      <c r="L725" s="21">
        <f t="shared" si="33"/>
        <v>86.377708978328172</v>
      </c>
    </row>
    <row r="726" spans="1:12" s="72" customFormat="1" ht="25.95" customHeight="1">
      <c r="A726" s="12">
        <v>724</v>
      </c>
      <c r="B726" s="6">
        <v>14</v>
      </c>
      <c r="C726" s="6">
        <v>204</v>
      </c>
      <c r="D726" s="20" t="str">
        <f>IF(C726&lt;&gt;"", IFERROR(INDEX('بنود العقد'!B$3:B$388,C726),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77</v>
      </c>
      <c r="E726" s="12" t="str">
        <f>IF(C726&lt;&gt;"", IFERROR(INDEX('بنود العقد'!D$3:D$388,C726), ""), "")</f>
        <v>م.ط</v>
      </c>
      <c r="F726" s="9">
        <f>IF(C726&lt;&gt;"", IFERROR(INDEX('بنود العقد'!E$3:E$388,C726), 0), "")</f>
        <v>288</v>
      </c>
      <c r="G726" s="9">
        <f>IF(C726&lt;&gt;"", IFERROR(INDEX('بنود العقد'!F$3:F$388,C726), 0), "")</f>
        <v>110</v>
      </c>
      <c r="H726" s="18">
        <f t="shared" si="32"/>
        <v>200</v>
      </c>
      <c r="I726" s="7">
        <v>29</v>
      </c>
      <c r="J726" s="18">
        <f t="shared" si="31"/>
        <v>229</v>
      </c>
      <c r="K726" s="10">
        <f t="shared" si="30"/>
        <v>8352</v>
      </c>
      <c r="L726" s="21">
        <f t="shared" si="33"/>
        <v>208.18181818181819</v>
      </c>
    </row>
    <row r="727" spans="1:12" s="72" customFormat="1" ht="25.95" customHeight="1">
      <c r="A727" s="12">
        <v>725</v>
      </c>
      <c r="B727" s="6">
        <v>14</v>
      </c>
      <c r="C727" s="6">
        <v>205</v>
      </c>
      <c r="D727" s="20" t="str">
        <f>IF(C727&lt;&gt;"", IFERROR(INDEX('بنود العقد'!B$3:B$388,C727),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94</v>
      </c>
      <c r="E727" s="12" t="str">
        <f>IF(C727&lt;&gt;"", IFERROR(INDEX('بنود العقد'!D$3:D$388,C727), ""), "")</f>
        <v>م.ط</v>
      </c>
      <c r="F727" s="9">
        <f>IF(C727&lt;&gt;"", IFERROR(INDEX('بنود العقد'!E$3:E$388,C727), 0), "")</f>
        <v>324</v>
      </c>
      <c r="G727" s="9">
        <f>IF(C727&lt;&gt;"", IFERROR(INDEX('بنود العقد'!F$3:F$388,C727), 0), "")</f>
        <v>314</v>
      </c>
      <c r="H727" s="18">
        <f t="shared" si="32"/>
        <v>143</v>
      </c>
      <c r="I727" s="7">
        <v>16</v>
      </c>
      <c r="J727" s="18">
        <f t="shared" si="31"/>
        <v>159</v>
      </c>
      <c r="K727" s="10">
        <f t="shared" si="30"/>
        <v>5184</v>
      </c>
      <c r="L727" s="21">
        <f t="shared" si="33"/>
        <v>50.636942675159233</v>
      </c>
    </row>
    <row r="728" spans="1:12" s="72" customFormat="1" ht="25.95" customHeight="1">
      <c r="A728" s="12">
        <v>726</v>
      </c>
      <c r="B728" s="6">
        <v>14</v>
      </c>
      <c r="C728" s="6">
        <v>221</v>
      </c>
      <c r="D728" s="20" t="str">
        <f>IF(C728&lt;&gt;"", IFERROR(INDEX('بنود العقد'!B$3:B$388,C728),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01-VAV ، اجمالي الهواء 0-250 ) ق/د( استطاعة التخزين 5.1 )ك/و(</v>
      </c>
      <c r="E728" s="12" t="str">
        <f>IF(C728&lt;&gt;"", IFERROR(INDEX('بنود العقد'!D$3:D$388,C728), ""), "")</f>
        <v>عدد</v>
      </c>
      <c r="F728" s="9">
        <f>IF(C728&lt;&gt;"", IFERROR(INDEX('بنود العقد'!E$3:E$388,C728), 0), "")</f>
        <v>6600</v>
      </c>
      <c r="G728" s="9">
        <f>IF(C728&lt;&gt;"", IFERROR(INDEX('بنود العقد'!F$3:F$388,C728), 0), "")</f>
        <v>9</v>
      </c>
      <c r="H728" s="18">
        <f t="shared" si="32"/>
        <v>7</v>
      </c>
      <c r="I728" s="7">
        <v>3</v>
      </c>
      <c r="J728" s="18">
        <f t="shared" si="31"/>
        <v>10</v>
      </c>
      <c r="K728" s="10">
        <f t="shared" si="30"/>
        <v>19800</v>
      </c>
      <c r="L728" s="21">
        <f t="shared" si="33"/>
        <v>111.11111111111111</v>
      </c>
    </row>
    <row r="729" spans="1:12" s="72" customFormat="1" ht="25.95" customHeight="1">
      <c r="A729" s="12">
        <v>727</v>
      </c>
      <c r="B729" s="6">
        <v>14</v>
      </c>
      <c r="C729" s="6">
        <v>222</v>
      </c>
      <c r="D729" s="20" t="str">
        <f>IF(C729&lt;&gt;"", IFERROR(INDEX('بنود العقد'!B$3:B$388,C729),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02-VAV ، اجمالي الهواء 0-500 ) ق/د( استطاعة التخزين 2 )ك/و(</v>
      </c>
      <c r="E729" s="12" t="str">
        <f>IF(C729&lt;&gt;"", IFERROR(INDEX('بنود العقد'!D$3:D$388,C729), ""), "")</f>
        <v>عدد</v>
      </c>
      <c r="F729" s="9">
        <f>IF(C729&lt;&gt;"", IFERROR(INDEX('بنود العقد'!E$3:E$388,C729), 0), "")</f>
        <v>6960</v>
      </c>
      <c r="G729" s="9">
        <f>IF(C729&lt;&gt;"", IFERROR(INDEX('بنود العقد'!F$3:F$388,C729), 0), "")</f>
        <v>127</v>
      </c>
      <c r="H729" s="18">
        <f t="shared" si="32"/>
        <v>60</v>
      </c>
      <c r="I729" s="7">
        <v>2</v>
      </c>
      <c r="J729" s="18">
        <f t="shared" si="31"/>
        <v>62</v>
      </c>
      <c r="K729" s="10">
        <f t="shared" si="30"/>
        <v>13920</v>
      </c>
      <c r="L729" s="21">
        <f t="shared" si="33"/>
        <v>48.818897637795274</v>
      </c>
    </row>
    <row r="730" spans="1:12" s="72" customFormat="1" ht="25.95" customHeight="1">
      <c r="A730" s="12">
        <v>728</v>
      </c>
      <c r="B730" s="6">
        <v>14</v>
      </c>
      <c r="C730" s="6">
        <v>223</v>
      </c>
      <c r="D730" s="20" t="str">
        <f>IF(C730&lt;&gt;"", IFERROR(INDEX('بنود العقد'!B$3:B$388,C730), "⚠"), "")</f>
        <v xml:space="preserve">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03-VAV ، اجمالي الهواء 0-750 ) ق/د( استطاعة التخزين 3 )ك/و( </v>
      </c>
      <c r="E730" s="12" t="str">
        <f>IF(C730&lt;&gt;"", IFERROR(INDEX('بنود العقد'!D$3:D$388,C730), ""), "")</f>
        <v>عدد</v>
      </c>
      <c r="F730" s="9">
        <f>IF(C730&lt;&gt;"", IFERROR(INDEX('بنود العقد'!E$3:E$388,C730), 0), "")</f>
        <v>7200</v>
      </c>
      <c r="G730" s="9">
        <f>IF(C730&lt;&gt;"", IFERROR(INDEX('بنود العقد'!F$3:F$388,C730), 0), "")</f>
        <v>51</v>
      </c>
      <c r="H730" s="18">
        <f t="shared" si="32"/>
        <v>41</v>
      </c>
      <c r="I730" s="7">
        <v>1</v>
      </c>
      <c r="J730" s="18">
        <f t="shared" si="31"/>
        <v>42</v>
      </c>
      <c r="K730" s="10">
        <f t="shared" si="30"/>
        <v>7200</v>
      </c>
      <c r="L730" s="21">
        <f t="shared" si="33"/>
        <v>82.35294117647058</v>
      </c>
    </row>
    <row r="731" spans="1:12" s="72" customFormat="1" ht="25.95" customHeight="1">
      <c r="A731" s="12">
        <v>729</v>
      </c>
      <c r="B731" s="6">
        <v>14</v>
      </c>
      <c r="C731" s="6">
        <v>224</v>
      </c>
      <c r="D731" s="20" t="str">
        <f>IF(C731&lt;&gt;"", IFERROR(INDEX('بنود العقد'!B$3:B$388,C731),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04-VAV ، اجمالي الهواء 0-1000 ) ق/د( استطاعة التخزين 5.3 )ك/و(</v>
      </c>
      <c r="E731" s="12" t="str">
        <f>IF(C731&lt;&gt;"", IFERROR(INDEX('بنود العقد'!D$3:D$388,C731), ""), "")</f>
        <v>عدد</v>
      </c>
      <c r="F731" s="9">
        <f>IF(C731&lt;&gt;"", IFERROR(INDEX('بنود العقد'!E$3:E$388,C731), 0), "")</f>
        <v>7200</v>
      </c>
      <c r="G731" s="9">
        <f>IF(C731&lt;&gt;"", IFERROR(INDEX('بنود العقد'!F$3:F$388,C731), 0), "")</f>
        <v>24</v>
      </c>
      <c r="H731" s="18">
        <f t="shared" si="32"/>
        <v>17</v>
      </c>
      <c r="I731" s="7">
        <v>2</v>
      </c>
      <c r="J731" s="18">
        <f t="shared" si="31"/>
        <v>19</v>
      </c>
      <c r="K731" s="10">
        <f t="shared" si="30"/>
        <v>14400</v>
      </c>
      <c r="L731" s="21">
        <f t="shared" si="33"/>
        <v>79.166666666666657</v>
      </c>
    </row>
    <row r="732" spans="1:12" s="72" customFormat="1" ht="25.95" customHeight="1">
      <c r="A732" s="12">
        <v>730</v>
      </c>
      <c r="B732" s="6">
        <v>14</v>
      </c>
      <c r="C732" s="6">
        <v>225</v>
      </c>
      <c r="D732" s="20" t="str">
        <f>IF(C732&lt;&gt;"", IFERROR(INDEX('بنود العقد'!B$3:B$388,C732),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05-VAV ، اجمالي الهواء 0-1500 ) ق/د( استطاعة التخزين 5.3 )ك/و(</v>
      </c>
      <c r="E732" s="12" t="str">
        <f>IF(C732&lt;&gt;"", IFERROR(INDEX('بنود العقد'!D$3:D$388,C732), ""), "")</f>
        <v>عدد</v>
      </c>
      <c r="F732" s="9">
        <f>IF(C732&lt;&gt;"", IFERROR(INDEX('بنود العقد'!E$3:E$388,C732), 0), "")</f>
        <v>9000</v>
      </c>
      <c r="G732" s="9">
        <f>IF(C732&lt;&gt;"", IFERROR(INDEX('بنود العقد'!F$3:F$388,C732), 0), "")</f>
        <v>44</v>
      </c>
      <c r="H732" s="18">
        <f t="shared" si="32"/>
        <v>23</v>
      </c>
      <c r="I732" s="7">
        <v>2</v>
      </c>
      <c r="J732" s="18">
        <f t="shared" si="31"/>
        <v>25</v>
      </c>
      <c r="K732" s="10">
        <f t="shared" si="30"/>
        <v>18000</v>
      </c>
      <c r="L732" s="21">
        <f t="shared" si="33"/>
        <v>56.81818181818182</v>
      </c>
    </row>
    <row r="733" spans="1:12" s="72" customFormat="1" ht="25.95" customHeight="1">
      <c r="A733" s="12">
        <v>731</v>
      </c>
      <c r="B733" s="6">
        <v>14</v>
      </c>
      <c r="C733" s="6">
        <v>227</v>
      </c>
      <c r="D733" s="20" t="str">
        <f>IF(C733&lt;&gt;"", IFERROR(INDEX('بنود العقد'!B$3:B$388,C733),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07-VAV ، اجمالي الهواء 0-2500 ) ق/د( استطاعة التخزين 7.3 )ك/و(</v>
      </c>
      <c r="E733" s="12" t="str">
        <f>IF(C733&lt;&gt;"", IFERROR(INDEX('بنود العقد'!D$3:D$388,C733), ""), "")</f>
        <v>عدد</v>
      </c>
      <c r="F733" s="9">
        <f>IF(C733&lt;&gt;"", IFERROR(INDEX('بنود العقد'!E$3:E$388,C733), 0), "")</f>
        <v>10800</v>
      </c>
      <c r="G733" s="9">
        <f>IF(C733&lt;&gt;"", IFERROR(INDEX('بنود العقد'!F$3:F$388,C733), 0), "")</f>
        <v>24</v>
      </c>
      <c r="H733" s="18">
        <f t="shared" si="32"/>
        <v>7</v>
      </c>
      <c r="I733" s="7">
        <v>3</v>
      </c>
      <c r="J733" s="18">
        <f t="shared" si="31"/>
        <v>10</v>
      </c>
      <c r="K733" s="10">
        <f t="shared" si="30"/>
        <v>32400</v>
      </c>
      <c r="L733" s="21">
        <f t="shared" si="33"/>
        <v>41.666666666666671</v>
      </c>
    </row>
    <row r="734" spans="1:12" s="72" customFormat="1" ht="25.95" customHeight="1">
      <c r="A734" s="12">
        <v>732</v>
      </c>
      <c r="B734" s="6">
        <v>14</v>
      </c>
      <c r="C734" s="6">
        <v>230</v>
      </c>
      <c r="D734" s="20" t="str">
        <f>IF(C734&lt;&gt;"", IFERROR(INDEX('بنود العقد'!B$3:B$388,C734),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E734" s="12" t="str">
        <f>IF(C734&lt;&gt;"", IFERROR(INDEX('بنود العقد'!D$3:D$388,C734), ""), "")</f>
        <v>م.ط</v>
      </c>
      <c r="F734" s="9">
        <f>IF(C734&lt;&gt;"", IFERROR(INDEX('بنود العقد'!E$3:E$388,C734), 0), "")</f>
        <v>300</v>
      </c>
      <c r="G734" s="9">
        <f>IF(C734&lt;&gt;"", IFERROR(INDEX('بنود العقد'!F$3:F$388,C734), 0), "")</f>
        <v>7000</v>
      </c>
      <c r="H734" s="18">
        <f t="shared" si="32"/>
        <v>6308</v>
      </c>
      <c r="I734" s="7">
        <v>2658</v>
      </c>
      <c r="J734" s="18">
        <f t="shared" si="31"/>
        <v>8966</v>
      </c>
      <c r="K734" s="10">
        <f t="shared" si="30"/>
        <v>797400</v>
      </c>
      <c r="L734" s="21">
        <f t="shared" si="33"/>
        <v>128.08571428571429</v>
      </c>
    </row>
    <row r="735" spans="1:12" s="72" customFormat="1" ht="25.95" customHeight="1">
      <c r="A735" s="12">
        <v>733</v>
      </c>
      <c r="B735" s="6">
        <v>14</v>
      </c>
      <c r="C735" s="6">
        <v>246</v>
      </c>
      <c r="D735" s="20" t="str">
        <f>IF(C735&lt;&gt;"", IFERROR(INDEX('بنود العقد'!B$3:B$388,C735),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 PP-3, 200 A , MCCB</v>
      </c>
      <c r="E735" s="12" t="str">
        <f>IF(C735&lt;&gt;"", IFERROR(INDEX('بنود العقد'!D$3:D$388,C735), ""), "")</f>
        <v>عدد</v>
      </c>
      <c r="F735" s="9">
        <f>IF(C735&lt;&gt;"", IFERROR(INDEX('بنود العقد'!E$3:E$388,C735), 0), "")</f>
        <v>9600</v>
      </c>
      <c r="G735" s="9">
        <f>IF(C735&lt;&gt;"", IFERROR(INDEX('بنود العقد'!F$3:F$388,C735), 0), "")</f>
        <v>6</v>
      </c>
      <c r="H735" s="18">
        <f t="shared" si="32"/>
        <v>0</v>
      </c>
      <c r="I735" s="7">
        <v>2</v>
      </c>
      <c r="J735" s="18">
        <f t="shared" si="31"/>
        <v>2</v>
      </c>
      <c r="K735" s="10">
        <f t="shared" si="30"/>
        <v>19200</v>
      </c>
      <c r="L735" s="21">
        <f t="shared" si="33"/>
        <v>33.333333333333329</v>
      </c>
    </row>
    <row r="736" spans="1:12" s="72" customFormat="1" ht="25.95" customHeight="1">
      <c r="A736" s="12">
        <v>734</v>
      </c>
      <c r="B736" s="6">
        <v>14</v>
      </c>
      <c r="C736" s="6">
        <v>247</v>
      </c>
      <c r="D736" s="20" t="str">
        <f>IF(C736&lt;&gt;"", IFERROR(INDEX('بنود العقد'!B$3:B$388,C736),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اللازمة.PP-4, 200 A , MCCB</v>
      </c>
      <c r="E736" s="12" t="str">
        <f>IF(C736&lt;&gt;"", IFERROR(INDEX('بنود العقد'!D$3:D$388,C736), ""), "")</f>
        <v>عدد</v>
      </c>
      <c r="F736" s="9">
        <f>IF(C736&lt;&gt;"", IFERROR(INDEX('بنود العقد'!E$3:E$388,C736), 0), "")</f>
        <v>9600</v>
      </c>
      <c r="G736" s="9">
        <f>IF(C736&lt;&gt;"", IFERROR(INDEX('بنود العقد'!F$3:F$388,C736), 0), "")</f>
        <v>6</v>
      </c>
      <c r="H736" s="18">
        <f t="shared" si="32"/>
        <v>0</v>
      </c>
      <c r="I736" s="7">
        <v>2</v>
      </c>
      <c r="J736" s="18">
        <f t="shared" si="31"/>
        <v>2</v>
      </c>
      <c r="K736" s="10">
        <f t="shared" si="30"/>
        <v>19200</v>
      </c>
      <c r="L736" s="21">
        <f t="shared" si="33"/>
        <v>33.333333333333329</v>
      </c>
    </row>
    <row r="737" spans="1:12" s="72" customFormat="1" ht="25.95" customHeight="1">
      <c r="A737" s="12">
        <v>735</v>
      </c>
      <c r="B737" s="6">
        <v>14</v>
      </c>
      <c r="C737" s="6">
        <v>248</v>
      </c>
      <c r="D737" s="20" t="str">
        <f>IF(C737&lt;&gt;"", IFERROR(INDEX('بنود العقد'!B$3:B$388,C737),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v>
      </c>
      <c r="E737" s="12" t="str">
        <f>IF(C737&lt;&gt;"", IFERROR(INDEX('بنود العقد'!D$3:D$388,C737), ""), "")</f>
        <v>عدد</v>
      </c>
      <c r="F737" s="9">
        <f>IF(C737&lt;&gt;"", IFERROR(INDEX('بنود العقد'!E$3:E$388,C737), 0), "")</f>
        <v>216</v>
      </c>
      <c r="G737" s="9">
        <f>IF(C737&lt;&gt;"", IFERROR(INDEX('بنود العقد'!F$3:F$388,C737), 0), "")</f>
        <v>282</v>
      </c>
      <c r="H737" s="18">
        <f t="shared" si="32"/>
        <v>137</v>
      </c>
      <c r="I737" s="7">
        <v>14</v>
      </c>
      <c r="J737" s="18">
        <f t="shared" si="31"/>
        <v>151</v>
      </c>
      <c r="K737" s="10">
        <f t="shared" si="30"/>
        <v>3024</v>
      </c>
      <c r="L737" s="21">
        <f t="shared" si="33"/>
        <v>53.546099290780148</v>
      </c>
    </row>
    <row r="738" spans="1:12" s="72" customFormat="1" ht="25.95" customHeight="1">
      <c r="A738" s="12">
        <v>736</v>
      </c>
      <c r="B738" s="6">
        <v>14</v>
      </c>
      <c r="C738" s="6">
        <v>249</v>
      </c>
      <c r="D738" s="20" t="str">
        <f>IF(C738&lt;&gt;"", IFERROR(INDEX('بنود العقد'!B$3:B$388,C738),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مقبس ثنائي سقفى، من النوع المؤرض، 15 أمبير، 230 فولت، طور واحد، قطبين، 3 أسلاك.</v>
      </c>
      <c r="E738" s="12" t="str">
        <f>IF(C738&lt;&gt;"", IFERROR(INDEX('بنود العقد'!D$3:D$388,C738), ""), "")</f>
        <v>عدد</v>
      </c>
      <c r="F738" s="9">
        <f>IF(C738&lt;&gt;"", IFERROR(INDEX('بنود العقد'!E$3:E$388,C738), 0), "")</f>
        <v>216</v>
      </c>
      <c r="G738" s="9">
        <f>IF(C738&lt;&gt;"", IFERROR(INDEX('بنود العقد'!F$3:F$388,C738), 0), "")</f>
        <v>126</v>
      </c>
      <c r="H738" s="18">
        <f t="shared" si="32"/>
        <v>65</v>
      </c>
      <c r="I738" s="7">
        <v>11</v>
      </c>
      <c r="J738" s="18">
        <f t="shared" si="31"/>
        <v>76</v>
      </c>
      <c r="K738" s="10">
        <f t="shared" si="30"/>
        <v>2376</v>
      </c>
      <c r="L738" s="21">
        <f t="shared" si="33"/>
        <v>60.317460317460316</v>
      </c>
    </row>
    <row r="739" spans="1:12" s="72" customFormat="1" ht="25.95" customHeight="1">
      <c r="A739" s="12">
        <v>737</v>
      </c>
      <c r="B739" s="6">
        <v>14</v>
      </c>
      <c r="C739" s="6">
        <v>253</v>
      </c>
      <c r="D739" s="20" t="str">
        <f>IF(C739&lt;&gt;"", IFERROR(INDEX('بنود العقد'!B$3:B$388,C739), "⚠"), "")</f>
        <v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المشرفمخرج  ومؤرض 30 أمبير ، 230 فولت 3 أسلاك ، 1 فاز لمجفف الأيدي</v>
      </c>
      <c r="E739" s="12" t="str">
        <f>IF(C739&lt;&gt;"", IFERROR(INDEX('بنود العقد'!D$3:D$388,C739), ""), "")</f>
        <v>عدد</v>
      </c>
      <c r="F739" s="9">
        <f>IF(C739&lt;&gt;"", IFERROR(INDEX('بنود العقد'!E$3:E$388,C739), 0), "")</f>
        <v>264</v>
      </c>
      <c r="G739" s="9">
        <f>IF(C739&lt;&gt;"", IFERROR(INDEX('بنود العقد'!F$3:F$388,C739), 0), "")</f>
        <v>72</v>
      </c>
      <c r="H739" s="18">
        <f t="shared" si="32"/>
        <v>29</v>
      </c>
      <c r="I739" s="7">
        <v>7</v>
      </c>
      <c r="J739" s="18">
        <f t="shared" si="31"/>
        <v>36</v>
      </c>
      <c r="K739" s="10">
        <f t="shared" si="30"/>
        <v>1848</v>
      </c>
      <c r="L739" s="21">
        <f t="shared" si="33"/>
        <v>50</v>
      </c>
    </row>
    <row r="740" spans="1:12" s="72" customFormat="1" ht="25.95" customHeight="1">
      <c r="A740" s="12">
        <v>738</v>
      </c>
      <c r="B740" s="6">
        <v>14</v>
      </c>
      <c r="C740" s="6">
        <v>254</v>
      </c>
      <c r="D740" s="20" t="str">
        <f>IF(C740&lt;&gt;"", IFERROR(INDEX('بنود العقد'!B$3:B$388,C740),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)A(  )تحتوى على  4 قوى &amp; 4 داتا (</v>
      </c>
      <c r="E740" s="12" t="str">
        <f>IF(C740&lt;&gt;"", IFERROR(INDEX('بنود العقد'!D$3:D$388,C740), ""), "")</f>
        <v>عدد</v>
      </c>
      <c r="F740" s="9">
        <f>IF(C740&lt;&gt;"", IFERROR(INDEX('بنود العقد'!E$3:E$388,C740), 0), "")</f>
        <v>2160</v>
      </c>
      <c r="G740" s="9">
        <f>IF(C740&lt;&gt;"", IFERROR(INDEX('بنود العقد'!F$3:F$388,C740), 0), "")</f>
        <v>286</v>
      </c>
      <c r="H740" s="18">
        <f t="shared" si="32"/>
        <v>276</v>
      </c>
      <c r="I740" s="7">
        <v>43</v>
      </c>
      <c r="J740" s="18">
        <f t="shared" si="31"/>
        <v>319</v>
      </c>
      <c r="K740" s="10">
        <f t="shared" si="30"/>
        <v>92880</v>
      </c>
      <c r="L740" s="21">
        <f t="shared" si="33"/>
        <v>111.53846153846155</v>
      </c>
    </row>
    <row r="741" spans="1:12" s="72" customFormat="1" ht="25.95" customHeight="1">
      <c r="A741" s="12">
        <v>739</v>
      </c>
      <c r="B741" s="6">
        <v>14</v>
      </c>
      <c r="C741" s="6">
        <v>255</v>
      </c>
      <c r="D741" s="20" t="str">
        <f>IF(C741&lt;&gt;"", IFERROR(INDEX('بنود العقد'!B$3:B$388,C741),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)B(   )تحتوى على 2 قوى &amp; 2 داتا (</v>
      </c>
      <c r="E741" s="12" t="str">
        <f>IF(C741&lt;&gt;"", IFERROR(INDEX('بنود العقد'!D$3:D$388,C741), ""), "")</f>
        <v>عدد</v>
      </c>
      <c r="F741" s="9">
        <f>IF(C741&lt;&gt;"", IFERROR(INDEX('بنود العقد'!E$3:E$388,C741), 0), "")</f>
        <v>1800</v>
      </c>
      <c r="G741" s="9">
        <f>IF(C741&lt;&gt;"", IFERROR(INDEX('بنود العقد'!F$3:F$388,C741), 0), "")</f>
        <v>20</v>
      </c>
      <c r="H741" s="18">
        <f t="shared" si="32"/>
        <v>236</v>
      </c>
      <c r="I741" s="7">
        <v>43</v>
      </c>
      <c r="J741" s="18">
        <f t="shared" si="31"/>
        <v>279</v>
      </c>
      <c r="K741" s="10">
        <f t="shared" si="30"/>
        <v>77400</v>
      </c>
      <c r="L741" s="21">
        <f t="shared" si="33"/>
        <v>1395</v>
      </c>
    </row>
    <row r="742" spans="1:12" s="72" customFormat="1" ht="25.95" customHeight="1">
      <c r="A742" s="12">
        <v>740</v>
      </c>
      <c r="B742" s="6">
        <v>14</v>
      </c>
      <c r="C742" s="6">
        <v>262</v>
      </c>
      <c r="D742" s="20" t="str">
        <f>IF(C742&lt;&gt;"", IFERROR(INDEX('بنود العقد'!B$3:B$388,C742),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v>
      </c>
      <c r="E742" s="12" t="str">
        <f>IF(C742&lt;&gt;"", IFERROR(INDEX('بنود العقد'!D$3:D$388,C742), ""), "")</f>
        <v>عدد</v>
      </c>
      <c r="F742" s="9">
        <f>IF(C742&lt;&gt;"", IFERROR(INDEX('بنود العقد'!E$3:E$388,C742), 0), "")</f>
        <v>348</v>
      </c>
      <c r="G742" s="9">
        <f>IF(C742&lt;&gt;"", IFERROR(INDEX('بنود العقد'!F$3:F$388,C742), 0), "")</f>
        <v>530</v>
      </c>
      <c r="H742" s="18">
        <f t="shared" si="32"/>
        <v>156</v>
      </c>
      <c r="I742" s="7">
        <v>59</v>
      </c>
      <c r="J742" s="18">
        <f t="shared" si="31"/>
        <v>215</v>
      </c>
      <c r="K742" s="10">
        <f t="shared" si="30"/>
        <v>20532</v>
      </c>
      <c r="L742" s="21">
        <f t="shared" si="33"/>
        <v>40.566037735849058</v>
      </c>
    </row>
    <row r="743" spans="1:12" s="72" customFormat="1" ht="25.95" customHeight="1">
      <c r="A743" s="12">
        <v>741</v>
      </c>
      <c r="B743" s="6">
        <v>14</v>
      </c>
      <c r="C743" s="6">
        <v>263</v>
      </c>
      <c r="D743" s="20" t="str">
        <f>IF(C743&lt;&gt;"", IFERROR(INDEX('بنود العقد'!B$3:B$388,C743),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A1E</v>
      </c>
      <c r="E743" s="12" t="str">
        <f>IF(C743&lt;&gt;"", IFERROR(INDEX('بنود العقد'!D$3:D$388,C743), ""), "")</f>
        <v>عدد</v>
      </c>
      <c r="F743" s="9">
        <f>IF(C743&lt;&gt;"", IFERROR(INDEX('بنود العقد'!E$3:E$388,C743), 0), "")</f>
        <v>660</v>
      </c>
      <c r="G743" s="9">
        <f>IF(C743&lt;&gt;"", IFERROR(INDEX('بنود العقد'!F$3:F$388,C743), 0), "")</f>
        <v>241</v>
      </c>
      <c r="H743" s="18">
        <f t="shared" si="32"/>
        <v>104</v>
      </c>
      <c r="I743" s="7">
        <v>28</v>
      </c>
      <c r="J743" s="18">
        <f t="shared" si="31"/>
        <v>132</v>
      </c>
      <c r="K743" s="10">
        <f t="shared" si="30"/>
        <v>18480</v>
      </c>
      <c r="L743" s="21">
        <f t="shared" si="33"/>
        <v>54.77178423236515</v>
      </c>
    </row>
    <row r="744" spans="1:12" s="72" customFormat="1" ht="25.95" customHeight="1">
      <c r="A744" s="12">
        <v>742</v>
      </c>
      <c r="B744" s="6">
        <v>14</v>
      </c>
      <c r="C744" s="6">
        <v>264</v>
      </c>
      <c r="D744" s="20" t="str">
        <f>IF(C744&lt;&gt;"", IFERROR(INDEX('بنود العقد'!B$3:B$388,C744),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A2</v>
      </c>
      <c r="E744" s="12" t="str">
        <f>IF(C744&lt;&gt;"", IFERROR(INDEX('بنود العقد'!D$3:D$388,C744), ""), "")</f>
        <v>عدد</v>
      </c>
      <c r="F744" s="9">
        <f>IF(C744&lt;&gt;"", IFERROR(INDEX('بنود العقد'!E$3:E$388,C744), 0), "")</f>
        <v>1044</v>
      </c>
      <c r="G744" s="9">
        <f>IF(C744&lt;&gt;"", IFERROR(INDEX('بنود العقد'!F$3:F$388,C744), 0), "")</f>
        <v>1113</v>
      </c>
      <c r="H744" s="18">
        <f t="shared" si="32"/>
        <v>575</v>
      </c>
      <c r="I744" s="7">
        <v>128</v>
      </c>
      <c r="J744" s="18">
        <f t="shared" si="31"/>
        <v>703</v>
      </c>
      <c r="K744" s="10">
        <f t="shared" si="30"/>
        <v>133632</v>
      </c>
      <c r="L744" s="21">
        <f t="shared" si="33"/>
        <v>63.162623539982036</v>
      </c>
    </row>
    <row r="745" spans="1:12" s="72" customFormat="1" ht="25.95" customHeight="1">
      <c r="A745" s="12">
        <v>743</v>
      </c>
      <c r="B745" s="6">
        <v>14</v>
      </c>
      <c r="C745" s="6">
        <v>265</v>
      </c>
      <c r="D745" s="20" t="str">
        <f>IF(C745&lt;&gt;"", IFERROR(INDEX('بنود العقد'!B$3:B$388,C745),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A3</v>
      </c>
      <c r="E745" s="12" t="str">
        <f>IF(C745&lt;&gt;"", IFERROR(INDEX('بنود العقد'!D$3:D$388,C745), ""), "")</f>
        <v>عدد</v>
      </c>
      <c r="F745" s="9">
        <f>IF(C745&lt;&gt;"", IFERROR(INDEX('بنود العقد'!E$3:E$388,C745), 0), "")</f>
        <v>1044</v>
      </c>
      <c r="G745" s="9">
        <f>IF(C745&lt;&gt;"", IFERROR(INDEX('بنود العقد'!F$3:F$388,C745), 0), "")</f>
        <v>8</v>
      </c>
      <c r="H745" s="18">
        <f t="shared" si="32"/>
        <v>0</v>
      </c>
      <c r="I745" s="7">
        <v>2</v>
      </c>
      <c r="J745" s="18">
        <f t="shared" si="31"/>
        <v>2</v>
      </c>
      <c r="K745" s="10">
        <f t="shared" si="30"/>
        <v>2088</v>
      </c>
      <c r="L745" s="21">
        <f t="shared" si="33"/>
        <v>25</v>
      </c>
    </row>
    <row r="746" spans="1:12" s="72" customFormat="1" ht="25.95" customHeight="1">
      <c r="A746" s="12">
        <v>744</v>
      </c>
      <c r="B746" s="6">
        <v>14</v>
      </c>
      <c r="C746" s="6">
        <v>267</v>
      </c>
      <c r="D746" s="20" t="str">
        <f>IF(C746&lt;&gt;"", IFERROR(INDEX('بنود العقد'!B$3:B$388,C746),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A5</v>
      </c>
      <c r="E746" s="12" t="str">
        <f>IF(C746&lt;&gt;"", IFERROR(INDEX('بنود العقد'!D$3:D$388,C746), ""), "")</f>
        <v>عدد</v>
      </c>
      <c r="F746" s="9">
        <f>IF(C746&lt;&gt;"", IFERROR(INDEX('بنود العقد'!E$3:E$388,C746), 0), "")</f>
        <v>1044</v>
      </c>
      <c r="G746" s="9">
        <f>IF(C746&lt;&gt;"", IFERROR(INDEX('بنود العقد'!F$3:F$388,C746), 0), "")</f>
        <v>4</v>
      </c>
      <c r="H746" s="18">
        <f t="shared" si="32"/>
        <v>0</v>
      </c>
      <c r="I746" s="7">
        <v>1</v>
      </c>
      <c r="J746" s="18">
        <f t="shared" si="31"/>
        <v>1</v>
      </c>
      <c r="K746" s="10">
        <f t="shared" si="30"/>
        <v>1044</v>
      </c>
      <c r="L746" s="21">
        <f t="shared" si="33"/>
        <v>25</v>
      </c>
    </row>
    <row r="747" spans="1:12" s="72" customFormat="1" ht="25.95" customHeight="1">
      <c r="A747" s="12">
        <v>745</v>
      </c>
      <c r="B747" s="6">
        <v>14</v>
      </c>
      <c r="C747" s="6">
        <v>268</v>
      </c>
      <c r="D747" s="20" t="str">
        <f>IF(C747&lt;&gt;"", IFERROR(INDEX('بنود العقد'!B$3:B$388,C747),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A6</v>
      </c>
      <c r="E747" s="12" t="str">
        <f>IF(C747&lt;&gt;"", IFERROR(INDEX('بنود العقد'!D$3:D$388,C747), ""), "")</f>
        <v>عدد</v>
      </c>
      <c r="F747" s="9">
        <f>IF(C747&lt;&gt;"", IFERROR(INDEX('بنود العقد'!E$3:E$388,C747), 0), "")</f>
        <v>1044</v>
      </c>
      <c r="G747" s="9">
        <f>IF(C747&lt;&gt;"", IFERROR(INDEX('بنود العقد'!F$3:F$388,C747), 0), "")</f>
        <v>1</v>
      </c>
      <c r="H747" s="18">
        <f t="shared" si="32"/>
        <v>0</v>
      </c>
      <c r="I747" s="7">
        <v>1</v>
      </c>
      <c r="J747" s="18">
        <f t="shared" si="31"/>
        <v>1</v>
      </c>
      <c r="K747" s="10">
        <f t="shared" si="30"/>
        <v>1044</v>
      </c>
      <c r="L747" s="21">
        <f t="shared" si="33"/>
        <v>100</v>
      </c>
    </row>
    <row r="748" spans="1:12" s="72" customFormat="1" ht="25.95" customHeight="1">
      <c r="A748" s="12">
        <v>746</v>
      </c>
      <c r="B748" s="6">
        <v>14</v>
      </c>
      <c r="C748" s="6">
        <v>269</v>
      </c>
      <c r="D748" s="20" t="str">
        <f>IF(C748&lt;&gt;"", IFERROR(INDEX('بنود العقد'!B$3:B$388,C748),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A7</v>
      </c>
      <c r="E748" s="12" t="str">
        <f>IF(C748&lt;&gt;"", IFERROR(INDEX('بنود العقد'!D$3:D$388,C748), ""), "")</f>
        <v>عدد</v>
      </c>
      <c r="F748" s="9">
        <f>IF(C748&lt;&gt;"", IFERROR(INDEX('بنود العقد'!E$3:E$388,C748), 0), "")</f>
        <v>1044</v>
      </c>
      <c r="G748" s="9">
        <f>IF(C748&lt;&gt;"", IFERROR(INDEX('بنود العقد'!F$3:F$388,C748), 0), "")</f>
        <v>2</v>
      </c>
      <c r="H748" s="18">
        <f t="shared" si="32"/>
        <v>0</v>
      </c>
      <c r="I748" s="7">
        <v>2</v>
      </c>
      <c r="J748" s="18">
        <f t="shared" si="31"/>
        <v>2</v>
      </c>
      <c r="K748" s="10">
        <f t="shared" si="30"/>
        <v>2088</v>
      </c>
      <c r="L748" s="21">
        <f t="shared" si="33"/>
        <v>100</v>
      </c>
    </row>
    <row r="749" spans="1:12" s="72" customFormat="1" ht="25.95" customHeight="1">
      <c r="A749" s="12">
        <v>747</v>
      </c>
      <c r="B749" s="6">
        <v>14</v>
      </c>
      <c r="C749" s="6">
        <v>270</v>
      </c>
      <c r="D749" s="20" t="str">
        <f>IF(C749&lt;&gt;"", IFERROR(INDEX('بنود العقد'!B$3:B$388,C749),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A8</v>
      </c>
      <c r="E749" s="12" t="str">
        <f>IF(C749&lt;&gt;"", IFERROR(INDEX('بنود العقد'!D$3:D$388,C749), ""), "")</f>
        <v>عدد</v>
      </c>
      <c r="F749" s="9">
        <f>IF(C749&lt;&gt;"", IFERROR(INDEX('بنود العقد'!E$3:E$388,C749), 0), "")</f>
        <v>1044</v>
      </c>
      <c r="G749" s="9">
        <f>IF(C749&lt;&gt;"", IFERROR(INDEX('بنود العقد'!F$3:F$388,C749), 0), "")</f>
        <v>12</v>
      </c>
      <c r="H749" s="18">
        <f t="shared" si="32"/>
        <v>0</v>
      </c>
      <c r="I749" s="7">
        <v>3</v>
      </c>
      <c r="J749" s="18">
        <f t="shared" si="31"/>
        <v>3</v>
      </c>
      <c r="K749" s="10">
        <f t="shared" si="30"/>
        <v>3132</v>
      </c>
      <c r="L749" s="21">
        <f t="shared" si="33"/>
        <v>25</v>
      </c>
    </row>
    <row r="750" spans="1:12" s="72" customFormat="1" ht="25.95" customHeight="1">
      <c r="A750" s="12">
        <v>748</v>
      </c>
      <c r="B750" s="6">
        <v>14</v>
      </c>
      <c r="C750" s="6">
        <v>271</v>
      </c>
      <c r="D750" s="20" t="str">
        <f>IF(C750&lt;&gt;"", IFERROR(INDEX('بنود العقد'!B$3:B$388,C750),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v>
      </c>
      <c r="E750" s="12" t="str">
        <f>IF(C750&lt;&gt;"", IFERROR(INDEX('بنود العقد'!D$3:D$388,C750), ""), "")</f>
        <v>عدد</v>
      </c>
      <c r="F750" s="9">
        <f>IF(C750&lt;&gt;"", IFERROR(INDEX('بنود العقد'!E$3:E$388,C750), 0), "")</f>
        <v>1044</v>
      </c>
      <c r="G750" s="9">
        <f>IF(C750&lt;&gt;"", IFERROR(INDEX('بنود العقد'!F$3:F$388,C750), 0), "")</f>
        <v>4</v>
      </c>
      <c r="H750" s="18">
        <f t="shared" ref="H750:H813" si="34">IFERROR(SUMIFS(I$3:I$1805, B$3:B$1805, "&lt;"&amp;B750, C$3:C$1805, C750), 0)</f>
        <v>0</v>
      </c>
      <c r="I750" s="7">
        <v>1</v>
      </c>
      <c r="J750" s="18">
        <f t="shared" si="31"/>
        <v>1</v>
      </c>
      <c r="K750" s="10">
        <f t="shared" si="30"/>
        <v>1044</v>
      </c>
      <c r="L750" s="21">
        <f t="shared" si="33"/>
        <v>25</v>
      </c>
    </row>
    <row r="751" spans="1:12" s="72" customFormat="1" ht="25.95" customHeight="1">
      <c r="A751" s="12">
        <v>749</v>
      </c>
      <c r="B751" s="6">
        <v>14</v>
      </c>
      <c r="C751" s="6">
        <v>272</v>
      </c>
      <c r="D751" s="20" t="str">
        <f>IF(C751&lt;&gt;"", IFERROR(INDEX('بنود العقد'!B$3:B$388,C751),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B1</v>
      </c>
      <c r="E751" s="12" t="str">
        <f>IF(C751&lt;&gt;"", IFERROR(INDEX('بنود العقد'!D$3:D$388,C751), ""), "")</f>
        <v>عدد</v>
      </c>
      <c r="F751" s="9">
        <f>IF(C751&lt;&gt;"", IFERROR(INDEX('بنود العقد'!E$3:E$388,C751), 0), "")</f>
        <v>720</v>
      </c>
      <c r="G751" s="9">
        <f>IF(C751&lt;&gt;"", IFERROR(INDEX('بنود العقد'!F$3:F$388,C751), 0), "")</f>
        <v>343</v>
      </c>
      <c r="H751" s="18">
        <f t="shared" si="34"/>
        <v>42</v>
      </c>
      <c r="I751" s="7">
        <v>13</v>
      </c>
      <c r="J751" s="18">
        <f t="shared" si="31"/>
        <v>55</v>
      </c>
      <c r="K751" s="10">
        <f t="shared" si="30"/>
        <v>9360</v>
      </c>
      <c r="L751" s="21">
        <f t="shared" si="33"/>
        <v>16.034985422740526</v>
      </c>
    </row>
    <row r="752" spans="1:12" s="72" customFormat="1" ht="25.95" customHeight="1">
      <c r="A752" s="12">
        <v>750</v>
      </c>
      <c r="B752" s="6">
        <v>14</v>
      </c>
      <c r="C752" s="6">
        <v>273</v>
      </c>
      <c r="D752" s="20" t="str">
        <f>IF(C752&lt;&gt;"", IFERROR(INDEX('بنود العقد'!B$3:B$388,C752),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B2</v>
      </c>
      <c r="E752" s="12" t="str">
        <f>IF(C752&lt;&gt;"", IFERROR(INDEX('بنود العقد'!D$3:D$388,C752), ""), "")</f>
        <v>عدد</v>
      </c>
      <c r="F752" s="9">
        <f>IF(C752&lt;&gt;"", IFERROR(INDEX('بنود العقد'!E$3:E$388,C752), 0), "")</f>
        <v>780</v>
      </c>
      <c r="G752" s="9">
        <f>IF(C752&lt;&gt;"", IFERROR(INDEX('بنود العقد'!F$3:F$388,C752), 0), "")</f>
        <v>54</v>
      </c>
      <c r="H752" s="18">
        <f t="shared" si="34"/>
        <v>0</v>
      </c>
      <c r="I752" s="7">
        <v>2</v>
      </c>
      <c r="J752" s="18">
        <f t="shared" si="31"/>
        <v>2</v>
      </c>
      <c r="K752" s="10">
        <f t="shared" si="30"/>
        <v>1560</v>
      </c>
      <c r="L752" s="21">
        <f t="shared" si="33"/>
        <v>3.7037037037037033</v>
      </c>
    </row>
    <row r="753" spans="1:12" s="72" customFormat="1" ht="25.95" customHeight="1">
      <c r="A753" s="12">
        <v>751</v>
      </c>
      <c r="B753" s="6">
        <v>14</v>
      </c>
      <c r="C753" s="6">
        <v>274</v>
      </c>
      <c r="D753" s="20" t="str">
        <f>IF(C753&lt;&gt;"", IFERROR(INDEX('بنود العقد'!B$3:B$388,C753),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C1</v>
      </c>
      <c r="E753" s="12" t="str">
        <f>IF(C753&lt;&gt;"", IFERROR(INDEX('بنود العقد'!D$3:D$388,C753), ""), "")</f>
        <v>عدد</v>
      </c>
      <c r="F753" s="9">
        <f>IF(C753&lt;&gt;"", IFERROR(INDEX('بنود العقد'!E$3:E$388,C753), 0), "")</f>
        <v>1128</v>
      </c>
      <c r="G753" s="9">
        <f>IF(C753&lt;&gt;"", IFERROR(INDEX('بنود العقد'!F$3:F$388,C753), 0), "")</f>
        <v>172</v>
      </c>
      <c r="H753" s="18">
        <f t="shared" si="34"/>
        <v>52</v>
      </c>
      <c r="I753" s="7">
        <v>17</v>
      </c>
      <c r="J753" s="18">
        <f t="shared" si="31"/>
        <v>69</v>
      </c>
      <c r="K753" s="10">
        <f t="shared" si="30"/>
        <v>19176</v>
      </c>
      <c r="L753" s="21">
        <f t="shared" si="33"/>
        <v>40.116279069767444</v>
      </c>
    </row>
    <row r="754" spans="1:12" s="72" customFormat="1" ht="25.95" customHeight="1">
      <c r="A754" s="12">
        <v>752</v>
      </c>
      <c r="B754" s="6">
        <v>14</v>
      </c>
      <c r="C754" s="6">
        <v>275</v>
      </c>
      <c r="D754" s="20" t="str">
        <f>IF(C754&lt;&gt;"", IFERROR(INDEX('بنود العقد'!B$3:B$388,C754),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v>
      </c>
      <c r="E754" s="12" t="str">
        <f>IF(C754&lt;&gt;"", IFERROR(INDEX('بنود العقد'!D$3:D$388,C754), ""), "")</f>
        <v>عدد</v>
      </c>
      <c r="F754" s="9">
        <f>IF(C754&lt;&gt;"", IFERROR(INDEX('بنود العقد'!E$3:E$388,C754), 0), "")</f>
        <v>420</v>
      </c>
      <c r="G754" s="9">
        <f>IF(C754&lt;&gt;"", IFERROR(INDEX('بنود العقد'!F$3:F$388,C754), 0), "")</f>
        <v>1422</v>
      </c>
      <c r="H754" s="18">
        <f t="shared" si="34"/>
        <v>624</v>
      </c>
      <c r="I754" s="7">
        <v>151</v>
      </c>
      <c r="J754" s="18">
        <f t="shared" si="31"/>
        <v>775</v>
      </c>
      <c r="K754" s="10">
        <f t="shared" si="30"/>
        <v>63420</v>
      </c>
      <c r="L754" s="21">
        <f t="shared" si="33"/>
        <v>54.500703234880454</v>
      </c>
    </row>
    <row r="755" spans="1:12" s="72" customFormat="1" ht="25.95" customHeight="1">
      <c r="A755" s="12">
        <v>753</v>
      </c>
      <c r="B755" s="6">
        <v>14</v>
      </c>
      <c r="C755" s="6">
        <v>276</v>
      </c>
      <c r="D755" s="20" t="str">
        <f>IF(C755&lt;&gt;"", IFERROR(INDEX('بنود العقد'!B$3:B$388,C755),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v>
      </c>
      <c r="E755" s="12" t="str">
        <f>IF(C755&lt;&gt;"", IFERROR(INDEX('بنود العقد'!D$3:D$388,C755), ""), "")</f>
        <v>عدد</v>
      </c>
      <c r="F755" s="9">
        <f>IF(C755&lt;&gt;"", IFERROR(INDEX('بنود العقد'!E$3:E$388,C755), 0), "")</f>
        <v>444</v>
      </c>
      <c r="G755" s="9">
        <f>IF(C755&lt;&gt;"", IFERROR(INDEX('بنود العقد'!F$3:F$388,C755), 0), "")</f>
        <v>1062</v>
      </c>
      <c r="H755" s="18">
        <f t="shared" si="34"/>
        <v>408</v>
      </c>
      <c r="I755" s="7">
        <v>305</v>
      </c>
      <c r="J755" s="18">
        <f t="shared" si="31"/>
        <v>713</v>
      </c>
      <c r="K755" s="10">
        <f t="shared" si="30"/>
        <v>135420</v>
      </c>
      <c r="L755" s="21">
        <f t="shared" si="33"/>
        <v>67.137476459510353</v>
      </c>
    </row>
    <row r="756" spans="1:12" s="72" customFormat="1" ht="25.95" customHeight="1">
      <c r="A756" s="12">
        <v>754</v>
      </c>
      <c r="B756" s="6">
        <v>14</v>
      </c>
      <c r="C756" s="6">
        <v>277</v>
      </c>
      <c r="D756" s="20" t="str">
        <f>IF(C756&lt;&gt;"", IFERROR(INDEX('بنود العقد'!B$3:B$388,C756),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v>
      </c>
      <c r="E756" s="12" t="str">
        <f>IF(C756&lt;&gt;"", IFERROR(INDEX('بنود العقد'!D$3:D$388,C756), ""), "")</f>
        <v>عدد</v>
      </c>
      <c r="F756" s="9">
        <f>IF(C756&lt;&gt;"", IFERROR(INDEX('بنود العقد'!E$3:E$388,C756), 0), "")</f>
        <v>300</v>
      </c>
      <c r="G756" s="9">
        <f>IF(C756&lt;&gt;"", IFERROR(INDEX('بنود العقد'!F$3:F$388,C756), 0), "")</f>
        <v>284</v>
      </c>
      <c r="H756" s="18">
        <f t="shared" si="34"/>
        <v>124</v>
      </c>
      <c r="I756" s="7">
        <v>40</v>
      </c>
      <c r="J756" s="18">
        <f t="shared" si="31"/>
        <v>164</v>
      </c>
      <c r="K756" s="10">
        <f t="shared" si="30"/>
        <v>12000</v>
      </c>
      <c r="L756" s="21">
        <f t="shared" si="33"/>
        <v>57.74647887323944</v>
      </c>
    </row>
    <row r="757" spans="1:12" s="72" customFormat="1" ht="25.95" customHeight="1">
      <c r="A757" s="12">
        <v>755</v>
      </c>
      <c r="B757" s="6">
        <v>14</v>
      </c>
      <c r="C757" s="6">
        <v>278</v>
      </c>
      <c r="D757" s="20" t="str">
        <f>IF(C757&lt;&gt;"", IFERROR(INDEX('بنود العقد'!B$3:B$388,C757),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C5</v>
      </c>
      <c r="E757" s="12" t="str">
        <f>IF(C757&lt;&gt;"", IFERROR(INDEX('بنود العقد'!D$3:D$388,C757), ""), "")</f>
        <v>عدد</v>
      </c>
      <c r="F757" s="9">
        <f>IF(C757&lt;&gt;"", IFERROR(INDEX('بنود العقد'!E$3:E$388,C757), 0), "")</f>
        <v>438</v>
      </c>
      <c r="G757" s="9">
        <f>IF(C757&lt;&gt;"", IFERROR(INDEX('بنود العقد'!F$3:F$388,C757), 0), "")</f>
        <v>149</v>
      </c>
      <c r="H757" s="18">
        <f t="shared" si="34"/>
        <v>78</v>
      </c>
      <c r="I757" s="7">
        <v>14</v>
      </c>
      <c r="J757" s="18">
        <f t="shared" si="31"/>
        <v>92</v>
      </c>
      <c r="K757" s="10">
        <f t="shared" si="30"/>
        <v>6132</v>
      </c>
      <c r="L757" s="21">
        <f t="shared" si="33"/>
        <v>61.744966442953022</v>
      </c>
    </row>
    <row r="758" spans="1:12" s="72" customFormat="1" ht="25.95" customHeight="1">
      <c r="A758" s="12">
        <v>756</v>
      </c>
      <c r="B758" s="6">
        <v>14</v>
      </c>
      <c r="C758" s="6">
        <v>279</v>
      </c>
      <c r="D758" s="20" t="str">
        <f>IF(C758&lt;&gt;"", IFERROR(INDEX('بنود العقد'!B$3:B$388,C758),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C6</v>
      </c>
      <c r="E758" s="12" t="str">
        <f>IF(C758&lt;&gt;"", IFERROR(INDEX('بنود العقد'!D$3:D$388,C758), ""), "")</f>
        <v>عدد</v>
      </c>
      <c r="F758" s="9">
        <f>IF(C758&lt;&gt;"", IFERROR(INDEX('بنود العقد'!E$3:E$388,C758), 0), "")</f>
        <v>288</v>
      </c>
      <c r="G758" s="9">
        <f>IF(C758&lt;&gt;"", IFERROR(INDEX('بنود العقد'!F$3:F$388,C758), 0), "")</f>
        <v>158</v>
      </c>
      <c r="H758" s="18">
        <f t="shared" si="34"/>
        <v>96</v>
      </c>
      <c r="I758" s="7">
        <v>19</v>
      </c>
      <c r="J758" s="18">
        <f t="shared" si="31"/>
        <v>115</v>
      </c>
      <c r="K758" s="10">
        <f t="shared" si="30"/>
        <v>5472</v>
      </c>
      <c r="L758" s="21">
        <f t="shared" si="33"/>
        <v>72.784810126582272</v>
      </c>
    </row>
    <row r="759" spans="1:12" s="72" customFormat="1" ht="25.95" customHeight="1">
      <c r="A759" s="12">
        <v>757</v>
      </c>
      <c r="B759" s="6">
        <v>14</v>
      </c>
      <c r="C759" s="6">
        <v>280</v>
      </c>
      <c r="D759" s="20" t="str">
        <f>IF(C759&lt;&gt;"", IFERROR(INDEX('بنود العقد'!B$3:B$388,C759),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C7</v>
      </c>
      <c r="E759" s="12" t="str">
        <f>IF(C759&lt;&gt;"", IFERROR(INDEX('بنود العقد'!D$3:D$388,C759), ""), "")</f>
        <v>عدد</v>
      </c>
      <c r="F759" s="9">
        <f>IF(C759&lt;&gt;"", IFERROR(INDEX('بنود العقد'!E$3:E$388,C759), 0), "")</f>
        <v>336</v>
      </c>
      <c r="G759" s="9">
        <f>IF(C759&lt;&gt;"", IFERROR(INDEX('بنود العقد'!F$3:F$388,C759), 0), "")</f>
        <v>27</v>
      </c>
      <c r="H759" s="18">
        <f t="shared" si="34"/>
        <v>0</v>
      </c>
      <c r="I759" s="7">
        <v>7</v>
      </c>
      <c r="J759" s="18">
        <f t="shared" si="31"/>
        <v>7</v>
      </c>
      <c r="K759" s="10">
        <f t="shared" si="30"/>
        <v>2352</v>
      </c>
      <c r="L759" s="21">
        <f t="shared" si="33"/>
        <v>25.925925925925924</v>
      </c>
    </row>
    <row r="760" spans="1:12" s="72" customFormat="1" ht="25.95" customHeight="1">
      <c r="A760" s="12">
        <v>758</v>
      </c>
      <c r="B760" s="6">
        <v>14</v>
      </c>
      <c r="C760" s="6">
        <v>281</v>
      </c>
      <c r="D760" s="20" t="str">
        <f>IF(C760&lt;&gt;"", IFERROR(INDEX('بنود العقد'!B$3:B$388,C760),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D1</v>
      </c>
      <c r="E760" s="12" t="str">
        <f>IF(C760&lt;&gt;"", IFERROR(INDEX('بنود العقد'!D$3:D$388,C760), ""), "")</f>
        <v>عدد</v>
      </c>
      <c r="F760" s="9">
        <f>IF(C760&lt;&gt;"", IFERROR(INDEX('بنود العقد'!E$3:E$388,C760), 0), "")</f>
        <v>936</v>
      </c>
      <c r="G760" s="9">
        <f>IF(C760&lt;&gt;"", IFERROR(INDEX('بنود العقد'!F$3:F$388,C760), 0), "")</f>
        <v>56</v>
      </c>
      <c r="H760" s="18">
        <f t="shared" si="34"/>
        <v>27</v>
      </c>
      <c r="I760" s="7">
        <v>7</v>
      </c>
      <c r="J760" s="18">
        <f t="shared" si="31"/>
        <v>34</v>
      </c>
      <c r="K760" s="10">
        <f t="shared" si="30"/>
        <v>6552</v>
      </c>
      <c r="L760" s="21">
        <f t="shared" si="33"/>
        <v>60.714285714285708</v>
      </c>
    </row>
    <row r="761" spans="1:12" s="72" customFormat="1" ht="25.95" customHeight="1">
      <c r="A761" s="12">
        <v>759</v>
      </c>
      <c r="B761" s="6">
        <v>14</v>
      </c>
      <c r="C761" s="6">
        <v>282</v>
      </c>
      <c r="D761" s="20" t="str">
        <f>IF(C761&lt;&gt;"", IFERROR(INDEX('بنود العقد'!B$3:B$388,C761),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D2</v>
      </c>
      <c r="E761" s="12" t="str">
        <f>IF(C761&lt;&gt;"", IFERROR(INDEX('بنود العقد'!D$3:D$388,C761), ""), "")</f>
        <v>عدد</v>
      </c>
      <c r="F761" s="9">
        <f>IF(C761&lt;&gt;"", IFERROR(INDEX('بنود العقد'!E$3:E$388,C761), 0), "")</f>
        <v>936</v>
      </c>
      <c r="G761" s="9">
        <f>IF(C761&lt;&gt;"", IFERROR(INDEX('بنود العقد'!F$3:F$388,C761), 0), "")</f>
        <v>20</v>
      </c>
      <c r="H761" s="18">
        <f t="shared" si="34"/>
        <v>0</v>
      </c>
      <c r="I761" s="7">
        <v>5</v>
      </c>
      <c r="J761" s="18">
        <f t="shared" si="31"/>
        <v>5</v>
      </c>
      <c r="K761" s="10">
        <f t="shared" si="30"/>
        <v>4680</v>
      </c>
      <c r="L761" s="21">
        <f t="shared" si="33"/>
        <v>25</v>
      </c>
    </row>
    <row r="762" spans="1:12" s="72" customFormat="1" ht="25.95" customHeight="1">
      <c r="A762" s="12">
        <v>760</v>
      </c>
      <c r="B762" s="6">
        <v>14</v>
      </c>
      <c r="C762" s="6">
        <v>283</v>
      </c>
      <c r="D762" s="20" t="str">
        <f>IF(C762&lt;&gt;"", IFERROR(INDEX('بنود العقد'!B$3:B$388,C762),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D3</v>
      </c>
      <c r="E762" s="12" t="str">
        <f>IF(C762&lt;&gt;"", IFERROR(INDEX('بنود العقد'!D$3:D$388,C762), ""), "")</f>
        <v>عدد</v>
      </c>
      <c r="F762" s="9">
        <f>IF(C762&lt;&gt;"", IFERROR(INDEX('بنود العقد'!E$3:E$388,C762), 0), "")</f>
        <v>288</v>
      </c>
      <c r="G762" s="9">
        <f>IF(C762&lt;&gt;"", IFERROR(INDEX('بنود العقد'!F$3:F$388,C762), 0), "")</f>
        <v>179</v>
      </c>
      <c r="H762" s="18">
        <f t="shared" si="34"/>
        <v>84</v>
      </c>
      <c r="I762" s="7">
        <v>52</v>
      </c>
      <c r="J762" s="18">
        <f t="shared" si="31"/>
        <v>136</v>
      </c>
      <c r="K762" s="10">
        <f t="shared" si="30"/>
        <v>14976</v>
      </c>
      <c r="L762" s="21">
        <f t="shared" si="33"/>
        <v>75.977653631284909</v>
      </c>
    </row>
    <row r="763" spans="1:12" s="72" customFormat="1" ht="25.95" customHeight="1">
      <c r="A763" s="12">
        <v>761</v>
      </c>
      <c r="B763" s="6">
        <v>14</v>
      </c>
      <c r="C763" s="6">
        <v>284</v>
      </c>
      <c r="D763" s="20" t="str">
        <f>IF(C763&lt;&gt;"", IFERROR(INDEX('بنود العقد'!B$3:B$388,C763),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D4</v>
      </c>
      <c r="E763" s="12" t="str">
        <f>IF(C763&lt;&gt;"", IFERROR(INDEX('بنود العقد'!D$3:D$388,C763), ""), "")</f>
        <v>عدد</v>
      </c>
      <c r="F763" s="9">
        <f>IF(C763&lt;&gt;"", IFERROR(INDEX('بنود العقد'!E$3:E$388,C763), 0), "")</f>
        <v>5400</v>
      </c>
      <c r="G763" s="9">
        <f>IF(C763&lt;&gt;"", IFERROR(INDEX('بنود العقد'!F$3:F$388,C763), 0), "")</f>
        <v>6</v>
      </c>
      <c r="H763" s="18">
        <f t="shared" si="34"/>
        <v>0</v>
      </c>
      <c r="I763" s="7">
        <v>2</v>
      </c>
      <c r="J763" s="18">
        <f t="shared" si="31"/>
        <v>2</v>
      </c>
      <c r="K763" s="10">
        <f t="shared" si="30"/>
        <v>10800</v>
      </c>
      <c r="L763" s="21">
        <f t="shared" si="33"/>
        <v>33.333333333333329</v>
      </c>
    </row>
    <row r="764" spans="1:12" s="72" customFormat="1" ht="25.95" customHeight="1">
      <c r="A764" s="12">
        <v>762</v>
      </c>
      <c r="B764" s="6">
        <v>14</v>
      </c>
      <c r="C764" s="6">
        <v>285</v>
      </c>
      <c r="D764" s="20" t="str">
        <f>IF(C764&lt;&gt;"", IFERROR(INDEX('بنود العقد'!B$3:B$388,C764),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E1</v>
      </c>
      <c r="E764" s="12" t="str">
        <f>IF(C764&lt;&gt;"", IFERROR(INDEX('بنود العقد'!D$3:D$388,C764), ""), "")</f>
        <v>عدد</v>
      </c>
      <c r="F764" s="9">
        <f>IF(C764&lt;&gt;"", IFERROR(INDEX('بنود العقد'!E$3:E$388,C764), 0), "")</f>
        <v>540</v>
      </c>
      <c r="G764" s="9">
        <f>IF(C764&lt;&gt;"", IFERROR(INDEX('بنود العقد'!F$3:F$388,C764), 0), "")</f>
        <v>12</v>
      </c>
      <c r="H764" s="18">
        <f t="shared" si="34"/>
        <v>0</v>
      </c>
      <c r="I764" s="7">
        <v>3</v>
      </c>
      <c r="J764" s="18">
        <f t="shared" si="31"/>
        <v>3</v>
      </c>
      <c r="K764" s="10">
        <f t="shared" si="30"/>
        <v>1620</v>
      </c>
      <c r="L764" s="21">
        <f t="shared" si="33"/>
        <v>25</v>
      </c>
    </row>
    <row r="765" spans="1:12" s="72" customFormat="1" ht="25.95" customHeight="1">
      <c r="A765" s="12">
        <v>763</v>
      </c>
      <c r="B765" s="6">
        <v>14</v>
      </c>
      <c r="C765" s="6">
        <v>286</v>
      </c>
      <c r="D765" s="20" t="str">
        <f>IF(C765&lt;&gt;"", IFERROR(INDEX('بنود العقد'!B$3:B$388,C765),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E2</v>
      </c>
      <c r="E765" s="12" t="str">
        <f>IF(C765&lt;&gt;"", IFERROR(INDEX('بنود العقد'!D$3:D$388,C765), ""), "")</f>
        <v>عدد</v>
      </c>
      <c r="F765" s="9">
        <f>IF(C765&lt;&gt;"", IFERROR(INDEX('بنود العقد'!E$3:E$388,C765), 0), "")</f>
        <v>504</v>
      </c>
      <c r="G765" s="9">
        <f>IF(C765&lt;&gt;"", IFERROR(INDEX('بنود العقد'!F$3:F$388,C765), 0), "")</f>
        <v>186</v>
      </c>
      <c r="H765" s="18">
        <f t="shared" si="34"/>
        <v>137</v>
      </c>
      <c r="I765" s="7">
        <v>26</v>
      </c>
      <c r="J765" s="18">
        <f t="shared" si="31"/>
        <v>163</v>
      </c>
      <c r="K765" s="10">
        <f t="shared" si="30"/>
        <v>13104</v>
      </c>
      <c r="L765" s="21">
        <f t="shared" ref="L765:L968" si="35">IF(AND(J765&lt;&gt;"",G765&lt;&gt;"",G765&gt;0), J765/G765*100, "")</f>
        <v>87.634408602150543</v>
      </c>
    </row>
    <row r="766" spans="1:12" s="72" customFormat="1" ht="25.95" customHeight="1">
      <c r="A766" s="12">
        <v>764</v>
      </c>
      <c r="B766" s="6">
        <v>14</v>
      </c>
      <c r="C766" s="6">
        <v>287</v>
      </c>
      <c r="D766" s="20" t="str">
        <f>IF(C766&lt;&gt;"", IFERROR(INDEX('بنود العقد'!B$3:B$388,C766),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E3</v>
      </c>
      <c r="E766" s="12" t="str">
        <f>IF(C766&lt;&gt;"", IFERROR(INDEX('بنود العقد'!D$3:D$388,C766), ""), "")</f>
        <v>عدد</v>
      </c>
      <c r="F766" s="9">
        <f>IF(C766&lt;&gt;"", IFERROR(INDEX('بنود العقد'!E$3:E$388,C766), 0), "")</f>
        <v>744</v>
      </c>
      <c r="G766" s="9">
        <f>IF(C766&lt;&gt;"", IFERROR(INDEX('بنود العقد'!F$3:F$388,C766), 0), "")</f>
        <v>260</v>
      </c>
      <c r="H766" s="18">
        <f t="shared" si="34"/>
        <v>0</v>
      </c>
      <c r="I766" s="7">
        <v>65</v>
      </c>
      <c r="J766" s="18">
        <f t="shared" si="31"/>
        <v>65</v>
      </c>
      <c r="K766" s="10">
        <f t="shared" si="30"/>
        <v>48360</v>
      </c>
      <c r="L766" s="21">
        <f t="shared" si="35"/>
        <v>25</v>
      </c>
    </row>
    <row r="767" spans="1:12" s="72" customFormat="1" ht="25.95" customHeight="1">
      <c r="A767" s="12">
        <v>765</v>
      </c>
      <c r="B767" s="6">
        <v>14</v>
      </c>
      <c r="C767" s="6">
        <v>288</v>
      </c>
      <c r="D767" s="20" t="str">
        <f>IF(C767&lt;&gt;"", IFERROR(INDEX('بنود العقد'!B$3:B$388,C767),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LB1</v>
      </c>
      <c r="E767" s="12" t="str">
        <f>IF(C767&lt;&gt;"", IFERROR(INDEX('بنود العقد'!D$3:D$388,C767), ""), "")</f>
        <v>م.ط</v>
      </c>
      <c r="F767" s="9">
        <f>IF(C767&lt;&gt;"", IFERROR(INDEX('بنود العقد'!E$3:E$388,C767), 0), "")</f>
        <v>170.4</v>
      </c>
      <c r="G767" s="9">
        <f>IF(C767&lt;&gt;"", IFERROR(INDEX('بنود العقد'!F$3:F$388,C767), 0), "")</f>
        <v>5772</v>
      </c>
      <c r="H767" s="18">
        <f t="shared" si="34"/>
        <v>2500</v>
      </c>
      <c r="I767" s="7">
        <v>1162</v>
      </c>
      <c r="J767" s="18">
        <f t="shared" si="31"/>
        <v>3662</v>
      </c>
      <c r="K767" s="10">
        <f t="shared" si="30"/>
        <v>198004.80000000002</v>
      </c>
      <c r="L767" s="21">
        <f t="shared" si="35"/>
        <v>63.444213444213446</v>
      </c>
    </row>
    <row r="768" spans="1:12" s="72" customFormat="1" ht="25.95" customHeight="1">
      <c r="A768" s="12">
        <v>766</v>
      </c>
      <c r="B768" s="6">
        <v>14</v>
      </c>
      <c r="C768" s="6">
        <v>289</v>
      </c>
      <c r="D768" s="20" t="str">
        <f>IF(C768&lt;&gt;"", IFERROR(INDEX('بنود العقد'!B$3:B$388,C768),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LB2</v>
      </c>
      <c r="E768" s="12" t="str">
        <f>IF(C768&lt;&gt;"", IFERROR(INDEX('بنود العقد'!D$3:D$388,C768), ""), "")</f>
        <v>عدد</v>
      </c>
      <c r="F768" s="9">
        <f>IF(C768&lt;&gt;"", IFERROR(INDEX('بنود العقد'!E$3:E$388,C768), 0), "")</f>
        <v>13800</v>
      </c>
      <c r="G768" s="9">
        <f>IF(C768&lt;&gt;"", IFERROR(INDEX('بنود العقد'!F$3:F$388,C768), 0), "")</f>
        <v>14</v>
      </c>
      <c r="H768" s="18">
        <f t="shared" si="34"/>
        <v>4</v>
      </c>
      <c r="I768" s="7">
        <v>2</v>
      </c>
      <c r="J768" s="18">
        <f t="shared" si="31"/>
        <v>6</v>
      </c>
      <c r="K768" s="10">
        <f t="shared" si="30"/>
        <v>27600</v>
      </c>
      <c r="L768" s="21">
        <f t="shared" si="35"/>
        <v>42.857142857142854</v>
      </c>
    </row>
    <row r="769" spans="1:12" s="72" customFormat="1" ht="25.95" customHeight="1">
      <c r="A769" s="12">
        <v>767</v>
      </c>
      <c r="B769" s="6">
        <v>14</v>
      </c>
      <c r="C769" s="6">
        <v>290</v>
      </c>
      <c r="D769" s="20" t="str">
        <f>IF(C769&lt;&gt;"", IFERROR(INDEX('بنود العقد'!B$3:B$388,C769),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LB3</v>
      </c>
      <c r="E769" s="12" t="str">
        <f>IF(C769&lt;&gt;"", IFERROR(INDEX('بنود العقد'!D$3:D$388,C769), ""), "")</f>
        <v>عدد</v>
      </c>
      <c r="F769" s="9">
        <f>IF(C769&lt;&gt;"", IFERROR(INDEX('بنود العقد'!E$3:E$388,C769), 0), "")</f>
        <v>900</v>
      </c>
      <c r="G769" s="9">
        <f>IF(C769&lt;&gt;"", IFERROR(INDEX('بنود العقد'!F$3:F$388,C769), 0), "")</f>
        <v>237</v>
      </c>
      <c r="H769" s="18">
        <f t="shared" si="34"/>
        <v>65</v>
      </c>
      <c r="I769" s="7">
        <v>43</v>
      </c>
      <c r="J769" s="18">
        <f t="shared" si="31"/>
        <v>108</v>
      </c>
      <c r="K769" s="10">
        <f t="shared" si="30"/>
        <v>38700</v>
      </c>
      <c r="L769" s="21">
        <f t="shared" si="35"/>
        <v>45.569620253164558</v>
      </c>
    </row>
    <row r="770" spans="1:12" s="72" customFormat="1" ht="25.95" customHeight="1">
      <c r="A770" s="12">
        <v>768</v>
      </c>
      <c r="B770" s="6">
        <v>14</v>
      </c>
      <c r="C770" s="6">
        <v>291</v>
      </c>
      <c r="D770" s="20" t="str">
        <f>IF(C770&lt;&gt;"", IFERROR(INDEX('بنود العقد'!B$3:B$388,C770),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LB4</v>
      </c>
      <c r="E770" s="12" t="str">
        <f>IF(C770&lt;&gt;"", IFERROR(INDEX('بنود العقد'!D$3:D$388,C770), ""), "")</f>
        <v>عدد</v>
      </c>
      <c r="F770" s="9">
        <f>IF(C770&lt;&gt;"", IFERROR(INDEX('بنود العقد'!E$3:E$388,C770), 0), "")</f>
        <v>1104</v>
      </c>
      <c r="G770" s="9">
        <f>IF(C770&lt;&gt;"", IFERROR(INDEX('بنود العقد'!F$3:F$388,C770), 0), "")</f>
        <v>132</v>
      </c>
      <c r="H770" s="18">
        <f t="shared" si="34"/>
        <v>52</v>
      </c>
      <c r="I770" s="7">
        <v>21</v>
      </c>
      <c r="J770" s="18">
        <f t="shared" si="31"/>
        <v>73</v>
      </c>
      <c r="K770" s="10">
        <f t="shared" si="30"/>
        <v>23184</v>
      </c>
      <c r="L770" s="21">
        <f t="shared" si="35"/>
        <v>55.303030303030297</v>
      </c>
    </row>
    <row r="771" spans="1:12" s="72" customFormat="1" ht="25.95" customHeight="1">
      <c r="A771" s="12">
        <v>769</v>
      </c>
      <c r="B771" s="6">
        <v>14</v>
      </c>
      <c r="C771" s="6">
        <v>292</v>
      </c>
      <c r="D771" s="20" t="str">
        <f>IF(C771&lt;&gt;"", IFERROR(INDEX('بنود العقد'!B$3:B$388,C771), "⚠"), "")</f>
        <v xml:space="preserve"> توريد وتركيب وتوصيل وإختبار وفحص اجهزة الإنارة ويشمل اللمبات وأقواس التركيب وحبال التعليق وعلبEMT أو PVC  وقطع الأكسسوار و ايضا نقاط الانارة متضمنة مواسير/أقنية قاسية عالية التحمل ذات أسلاك لاتقل عن 0.4 مم2 لنقطة الإنارة وتوصيل أطراف أسلاك التأريض،وكل الأعمال المساعدة كما.هو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LB5</v>
      </c>
      <c r="E771" s="12" t="str">
        <f>IF(C771&lt;&gt;"", IFERROR(INDEX('بنود العقد'!D$3:D$388,C771), ""), "")</f>
        <v>م.ط</v>
      </c>
      <c r="F771" s="9">
        <f>IF(C771&lt;&gt;"", IFERROR(INDEX('بنود العقد'!E$3:E$388,C771), 0), "")</f>
        <v>174</v>
      </c>
      <c r="G771" s="9">
        <f>IF(C771&lt;&gt;"", IFERROR(INDEX('بنود العقد'!F$3:F$388,C771), 0), "")</f>
        <v>263</v>
      </c>
      <c r="H771" s="18">
        <f t="shared" si="34"/>
        <v>223.14</v>
      </c>
      <c r="I771" s="7">
        <v>94.86</v>
      </c>
      <c r="J771" s="18">
        <f t="shared" si="31"/>
        <v>318</v>
      </c>
      <c r="K771" s="10">
        <f t="shared" si="30"/>
        <v>16505.64</v>
      </c>
      <c r="L771" s="21">
        <f t="shared" si="35"/>
        <v>120.91254752851709</v>
      </c>
    </row>
    <row r="772" spans="1:12" s="72" customFormat="1" ht="25.95" customHeight="1">
      <c r="A772" s="12">
        <v>770</v>
      </c>
      <c r="B772" s="6">
        <v>14</v>
      </c>
      <c r="C772" s="6">
        <v>293</v>
      </c>
      <c r="D772" s="20" t="str">
        <f>IF(C772&lt;&gt;"", IFERROR(INDEX('بنود العقد'!B$3:B$388,C772),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LB6</v>
      </c>
      <c r="E772" s="12" t="str">
        <f>IF(C772&lt;&gt;"", IFERROR(INDEX('بنود العقد'!D$3:D$388,C772), ""), "")</f>
        <v>م.ط</v>
      </c>
      <c r="F772" s="9">
        <f>IF(C772&lt;&gt;"", IFERROR(INDEX('بنود العقد'!E$3:E$388,C772), 0), "")</f>
        <v>174</v>
      </c>
      <c r="G772" s="9">
        <f>IF(C772&lt;&gt;"", IFERROR(INDEX('بنود العقد'!F$3:F$388,C772), 0), "")</f>
        <v>25</v>
      </c>
      <c r="H772" s="18">
        <f t="shared" si="34"/>
        <v>0</v>
      </c>
      <c r="I772" s="7">
        <v>27</v>
      </c>
      <c r="J772" s="18">
        <f t="shared" si="31"/>
        <v>27</v>
      </c>
      <c r="K772" s="10">
        <f t="shared" si="30"/>
        <v>4698</v>
      </c>
      <c r="L772" s="21">
        <f t="shared" si="35"/>
        <v>108</v>
      </c>
    </row>
    <row r="773" spans="1:12" s="72" customFormat="1" ht="25.95" customHeight="1">
      <c r="A773" s="12">
        <v>771</v>
      </c>
      <c r="B773" s="6">
        <v>14</v>
      </c>
      <c r="C773" s="6">
        <v>295</v>
      </c>
      <c r="D773" s="20" t="str">
        <f>IF(C773&lt;&gt;"", IFERROR(INDEX('بنود العقد'!B$3:B$388,C773),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ES-1</v>
      </c>
      <c r="E773" s="12" t="str">
        <f>IF(C773&lt;&gt;"", IFERROR(INDEX('بنود العقد'!D$3:D$388,C773), ""), "")</f>
        <v>عدد</v>
      </c>
      <c r="F773" s="9">
        <f>IF(C773&lt;&gt;"", IFERROR(INDEX('بنود العقد'!E$3:E$388,C773), 0), "")</f>
        <v>360</v>
      </c>
      <c r="G773" s="9">
        <f>IF(C773&lt;&gt;"", IFERROR(INDEX('بنود العقد'!F$3:F$388,C773), 0), "")</f>
        <v>430</v>
      </c>
      <c r="H773" s="18">
        <f t="shared" si="34"/>
        <v>105</v>
      </c>
      <c r="I773" s="7">
        <v>52</v>
      </c>
      <c r="J773" s="18">
        <f t="shared" si="31"/>
        <v>157</v>
      </c>
      <c r="K773" s="10">
        <f t="shared" si="30"/>
        <v>18720</v>
      </c>
      <c r="L773" s="21">
        <f t="shared" si="35"/>
        <v>36.511627906976749</v>
      </c>
    </row>
    <row r="774" spans="1:12" s="72" customFormat="1" ht="25.95" customHeight="1">
      <c r="A774" s="12">
        <v>772</v>
      </c>
      <c r="B774" s="6">
        <v>14</v>
      </c>
      <c r="C774" s="6">
        <v>298</v>
      </c>
      <c r="D774" s="20" t="str">
        <f>IF(C774&lt;&gt;"", IFERROR(INDEX('بنود العقد'!B$3:B$388,C774),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P1</v>
      </c>
      <c r="E774" s="12" t="str">
        <f>IF(C774&lt;&gt;"", IFERROR(INDEX('بنود العقد'!D$3:D$388,C774), ""), "")</f>
        <v>عدد</v>
      </c>
      <c r="F774" s="9">
        <f>IF(C774&lt;&gt;"", IFERROR(INDEX('بنود العقد'!E$3:E$388,C774), 0), "")</f>
        <v>420</v>
      </c>
      <c r="G774" s="9">
        <f>IF(C774&lt;&gt;"", IFERROR(INDEX('بنود العقد'!F$3:F$388,C774), 0), "")</f>
        <v>75</v>
      </c>
      <c r="H774" s="18">
        <f t="shared" si="34"/>
        <v>32</v>
      </c>
      <c r="I774" s="7">
        <v>20</v>
      </c>
      <c r="J774" s="18">
        <f t="shared" si="31"/>
        <v>52</v>
      </c>
      <c r="K774" s="10">
        <f t="shared" si="30"/>
        <v>8400</v>
      </c>
      <c r="L774" s="21">
        <f t="shared" si="35"/>
        <v>69.333333333333343</v>
      </c>
    </row>
    <row r="775" spans="1:12" s="72" customFormat="1" ht="25.95" customHeight="1">
      <c r="A775" s="12">
        <v>773</v>
      </c>
      <c r="B775" s="6">
        <v>14</v>
      </c>
      <c r="C775" s="6">
        <v>299</v>
      </c>
      <c r="D775" s="20" t="str">
        <f>IF(C775&lt;&gt;"", IFERROR(INDEX('بنود العقد'!B$3:B$388,C775),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T1</v>
      </c>
      <c r="E775" s="12" t="str">
        <f>IF(C775&lt;&gt;"", IFERROR(INDEX('بنود العقد'!D$3:D$388,C775), ""), "")</f>
        <v>عدد</v>
      </c>
      <c r="F775" s="9">
        <f>IF(C775&lt;&gt;"", IFERROR(INDEX('بنود العقد'!E$3:E$388,C775), 0), "")</f>
        <v>744</v>
      </c>
      <c r="G775" s="9">
        <f>IF(C775&lt;&gt;"", IFERROR(INDEX('بنود العقد'!F$3:F$388,C775), 0), "")</f>
        <v>1146</v>
      </c>
      <c r="H775" s="18">
        <f t="shared" si="34"/>
        <v>420</v>
      </c>
      <c r="I775" s="7">
        <v>149</v>
      </c>
      <c r="J775" s="18">
        <f t="shared" si="31"/>
        <v>569</v>
      </c>
      <c r="K775" s="10">
        <f t="shared" si="30"/>
        <v>110856</v>
      </c>
      <c r="L775" s="21">
        <f t="shared" si="35"/>
        <v>49.650959860383942</v>
      </c>
    </row>
    <row r="776" spans="1:12" s="72" customFormat="1" ht="25.95" customHeight="1">
      <c r="A776" s="12">
        <v>774</v>
      </c>
      <c r="B776" s="6">
        <v>14</v>
      </c>
      <c r="C776" s="6">
        <v>300</v>
      </c>
      <c r="D776" s="20" t="str">
        <f>IF(C776&lt;&gt;"", IFERROR(INDEX('بنود العقد'!B$3:B$388,C776),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CH-1</v>
      </c>
      <c r="E776" s="12" t="str">
        <f>IF(C776&lt;&gt;"", IFERROR(INDEX('بنود العقد'!D$3:D$388,C776), ""), "")</f>
        <v>عدد</v>
      </c>
      <c r="F776" s="9">
        <f>IF(C776&lt;&gt;"", IFERROR(INDEX('بنود العقد'!E$3:E$388,C776), 0), "")</f>
        <v>14400</v>
      </c>
      <c r="G776" s="9">
        <f>IF(C776&lt;&gt;"", IFERROR(INDEX('بنود العقد'!F$3:F$388,C776), 0), "")</f>
        <v>4</v>
      </c>
      <c r="H776" s="18">
        <f t="shared" si="34"/>
        <v>0</v>
      </c>
      <c r="I776" s="7">
        <v>1</v>
      </c>
      <c r="J776" s="18">
        <f t="shared" si="31"/>
        <v>1</v>
      </c>
      <c r="K776" s="10">
        <f t="shared" si="30"/>
        <v>14400</v>
      </c>
      <c r="L776" s="21">
        <f t="shared" si="35"/>
        <v>25</v>
      </c>
    </row>
    <row r="777" spans="1:12" s="72" customFormat="1" ht="25.95" customHeight="1">
      <c r="A777" s="12">
        <v>775</v>
      </c>
      <c r="B777" s="6">
        <v>14</v>
      </c>
      <c r="C777" s="6">
        <v>301</v>
      </c>
      <c r="D777" s="20" t="str">
        <f>IF(C777&lt;&gt;"", IFERROR(INDEX('بنود العقد'!B$3:B$388,C777),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CH-2</v>
      </c>
      <c r="E777" s="12" t="str">
        <f>IF(C777&lt;&gt;"", IFERROR(INDEX('بنود العقد'!D$3:D$388,C777), ""), "")</f>
        <v>عدد</v>
      </c>
      <c r="F777" s="9">
        <f>IF(C777&lt;&gt;"", IFERROR(INDEX('بنود العقد'!E$3:E$388,C777), 0), "")</f>
        <v>4200</v>
      </c>
      <c r="G777" s="9">
        <f>IF(C777&lt;&gt;"", IFERROR(INDEX('بنود العقد'!F$3:F$388,C777), 0), "")</f>
        <v>6</v>
      </c>
      <c r="H777" s="18">
        <f t="shared" si="34"/>
        <v>0</v>
      </c>
      <c r="I777" s="7">
        <v>2</v>
      </c>
      <c r="J777" s="18">
        <f t="shared" si="31"/>
        <v>2</v>
      </c>
      <c r="K777" s="10">
        <f t="shared" si="30"/>
        <v>8400</v>
      </c>
      <c r="L777" s="21">
        <f t="shared" si="35"/>
        <v>33.333333333333329</v>
      </c>
    </row>
    <row r="778" spans="1:12" s="72" customFormat="1" ht="25.95" customHeight="1">
      <c r="A778" s="12">
        <v>776</v>
      </c>
      <c r="B778" s="6">
        <v>14</v>
      </c>
      <c r="C778" s="6">
        <v>364</v>
      </c>
      <c r="D778" s="20" t="str">
        <f>IF(C778&lt;&gt;"", IFERROR(INDEX('بنود العقد'!B$3:B$388,C778), "⚠"), "")</f>
        <v>رخام رمادي بيترا غراي للدور السادس ألواح مقاس 1000× 1000 مم بحسب اعتماد المهندس سماكة 30مم</v>
      </c>
      <c r="E778" s="12" t="str">
        <f>IF(C778&lt;&gt;"", IFERROR(INDEX('بنود العقد'!D$3:D$388,C778), ""), "")</f>
        <v>م²</v>
      </c>
      <c r="F778" s="9">
        <f>IF(C778&lt;&gt;"", IFERROR(INDEX('بنود العقد'!E$3:E$388,C778), 0), "")</f>
        <v>717</v>
      </c>
      <c r="G778" s="9">
        <f>IF(C778&lt;&gt;"", IFERROR(INDEX('بنود العقد'!F$3:F$388,C778), 0), "")</f>
        <v>0</v>
      </c>
      <c r="H778" s="18">
        <f t="shared" si="34"/>
        <v>0</v>
      </c>
      <c r="I778" s="7">
        <v>492</v>
      </c>
      <c r="J778" s="18">
        <f t="shared" si="31"/>
        <v>492</v>
      </c>
      <c r="K778" s="10">
        <f t="shared" si="30"/>
        <v>352764</v>
      </c>
      <c r="L778" s="21" t="str">
        <f t="shared" si="35"/>
        <v/>
      </c>
    </row>
    <row r="779" spans="1:12" s="72" customFormat="1" ht="25.95" customHeight="1">
      <c r="A779" s="12">
        <v>777</v>
      </c>
      <c r="B779" s="6">
        <v>16</v>
      </c>
      <c r="C779" s="6">
        <v>25</v>
      </c>
      <c r="D779" s="20" t="str">
        <f>IF(C779&lt;&gt;"", IFERROR(INDEX('بنود العقد'!B$3:B$388,C779), "⚠"), "")</f>
        <v>تصنيع وتركيب لوح خشبي بشكل طولي من  الـ )Mdf(  مع قشرة الجوز او ما يتناسب مع العينة المتفق عليها طول 25سم وعرض 10سم وارتفاع 270 سم الى جانب الابواب الزجاجية حسب المناظير والرسومات وتعليمات المهندس المشرف.Code: WDP2-08</v>
      </c>
      <c r="E779" s="12" t="str">
        <f>IF(C779&lt;&gt;"", IFERROR(INDEX('بنود العقد'!D$3:D$388,C779), ""), "")</f>
        <v>عدد</v>
      </c>
      <c r="F779" s="9">
        <f>IF(C779&lt;&gt;"", IFERROR(INDEX('بنود العقد'!E$3:E$388,C779), 0), "")</f>
        <v>240</v>
      </c>
      <c r="G779" s="9">
        <f>IF(C779&lt;&gt;"", IFERROR(INDEX('بنود العقد'!F$3:F$388,C779), 0), "")</f>
        <v>248</v>
      </c>
      <c r="H779" s="18">
        <f t="shared" si="34"/>
        <v>123</v>
      </c>
      <c r="I779" s="7">
        <v>53</v>
      </c>
      <c r="J779" s="18">
        <f t="shared" si="31"/>
        <v>176</v>
      </c>
      <c r="K779" s="10">
        <f t="shared" si="30"/>
        <v>12720</v>
      </c>
      <c r="L779" s="21">
        <f t="shared" si="35"/>
        <v>70.967741935483872</v>
      </c>
    </row>
    <row r="780" spans="1:12" s="72" customFormat="1" ht="25.95" customHeight="1">
      <c r="A780" s="12">
        <v>778</v>
      </c>
      <c r="B780" s="6">
        <v>16</v>
      </c>
      <c r="C780" s="6">
        <v>26</v>
      </c>
      <c r="D780" s="20" t="str">
        <f>IF(C780&lt;&gt;"", IFERROR(INDEX('بنود العقد'!B$3:B$388,C780),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العامود الخرساني بدهان رمادي على شكل وهيئة الأسطح الاسمنتية )matt( بتصميم مع غروف حسب الرسومات والمناظير وتعليمات المهندس المشرف.Code: WDP3-04</v>
      </c>
      <c r="E780" s="12" t="str">
        <f>IF(C780&lt;&gt;"", IFERROR(INDEX('بنود العقد'!D$3:D$388,C780), ""), "")</f>
        <v>م2</v>
      </c>
      <c r="F780" s="9">
        <f>IF(C780&lt;&gt;"", IFERROR(INDEX('بنود العقد'!E$3:E$388,C780), 0), "")</f>
        <v>528</v>
      </c>
      <c r="G780" s="9">
        <f>IF(C780&lt;&gt;"", IFERROR(INDEX('بنود العقد'!F$3:F$388,C780), 0), "")</f>
        <v>345</v>
      </c>
      <c r="H780" s="18">
        <f t="shared" si="34"/>
        <v>200</v>
      </c>
      <c r="I780" s="7">
        <v>86</v>
      </c>
      <c r="J780" s="18">
        <f t="shared" si="31"/>
        <v>286</v>
      </c>
      <c r="K780" s="10">
        <f t="shared" si="30"/>
        <v>45408</v>
      </c>
      <c r="L780" s="21">
        <f t="shared" si="35"/>
        <v>82.898550724637673</v>
      </c>
    </row>
    <row r="781" spans="1:12" s="72" customFormat="1" ht="25.95" customHeight="1">
      <c r="A781" s="12">
        <v>779</v>
      </c>
      <c r="B781" s="6">
        <v>16</v>
      </c>
      <c r="C781" s="6">
        <v>27</v>
      </c>
      <c r="D781" s="20" t="str">
        <f>IF(C781&lt;&gt;"", IFERROR(INDEX('بنود العقد'!B$3:B$388,C781),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القواطع الجبسية بدهان رمادي بيج  )matt( ، وبتصميم مع غروف حسب الرسومات والمناظير وتعليمات المهندس المشرف.Code: WPD4-01,WDP4-01.A</v>
      </c>
      <c r="E781" s="12" t="str">
        <f>IF(C781&lt;&gt;"", IFERROR(INDEX('بنود العقد'!D$3:D$388,C781), ""), "")</f>
        <v>م2</v>
      </c>
      <c r="F781" s="9">
        <f>IF(C781&lt;&gt;"", IFERROR(INDEX('بنود العقد'!E$3:E$388,C781), 0), "")</f>
        <v>528</v>
      </c>
      <c r="G781" s="9">
        <f>IF(C781&lt;&gt;"", IFERROR(INDEX('بنود العقد'!F$3:F$388,C781), 0), "")</f>
        <v>331</v>
      </c>
      <c r="H781" s="18">
        <f t="shared" si="34"/>
        <v>97</v>
      </c>
      <c r="I781" s="7">
        <v>214</v>
      </c>
      <c r="J781" s="18">
        <f t="shared" si="31"/>
        <v>311</v>
      </c>
      <c r="K781" s="10">
        <f t="shared" si="30"/>
        <v>112992</v>
      </c>
      <c r="L781" s="21">
        <f t="shared" si="35"/>
        <v>93.957703927492446</v>
      </c>
    </row>
    <row r="782" spans="1:12" s="72" customFormat="1" ht="25.95" customHeight="1">
      <c r="A782" s="12">
        <v>780</v>
      </c>
      <c r="B782" s="6">
        <v>16</v>
      </c>
      <c r="C782" s="6">
        <v>28</v>
      </c>
      <c r="D782" s="20" t="str">
        <f>IF(C782&lt;&gt;"", IFERROR(INDEX('بنود العقد'!B$3:B$388,C782),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مثبتة على القواطع الجبسية مع قشرة صناعية بحسب العينة الموافق عليها وغروف حسب الرسومات والمناظير وتعليمات المهندس المشرفCode: WDP2</v>
      </c>
      <c r="E782" s="12" t="str">
        <f>IF(C782&lt;&gt;"", IFERROR(INDEX('بنود العقد'!D$3:D$388,C782), ""), "")</f>
        <v>م2</v>
      </c>
      <c r="F782" s="9">
        <f>IF(C782&lt;&gt;"", IFERROR(INDEX('بنود العقد'!E$3:E$388,C782), 0), "")</f>
        <v>528</v>
      </c>
      <c r="G782" s="9">
        <f>IF(C782&lt;&gt;"", IFERROR(INDEX('بنود العقد'!F$3:F$388,C782), 0), "")</f>
        <v>2517</v>
      </c>
      <c r="H782" s="18">
        <f t="shared" si="34"/>
        <v>1378</v>
      </c>
      <c r="I782" s="7">
        <v>966</v>
      </c>
      <c r="J782" s="18">
        <f t="shared" si="31"/>
        <v>2344</v>
      </c>
      <c r="K782" s="10">
        <f t="shared" si="30"/>
        <v>510048</v>
      </c>
      <c r="L782" s="21">
        <f t="shared" si="35"/>
        <v>93.126738180373465</v>
      </c>
    </row>
    <row r="783" spans="1:12" s="72" customFormat="1" ht="25.95" customHeight="1">
      <c r="A783" s="12">
        <v>781</v>
      </c>
      <c r="B783" s="6">
        <v>16</v>
      </c>
      <c r="C783" s="6">
        <v>29</v>
      </c>
      <c r="D783" s="20" t="str">
        <f>IF(C783&lt;&gt;"", IFERROR(INDEX('بنود العقد'!B$3:B$388,C783),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االقواطع الجبسية بدهان رمادي على شكل وهيئة الأسطح الاسمنتية ) matt( مع تصميم بفتحات حسب الرسومات والمناظير وتعليمات المهندس المشرف.Code: WDP3-01, WDP3-02, WDP3-03</v>
      </c>
      <c r="E783" s="12" t="str">
        <f>IF(C783&lt;&gt;"", IFERROR(INDEX('بنود العقد'!D$3:D$388,C783), ""), "")</f>
        <v>م2</v>
      </c>
      <c r="F783" s="9">
        <f>IF(C783&lt;&gt;"", IFERROR(INDEX('بنود العقد'!E$3:E$388,C783), 0), "")</f>
        <v>528</v>
      </c>
      <c r="G783" s="9">
        <f>IF(C783&lt;&gt;"", IFERROR(INDEX('بنود العقد'!F$3:F$388,C783), 0), "")</f>
        <v>846</v>
      </c>
      <c r="H783" s="18">
        <f t="shared" si="34"/>
        <v>521</v>
      </c>
      <c r="I783" s="7">
        <v>247</v>
      </c>
      <c r="J783" s="18">
        <f t="shared" si="31"/>
        <v>768</v>
      </c>
      <c r="K783" s="10">
        <f t="shared" si="30"/>
        <v>130416</v>
      </c>
      <c r="L783" s="21">
        <f t="shared" si="35"/>
        <v>90.780141843971634</v>
      </c>
    </row>
    <row r="784" spans="1:12" s="72" customFormat="1" ht="25.95" customHeight="1">
      <c r="A784" s="12">
        <v>782</v>
      </c>
      <c r="B784" s="6">
        <v>16</v>
      </c>
      <c r="C784" s="6">
        <v>30</v>
      </c>
      <c r="D784" s="20" t="str">
        <f>IF(C784&lt;&gt;"", IFERROR(INDEX('بنود العقد'!B$3:B$388,C784),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مع قشرة السنديان المطلي بدهان ابيض  مع غروف وفتحات إضاءة مخفية مغلفة من الداخل بطبقة Acrylic مغشى  حسب الرسومات والمناظير وتعليمات المهندس المشرف.Code: WDP1-03, WDP1-04, WDP1-05, WDP1-06</v>
      </c>
      <c r="E784" s="12" t="str">
        <f>IF(C784&lt;&gt;"", IFERROR(INDEX('بنود العقد'!D$3:D$388,C784), ""), "")</f>
        <v>م2</v>
      </c>
      <c r="F784" s="9">
        <f>IF(C784&lt;&gt;"", IFERROR(INDEX('بنود العقد'!E$3:E$388,C784), 0), "")</f>
        <v>570</v>
      </c>
      <c r="G784" s="9">
        <f>IF(C784&lt;&gt;"", IFERROR(INDEX('بنود العقد'!F$3:F$388,C784), 0), "")</f>
        <v>456</v>
      </c>
      <c r="H784" s="18">
        <f t="shared" si="34"/>
        <v>287</v>
      </c>
      <c r="I784" s="7">
        <v>97</v>
      </c>
      <c r="J784" s="18">
        <f t="shared" si="31"/>
        <v>384</v>
      </c>
      <c r="K784" s="10">
        <f t="shared" si="30"/>
        <v>55290</v>
      </c>
      <c r="L784" s="21">
        <f t="shared" si="35"/>
        <v>84.210526315789465</v>
      </c>
    </row>
    <row r="785" spans="1:12" s="72" customFormat="1" ht="25.95" customHeight="1">
      <c r="A785" s="12">
        <v>783</v>
      </c>
      <c r="B785" s="6">
        <v>16</v>
      </c>
      <c r="C785" s="6">
        <v>33</v>
      </c>
      <c r="D785" s="20" t="str">
        <f>IF(C785&lt;&gt;"", IFERROR(INDEX('بنود العقد'!B$3:B$388,C785),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number)-AR-600 to 07-MRA-DD (as per floor number)-AR-604كسوة من خشب الـ) Mdf(  ، مع قشرة  )walnut( لمدخل كبار الشخصيات ومكتب مدير مكتب معالي الوزير     حسب الرسومات والمناظير وتعليمات المهندس المشرف.Code: WDP7</v>
      </c>
      <c r="E785" s="12" t="str">
        <f>IF(C785&lt;&gt;"", IFERROR(INDEX('بنود العقد'!D$3:D$388,C785), ""), "")</f>
        <v>م2</v>
      </c>
      <c r="F785" s="9">
        <f>IF(C785&lt;&gt;"", IFERROR(INDEX('بنود العقد'!E$3:E$388,C785), 0), "")</f>
        <v>570</v>
      </c>
      <c r="G785" s="9">
        <f>IF(C785&lt;&gt;"", IFERROR(INDEX('بنود العقد'!F$3:F$388,C785), 0), "")</f>
        <v>118</v>
      </c>
      <c r="H785" s="18">
        <f t="shared" si="34"/>
        <v>22</v>
      </c>
      <c r="I785" s="7">
        <v>15</v>
      </c>
      <c r="J785" s="18">
        <f t="shared" si="31"/>
        <v>37</v>
      </c>
      <c r="K785" s="10">
        <f t="shared" si="30"/>
        <v>8550</v>
      </c>
      <c r="L785" s="21">
        <f t="shared" si="35"/>
        <v>31.35593220338983</v>
      </c>
    </row>
    <row r="786" spans="1:12" s="72" customFormat="1" ht="25.95" customHeight="1">
      <c r="A786" s="12">
        <v>784</v>
      </c>
      <c r="B786" s="6">
        <v>16</v>
      </c>
      <c r="C786" s="6">
        <v>38</v>
      </c>
      <c r="D786" s="20" t="str">
        <f>IF(C786&lt;&gt;"", IFERROR(INDEX('بنود العقد'!B$3:B$388,C786), "⚠"), "")</f>
        <v>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 من من خشب الـ)Mdf(  مع قشرة صناعية بحسب العينة الموافق عليها وغروف مثبتة بنظام تعليق متصلة بالسقف الخرساني حسب الرسومات والمناظير وتعليمات المهندس المشرف.Code: WDC-01 &amp; WDC-02</v>
      </c>
      <c r="E786" s="12" t="str">
        <f>IF(C786&lt;&gt;"", IFERROR(INDEX('بنود العقد'!D$3:D$388,C786), ""), "")</f>
        <v>م2</v>
      </c>
      <c r="F786" s="9">
        <f>IF(C786&lt;&gt;"", IFERROR(INDEX('بنود العقد'!E$3:E$388,C786), 0), "")</f>
        <v>840</v>
      </c>
      <c r="G786" s="9">
        <f>IF(C786&lt;&gt;"", IFERROR(INDEX('بنود العقد'!F$3:F$388,C786), 0), "")</f>
        <v>684</v>
      </c>
      <c r="H786" s="18">
        <f t="shared" si="34"/>
        <v>381</v>
      </c>
      <c r="I786" s="7">
        <v>137</v>
      </c>
      <c r="J786" s="18">
        <f t="shared" si="31"/>
        <v>518</v>
      </c>
      <c r="K786" s="10">
        <f t="shared" si="30"/>
        <v>115080</v>
      </c>
      <c r="L786" s="21">
        <f t="shared" si="35"/>
        <v>75.730994152046776</v>
      </c>
    </row>
    <row r="787" spans="1:12" s="72" customFormat="1" ht="25.95" customHeight="1">
      <c r="A787" s="12">
        <v>785</v>
      </c>
      <c r="B787" s="6">
        <v>16</v>
      </c>
      <c r="C787" s="6">
        <v>39</v>
      </c>
      <c r="D787" s="20" t="str">
        <f>IF(C787&lt;&gt;"", IFERROR(INDEX('بنود العقد'!B$3:B$388,C787), "⚠"), "")</f>
        <v>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خشبي03-WDC من من خشب الـ)Mdf( على شكل مربعات بسماكة تصميم  5سم، وفتحات على شكل مثلث مع اضاءة مخفية مغلفة من الاعلى بطبقة Acrylic شفاف مغشى سماكة 4مم مثبتة بنظام تعليق متصلة بالسقف الخرساني حسب الرسومات والمناظير وتعليمات المهندس المشرف.Code: WDC-03</v>
      </c>
      <c r="E787" s="12" t="str">
        <f>IF(C787&lt;&gt;"", IFERROR(INDEX('بنود العقد'!D$3:D$388,C787), ""), "")</f>
        <v>م2</v>
      </c>
      <c r="F787" s="9">
        <f>IF(C787&lt;&gt;"", IFERROR(INDEX('بنود العقد'!E$3:E$388,C787), 0), "")</f>
        <v>780</v>
      </c>
      <c r="G787" s="9">
        <f>IF(C787&lt;&gt;"", IFERROR(INDEX('بنود العقد'!F$3:F$388,C787), 0), "")</f>
        <v>64</v>
      </c>
      <c r="H787" s="18">
        <f t="shared" si="34"/>
        <v>38</v>
      </c>
      <c r="I787" s="7">
        <v>11</v>
      </c>
      <c r="J787" s="18">
        <f t="shared" si="31"/>
        <v>49</v>
      </c>
      <c r="K787" s="10">
        <f t="shared" si="30"/>
        <v>8580</v>
      </c>
      <c r="L787" s="21">
        <f t="shared" si="35"/>
        <v>76.5625</v>
      </c>
    </row>
    <row r="788" spans="1:12" s="72" customFormat="1" ht="25.95" customHeight="1">
      <c r="A788" s="12">
        <v>786</v>
      </c>
      <c r="B788" s="6">
        <v>16</v>
      </c>
      <c r="C788" s="6">
        <v>40</v>
      </c>
      <c r="D788" s="20" t="str">
        <f>IF(C788&lt;&gt;"", IFERROR(INDEX('بنود العقد'!B$3:B$388,C788),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خشبية01-WDC و 02-WDC من خشب الـ ) Mdf ( متداخلة الالوان من قشرة صناعية بحسب  العينة الموافق عليها والدهان الرمادي  على شكل وهيئة الاسطح الاسمنتية مثبتة على القواطع الجبسية مع اضاءة مخفية ومفصلات ومقابض مخفية وتصميم حسب الرسومات والمناظير وتعليمات المهندس المشرف.</v>
      </c>
      <c r="E788" s="12" t="str">
        <f>IF(C788&lt;&gt;"", IFERROR(INDEX('بنود العقد'!D$3:D$388,C788), ""), "")</f>
        <v>م2</v>
      </c>
      <c r="F788" s="9">
        <f>IF(C788&lt;&gt;"", IFERROR(INDEX('بنود العقد'!E$3:E$388,C788), 0), "")</f>
        <v>1440</v>
      </c>
      <c r="G788" s="9">
        <f>IF(C788&lt;&gt;"", IFERROR(INDEX('بنود العقد'!F$3:F$388,C788), 0), "")</f>
        <v>72</v>
      </c>
      <c r="H788" s="18">
        <f t="shared" si="34"/>
        <v>21</v>
      </c>
      <c r="I788" s="7">
        <v>9</v>
      </c>
      <c r="J788" s="18">
        <f t="shared" si="31"/>
        <v>30</v>
      </c>
      <c r="K788" s="10">
        <f t="shared" si="30"/>
        <v>12960</v>
      </c>
      <c r="L788" s="21">
        <f t="shared" si="35"/>
        <v>41.666666666666671</v>
      </c>
    </row>
    <row r="789" spans="1:12" s="72" customFormat="1" ht="25.95" customHeight="1">
      <c r="A789" s="12">
        <v>787</v>
      </c>
      <c r="B789" s="6">
        <v>16</v>
      </c>
      <c r="C789" s="6">
        <v>41</v>
      </c>
      <c r="D789" s="20" t="str">
        <f>IF(C789&lt;&gt;"", IFERROR(INDEX('بنود العقد'!B$3:B$388,C789),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خشبية03-WDC  من خشب الـ ) Mdf (  مع قشرة صناعية بحسب العينة الموافق عليها مثبتة على القواطع الجبسية  مع غروف ومفصلات ومقابض مخفية ،  حسب الرسومات والمناظير</v>
      </c>
      <c r="E789" s="12" t="str">
        <f>IF(C789&lt;&gt;"", IFERROR(INDEX('بنود العقد'!D$3:D$388,C789), ""), "")</f>
        <v>م2</v>
      </c>
      <c r="F789" s="9">
        <f>IF(C789&lt;&gt;"", IFERROR(INDEX('بنود العقد'!E$3:E$388,C789), 0), "")</f>
        <v>1440</v>
      </c>
      <c r="G789" s="9">
        <f>IF(C789&lt;&gt;"", IFERROR(INDEX('بنود العقد'!F$3:F$388,C789), 0), "")</f>
        <v>78</v>
      </c>
      <c r="H789" s="18">
        <f t="shared" si="34"/>
        <v>27</v>
      </c>
      <c r="I789" s="7">
        <v>26</v>
      </c>
      <c r="J789" s="18">
        <f t="shared" si="31"/>
        <v>53</v>
      </c>
      <c r="K789" s="10">
        <f t="shared" si="30"/>
        <v>37440</v>
      </c>
      <c r="L789" s="21">
        <f t="shared" si="35"/>
        <v>67.948717948717956</v>
      </c>
    </row>
    <row r="790" spans="1:12" s="72" customFormat="1" ht="25.95" customHeight="1">
      <c r="A790" s="12">
        <v>788</v>
      </c>
      <c r="B790" s="6">
        <v>16</v>
      </c>
      <c r="C790" s="6">
        <v>42</v>
      </c>
      <c r="D790" s="20" t="str">
        <f>IF(C790&lt;&gt;"", IFERROR(INDEX('بنود العقد'!B$3:B$388,C790),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خشبية04-WDC   من خشب الـ ) Mdf (  مطلية بدهان رمادي على شكل وهيئة الاسطح الاسمنتية مع غروف ومفصلات ومقابض مخفية ، وارفف مفتوحة من قشرة الجوز ،واضاءة مخفية ، مثبتة على الجدار الخارجي حسب الرسومات والمناظير  وتعليمات المهندس المشرف.</v>
      </c>
      <c r="E790" s="12" t="str">
        <f>IF(C790&lt;&gt;"", IFERROR(INDEX('بنود العقد'!D$3:D$388,C790), ""), "")</f>
        <v>م2</v>
      </c>
      <c r="F790" s="9">
        <f>IF(C790&lt;&gt;"", IFERROR(INDEX('بنود العقد'!E$3:E$388,C790), 0), "")</f>
        <v>1200</v>
      </c>
      <c r="G790" s="9">
        <f>IF(C790&lt;&gt;"", IFERROR(INDEX('بنود العقد'!F$3:F$388,C790), 0), "")</f>
        <v>297</v>
      </c>
      <c r="H790" s="18">
        <f t="shared" si="34"/>
        <v>110</v>
      </c>
      <c r="I790" s="7">
        <v>63</v>
      </c>
      <c r="J790" s="18">
        <f t="shared" si="31"/>
        <v>173</v>
      </c>
      <c r="K790" s="10">
        <f t="shared" si="30"/>
        <v>75600</v>
      </c>
      <c r="L790" s="21">
        <f t="shared" si="35"/>
        <v>58.249158249158249</v>
      </c>
    </row>
    <row r="791" spans="1:12" s="72" customFormat="1" ht="25.95" customHeight="1">
      <c r="A791" s="12">
        <v>789</v>
      </c>
      <c r="B791" s="6">
        <v>16</v>
      </c>
      <c r="C791" s="6">
        <v>43</v>
      </c>
      <c r="D791" s="20" t="str">
        <f>IF(C791&lt;&gt;"", IFERROR(INDEX('بنود العقد'!B$3:B$388,C791),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 خزانة خشبية05-WDC  من خشب الـ ) Mdf (  مع قشرة الوينغي الداكنة مع أرفف وإضاءة مخفية، أبواب الخزائن زجاجية   ribbed glass(مع إيطار خشبي وغروف ومفصلات ومقابض مخفية لمنطقة معالي الوزير حسب الرسومات والمناظير وتعليمات المهندس المشرف.</v>
      </c>
      <c r="E791" s="12" t="str">
        <f>IF(C791&lt;&gt;"", IFERROR(INDEX('بنود العقد'!D$3:D$388,C791), ""), "")</f>
        <v>م2</v>
      </c>
      <c r="F791" s="9">
        <f>IF(C791&lt;&gt;"", IFERROR(INDEX('بنود العقد'!E$3:E$388,C791), 0), "")</f>
        <v>1440</v>
      </c>
      <c r="G791" s="9">
        <f>IF(C791&lt;&gt;"", IFERROR(INDEX('بنود العقد'!F$3:F$388,C791), 0), "")</f>
        <v>69</v>
      </c>
      <c r="H791" s="18">
        <f t="shared" si="34"/>
        <v>44</v>
      </c>
      <c r="I791" s="7">
        <v>37</v>
      </c>
      <c r="J791" s="18">
        <f t="shared" si="31"/>
        <v>81</v>
      </c>
      <c r="K791" s="10">
        <f t="shared" si="30"/>
        <v>53280</v>
      </c>
      <c r="L791" s="21">
        <f t="shared" si="35"/>
        <v>117.39130434782609</v>
      </c>
    </row>
    <row r="792" spans="1:12" s="72" customFormat="1" ht="25.95" customHeight="1">
      <c r="A792" s="12">
        <v>790</v>
      </c>
      <c r="B792" s="6">
        <v>16</v>
      </c>
      <c r="C792" s="6">
        <v>66</v>
      </c>
      <c r="D792" s="20" t="str">
        <f>IF(C792&lt;&gt;"", IFERROR(INDEX('بنود العقد'!B$3:B$388,C792), "⚠"),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E792" s="12" t="str">
        <f>IF(C792&lt;&gt;"", IFERROR(INDEX('بنود العقد'!D$3:D$388,C792), ""), "")</f>
        <v>م²</v>
      </c>
      <c r="F792" s="9">
        <f>IF(C792&lt;&gt;"", IFERROR(INDEX('بنود العقد'!E$3:E$388,C792), 0), "")</f>
        <v>900</v>
      </c>
      <c r="G792" s="9">
        <f>IF(C792&lt;&gt;"", IFERROR(INDEX('بنود العقد'!F$3:F$388,C792), 0), "")</f>
        <v>4000</v>
      </c>
      <c r="H792" s="18">
        <f t="shared" si="34"/>
        <v>2623</v>
      </c>
      <c r="I792" s="7">
        <v>360</v>
      </c>
      <c r="J792" s="18">
        <f t="shared" si="31"/>
        <v>2983</v>
      </c>
      <c r="K792" s="10">
        <f t="shared" si="30"/>
        <v>324000</v>
      </c>
      <c r="L792" s="21">
        <f t="shared" si="35"/>
        <v>74.575000000000003</v>
      </c>
    </row>
    <row r="793" spans="1:12" s="72" customFormat="1" ht="25.95" customHeight="1">
      <c r="A793" s="12">
        <v>791</v>
      </c>
      <c r="B793" s="6">
        <v>16</v>
      </c>
      <c r="C793" s="6">
        <v>74</v>
      </c>
      <c r="D793" s="20" t="str">
        <f>IF(C793&lt;&gt;"", IFERROR(INDEX('بنود العقد'!B$3:B$388,C793), "⚠"), "")</f>
        <v>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v>
      </c>
      <c r="E793" s="12" t="str">
        <f>IF(C793&lt;&gt;"", IFERROR(INDEX('بنود العقد'!D$3:D$388,C793), ""), "")</f>
        <v>م²</v>
      </c>
      <c r="F793" s="9">
        <f>IF(C793&lt;&gt;"", IFERROR(INDEX('بنود العقد'!E$3:E$388,C793), 0), "")</f>
        <v>180</v>
      </c>
      <c r="G793" s="9">
        <f>IF(C793&lt;&gt;"", IFERROR(INDEX('بنود العقد'!F$3:F$388,C793), 0), "")</f>
        <v>12526</v>
      </c>
      <c r="H793" s="18">
        <f t="shared" si="34"/>
        <v>8280</v>
      </c>
      <c r="I793" s="7">
        <v>1861</v>
      </c>
      <c r="J793" s="18">
        <f t="shared" si="31"/>
        <v>10141</v>
      </c>
      <c r="K793" s="10">
        <f t="shared" si="30"/>
        <v>334980</v>
      </c>
      <c r="L793" s="21">
        <f t="shared" si="35"/>
        <v>80.959604023630845</v>
      </c>
    </row>
    <row r="794" spans="1:12" s="72" customFormat="1" ht="25.95" customHeight="1">
      <c r="A794" s="12">
        <v>792</v>
      </c>
      <c r="B794" s="6">
        <v>16</v>
      </c>
      <c r="C794" s="6">
        <v>75</v>
      </c>
      <c r="D794" s="20" t="str">
        <f>IF(C794&lt;&gt;"", IFERROR(INDEX('بنود العقد'!B$3:B$388,C794), "⚠"), "")</f>
        <v>توريد وتركيب أسقف معلقة من الالواح الجبسيه )01-GBC( ثخانة 12 مم المقاومة للحريق شاملة نظام التعليق وضبط الحواف والزوايا وأبواب لفتحات الكشف بالأسقف لأعمال الصيانة )أبواب جاهزة من النوع السهل الاستعمال والمزود بمفصلات مخفية( والإكسسوارات. ويشمل السعر أي مواد أو أعمال يتطلبها استكمال العمل حسب المواصفات والمخططات.</v>
      </c>
      <c r="E794" s="12" t="str">
        <f>IF(C794&lt;&gt;"", IFERROR(INDEX('بنود العقد'!D$3:D$388,C794), ""), "")</f>
        <v>م²</v>
      </c>
      <c r="F794" s="9">
        <f>IF(C794&lt;&gt;"", IFERROR(INDEX('بنود العقد'!E$3:E$388,C794), 0), "")</f>
        <v>150</v>
      </c>
      <c r="G794" s="9">
        <f>IF(C794&lt;&gt;"", IFERROR(INDEX('بنود العقد'!F$3:F$388,C794), 0), "")</f>
        <v>24468</v>
      </c>
      <c r="H794" s="18">
        <f t="shared" si="34"/>
        <v>12362.00007</v>
      </c>
      <c r="I794" s="7">
        <v>5951</v>
      </c>
      <c r="J794" s="18">
        <f t="shared" si="31"/>
        <v>18313.000070000002</v>
      </c>
      <c r="K794" s="10">
        <f t="shared" si="30"/>
        <v>892650</v>
      </c>
      <c r="L794" s="21">
        <f t="shared" si="35"/>
        <v>74.844695398070954</v>
      </c>
    </row>
    <row r="795" spans="1:12" s="72" customFormat="1" ht="25.95" customHeight="1">
      <c r="A795" s="12">
        <v>793</v>
      </c>
      <c r="B795" s="6">
        <v>16</v>
      </c>
      <c r="C795" s="6">
        <v>76</v>
      </c>
      <c r="D795" s="20" t="str">
        <f>IF(C795&lt;&gt;"", IFERROR(INDEX('بنود العقد'!B$3:B$388,C795), "⚠"), "")</f>
        <v>توريد وتركيب أسقف معلقة من الالواح الجبسيه  )02-GBC( ثخانة 12 مم المقاومة للرطوبة شاملة نظام التعليق وضبط الحواف والزوايا وأبواب لفتحات الكشف بالأسقف لأعمال الصيانة )أبواب جاهزة من النوع السهل الاستعمال والمزود بمفصلات مخفية( واالإكسسوارات. ويشمل السعر أي مواد أو أعمال يتطلبها استكمال العمل حسب المواصفات والمخططات وتعليمات المهندس المشرف.</v>
      </c>
      <c r="E795" s="12" t="str">
        <f>IF(C795&lt;&gt;"", IFERROR(INDEX('بنود العقد'!D$3:D$388,C795), ""), "")</f>
        <v>م²</v>
      </c>
      <c r="F795" s="9">
        <f>IF(C795&lt;&gt;"", IFERROR(INDEX('بنود العقد'!E$3:E$388,C795), 0), "")</f>
        <v>150</v>
      </c>
      <c r="G795" s="9">
        <f>IF(C795&lt;&gt;"", IFERROR(INDEX('بنود العقد'!F$3:F$388,C795), 0), "")</f>
        <v>1091</v>
      </c>
      <c r="H795" s="18">
        <f t="shared" si="34"/>
        <v>594</v>
      </c>
      <c r="I795" s="7">
        <v>236</v>
      </c>
      <c r="J795" s="18">
        <f t="shared" si="31"/>
        <v>830</v>
      </c>
      <c r="K795" s="10">
        <f t="shared" si="30"/>
        <v>35400</v>
      </c>
      <c r="L795" s="21">
        <f t="shared" si="35"/>
        <v>76.076993583868017</v>
      </c>
    </row>
    <row r="796" spans="1:12" s="72" customFormat="1" ht="25.95" customHeight="1">
      <c r="A796" s="12">
        <v>794</v>
      </c>
      <c r="B796" s="6">
        <v>16</v>
      </c>
      <c r="C796" s="6">
        <v>77</v>
      </c>
      <c r="D796" s="20" t="str">
        <f>IF(C796&lt;&gt;"", IFERROR(INDEX('بنود العقد'!B$3:B$388,C796), "⚠"), "")</f>
        <v>600×600مم توريد وتركيب اسقف اصطناعية  والسعر يشمل نظام التعليق من الحديد المجفلن مع جميع الاكسسوارات وكل مايلزم حسب المواصفات والمخططات وتعليمات الشركة المصنعة .</v>
      </c>
      <c r="E796" s="12" t="str">
        <f>IF(C796&lt;&gt;"", IFERROR(INDEX('بنود العقد'!D$3:D$388,C796), ""), "")</f>
        <v>م²</v>
      </c>
      <c r="F796" s="9">
        <f>IF(C796&lt;&gt;"", IFERROR(INDEX('بنود العقد'!E$3:E$388,C796), 0), "")</f>
        <v>150</v>
      </c>
      <c r="G796" s="9">
        <f>IF(C796&lt;&gt;"", IFERROR(INDEX('بنود العقد'!F$3:F$388,C796), 0), "")</f>
        <v>3323</v>
      </c>
      <c r="H796" s="18">
        <f t="shared" si="34"/>
        <v>1652</v>
      </c>
      <c r="I796" s="7">
        <v>811</v>
      </c>
      <c r="J796" s="18">
        <f t="shared" si="31"/>
        <v>2463</v>
      </c>
      <c r="K796" s="10">
        <f t="shared" si="30"/>
        <v>121650</v>
      </c>
      <c r="L796" s="21">
        <f t="shared" si="35"/>
        <v>74.119771291002095</v>
      </c>
    </row>
    <row r="797" spans="1:12" s="72" customFormat="1" ht="25.95" customHeight="1">
      <c r="A797" s="12">
        <v>795</v>
      </c>
      <c r="B797" s="6">
        <v>16</v>
      </c>
      <c r="C797" s="6">
        <v>199</v>
      </c>
      <c r="D797" s="20" t="str">
        <f>IF(C797&lt;&gt;"", IFERROR(INDEX('بنود العقد'!B$3:B$388,C797),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E797" s="12" t="str">
        <f>IF(C797&lt;&gt;"", IFERROR(INDEX('بنود العقد'!D$3:D$388,C797), ""), "")</f>
        <v>م.ط</v>
      </c>
      <c r="F797" s="9">
        <f>IF(C797&lt;&gt;"", IFERROR(INDEX('بنود العقد'!E$3:E$388,C797), 0), "")</f>
        <v>108</v>
      </c>
      <c r="G797" s="9">
        <f>IF(C797&lt;&gt;"", IFERROR(INDEX('بنود العقد'!F$3:F$388,C797), 0), "")</f>
        <v>3900</v>
      </c>
      <c r="H797" s="18">
        <f t="shared" si="34"/>
        <v>5687</v>
      </c>
      <c r="I797" s="7">
        <v>780</v>
      </c>
      <c r="J797" s="18">
        <f t="shared" si="31"/>
        <v>6467</v>
      </c>
      <c r="K797" s="10">
        <f t="shared" si="30"/>
        <v>84240</v>
      </c>
      <c r="L797" s="21">
        <f t="shared" si="35"/>
        <v>165.82051282051282</v>
      </c>
    </row>
    <row r="798" spans="1:12" s="72" customFormat="1" ht="25.95" customHeight="1">
      <c r="A798" s="12">
        <v>796</v>
      </c>
      <c r="B798" s="6">
        <v>16</v>
      </c>
      <c r="C798" s="6">
        <v>200</v>
      </c>
      <c r="D798" s="20" t="str">
        <f>IF(C798&lt;&gt;"", IFERROR(INDEX('بنود العقد'!B$3:B$388,C798),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28</v>
      </c>
      <c r="E798" s="12" t="str">
        <f>IF(C798&lt;&gt;"", IFERROR(INDEX('بنود العقد'!D$3:D$388,C798), ""), "")</f>
        <v>م.ط</v>
      </c>
      <c r="F798" s="9">
        <f>IF(C798&lt;&gt;"", IFERROR(INDEX('بنود العقد'!E$3:E$388,C798), 0), "")</f>
        <v>138</v>
      </c>
      <c r="G798" s="9">
        <f>IF(C798&lt;&gt;"", IFERROR(INDEX('بنود العقد'!F$3:F$388,C798), 0), "")</f>
        <v>323</v>
      </c>
      <c r="H798" s="18">
        <f t="shared" si="34"/>
        <v>349</v>
      </c>
      <c r="I798" s="7">
        <v>33</v>
      </c>
      <c r="J798" s="18">
        <f t="shared" si="31"/>
        <v>382</v>
      </c>
      <c r="K798" s="10">
        <f t="shared" si="30"/>
        <v>4554</v>
      </c>
      <c r="L798" s="21">
        <f t="shared" si="35"/>
        <v>118.26625386996905</v>
      </c>
    </row>
    <row r="799" spans="1:12" s="72" customFormat="1" ht="25.95" customHeight="1">
      <c r="A799" s="12">
        <v>797</v>
      </c>
      <c r="B799" s="6">
        <v>16</v>
      </c>
      <c r="C799" s="6">
        <v>201</v>
      </c>
      <c r="D799" s="20" t="str">
        <f>IF(C799&lt;&gt;"", IFERROR(INDEX('بنود العقد'!B$3:B$388,C799),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33</v>
      </c>
      <c r="E799" s="12" t="str">
        <f>IF(C799&lt;&gt;"", IFERROR(INDEX('بنود العقد'!D$3:D$388,C799), ""), "")</f>
        <v>م.ط</v>
      </c>
      <c r="F799" s="9">
        <f>IF(C799&lt;&gt;"", IFERROR(INDEX('بنود العقد'!E$3:E$388,C799), 0), "")</f>
        <v>192</v>
      </c>
      <c r="G799" s="9">
        <f>IF(C799&lt;&gt;"", IFERROR(INDEX('بنود العقد'!F$3:F$388,C799), 0), "")</f>
        <v>660</v>
      </c>
      <c r="H799" s="18">
        <f t="shared" si="34"/>
        <v>758</v>
      </c>
      <c r="I799" s="7">
        <v>37</v>
      </c>
      <c r="J799" s="18">
        <f t="shared" si="31"/>
        <v>795</v>
      </c>
      <c r="K799" s="10">
        <f t="shared" si="30"/>
        <v>7104</v>
      </c>
      <c r="L799" s="21">
        <f t="shared" si="35"/>
        <v>120.45454545454545</v>
      </c>
    </row>
    <row r="800" spans="1:12" s="72" customFormat="1" ht="25.95" customHeight="1">
      <c r="A800" s="12">
        <v>798</v>
      </c>
      <c r="B800" s="6">
        <v>16</v>
      </c>
      <c r="C800" s="6">
        <v>202</v>
      </c>
      <c r="D800" s="20" t="str">
        <f>IF(C800&lt;&gt;"", IFERROR(INDEX('بنود العقد'!B$3:B$388,C800),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40</v>
      </c>
      <c r="E800" s="12" t="str">
        <f>IF(C800&lt;&gt;"", IFERROR(INDEX('بنود العقد'!D$3:D$388,C800), ""), "")</f>
        <v>م.ط</v>
      </c>
      <c r="F800" s="9">
        <f>IF(C800&lt;&gt;"", IFERROR(INDEX('بنود العقد'!E$3:E$388,C800), 0), "")</f>
        <v>222</v>
      </c>
      <c r="G800" s="9">
        <f>IF(C800&lt;&gt;"", IFERROR(INDEX('بنود العقد'!F$3:F$388,C800), 0), "")</f>
        <v>600</v>
      </c>
      <c r="H800" s="18">
        <f t="shared" si="34"/>
        <v>493</v>
      </c>
      <c r="I800" s="7">
        <v>72</v>
      </c>
      <c r="J800" s="18">
        <f t="shared" si="31"/>
        <v>565</v>
      </c>
      <c r="K800" s="10">
        <f t="shared" si="30"/>
        <v>15984</v>
      </c>
      <c r="L800" s="21">
        <f t="shared" si="35"/>
        <v>94.166666666666671</v>
      </c>
    </row>
    <row r="801" spans="1:12" s="72" customFormat="1" ht="25.95" customHeight="1">
      <c r="A801" s="12">
        <v>799</v>
      </c>
      <c r="B801" s="6">
        <v>16</v>
      </c>
      <c r="C801" s="6">
        <v>203</v>
      </c>
      <c r="D801" s="20" t="str">
        <f>IF(C801&lt;&gt;"", IFERROR(INDEX('بنود العقد'!B$3:B$388,C801),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63</v>
      </c>
      <c r="E801" s="12" t="str">
        <f>IF(C801&lt;&gt;"", IFERROR(INDEX('بنود العقد'!D$3:D$388,C801), ""), "")</f>
        <v>م.ط</v>
      </c>
      <c r="F801" s="9">
        <f>IF(C801&lt;&gt;"", IFERROR(INDEX('بنود العقد'!E$3:E$388,C801), 0), "")</f>
        <v>240</v>
      </c>
      <c r="G801" s="9">
        <f>IF(C801&lt;&gt;"", IFERROR(INDEX('بنود العقد'!F$3:F$388,C801), 0), "")</f>
        <v>646</v>
      </c>
      <c r="H801" s="18">
        <f t="shared" si="34"/>
        <v>558</v>
      </c>
      <c r="I801" s="7">
        <v>30</v>
      </c>
      <c r="J801" s="18">
        <f t="shared" si="31"/>
        <v>588</v>
      </c>
      <c r="K801" s="10">
        <f t="shared" si="30"/>
        <v>7200</v>
      </c>
      <c r="L801" s="21">
        <f t="shared" si="35"/>
        <v>91.021671826625379</v>
      </c>
    </row>
    <row r="802" spans="1:12" s="72" customFormat="1" ht="25.95" customHeight="1">
      <c r="A802" s="12">
        <v>800</v>
      </c>
      <c r="B802" s="6">
        <v>16</v>
      </c>
      <c r="C802" s="6">
        <v>204</v>
      </c>
      <c r="D802" s="20" t="str">
        <f>IF(C802&lt;&gt;"", IFERROR(INDEX('بنود العقد'!B$3:B$388,C802),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77</v>
      </c>
      <c r="E802" s="12" t="str">
        <f>IF(C802&lt;&gt;"", IFERROR(INDEX('بنود العقد'!D$3:D$388,C802), ""), "")</f>
        <v>م.ط</v>
      </c>
      <c r="F802" s="9">
        <f>IF(C802&lt;&gt;"", IFERROR(INDEX('بنود العقد'!E$3:E$388,C802), 0), "")</f>
        <v>288</v>
      </c>
      <c r="G802" s="9">
        <f>IF(C802&lt;&gt;"", IFERROR(INDEX('بنود العقد'!F$3:F$388,C802), 0), "")</f>
        <v>110</v>
      </c>
      <c r="H802" s="18">
        <f t="shared" si="34"/>
        <v>229</v>
      </c>
      <c r="I802" s="7">
        <v>50</v>
      </c>
      <c r="J802" s="18">
        <f t="shared" si="31"/>
        <v>279</v>
      </c>
      <c r="K802" s="10">
        <f t="shared" si="30"/>
        <v>14400</v>
      </c>
      <c r="L802" s="21">
        <f t="shared" si="35"/>
        <v>253.63636363636363</v>
      </c>
    </row>
    <row r="803" spans="1:12" s="72" customFormat="1" ht="25.95" customHeight="1">
      <c r="A803" s="12">
        <v>801</v>
      </c>
      <c r="B803" s="6">
        <v>16</v>
      </c>
      <c r="C803" s="6">
        <v>205</v>
      </c>
      <c r="D803" s="20" t="str">
        <f>IF(C803&lt;&gt;"", IFERROR(INDEX('بنود العقد'!B$3:B$388,C803),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94</v>
      </c>
      <c r="E803" s="12" t="str">
        <f>IF(C803&lt;&gt;"", IFERROR(INDEX('بنود العقد'!D$3:D$388,C803), ""), "")</f>
        <v>م.ط</v>
      </c>
      <c r="F803" s="9">
        <f>IF(C803&lt;&gt;"", IFERROR(INDEX('بنود العقد'!E$3:E$388,C803), 0), "")</f>
        <v>324</v>
      </c>
      <c r="G803" s="9">
        <f>IF(C803&lt;&gt;"", IFERROR(INDEX('بنود العقد'!F$3:F$388,C803), 0), "")</f>
        <v>314</v>
      </c>
      <c r="H803" s="18">
        <f t="shared" si="34"/>
        <v>159</v>
      </c>
      <c r="I803" s="7">
        <v>45</v>
      </c>
      <c r="J803" s="18">
        <f t="shared" si="31"/>
        <v>204</v>
      </c>
      <c r="K803" s="10">
        <f t="shared" si="30"/>
        <v>14580</v>
      </c>
      <c r="L803" s="21">
        <f t="shared" si="35"/>
        <v>64.968152866242036</v>
      </c>
    </row>
    <row r="804" spans="1:12" s="72" customFormat="1" ht="25.95" customHeight="1">
      <c r="A804" s="12">
        <v>802</v>
      </c>
      <c r="B804" s="6">
        <v>16</v>
      </c>
      <c r="C804" s="6">
        <v>206</v>
      </c>
      <c r="D804" s="20" t="str">
        <f>IF(C804&lt;&gt;"", IFERROR(INDEX('بنود العقد'!B$3:B$388,C804),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141</v>
      </c>
      <c r="E804" s="12" t="str">
        <f>IF(C804&lt;&gt;"", IFERROR(INDEX('بنود العقد'!D$3:D$388,C804), ""), "")</f>
        <v>م.ط</v>
      </c>
      <c r="F804" s="9">
        <f>IF(C804&lt;&gt;"", IFERROR(INDEX('بنود العقد'!E$3:E$388,C804), 0), "")</f>
        <v>360</v>
      </c>
      <c r="G804" s="9">
        <f>IF(C804&lt;&gt;"", IFERROR(INDEX('بنود العقد'!F$3:F$388,C804), 0), "")</f>
        <v>200</v>
      </c>
      <c r="H804" s="18">
        <f t="shared" si="34"/>
        <v>371</v>
      </c>
      <c r="I804" s="7">
        <v>81</v>
      </c>
      <c r="J804" s="18">
        <f t="shared" si="31"/>
        <v>452</v>
      </c>
      <c r="K804" s="10">
        <f t="shared" si="30"/>
        <v>29160</v>
      </c>
      <c r="L804" s="21">
        <f t="shared" si="35"/>
        <v>225.99999999999997</v>
      </c>
    </row>
    <row r="805" spans="1:12" s="72" customFormat="1" ht="25.95" customHeight="1">
      <c r="A805" s="12">
        <v>803</v>
      </c>
      <c r="B805" s="6">
        <v>16</v>
      </c>
      <c r="C805" s="6">
        <v>221</v>
      </c>
      <c r="D805" s="20" t="str">
        <f>IF(C805&lt;&gt;"", IFERROR(INDEX('بنود العقد'!B$3:B$388,C805),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01-VAV ، اجمالي الهواء 0-250 ) ق/د( استطاعة التخزين 5.1 )ك/و(</v>
      </c>
      <c r="E805" s="12" t="str">
        <f>IF(C805&lt;&gt;"", IFERROR(INDEX('بنود العقد'!D$3:D$388,C805), ""), "")</f>
        <v>عدد</v>
      </c>
      <c r="F805" s="9">
        <f>IF(C805&lt;&gt;"", IFERROR(INDEX('بنود العقد'!E$3:E$388,C805), 0), "")</f>
        <v>6600</v>
      </c>
      <c r="G805" s="9">
        <f>IF(C805&lt;&gt;"", IFERROR(INDEX('بنود العقد'!F$3:F$388,C805), 0), "")</f>
        <v>9</v>
      </c>
      <c r="H805" s="18">
        <f t="shared" si="34"/>
        <v>10</v>
      </c>
      <c r="I805" s="7">
        <v>23</v>
      </c>
      <c r="J805" s="18">
        <f t="shared" si="31"/>
        <v>33</v>
      </c>
      <c r="K805" s="10">
        <f t="shared" si="30"/>
        <v>151800</v>
      </c>
      <c r="L805" s="21">
        <f t="shared" si="35"/>
        <v>366.66666666666663</v>
      </c>
    </row>
    <row r="806" spans="1:12" s="72" customFormat="1" ht="25.95" customHeight="1">
      <c r="A806" s="12">
        <v>804</v>
      </c>
      <c r="B806" s="6">
        <v>16</v>
      </c>
      <c r="C806" s="6">
        <v>222</v>
      </c>
      <c r="D806" s="20" t="str">
        <f>IF(C806&lt;&gt;"", IFERROR(INDEX('بنود العقد'!B$3:B$388,C806),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02-VAV ، اجمالي الهواء 0-500 ) ق/د( استطاعة التخزين 2 )ك/و(</v>
      </c>
      <c r="E806" s="12" t="str">
        <f>IF(C806&lt;&gt;"", IFERROR(INDEX('بنود العقد'!D$3:D$388,C806), ""), "")</f>
        <v>عدد</v>
      </c>
      <c r="F806" s="9">
        <f>IF(C806&lt;&gt;"", IFERROR(INDEX('بنود العقد'!E$3:E$388,C806), 0), "")</f>
        <v>6960</v>
      </c>
      <c r="G806" s="9">
        <f>IF(C806&lt;&gt;"", IFERROR(INDEX('بنود العقد'!F$3:F$388,C806), 0), "")</f>
        <v>127</v>
      </c>
      <c r="H806" s="18">
        <f t="shared" si="34"/>
        <v>62</v>
      </c>
      <c r="I806" s="7">
        <v>14</v>
      </c>
      <c r="J806" s="18">
        <f t="shared" si="31"/>
        <v>76</v>
      </c>
      <c r="K806" s="10">
        <f t="shared" si="30"/>
        <v>97440</v>
      </c>
      <c r="L806" s="21">
        <f t="shared" si="35"/>
        <v>59.842519685039377</v>
      </c>
    </row>
    <row r="807" spans="1:12" s="72" customFormat="1" ht="25.95" customHeight="1">
      <c r="A807" s="12">
        <v>805</v>
      </c>
      <c r="B807" s="6">
        <v>16</v>
      </c>
      <c r="C807" s="6">
        <v>223</v>
      </c>
      <c r="D807" s="20" t="str">
        <f>IF(C807&lt;&gt;"", IFERROR(INDEX('بنود العقد'!B$3:B$388,C807), "⚠"), "")</f>
        <v xml:space="preserve">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03-VAV ، اجمالي الهواء 0-750 ) ق/د( استطاعة التخزين 3 )ك/و( </v>
      </c>
      <c r="E807" s="12" t="str">
        <f>IF(C807&lt;&gt;"", IFERROR(INDEX('بنود العقد'!D$3:D$388,C807), ""), "")</f>
        <v>عدد</v>
      </c>
      <c r="F807" s="9">
        <f>IF(C807&lt;&gt;"", IFERROR(INDEX('بنود العقد'!E$3:E$388,C807), 0), "")</f>
        <v>7200</v>
      </c>
      <c r="G807" s="9">
        <f>IF(C807&lt;&gt;"", IFERROR(INDEX('بنود العقد'!F$3:F$388,C807), 0), "")</f>
        <v>51</v>
      </c>
      <c r="H807" s="18">
        <f t="shared" si="34"/>
        <v>42</v>
      </c>
      <c r="I807" s="7">
        <v>8</v>
      </c>
      <c r="J807" s="18">
        <f t="shared" si="31"/>
        <v>50</v>
      </c>
      <c r="K807" s="10">
        <f t="shared" si="30"/>
        <v>57600</v>
      </c>
      <c r="L807" s="21">
        <f t="shared" si="35"/>
        <v>98.039215686274503</v>
      </c>
    </row>
    <row r="808" spans="1:12" s="72" customFormat="1" ht="25.95" customHeight="1">
      <c r="A808" s="12">
        <v>806</v>
      </c>
      <c r="B808" s="6">
        <v>16</v>
      </c>
      <c r="C808" s="6">
        <v>224</v>
      </c>
      <c r="D808" s="20" t="str">
        <f>IF(C808&lt;&gt;"", IFERROR(INDEX('بنود العقد'!B$3:B$388,C808),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04-VAV ، اجمالي الهواء 0-1000 ) ق/د( استطاعة التخزين 5.3 )ك/و(</v>
      </c>
      <c r="E808" s="12" t="str">
        <f>IF(C808&lt;&gt;"", IFERROR(INDEX('بنود العقد'!D$3:D$388,C808), ""), "")</f>
        <v>عدد</v>
      </c>
      <c r="F808" s="9">
        <f>IF(C808&lt;&gt;"", IFERROR(INDEX('بنود العقد'!E$3:E$388,C808), 0), "")</f>
        <v>7200</v>
      </c>
      <c r="G808" s="9">
        <f>IF(C808&lt;&gt;"", IFERROR(INDEX('بنود العقد'!F$3:F$388,C808), 0), "")</f>
        <v>24</v>
      </c>
      <c r="H808" s="18">
        <f t="shared" si="34"/>
        <v>19</v>
      </c>
      <c r="I808" s="7">
        <v>6</v>
      </c>
      <c r="J808" s="18">
        <f t="shared" si="31"/>
        <v>25</v>
      </c>
      <c r="K808" s="10">
        <f t="shared" si="30"/>
        <v>43200</v>
      </c>
      <c r="L808" s="21">
        <f t="shared" si="35"/>
        <v>104.16666666666667</v>
      </c>
    </row>
    <row r="809" spans="1:12" s="72" customFormat="1" ht="25.95" customHeight="1">
      <c r="A809" s="12">
        <v>807</v>
      </c>
      <c r="B809" s="6">
        <v>16</v>
      </c>
      <c r="C809" s="6">
        <v>225</v>
      </c>
      <c r="D809" s="20" t="str">
        <f>IF(C809&lt;&gt;"", IFERROR(INDEX('بنود العقد'!B$3:B$388,C809),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05-VAV ، اجمالي الهواء 0-1500 ) ق/د( استطاعة التخزين 5.3 )ك/و(</v>
      </c>
      <c r="E809" s="12" t="str">
        <f>IF(C809&lt;&gt;"", IFERROR(INDEX('بنود العقد'!D$3:D$388,C809), ""), "")</f>
        <v>عدد</v>
      </c>
      <c r="F809" s="9">
        <f>IF(C809&lt;&gt;"", IFERROR(INDEX('بنود العقد'!E$3:E$388,C809), 0), "")</f>
        <v>9000</v>
      </c>
      <c r="G809" s="9">
        <f>IF(C809&lt;&gt;"", IFERROR(INDEX('بنود العقد'!F$3:F$388,C809), 0), "")</f>
        <v>44</v>
      </c>
      <c r="H809" s="18">
        <f t="shared" si="34"/>
        <v>25</v>
      </c>
      <c r="I809" s="7">
        <v>9</v>
      </c>
      <c r="J809" s="18">
        <f t="shared" si="31"/>
        <v>34</v>
      </c>
      <c r="K809" s="10">
        <f t="shared" si="30"/>
        <v>81000</v>
      </c>
      <c r="L809" s="21">
        <f t="shared" si="35"/>
        <v>77.272727272727266</v>
      </c>
    </row>
    <row r="810" spans="1:12" s="72" customFormat="1" ht="25.95" customHeight="1">
      <c r="A810" s="12">
        <v>808</v>
      </c>
      <c r="B810" s="6">
        <v>16</v>
      </c>
      <c r="C810" s="6">
        <v>226</v>
      </c>
      <c r="D810" s="20" t="str">
        <f>IF(C810&lt;&gt;"", IFERROR(INDEX('بنود العقد'!B$3:B$388,C810),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06-VAV ، اجمالي الهواء 0-2000 ) ق/د( استطاعة التخزين 6.3 )ك/و(</v>
      </c>
      <c r="E810" s="12" t="str">
        <f>IF(C810&lt;&gt;"", IFERROR(INDEX('بنود العقد'!D$3:D$388,C810), ""), "")</f>
        <v>عدد</v>
      </c>
      <c r="F810" s="9">
        <f>IF(C810&lt;&gt;"", IFERROR(INDEX('بنود العقد'!E$3:E$388,C810), 0), "")</f>
        <v>10200</v>
      </c>
      <c r="G810" s="9">
        <f>IF(C810&lt;&gt;"", IFERROR(INDEX('بنود العقد'!F$3:F$388,C810), 0), "")</f>
        <v>49</v>
      </c>
      <c r="H810" s="18">
        <f t="shared" si="34"/>
        <v>16</v>
      </c>
      <c r="I810" s="7">
        <v>4</v>
      </c>
      <c r="J810" s="18">
        <f t="shared" si="31"/>
        <v>20</v>
      </c>
      <c r="K810" s="10">
        <f t="shared" si="30"/>
        <v>40800</v>
      </c>
      <c r="L810" s="21">
        <f t="shared" si="35"/>
        <v>40.816326530612244</v>
      </c>
    </row>
    <row r="811" spans="1:12" s="72" customFormat="1" ht="25.95" customHeight="1">
      <c r="A811" s="12">
        <v>809</v>
      </c>
      <c r="B811" s="6">
        <v>16</v>
      </c>
      <c r="C811" s="6">
        <v>227</v>
      </c>
      <c r="D811" s="20" t="str">
        <f>IF(C811&lt;&gt;"", IFERROR(INDEX('بنود العقد'!B$3:B$388,C811),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07-VAV ، اجمالي الهواء 0-2500 ) ق/د( استطاعة التخزين 7.3 )ك/و(</v>
      </c>
      <c r="E811" s="12" t="str">
        <f>IF(C811&lt;&gt;"", IFERROR(INDEX('بنود العقد'!D$3:D$388,C811), ""), "")</f>
        <v>عدد</v>
      </c>
      <c r="F811" s="9">
        <f>IF(C811&lt;&gt;"", IFERROR(INDEX('بنود العقد'!E$3:E$388,C811), 0), "")</f>
        <v>10800</v>
      </c>
      <c r="G811" s="9">
        <f>IF(C811&lt;&gt;"", IFERROR(INDEX('بنود العقد'!F$3:F$388,C811), 0), "")</f>
        <v>24</v>
      </c>
      <c r="H811" s="18">
        <f t="shared" si="34"/>
        <v>10</v>
      </c>
      <c r="I811" s="7">
        <v>5</v>
      </c>
      <c r="J811" s="18">
        <f t="shared" si="31"/>
        <v>15</v>
      </c>
      <c r="K811" s="10">
        <f t="shared" si="30"/>
        <v>54000</v>
      </c>
      <c r="L811" s="21">
        <f t="shared" si="35"/>
        <v>62.5</v>
      </c>
    </row>
    <row r="812" spans="1:12" s="72" customFormat="1" ht="25.95" customHeight="1">
      <c r="A812" s="12">
        <v>810</v>
      </c>
      <c r="B812" s="6">
        <v>16</v>
      </c>
      <c r="C812" s="6">
        <v>230</v>
      </c>
      <c r="D812" s="20" t="str">
        <f>IF(C812&lt;&gt;"", IFERROR(INDEX('بنود العقد'!B$3:B$388,C812),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E812" s="12" t="str">
        <f>IF(C812&lt;&gt;"", IFERROR(INDEX('بنود العقد'!D$3:D$388,C812), ""), "")</f>
        <v>م.ط</v>
      </c>
      <c r="F812" s="9">
        <f>IF(C812&lt;&gt;"", IFERROR(INDEX('بنود العقد'!E$3:E$388,C812), 0), "")</f>
        <v>300</v>
      </c>
      <c r="G812" s="9">
        <f>IF(C812&lt;&gt;"", IFERROR(INDEX('بنود العقد'!F$3:F$388,C812), 0), "")</f>
        <v>7000</v>
      </c>
      <c r="H812" s="18">
        <f t="shared" si="34"/>
        <v>8966</v>
      </c>
      <c r="I812" s="7">
        <v>1452</v>
      </c>
      <c r="J812" s="18">
        <f t="shared" si="31"/>
        <v>10418</v>
      </c>
      <c r="K812" s="10">
        <f t="shared" si="30"/>
        <v>435600</v>
      </c>
      <c r="L812" s="21">
        <f t="shared" si="35"/>
        <v>148.82857142857142</v>
      </c>
    </row>
    <row r="813" spans="1:12" s="72" customFormat="1" ht="25.95" customHeight="1">
      <c r="A813" s="12">
        <v>811</v>
      </c>
      <c r="B813" s="6">
        <v>16</v>
      </c>
      <c r="C813" s="6">
        <v>262</v>
      </c>
      <c r="D813" s="20" t="str">
        <f>IF(C813&lt;&gt;"", IFERROR(INDEX('بنود العقد'!B$3:B$388,C813),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v>
      </c>
      <c r="E813" s="12" t="str">
        <f>IF(C813&lt;&gt;"", IFERROR(INDEX('بنود العقد'!D$3:D$388,C813), ""), "")</f>
        <v>عدد</v>
      </c>
      <c r="F813" s="9">
        <f>IF(C813&lt;&gt;"", IFERROR(INDEX('بنود العقد'!E$3:E$388,C813), 0), "")</f>
        <v>348</v>
      </c>
      <c r="G813" s="9">
        <f>IF(C813&lt;&gt;"", IFERROR(INDEX('بنود العقد'!F$3:F$388,C813), 0), "")</f>
        <v>530</v>
      </c>
      <c r="H813" s="18">
        <f t="shared" si="34"/>
        <v>215</v>
      </c>
      <c r="I813" s="7">
        <v>91</v>
      </c>
      <c r="J813" s="18">
        <f t="shared" si="31"/>
        <v>306</v>
      </c>
      <c r="K813" s="10">
        <f t="shared" si="30"/>
        <v>31668</v>
      </c>
      <c r="L813" s="21">
        <f t="shared" si="35"/>
        <v>57.735849056603769</v>
      </c>
    </row>
    <row r="814" spans="1:12" s="72" customFormat="1" ht="25.95" customHeight="1">
      <c r="A814" s="12">
        <v>812</v>
      </c>
      <c r="B814" s="6">
        <v>16</v>
      </c>
      <c r="C814" s="6">
        <v>263</v>
      </c>
      <c r="D814" s="20" t="str">
        <f>IF(C814&lt;&gt;"", IFERROR(INDEX('بنود العقد'!B$3:B$388,C814),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A1E</v>
      </c>
      <c r="E814" s="12" t="str">
        <f>IF(C814&lt;&gt;"", IFERROR(INDEX('بنود العقد'!D$3:D$388,C814), ""), "")</f>
        <v>عدد</v>
      </c>
      <c r="F814" s="9">
        <f>IF(C814&lt;&gt;"", IFERROR(INDEX('بنود العقد'!E$3:E$388,C814), 0), "")</f>
        <v>660</v>
      </c>
      <c r="G814" s="9">
        <f>IF(C814&lt;&gt;"", IFERROR(INDEX('بنود العقد'!F$3:F$388,C814), 0), "")</f>
        <v>241</v>
      </c>
      <c r="H814" s="18">
        <f t="shared" ref="H814:H877" si="36">IFERROR(SUMIFS(I$3:I$1805, B$3:B$1805, "&lt;"&amp;B814, C$3:C$1805, C814), 0)</f>
        <v>132</v>
      </c>
      <c r="I814" s="7">
        <v>40</v>
      </c>
      <c r="J814" s="18">
        <f t="shared" si="31"/>
        <v>172</v>
      </c>
      <c r="K814" s="10">
        <f t="shared" si="30"/>
        <v>26400</v>
      </c>
      <c r="L814" s="21">
        <f t="shared" si="35"/>
        <v>71.369294605809131</v>
      </c>
    </row>
    <row r="815" spans="1:12" s="72" customFormat="1" ht="25.95" customHeight="1">
      <c r="A815" s="12">
        <v>813</v>
      </c>
      <c r="B815" s="6">
        <v>16</v>
      </c>
      <c r="C815" s="6">
        <v>264</v>
      </c>
      <c r="D815" s="20" t="str">
        <f>IF(C815&lt;&gt;"", IFERROR(INDEX('بنود العقد'!B$3:B$388,C815),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A2</v>
      </c>
      <c r="E815" s="12" t="str">
        <f>IF(C815&lt;&gt;"", IFERROR(INDEX('بنود العقد'!D$3:D$388,C815), ""), "")</f>
        <v>عدد</v>
      </c>
      <c r="F815" s="9">
        <f>IF(C815&lt;&gt;"", IFERROR(INDEX('بنود العقد'!E$3:E$388,C815), 0), "")</f>
        <v>1044</v>
      </c>
      <c r="G815" s="9">
        <f>IF(C815&lt;&gt;"", IFERROR(INDEX('بنود العقد'!F$3:F$388,C815), 0), "")</f>
        <v>1113</v>
      </c>
      <c r="H815" s="18">
        <f t="shared" si="36"/>
        <v>703</v>
      </c>
      <c r="I815" s="7">
        <v>163</v>
      </c>
      <c r="J815" s="18">
        <f t="shared" si="31"/>
        <v>866</v>
      </c>
      <c r="K815" s="10">
        <f t="shared" si="30"/>
        <v>170172</v>
      </c>
      <c r="L815" s="21">
        <f t="shared" si="35"/>
        <v>77.807726864330647</v>
      </c>
    </row>
    <row r="816" spans="1:12" s="72" customFormat="1" ht="25.95" customHeight="1">
      <c r="A816" s="12">
        <v>814</v>
      </c>
      <c r="B816" s="6">
        <v>16</v>
      </c>
      <c r="C816" s="6">
        <v>265</v>
      </c>
      <c r="D816" s="20" t="str">
        <f>IF(C816&lt;&gt;"", IFERROR(INDEX('بنود العقد'!B$3:B$388,C816),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A3</v>
      </c>
      <c r="E816" s="12" t="str">
        <f>IF(C816&lt;&gt;"", IFERROR(INDEX('بنود العقد'!D$3:D$388,C816), ""), "")</f>
        <v>عدد</v>
      </c>
      <c r="F816" s="9">
        <f>IF(C816&lt;&gt;"", IFERROR(INDEX('بنود العقد'!E$3:E$388,C816), 0), "")</f>
        <v>1044</v>
      </c>
      <c r="G816" s="9">
        <f>IF(C816&lt;&gt;"", IFERROR(INDEX('بنود العقد'!F$3:F$388,C816), 0), "")</f>
        <v>8</v>
      </c>
      <c r="H816" s="18">
        <f t="shared" si="36"/>
        <v>2</v>
      </c>
      <c r="I816" s="7">
        <v>2</v>
      </c>
      <c r="J816" s="18">
        <f t="shared" si="31"/>
        <v>4</v>
      </c>
      <c r="K816" s="10">
        <f t="shared" si="30"/>
        <v>2088</v>
      </c>
      <c r="L816" s="21">
        <f t="shared" si="35"/>
        <v>50</v>
      </c>
    </row>
    <row r="817" spans="1:12" s="72" customFormat="1" ht="25.95" customHeight="1">
      <c r="A817" s="12">
        <v>815</v>
      </c>
      <c r="B817" s="6">
        <v>16</v>
      </c>
      <c r="C817" s="6">
        <v>267</v>
      </c>
      <c r="D817" s="20" t="str">
        <f>IF(C817&lt;&gt;"", IFERROR(INDEX('بنود العقد'!B$3:B$388,C817),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A5</v>
      </c>
      <c r="E817" s="12" t="str">
        <f>IF(C817&lt;&gt;"", IFERROR(INDEX('بنود العقد'!D$3:D$388,C817), ""), "")</f>
        <v>عدد</v>
      </c>
      <c r="F817" s="9">
        <f>IF(C817&lt;&gt;"", IFERROR(INDEX('بنود العقد'!E$3:E$388,C817), 0), "")</f>
        <v>1044</v>
      </c>
      <c r="G817" s="9">
        <f>IF(C817&lt;&gt;"", IFERROR(INDEX('بنود العقد'!F$3:F$388,C817), 0), "")</f>
        <v>4</v>
      </c>
      <c r="H817" s="18">
        <f t="shared" si="36"/>
        <v>1</v>
      </c>
      <c r="I817" s="7">
        <v>1</v>
      </c>
      <c r="J817" s="18">
        <f t="shared" si="31"/>
        <v>2</v>
      </c>
      <c r="K817" s="10">
        <f t="shared" si="30"/>
        <v>1044</v>
      </c>
      <c r="L817" s="21">
        <f t="shared" si="35"/>
        <v>50</v>
      </c>
    </row>
    <row r="818" spans="1:12" s="72" customFormat="1" ht="25.95" customHeight="1">
      <c r="A818" s="12">
        <v>816</v>
      </c>
      <c r="B818" s="6">
        <v>16</v>
      </c>
      <c r="C818" s="6">
        <v>268</v>
      </c>
      <c r="D818" s="20" t="str">
        <f>IF(C818&lt;&gt;"", IFERROR(INDEX('بنود العقد'!B$3:B$388,C818),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A6</v>
      </c>
      <c r="E818" s="12" t="str">
        <f>IF(C818&lt;&gt;"", IFERROR(INDEX('بنود العقد'!D$3:D$388,C818), ""), "")</f>
        <v>عدد</v>
      </c>
      <c r="F818" s="9">
        <f>IF(C818&lt;&gt;"", IFERROR(INDEX('بنود العقد'!E$3:E$388,C818), 0), "")</f>
        <v>1044</v>
      </c>
      <c r="G818" s="9">
        <f>IF(C818&lt;&gt;"", IFERROR(INDEX('بنود العقد'!F$3:F$388,C818), 0), "")</f>
        <v>1</v>
      </c>
      <c r="H818" s="18">
        <f t="shared" si="36"/>
        <v>1</v>
      </c>
      <c r="I818" s="7">
        <v>1</v>
      </c>
      <c r="J818" s="18">
        <f t="shared" si="31"/>
        <v>2</v>
      </c>
      <c r="K818" s="10">
        <f t="shared" si="30"/>
        <v>1044</v>
      </c>
      <c r="L818" s="21">
        <f t="shared" si="35"/>
        <v>200</v>
      </c>
    </row>
    <row r="819" spans="1:12" s="72" customFormat="1" ht="25.95" customHeight="1">
      <c r="A819" s="12">
        <v>817</v>
      </c>
      <c r="B819" s="6">
        <v>16</v>
      </c>
      <c r="C819" s="6">
        <v>269</v>
      </c>
      <c r="D819" s="20" t="str">
        <f>IF(C819&lt;&gt;"", IFERROR(INDEX('بنود العقد'!B$3:B$388,C819),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A7</v>
      </c>
      <c r="E819" s="12" t="str">
        <f>IF(C819&lt;&gt;"", IFERROR(INDEX('بنود العقد'!D$3:D$388,C819), ""), "")</f>
        <v>عدد</v>
      </c>
      <c r="F819" s="9">
        <f>IF(C819&lt;&gt;"", IFERROR(INDEX('بنود العقد'!E$3:E$388,C819), 0), "")</f>
        <v>1044</v>
      </c>
      <c r="G819" s="9">
        <f>IF(C819&lt;&gt;"", IFERROR(INDEX('بنود العقد'!F$3:F$388,C819), 0), "")</f>
        <v>2</v>
      </c>
      <c r="H819" s="18">
        <f t="shared" si="36"/>
        <v>2</v>
      </c>
      <c r="I819" s="7">
        <v>1</v>
      </c>
      <c r="J819" s="18">
        <f t="shared" si="31"/>
        <v>3</v>
      </c>
      <c r="K819" s="10">
        <f t="shared" si="30"/>
        <v>1044</v>
      </c>
      <c r="L819" s="21">
        <f t="shared" si="35"/>
        <v>150</v>
      </c>
    </row>
    <row r="820" spans="1:12" s="72" customFormat="1" ht="25.95" customHeight="1">
      <c r="A820" s="12">
        <v>818</v>
      </c>
      <c r="B820" s="6">
        <v>16</v>
      </c>
      <c r="C820" s="6">
        <v>270</v>
      </c>
      <c r="D820" s="20" t="str">
        <f>IF(C820&lt;&gt;"", IFERROR(INDEX('بنود العقد'!B$3:B$388,C820),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A8</v>
      </c>
      <c r="E820" s="12" t="str">
        <f>IF(C820&lt;&gt;"", IFERROR(INDEX('بنود العقد'!D$3:D$388,C820), ""), "")</f>
        <v>عدد</v>
      </c>
      <c r="F820" s="9">
        <f>IF(C820&lt;&gt;"", IFERROR(INDEX('بنود العقد'!E$3:E$388,C820), 0), "")</f>
        <v>1044</v>
      </c>
      <c r="G820" s="9">
        <f>IF(C820&lt;&gt;"", IFERROR(INDEX('بنود العقد'!F$3:F$388,C820), 0), "")</f>
        <v>12</v>
      </c>
      <c r="H820" s="18">
        <f t="shared" si="36"/>
        <v>3</v>
      </c>
      <c r="I820" s="7">
        <v>3</v>
      </c>
      <c r="J820" s="18">
        <f t="shared" si="31"/>
        <v>6</v>
      </c>
      <c r="K820" s="10">
        <f t="shared" si="30"/>
        <v>3132</v>
      </c>
      <c r="L820" s="21">
        <f t="shared" si="35"/>
        <v>50</v>
      </c>
    </row>
    <row r="821" spans="1:12" s="72" customFormat="1" ht="25.95" customHeight="1">
      <c r="A821" s="12">
        <v>819</v>
      </c>
      <c r="B821" s="6">
        <v>16</v>
      </c>
      <c r="C821" s="6">
        <v>271</v>
      </c>
      <c r="D821" s="20" t="str">
        <f>IF(C821&lt;&gt;"", IFERROR(INDEX('بنود العقد'!B$3:B$388,C821),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v>
      </c>
      <c r="E821" s="12" t="str">
        <f>IF(C821&lt;&gt;"", IFERROR(INDEX('بنود العقد'!D$3:D$388,C821), ""), "")</f>
        <v>عدد</v>
      </c>
      <c r="F821" s="9">
        <f>IF(C821&lt;&gt;"", IFERROR(INDEX('بنود العقد'!E$3:E$388,C821), 0), "")</f>
        <v>1044</v>
      </c>
      <c r="G821" s="9">
        <f>IF(C821&lt;&gt;"", IFERROR(INDEX('بنود العقد'!F$3:F$388,C821), 0), "")</f>
        <v>4</v>
      </c>
      <c r="H821" s="18">
        <f t="shared" si="36"/>
        <v>1</v>
      </c>
      <c r="I821" s="7">
        <v>1</v>
      </c>
      <c r="J821" s="18">
        <f t="shared" si="31"/>
        <v>2</v>
      </c>
      <c r="K821" s="10">
        <f t="shared" si="30"/>
        <v>1044</v>
      </c>
      <c r="L821" s="21">
        <f t="shared" si="35"/>
        <v>50</v>
      </c>
    </row>
    <row r="822" spans="1:12" s="72" customFormat="1" ht="25.95" customHeight="1">
      <c r="A822" s="12">
        <v>820</v>
      </c>
      <c r="B822" s="6">
        <v>16</v>
      </c>
      <c r="C822" s="6">
        <v>272</v>
      </c>
      <c r="D822" s="20" t="str">
        <f>IF(C822&lt;&gt;"", IFERROR(INDEX('بنود العقد'!B$3:B$388,C822),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B1</v>
      </c>
      <c r="E822" s="12" t="str">
        <f>IF(C822&lt;&gt;"", IFERROR(INDEX('بنود العقد'!D$3:D$388,C822), ""), "")</f>
        <v>عدد</v>
      </c>
      <c r="F822" s="9">
        <f>IF(C822&lt;&gt;"", IFERROR(INDEX('بنود العقد'!E$3:E$388,C822), 0), "")</f>
        <v>720</v>
      </c>
      <c r="G822" s="9">
        <f>IF(C822&lt;&gt;"", IFERROR(INDEX('بنود العقد'!F$3:F$388,C822), 0), "")</f>
        <v>343</v>
      </c>
      <c r="H822" s="18">
        <f t="shared" si="36"/>
        <v>55</v>
      </c>
      <c r="I822" s="7">
        <v>10</v>
      </c>
      <c r="J822" s="18">
        <f t="shared" si="31"/>
        <v>65</v>
      </c>
      <c r="K822" s="10">
        <f t="shared" si="30"/>
        <v>7200</v>
      </c>
      <c r="L822" s="21">
        <f t="shared" si="35"/>
        <v>18.950437317784257</v>
      </c>
    </row>
    <row r="823" spans="1:12" s="72" customFormat="1" ht="25.95" customHeight="1">
      <c r="A823" s="12">
        <v>821</v>
      </c>
      <c r="B823" s="6">
        <v>16</v>
      </c>
      <c r="C823" s="6">
        <v>273</v>
      </c>
      <c r="D823" s="20" t="str">
        <f>IF(C823&lt;&gt;"", IFERROR(INDEX('بنود العقد'!B$3:B$388,C823),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B2</v>
      </c>
      <c r="E823" s="12" t="str">
        <f>IF(C823&lt;&gt;"", IFERROR(INDEX('بنود العقد'!D$3:D$388,C823), ""), "")</f>
        <v>عدد</v>
      </c>
      <c r="F823" s="9">
        <f>IF(C823&lt;&gt;"", IFERROR(INDEX('بنود العقد'!E$3:E$388,C823), 0), "")</f>
        <v>780</v>
      </c>
      <c r="G823" s="9">
        <f>IF(C823&lt;&gt;"", IFERROR(INDEX('بنود العقد'!F$3:F$388,C823), 0), "")</f>
        <v>54</v>
      </c>
      <c r="H823" s="18">
        <f t="shared" si="36"/>
        <v>2</v>
      </c>
      <c r="I823" s="7">
        <v>2</v>
      </c>
      <c r="J823" s="18">
        <f t="shared" si="31"/>
        <v>4</v>
      </c>
      <c r="K823" s="10">
        <f t="shared" si="30"/>
        <v>1560</v>
      </c>
      <c r="L823" s="21">
        <f t="shared" si="35"/>
        <v>7.4074074074074066</v>
      </c>
    </row>
    <row r="824" spans="1:12" s="72" customFormat="1" ht="25.95" customHeight="1">
      <c r="A824" s="12">
        <v>822</v>
      </c>
      <c r="B824" s="6">
        <v>16</v>
      </c>
      <c r="C824" s="6">
        <v>274</v>
      </c>
      <c r="D824" s="20" t="str">
        <f>IF(C824&lt;&gt;"", IFERROR(INDEX('بنود العقد'!B$3:B$388,C824),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C1</v>
      </c>
      <c r="E824" s="12" t="str">
        <f>IF(C824&lt;&gt;"", IFERROR(INDEX('بنود العقد'!D$3:D$388,C824), ""), "")</f>
        <v>عدد</v>
      </c>
      <c r="F824" s="9">
        <f>IF(C824&lt;&gt;"", IFERROR(INDEX('بنود العقد'!E$3:E$388,C824), 0), "")</f>
        <v>1128</v>
      </c>
      <c r="G824" s="9">
        <f>IF(C824&lt;&gt;"", IFERROR(INDEX('بنود العقد'!F$3:F$388,C824), 0), "")</f>
        <v>172</v>
      </c>
      <c r="H824" s="18">
        <f t="shared" si="36"/>
        <v>69</v>
      </c>
      <c r="I824" s="7">
        <v>20</v>
      </c>
      <c r="J824" s="18">
        <f t="shared" si="31"/>
        <v>89</v>
      </c>
      <c r="K824" s="10">
        <f t="shared" si="30"/>
        <v>22560</v>
      </c>
      <c r="L824" s="21">
        <f t="shared" si="35"/>
        <v>51.744186046511629</v>
      </c>
    </row>
    <row r="825" spans="1:12" s="72" customFormat="1" ht="25.95" customHeight="1">
      <c r="A825" s="12">
        <v>823</v>
      </c>
      <c r="B825" s="6">
        <v>16</v>
      </c>
      <c r="C825" s="6">
        <v>275</v>
      </c>
      <c r="D825" s="20" t="str">
        <f>IF(C825&lt;&gt;"", IFERROR(INDEX('بنود العقد'!B$3:B$388,C825),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v>
      </c>
      <c r="E825" s="12" t="str">
        <f>IF(C825&lt;&gt;"", IFERROR(INDEX('بنود العقد'!D$3:D$388,C825), ""), "")</f>
        <v>عدد</v>
      </c>
      <c r="F825" s="9">
        <f>IF(C825&lt;&gt;"", IFERROR(INDEX('بنود العقد'!E$3:E$388,C825), 0), "")</f>
        <v>420</v>
      </c>
      <c r="G825" s="9">
        <f>IF(C825&lt;&gt;"", IFERROR(INDEX('بنود العقد'!F$3:F$388,C825), 0), "")</f>
        <v>1422</v>
      </c>
      <c r="H825" s="18">
        <f t="shared" si="36"/>
        <v>775</v>
      </c>
      <c r="I825" s="7">
        <v>216</v>
      </c>
      <c r="J825" s="18">
        <f t="shared" si="31"/>
        <v>991</v>
      </c>
      <c r="K825" s="10">
        <f t="shared" si="30"/>
        <v>90720</v>
      </c>
      <c r="L825" s="21">
        <f t="shared" si="35"/>
        <v>69.690576652601962</v>
      </c>
    </row>
    <row r="826" spans="1:12" s="72" customFormat="1" ht="25.95" customHeight="1">
      <c r="A826" s="12">
        <v>824</v>
      </c>
      <c r="B826" s="6">
        <v>16</v>
      </c>
      <c r="C826" s="6">
        <v>276</v>
      </c>
      <c r="D826" s="20" t="str">
        <f>IF(C826&lt;&gt;"", IFERROR(INDEX('بنود العقد'!B$3:B$388,C826),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v>
      </c>
      <c r="E826" s="12" t="str">
        <f>IF(C826&lt;&gt;"", IFERROR(INDEX('بنود العقد'!D$3:D$388,C826), ""), "")</f>
        <v>عدد</v>
      </c>
      <c r="F826" s="9">
        <f>IF(C826&lt;&gt;"", IFERROR(INDEX('بنود العقد'!E$3:E$388,C826), 0), "")</f>
        <v>444</v>
      </c>
      <c r="G826" s="9">
        <f>IF(C826&lt;&gt;"", IFERROR(INDEX('بنود العقد'!F$3:F$388,C826), 0), "")</f>
        <v>1062</v>
      </c>
      <c r="H826" s="18">
        <f t="shared" si="36"/>
        <v>713</v>
      </c>
      <c r="I826" s="7">
        <v>135</v>
      </c>
      <c r="J826" s="18">
        <f t="shared" si="31"/>
        <v>848</v>
      </c>
      <c r="K826" s="10">
        <f t="shared" si="30"/>
        <v>59940</v>
      </c>
      <c r="L826" s="21">
        <f t="shared" si="35"/>
        <v>79.849340866290021</v>
      </c>
    </row>
    <row r="827" spans="1:12" s="72" customFormat="1" ht="25.95" customHeight="1">
      <c r="A827" s="12">
        <v>825</v>
      </c>
      <c r="B827" s="6">
        <v>16</v>
      </c>
      <c r="C827" s="6">
        <v>277</v>
      </c>
      <c r="D827" s="20" t="str">
        <f>IF(C827&lt;&gt;"", IFERROR(INDEX('بنود العقد'!B$3:B$388,C827),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v>
      </c>
      <c r="E827" s="12" t="str">
        <f>IF(C827&lt;&gt;"", IFERROR(INDEX('بنود العقد'!D$3:D$388,C827), ""), "")</f>
        <v>عدد</v>
      </c>
      <c r="F827" s="9">
        <f>IF(C827&lt;&gt;"", IFERROR(INDEX('بنود العقد'!E$3:E$388,C827), 0), "")</f>
        <v>300</v>
      </c>
      <c r="G827" s="9">
        <f>IF(C827&lt;&gt;"", IFERROR(INDEX('بنود العقد'!F$3:F$388,C827), 0), "")</f>
        <v>284</v>
      </c>
      <c r="H827" s="18">
        <f t="shared" si="36"/>
        <v>164</v>
      </c>
      <c r="I827" s="7">
        <v>36</v>
      </c>
      <c r="J827" s="18">
        <f t="shared" si="31"/>
        <v>200</v>
      </c>
      <c r="K827" s="10">
        <f t="shared" si="30"/>
        <v>10800</v>
      </c>
      <c r="L827" s="21">
        <f t="shared" si="35"/>
        <v>70.422535211267601</v>
      </c>
    </row>
    <row r="828" spans="1:12" s="72" customFormat="1" ht="25.95" customHeight="1">
      <c r="A828" s="12">
        <v>826</v>
      </c>
      <c r="B828" s="6">
        <v>16</v>
      </c>
      <c r="C828" s="6">
        <v>278</v>
      </c>
      <c r="D828" s="20" t="str">
        <f>IF(C828&lt;&gt;"", IFERROR(INDEX('بنود العقد'!B$3:B$388,C828),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C5</v>
      </c>
      <c r="E828" s="12" t="str">
        <f>IF(C828&lt;&gt;"", IFERROR(INDEX('بنود العقد'!D$3:D$388,C828), ""), "")</f>
        <v>عدد</v>
      </c>
      <c r="F828" s="9">
        <f>IF(C828&lt;&gt;"", IFERROR(INDEX('بنود العقد'!E$3:E$388,C828), 0), "")</f>
        <v>438</v>
      </c>
      <c r="G828" s="9">
        <f>IF(C828&lt;&gt;"", IFERROR(INDEX('بنود العقد'!F$3:F$388,C828), 0), "")</f>
        <v>149</v>
      </c>
      <c r="H828" s="18">
        <f t="shared" si="36"/>
        <v>92</v>
      </c>
      <c r="I828" s="7">
        <v>12</v>
      </c>
      <c r="J828" s="18">
        <f t="shared" si="31"/>
        <v>104</v>
      </c>
      <c r="K828" s="10">
        <f t="shared" si="30"/>
        <v>5256</v>
      </c>
      <c r="L828" s="21">
        <f t="shared" si="35"/>
        <v>69.798657718120808</v>
      </c>
    </row>
    <row r="829" spans="1:12" s="72" customFormat="1" ht="25.95" customHeight="1">
      <c r="A829" s="12">
        <v>827</v>
      </c>
      <c r="B829" s="6">
        <v>16</v>
      </c>
      <c r="C829" s="6">
        <v>279</v>
      </c>
      <c r="D829" s="20" t="str">
        <f>IF(C829&lt;&gt;"", IFERROR(INDEX('بنود العقد'!B$3:B$388,C829),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C6</v>
      </c>
      <c r="E829" s="12" t="str">
        <f>IF(C829&lt;&gt;"", IFERROR(INDEX('بنود العقد'!D$3:D$388,C829), ""), "")</f>
        <v>عدد</v>
      </c>
      <c r="F829" s="9">
        <f>IF(C829&lt;&gt;"", IFERROR(INDEX('بنود العقد'!E$3:E$388,C829), 0), "")</f>
        <v>288</v>
      </c>
      <c r="G829" s="9">
        <f>IF(C829&lt;&gt;"", IFERROR(INDEX('بنود العقد'!F$3:F$388,C829), 0), "")</f>
        <v>158</v>
      </c>
      <c r="H829" s="18">
        <f t="shared" si="36"/>
        <v>115</v>
      </c>
      <c r="I829" s="7">
        <v>22</v>
      </c>
      <c r="J829" s="18">
        <f t="shared" si="31"/>
        <v>137</v>
      </c>
      <c r="K829" s="10">
        <f t="shared" si="30"/>
        <v>6336</v>
      </c>
      <c r="L829" s="21">
        <f t="shared" si="35"/>
        <v>86.70886075949366</v>
      </c>
    </row>
    <row r="830" spans="1:12" s="72" customFormat="1" ht="25.95" customHeight="1">
      <c r="A830" s="12">
        <v>828</v>
      </c>
      <c r="B830" s="6">
        <v>16</v>
      </c>
      <c r="C830" s="6">
        <v>280</v>
      </c>
      <c r="D830" s="20" t="str">
        <f>IF(C830&lt;&gt;"", IFERROR(INDEX('بنود العقد'!B$3:B$388,C830),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C7</v>
      </c>
      <c r="E830" s="12" t="str">
        <f>IF(C830&lt;&gt;"", IFERROR(INDEX('بنود العقد'!D$3:D$388,C830), ""), "")</f>
        <v>عدد</v>
      </c>
      <c r="F830" s="9">
        <f>IF(C830&lt;&gt;"", IFERROR(INDEX('بنود العقد'!E$3:E$388,C830), 0), "")</f>
        <v>336</v>
      </c>
      <c r="G830" s="9">
        <f>IF(C830&lt;&gt;"", IFERROR(INDEX('بنود العقد'!F$3:F$388,C830), 0), "")</f>
        <v>27</v>
      </c>
      <c r="H830" s="18">
        <f t="shared" si="36"/>
        <v>7</v>
      </c>
      <c r="I830" s="7">
        <v>6</v>
      </c>
      <c r="J830" s="18">
        <f t="shared" si="31"/>
        <v>13</v>
      </c>
      <c r="K830" s="10">
        <f t="shared" si="30"/>
        <v>2016</v>
      </c>
      <c r="L830" s="21">
        <f t="shared" si="35"/>
        <v>48.148148148148145</v>
      </c>
    </row>
    <row r="831" spans="1:12" s="72" customFormat="1" ht="25.95" customHeight="1">
      <c r="A831" s="12">
        <v>829</v>
      </c>
      <c r="B831" s="6">
        <v>16</v>
      </c>
      <c r="C831" s="6">
        <v>281</v>
      </c>
      <c r="D831" s="20" t="str">
        <f>IF(C831&lt;&gt;"", IFERROR(INDEX('بنود العقد'!B$3:B$388,C831),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D1</v>
      </c>
      <c r="E831" s="12" t="str">
        <f>IF(C831&lt;&gt;"", IFERROR(INDEX('بنود العقد'!D$3:D$388,C831), ""), "")</f>
        <v>عدد</v>
      </c>
      <c r="F831" s="9">
        <f>IF(C831&lt;&gt;"", IFERROR(INDEX('بنود العقد'!E$3:E$388,C831), 0), "")</f>
        <v>936</v>
      </c>
      <c r="G831" s="9">
        <f>IF(C831&lt;&gt;"", IFERROR(INDEX('بنود العقد'!F$3:F$388,C831), 0), "")</f>
        <v>56</v>
      </c>
      <c r="H831" s="18">
        <f t="shared" si="36"/>
        <v>34</v>
      </c>
      <c r="I831" s="7">
        <v>5</v>
      </c>
      <c r="J831" s="18">
        <f t="shared" si="31"/>
        <v>39</v>
      </c>
      <c r="K831" s="10">
        <f t="shared" si="30"/>
        <v>4680</v>
      </c>
      <c r="L831" s="21">
        <f t="shared" si="35"/>
        <v>69.642857142857139</v>
      </c>
    </row>
    <row r="832" spans="1:12" s="72" customFormat="1" ht="25.95" customHeight="1">
      <c r="A832" s="12">
        <v>830</v>
      </c>
      <c r="B832" s="6">
        <v>16</v>
      </c>
      <c r="C832" s="6">
        <v>282</v>
      </c>
      <c r="D832" s="20" t="str">
        <f>IF(C832&lt;&gt;"", IFERROR(INDEX('بنود العقد'!B$3:B$388,C832),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D2</v>
      </c>
      <c r="E832" s="12" t="str">
        <f>IF(C832&lt;&gt;"", IFERROR(INDEX('بنود العقد'!D$3:D$388,C832), ""), "")</f>
        <v>عدد</v>
      </c>
      <c r="F832" s="9">
        <f>IF(C832&lt;&gt;"", IFERROR(INDEX('بنود العقد'!E$3:E$388,C832), 0), "")</f>
        <v>936</v>
      </c>
      <c r="G832" s="9">
        <f>IF(C832&lt;&gt;"", IFERROR(INDEX('بنود العقد'!F$3:F$388,C832), 0), "")</f>
        <v>20</v>
      </c>
      <c r="H832" s="18">
        <f t="shared" si="36"/>
        <v>5</v>
      </c>
      <c r="I832" s="7">
        <v>5</v>
      </c>
      <c r="J832" s="18">
        <f t="shared" si="31"/>
        <v>10</v>
      </c>
      <c r="K832" s="10">
        <f t="shared" si="30"/>
        <v>4680</v>
      </c>
      <c r="L832" s="21">
        <f t="shared" si="35"/>
        <v>50</v>
      </c>
    </row>
    <row r="833" spans="1:12" s="72" customFormat="1" ht="25.95" customHeight="1">
      <c r="A833" s="12">
        <v>831</v>
      </c>
      <c r="B833" s="6">
        <v>16</v>
      </c>
      <c r="C833" s="6">
        <v>283</v>
      </c>
      <c r="D833" s="20" t="str">
        <f>IF(C833&lt;&gt;"", IFERROR(INDEX('بنود العقد'!B$3:B$388,C833),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D3</v>
      </c>
      <c r="E833" s="12" t="str">
        <f>IF(C833&lt;&gt;"", IFERROR(INDEX('بنود العقد'!D$3:D$388,C833), ""), "")</f>
        <v>عدد</v>
      </c>
      <c r="F833" s="9">
        <f>IF(C833&lt;&gt;"", IFERROR(INDEX('بنود العقد'!E$3:E$388,C833), 0), "")</f>
        <v>288</v>
      </c>
      <c r="G833" s="9">
        <f>IF(C833&lt;&gt;"", IFERROR(INDEX('بنود العقد'!F$3:F$388,C833), 0), "")</f>
        <v>179</v>
      </c>
      <c r="H833" s="18">
        <f t="shared" si="36"/>
        <v>136</v>
      </c>
      <c r="I833" s="7">
        <v>25</v>
      </c>
      <c r="J833" s="18">
        <f t="shared" si="31"/>
        <v>161</v>
      </c>
      <c r="K833" s="10">
        <f t="shared" si="30"/>
        <v>7200</v>
      </c>
      <c r="L833" s="21">
        <f t="shared" si="35"/>
        <v>89.944134078212286</v>
      </c>
    </row>
    <row r="834" spans="1:12" s="72" customFormat="1" ht="25.95" customHeight="1">
      <c r="A834" s="12">
        <v>832</v>
      </c>
      <c r="B834" s="6">
        <v>16</v>
      </c>
      <c r="C834" s="6">
        <v>284</v>
      </c>
      <c r="D834" s="20" t="str">
        <f>IF(C834&lt;&gt;"", IFERROR(INDEX('بنود العقد'!B$3:B$388,C834),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D4</v>
      </c>
      <c r="E834" s="12" t="str">
        <f>IF(C834&lt;&gt;"", IFERROR(INDEX('بنود العقد'!D$3:D$388,C834), ""), "")</f>
        <v>عدد</v>
      </c>
      <c r="F834" s="9">
        <f>IF(C834&lt;&gt;"", IFERROR(INDEX('بنود العقد'!E$3:E$388,C834), 0), "")</f>
        <v>5400</v>
      </c>
      <c r="G834" s="9">
        <f>IF(C834&lt;&gt;"", IFERROR(INDEX('بنود العقد'!F$3:F$388,C834), 0), "")</f>
        <v>6</v>
      </c>
      <c r="H834" s="18">
        <f t="shared" si="36"/>
        <v>2</v>
      </c>
      <c r="I834" s="7">
        <v>2</v>
      </c>
      <c r="J834" s="18">
        <f t="shared" si="31"/>
        <v>4</v>
      </c>
      <c r="K834" s="10">
        <f t="shared" si="30"/>
        <v>10800</v>
      </c>
      <c r="L834" s="21">
        <f t="shared" si="35"/>
        <v>66.666666666666657</v>
      </c>
    </row>
    <row r="835" spans="1:12" s="72" customFormat="1" ht="25.95" customHeight="1">
      <c r="A835" s="12">
        <v>833</v>
      </c>
      <c r="B835" s="6">
        <v>16</v>
      </c>
      <c r="C835" s="6">
        <v>285</v>
      </c>
      <c r="D835" s="20" t="str">
        <f>IF(C835&lt;&gt;"", IFERROR(INDEX('بنود العقد'!B$3:B$388,C835),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E1</v>
      </c>
      <c r="E835" s="12" t="str">
        <f>IF(C835&lt;&gt;"", IFERROR(INDEX('بنود العقد'!D$3:D$388,C835), ""), "")</f>
        <v>عدد</v>
      </c>
      <c r="F835" s="9">
        <f>IF(C835&lt;&gt;"", IFERROR(INDEX('بنود العقد'!E$3:E$388,C835), 0), "")</f>
        <v>540</v>
      </c>
      <c r="G835" s="9">
        <f>IF(C835&lt;&gt;"", IFERROR(INDEX('بنود العقد'!F$3:F$388,C835), 0), "")</f>
        <v>12</v>
      </c>
      <c r="H835" s="18">
        <f t="shared" si="36"/>
        <v>3</v>
      </c>
      <c r="I835" s="7">
        <v>3</v>
      </c>
      <c r="J835" s="18">
        <f t="shared" si="31"/>
        <v>6</v>
      </c>
      <c r="K835" s="10">
        <f t="shared" si="30"/>
        <v>1620</v>
      </c>
      <c r="L835" s="21">
        <f t="shared" si="35"/>
        <v>50</v>
      </c>
    </row>
    <row r="836" spans="1:12" s="72" customFormat="1" ht="25.95" customHeight="1">
      <c r="A836" s="12">
        <v>834</v>
      </c>
      <c r="B836" s="6">
        <v>16</v>
      </c>
      <c r="C836" s="6">
        <v>286</v>
      </c>
      <c r="D836" s="20" t="str">
        <f>IF(C836&lt;&gt;"", IFERROR(INDEX('بنود العقد'!B$3:B$388,C836),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E2</v>
      </c>
      <c r="E836" s="12" t="str">
        <f>IF(C836&lt;&gt;"", IFERROR(INDEX('بنود العقد'!D$3:D$388,C836), ""), "")</f>
        <v>عدد</v>
      </c>
      <c r="F836" s="9">
        <f>IF(C836&lt;&gt;"", IFERROR(INDEX('بنود العقد'!E$3:E$388,C836), 0), "")</f>
        <v>504</v>
      </c>
      <c r="G836" s="9">
        <f>IF(C836&lt;&gt;"", IFERROR(INDEX('بنود العقد'!F$3:F$388,C836), 0), "")</f>
        <v>186</v>
      </c>
      <c r="H836" s="18">
        <f t="shared" si="36"/>
        <v>163</v>
      </c>
      <c r="I836" s="7">
        <v>20</v>
      </c>
      <c r="J836" s="18">
        <f t="shared" si="31"/>
        <v>183</v>
      </c>
      <c r="K836" s="10">
        <f t="shared" si="30"/>
        <v>10080</v>
      </c>
      <c r="L836" s="21">
        <f t="shared" si="35"/>
        <v>98.387096774193552</v>
      </c>
    </row>
    <row r="837" spans="1:12" s="72" customFormat="1" ht="25.95" customHeight="1">
      <c r="A837" s="12">
        <v>835</v>
      </c>
      <c r="B837" s="6">
        <v>16</v>
      </c>
      <c r="C837" s="6">
        <v>287</v>
      </c>
      <c r="D837" s="20" t="str">
        <f>IF(C837&lt;&gt;"", IFERROR(INDEX('بنود العقد'!B$3:B$388,C837),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E3</v>
      </c>
      <c r="E837" s="12" t="str">
        <f>IF(C837&lt;&gt;"", IFERROR(INDEX('بنود العقد'!D$3:D$388,C837), ""), "")</f>
        <v>عدد</v>
      </c>
      <c r="F837" s="9">
        <f>IF(C837&lt;&gt;"", IFERROR(INDEX('بنود العقد'!E$3:E$388,C837), 0), "")</f>
        <v>744</v>
      </c>
      <c r="G837" s="9">
        <f>IF(C837&lt;&gt;"", IFERROR(INDEX('بنود العقد'!F$3:F$388,C837), 0), "")</f>
        <v>260</v>
      </c>
      <c r="H837" s="18">
        <f t="shared" si="36"/>
        <v>65</v>
      </c>
      <c r="I837" s="7">
        <v>50</v>
      </c>
      <c r="J837" s="18">
        <f t="shared" si="31"/>
        <v>115</v>
      </c>
      <c r="K837" s="10">
        <f t="shared" si="30"/>
        <v>37200</v>
      </c>
      <c r="L837" s="21">
        <f t="shared" si="35"/>
        <v>44.230769230769226</v>
      </c>
    </row>
    <row r="838" spans="1:12" s="72" customFormat="1" ht="25.95" customHeight="1">
      <c r="A838" s="12">
        <v>836</v>
      </c>
      <c r="B838" s="6">
        <v>16</v>
      </c>
      <c r="C838" s="6">
        <v>288</v>
      </c>
      <c r="D838" s="20" t="str">
        <f>IF(C838&lt;&gt;"", IFERROR(INDEX('بنود العقد'!B$3:B$388,C838),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LB1</v>
      </c>
      <c r="E838" s="12" t="str">
        <f>IF(C838&lt;&gt;"", IFERROR(INDEX('بنود العقد'!D$3:D$388,C838), ""), "")</f>
        <v>م.ط</v>
      </c>
      <c r="F838" s="9">
        <f>IF(C838&lt;&gt;"", IFERROR(INDEX('بنود العقد'!E$3:E$388,C838), 0), "")</f>
        <v>170.4</v>
      </c>
      <c r="G838" s="9">
        <f>IF(C838&lt;&gt;"", IFERROR(INDEX('بنود العقد'!F$3:F$388,C838), 0), "")</f>
        <v>5772</v>
      </c>
      <c r="H838" s="18">
        <f t="shared" si="36"/>
        <v>3662</v>
      </c>
      <c r="I838" s="7">
        <v>340</v>
      </c>
      <c r="J838" s="18">
        <f t="shared" si="31"/>
        <v>4002</v>
      </c>
      <c r="K838" s="10">
        <f t="shared" si="30"/>
        <v>57936</v>
      </c>
      <c r="L838" s="21">
        <f t="shared" si="35"/>
        <v>69.334719334719324</v>
      </c>
    </row>
    <row r="839" spans="1:12" s="72" customFormat="1" ht="25.95" customHeight="1">
      <c r="A839" s="12">
        <v>837</v>
      </c>
      <c r="B839" s="6">
        <v>16</v>
      </c>
      <c r="C839" s="6">
        <v>289</v>
      </c>
      <c r="D839" s="20" t="str">
        <f>IF(C839&lt;&gt;"", IFERROR(INDEX('بنود العقد'!B$3:B$388,C839),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LB2</v>
      </c>
      <c r="E839" s="12" t="str">
        <f>IF(C839&lt;&gt;"", IFERROR(INDEX('بنود العقد'!D$3:D$388,C839), ""), "")</f>
        <v>عدد</v>
      </c>
      <c r="F839" s="9">
        <f>IF(C839&lt;&gt;"", IFERROR(INDEX('بنود العقد'!E$3:E$388,C839), 0), "")</f>
        <v>13800</v>
      </c>
      <c r="G839" s="9">
        <f>IF(C839&lt;&gt;"", IFERROR(INDEX('بنود العقد'!F$3:F$388,C839), 0), "")</f>
        <v>14</v>
      </c>
      <c r="H839" s="18">
        <f t="shared" si="36"/>
        <v>6</v>
      </c>
      <c r="I839" s="7">
        <v>1</v>
      </c>
      <c r="J839" s="18">
        <f t="shared" si="31"/>
        <v>7</v>
      </c>
      <c r="K839" s="10">
        <f t="shared" si="30"/>
        <v>13800</v>
      </c>
      <c r="L839" s="21">
        <f t="shared" si="35"/>
        <v>50</v>
      </c>
    </row>
    <row r="840" spans="1:12" s="72" customFormat="1" ht="25.95" customHeight="1">
      <c r="A840" s="12">
        <v>838</v>
      </c>
      <c r="B840" s="6">
        <v>16</v>
      </c>
      <c r="C840" s="6">
        <v>290</v>
      </c>
      <c r="D840" s="20" t="str">
        <f>IF(C840&lt;&gt;"", IFERROR(INDEX('بنود العقد'!B$3:B$388,C840),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LB3</v>
      </c>
      <c r="E840" s="12" t="str">
        <f>IF(C840&lt;&gt;"", IFERROR(INDEX('بنود العقد'!D$3:D$388,C840), ""), "")</f>
        <v>عدد</v>
      </c>
      <c r="F840" s="9">
        <f>IF(C840&lt;&gt;"", IFERROR(INDEX('بنود العقد'!E$3:E$388,C840), 0), "")</f>
        <v>900</v>
      </c>
      <c r="G840" s="9">
        <f>IF(C840&lt;&gt;"", IFERROR(INDEX('بنود العقد'!F$3:F$388,C840), 0), "")</f>
        <v>237</v>
      </c>
      <c r="H840" s="18">
        <f t="shared" si="36"/>
        <v>108</v>
      </c>
      <c r="I840" s="7">
        <v>20</v>
      </c>
      <c r="J840" s="18">
        <f t="shared" si="31"/>
        <v>128</v>
      </c>
      <c r="K840" s="10">
        <f t="shared" si="30"/>
        <v>18000</v>
      </c>
      <c r="L840" s="21">
        <f t="shared" si="35"/>
        <v>54.008438818565395</v>
      </c>
    </row>
    <row r="841" spans="1:12" s="72" customFormat="1" ht="25.95" customHeight="1">
      <c r="A841" s="12">
        <v>839</v>
      </c>
      <c r="B841" s="6">
        <v>16</v>
      </c>
      <c r="C841" s="6">
        <v>291</v>
      </c>
      <c r="D841" s="20" t="str">
        <f>IF(C841&lt;&gt;"", IFERROR(INDEX('بنود العقد'!B$3:B$388,C841),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LB4</v>
      </c>
      <c r="E841" s="12" t="str">
        <f>IF(C841&lt;&gt;"", IFERROR(INDEX('بنود العقد'!D$3:D$388,C841), ""), "")</f>
        <v>عدد</v>
      </c>
      <c r="F841" s="9">
        <f>IF(C841&lt;&gt;"", IFERROR(INDEX('بنود العقد'!E$3:E$388,C841), 0), "")</f>
        <v>1104</v>
      </c>
      <c r="G841" s="9">
        <f>IF(C841&lt;&gt;"", IFERROR(INDEX('بنود العقد'!F$3:F$388,C841), 0), "")</f>
        <v>132</v>
      </c>
      <c r="H841" s="18">
        <f t="shared" si="36"/>
        <v>73</v>
      </c>
      <c r="I841" s="7">
        <v>20</v>
      </c>
      <c r="J841" s="18">
        <f t="shared" si="31"/>
        <v>93</v>
      </c>
      <c r="K841" s="10">
        <f t="shared" si="30"/>
        <v>22080</v>
      </c>
      <c r="L841" s="21">
        <f t="shared" si="35"/>
        <v>70.454545454545453</v>
      </c>
    </row>
    <row r="842" spans="1:12" s="72" customFormat="1" ht="25.95" customHeight="1">
      <c r="A842" s="12">
        <v>840</v>
      </c>
      <c r="B842" s="6">
        <v>16</v>
      </c>
      <c r="C842" s="6">
        <v>292</v>
      </c>
      <c r="D842" s="20" t="str">
        <f>IF(C842&lt;&gt;"", IFERROR(INDEX('بنود العقد'!B$3:B$388,C842), "⚠"), "")</f>
        <v xml:space="preserve"> توريد وتركيب وتوصيل وإختبار وفحص اجهزة الإنارة ويشمل اللمبات وأقواس التركيب وحبال التعليق وعلبEMT أو PVC  وقطع الأكسسوار و ايضا نقاط الانارة متضمنة مواسير/أقنية قاسية عالية التحمل ذات أسلاك لاتقل عن 0.4 مم2 لنقطة الإنارة وتوصيل أطراف أسلاك التأريض،وكل الأعمال المساعدة كما.هو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LB5</v>
      </c>
      <c r="E842" s="12" t="str">
        <f>IF(C842&lt;&gt;"", IFERROR(INDEX('بنود العقد'!D$3:D$388,C842), ""), "")</f>
        <v>م.ط</v>
      </c>
      <c r="F842" s="9">
        <f>IF(C842&lt;&gt;"", IFERROR(INDEX('بنود العقد'!E$3:E$388,C842), 0), "")</f>
        <v>174</v>
      </c>
      <c r="G842" s="9">
        <f>IF(C842&lt;&gt;"", IFERROR(INDEX('بنود العقد'!F$3:F$388,C842), 0), "")</f>
        <v>263</v>
      </c>
      <c r="H842" s="18">
        <f t="shared" si="36"/>
        <v>318</v>
      </c>
      <c r="I842" s="7">
        <v>30</v>
      </c>
      <c r="J842" s="18">
        <f t="shared" si="31"/>
        <v>348</v>
      </c>
      <c r="K842" s="10">
        <f t="shared" si="30"/>
        <v>5220</v>
      </c>
      <c r="L842" s="21">
        <f t="shared" si="35"/>
        <v>132.31939163498097</v>
      </c>
    </row>
    <row r="843" spans="1:12" s="72" customFormat="1" ht="25.95" customHeight="1">
      <c r="A843" s="12">
        <v>841</v>
      </c>
      <c r="B843" s="6">
        <v>16</v>
      </c>
      <c r="C843" s="6">
        <v>293</v>
      </c>
      <c r="D843" s="20" t="str">
        <f>IF(C843&lt;&gt;"", IFERROR(INDEX('بنود العقد'!B$3:B$388,C843),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LB6</v>
      </c>
      <c r="E843" s="12" t="str">
        <f>IF(C843&lt;&gt;"", IFERROR(INDEX('بنود العقد'!D$3:D$388,C843), ""), "")</f>
        <v>م.ط</v>
      </c>
      <c r="F843" s="9">
        <f>IF(C843&lt;&gt;"", IFERROR(INDEX('بنود العقد'!E$3:E$388,C843), 0), "")</f>
        <v>174</v>
      </c>
      <c r="G843" s="9">
        <f>IF(C843&lt;&gt;"", IFERROR(INDEX('بنود العقد'!F$3:F$388,C843), 0), "")</f>
        <v>25</v>
      </c>
      <c r="H843" s="18">
        <f t="shared" si="36"/>
        <v>27</v>
      </c>
      <c r="I843" s="7">
        <v>25</v>
      </c>
      <c r="J843" s="18">
        <f t="shared" si="31"/>
        <v>52</v>
      </c>
      <c r="K843" s="10">
        <f t="shared" si="30"/>
        <v>4350</v>
      </c>
      <c r="L843" s="21">
        <f t="shared" si="35"/>
        <v>208</v>
      </c>
    </row>
    <row r="844" spans="1:12" s="72" customFormat="1" ht="25.95" customHeight="1">
      <c r="A844" s="12">
        <v>842</v>
      </c>
      <c r="B844" s="6">
        <v>16</v>
      </c>
      <c r="C844" s="6">
        <v>295</v>
      </c>
      <c r="D844" s="20" t="str">
        <f>IF(C844&lt;&gt;"", IFERROR(INDEX('بنود العقد'!B$3:B$388,C844),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ES-1</v>
      </c>
      <c r="E844" s="12" t="str">
        <f>IF(C844&lt;&gt;"", IFERROR(INDEX('بنود العقد'!D$3:D$388,C844), ""), "")</f>
        <v>عدد</v>
      </c>
      <c r="F844" s="9">
        <f>IF(C844&lt;&gt;"", IFERROR(INDEX('بنود العقد'!E$3:E$388,C844), 0), "")</f>
        <v>360</v>
      </c>
      <c r="G844" s="9">
        <f>IF(C844&lt;&gt;"", IFERROR(INDEX('بنود العقد'!F$3:F$388,C844), 0), "")</f>
        <v>430</v>
      </c>
      <c r="H844" s="18">
        <f t="shared" si="36"/>
        <v>157</v>
      </c>
      <c r="I844" s="7">
        <v>20</v>
      </c>
      <c r="J844" s="18">
        <f t="shared" si="31"/>
        <v>177</v>
      </c>
      <c r="K844" s="10">
        <f t="shared" si="30"/>
        <v>7200</v>
      </c>
      <c r="L844" s="21">
        <f t="shared" si="35"/>
        <v>41.162790697674417</v>
      </c>
    </row>
    <row r="845" spans="1:12" s="72" customFormat="1" ht="25.95" customHeight="1">
      <c r="A845" s="12">
        <v>843</v>
      </c>
      <c r="B845" s="6">
        <v>16</v>
      </c>
      <c r="C845" s="6">
        <v>298</v>
      </c>
      <c r="D845" s="20" t="str">
        <f>IF(C845&lt;&gt;"", IFERROR(INDEX('بنود العقد'!B$3:B$388,C845),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P1</v>
      </c>
      <c r="E845" s="12" t="str">
        <f>IF(C845&lt;&gt;"", IFERROR(INDEX('بنود العقد'!D$3:D$388,C845), ""), "")</f>
        <v>عدد</v>
      </c>
      <c r="F845" s="9">
        <f>IF(C845&lt;&gt;"", IFERROR(INDEX('بنود العقد'!E$3:E$388,C845), 0), "")</f>
        <v>420</v>
      </c>
      <c r="G845" s="9">
        <f>IF(C845&lt;&gt;"", IFERROR(INDEX('بنود العقد'!F$3:F$388,C845), 0), "")</f>
        <v>75</v>
      </c>
      <c r="H845" s="18">
        <f t="shared" si="36"/>
        <v>52</v>
      </c>
      <c r="I845" s="7">
        <v>10</v>
      </c>
      <c r="J845" s="18">
        <f t="shared" si="31"/>
        <v>62</v>
      </c>
      <c r="K845" s="10">
        <f t="shared" si="30"/>
        <v>4200</v>
      </c>
      <c r="L845" s="21">
        <f t="shared" si="35"/>
        <v>82.666666666666671</v>
      </c>
    </row>
    <row r="846" spans="1:12" s="72" customFormat="1" ht="25.95" customHeight="1">
      <c r="A846" s="12">
        <v>844</v>
      </c>
      <c r="B846" s="6">
        <v>16</v>
      </c>
      <c r="C846" s="6">
        <v>299</v>
      </c>
      <c r="D846" s="20" t="str">
        <f>IF(C846&lt;&gt;"", IFERROR(INDEX('بنود العقد'!B$3:B$388,C846),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T1</v>
      </c>
      <c r="E846" s="12" t="str">
        <f>IF(C846&lt;&gt;"", IFERROR(INDEX('بنود العقد'!D$3:D$388,C846), ""), "")</f>
        <v>عدد</v>
      </c>
      <c r="F846" s="9">
        <f>IF(C846&lt;&gt;"", IFERROR(INDEX('بنود العقد'!E$3:E$388,C846), 0), "")</f>
        <v>744</v>
      </c>
      <c r="G846" s="9">
        <f>IF(C846&lt;&gt;"", IFERROR(INDEX('بنود العقد'!F$3:F$388,C846), 0), "")</f>
        <v>1146</v>
      </c>
      <c r="H846" s="18">
        <f t="shared" si="36"/>
        <v>569</v>
      </c>
      <c r="I846" s="7">
        <v>50</v>
      </c>
      <c r="J846" s="18">
        <f t="shared" si="31"/>
        <v>619</v>
      </c>
      <c r="K846" s="10">
        <f t="shared" si="30"/>
        <v>37200</v>
      </c>
      <c r="L846" s="21">
        <f t="shared" si="35"/>
        <v>54.01396160558464</v>
      </c>
    </row>
    <row r="847" spans="1:12" s="72" customFormat="1" ht="25.95" customHeight="1">
      <c r="A847" s="12">
        <v>845</v>
      </c>
      <c r="B847" s="6">
        <v>16</v>
      </c>
      <c r="C847" s="6">
        <v>300</v>
      </c>
      <c r="D847" s="20" t="str">
        <f>IF(C847&lt;&gt;"", IFERROR(INDEX('بنود العقد'!B$3:B$388,C847),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CH-1</v>
      </c>
      <c r="E847" s="12" t="str">
        <f>IF(C847&lt;&gt;"", IFERROR(INDEX('بنود العقد'!D$3:D$388,C847), ""), "")</f>
        <v>عدد</v>
      </c>
      <c r="F847" s="9">
        <f>IF(C847&lt;&gt;"", IFERROR(INDEX('بنود العقد'!E$3:E$388,C847), 0), "")</f>
        <v>14400</v>
      </c>
      <c r="G847" s="9">
        <f>IF(C847&lt;&gt;"", IFERROR(INDEX('بنود العقد'!F$3:F$388,C847), 0), "")</f>
        <v>4</v>
      </c>
      <c r="H847" s="18">
        <f t="shared" si="36"/>
        <v>1</v>
      </c>
      <c r="I847" s="7">
        <v>1</v>
      </c>
      <c r="J847" s="18">
        <f t="shared" si="31"/>
        <v>2</v>
      </c>
      <c r="K847" s="10">
        <f t="shared" si="30"/>
        <v>14400</v>
      </c>
      <c r="L847" s="21">
        <f t="shared" si="35"/>
        <v>50</v>
      </c>
    </row>
    <row r="848" spans="1:12" s="72" customFormat="1" ht="25.95" customHeight="1">
      <c r="A848" s="12">
        <v>846</v>
      </c>
      <c r="B848" s="6">
        <v>16</v>
      </c>
      <c r="C848" s="6">
        <v>301</v>
      </c>
      <c r="D848" s="20" t="str">
        <f>IF(C848&lt;&gt;"", IFERROR(INDEX('بنود العقد'!B$3:B$388,C848),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CH-2</v>
      </c>
      <c r="E848" s="12" t="str">
        <f>IF(C848&lt;&gt;"", IFERROR(INDEX('بنود العقد'!D$3:D$388,C848), ""), "")</f>
        <v>عدد</v>
      </c>
      <c r="F848" s="9">
        <f>IF(C848&lt;&gt;"", IFERROR(INDEX('بنود العقد'!E$3:E$388,C848), 0), "")</f>
        <v>4200</v>
      </c>
      <c r="G848" s="9">
        <f>IF(C848&lt;&gt;"", IFERROR(INDEX('بنود العقد'!F$3:F$388,C848), 0), "")</f>
        <v>6</v>
      </c>
      <c r="H848" s="18">
        <f t="shared" si="36"/>
        <v>2</v>
      </c>
      <c r="I848" s="7">
        <v>1</v>
      </c>
      <c r="J848" s="18">
        <f t="shared" si="31"/>
        <v>3</v>
      </c>
      <c r="K848" s="10">
        <f t="shared" si="30"/>
        <v>4200</v>
      </c>
      <c r="L848" s="21">
        <f t="shared" si="35"/>
        <v>50</v>
      </c>
    </row>
    <row r="849" spans="1:12" s="72" customFormat="1" ht="25.95" customHeight="1">
      <c r="A849" s="12">
        <v>847</v>
      </c>
      <c r="B849" s="6">
        <v>17</v>
      </c>
      <c r="C849" s="6">
        <v>22</v>
      </c>
      <c r="D849" s="20" t="str">
        <f>IF(C849&lt;&gt;"", IFERROR(INDEX('بنود العقد'!B$3:B$388,C849), "⚠"), "")</f>
        <v>توريد وتركيب وزرات خشب )Mdf( مع قشرة جوز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 .Ref drawing: 07-MRA-DD-(as per floor number)-AR-301</v>
      </c>
      <c r="E849" s="12" t="str">
        <f>IF(C849&lt;&gt;"", IFERROR(INDEX('بنود العقد'!D$3:D$388,C849), ""), "")</f>
        <v>م.ط</v>
      </c>
      <c r="F849" s="9">
        <f>IF(C849&lt;&gt;"", IFERROR(INDEX('بنود العقد'!E$3:E$388,C849), 0), "")</f>
        <v>42</v>
      </c>
      <c r="G849" s="9">
        <f>IF(C849&lt;&gt;"", IFERROR(INDEX('بنود العقد'!F$3:F$388,C849), 0), "")</f>
        <v>4532</v>
      </c>
      <c r="H849" s="18">
        <f t="shared" si="36"/>
        <v>1200</v>
      </c>
      <c r="I849" s="7">
        <v>354</v>
      </c>
      <c r="J849" s="18">
        <f t="shared" si="31"/>
        <v>1554</v>
      </c>
      <c r="K849" s="10">
        <f t="shared" si="30"/>
        <v>14868</v>
      </c>
      <c r="L849" s="21">
        <f t="shared" si="35"/>
        <v>34.28949691085613</v>
      </c>
    </row>
    <row r="850" spans="1:12" s="72" customFormat="1" ht="25.95" customHeight="1">
      <c r="A850" s="12">
        <v>848</v>
      </c>
      <c r="B850" s="6">
        <v>17</v>
      </c>
      <c r="C850" s="6">
        <v>23</v>
      </c>
      <c r="D850" s="20" t="str">
        <f>IF(C850&lt;&gt;"", IFERROR(INDEX('بنود العقد'!B$3:B$388,C850), "⚠"), "")</f>
        <v>توريد وتركيب وزرات خشب )Mdf( مع قشرة ،وينغي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المشرفRef drawing: 07-MRA-DD-(as per floor number)-AR-301</v>
      </c>
      <c r="E850" s="12" t="str">
        <f>IF(C850&lt;&gt;"", IFERROR(INDEX('بنود العقد'!D$3:D$388,C850), ""), "")</f>
        <v>م.ط</v>
      </c>
      <c r="F850" s="9">
        <f>IF(C850&lt;&gt;"", IFERROR(INDEX('بنود العقد'!E$3:E$388,C850), 0), "")</f>
        <v>42</v>
      </c>
      <c r="G850" s="9">
        <f>IF(C850&lt;&gt;"", IFERROR(INDEX('بنود العقد'!F$3:F$388,C850), 0), "")</f>
        <v>700</v>
      </c>
      <c r="H850" s="18">
        <f t="shared" si="36"/>
        <v>0</v>
      </c>
      <c r="I850" s="7">
        <v>425</v>
      </c>
      <c r="J850" s="18">
        <f t="shared" si="31"/>
        <v>425</v>
      </c>
      <c r="K850" s="10">
        <f t="shared" si="30"/>
        <v>17850</v>
      </c>
      <c r="L850" s="21">
        <f t="shared" si="35"/>
        <v>60.714285714285708</v>
      </c>
    </row>
    <row r="851" spans="1:12" s="72" customFormat="1" ht="25.95" customHeight="1">
      <c r="A851" s="12">
        <v>849</v>
      </c>
      <c r="B851" s="6">
        <v>17</v>
      </c>
      <c r="C851" s="6">
        <v>25</v>
      </c>
      <c r="D851" s="20" t="str">
        <f>IF(C851&lt;&gt;"", IFERROR(INDEX('بنود العقد'!B$3:B$388,C851), "⚠"), "")</f>
        <v>تصنيع وتركيب لوح خشبي بشكل طولي من  الـ )Mdf(  مع قشرة الجوز او ما يتناسب مع العينة المتفق عليها طول 25سم وعرض 10سم وارتفاع 270 سم الى جانب الابواب الزجاجية حسب المناظير والرسومات وتعليمات المهندس المشرف.Code: WDP2-08</v>
      </c>
      <c r="E851" s="12" t="str">
        <f>IF(C851&lt;&gt;"", IFERROR(INDEX('بنود العقد'!D$3:D$388,C851), ""), "")</f>
        <v>عدد</v>
      </c>
      <c r="F851" s="9">
        <f>IF(C851&lt;&gt;"", IFERROR(INDEX('بنود العقد'!E$3:E$388,C851), 0), "")</f>
        <v>240</v>
      </c>
      <c r="G851" s="9">
        <f>IF(C851&lt;&gt;"", IFERROR(INDEX('بنود العقد'!F$3:F$388,C851), 0), "")</f>
        <v>248</v>
      </c>
      <c r="H851" s="18">
        <f t="shared" si="36"/>
        <v>176</v>
      </c>
      <c r="I851" s="7">
        <v>36</v>
      </c>
      <c r="J851" s="18">
        <f t="shared" si="31"/>
        <v>212</v>
      </c>
      <c r="K851" s="10">
        <f t="shared" si="30"/>
        <v>8640</v>
      </c>
      <c r="L851" s="21">
        <f t="shared" si="35"/>
        <v>85.483870967741936</v>
      </c>
    </row>
    <row r="852" spans="1:12" s="72" customFormat="1" ht="25.95" customHeight="1">
      <c r="A852" s="12">
        <v>850</v>
      </c>
      <c r="B852" s="6">
        <v>17</v>
      </c>
      <c r="C852" s="6">
        <v>26</v>
      </c>
      <c r="D852" s="20" t="str">
        <f>IF(C852&lt;&gt;"", IFERROR(INDEX('بنود العقد'!B$3:B$388,C852),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العامود الخرساني بدهان رمادي على شكل وهيئة الأسطح الاسمنتية )matt( بتصميم مع غروف حسب الرسومات والمناظير وتعليمات المهندس المشرف.Code: WDP3-04</v>
      </c>
      <c r="E852" s="12" t="str">
        <f>IF(C852&lt;&gt;"", IFERROR(INDEX('بنود العقد'!D$3:D$388,C852), ""), "")</f>
        <v>م2</v>
      </c>
      <c r="F852" s="9">
        <f>IF(C852&lt;&gt;"", IFERROR(INDEX('بنود العقد'!E$3:E$388,C852), 0), "")</f>
        <v>528</v>
      </c>
      <c r="G852" s="9">
        <f>IF(C852&lt;&gt;"", IFERROR(INDEX('بنود العقد'!F$3:F$388,C852), 0), "")</f>
        <v>345</v>
      </c>
      <c r="H852" s="18">
        <f t="shared" si="36"/>
        <v>286</v>
      </c>
      <c r="I852" s="7">
        <v>28</v>
      </c>
      <c r="J852" s="18">
        <f t="shared" si="31"/>
        <v>314</v>
      </c>
      <c r="K852" s="10">
        <f t="shared" si="30"/>
        <v>14784</v>
      </c>
      <c r="L852" s="21">
        <f t="shared" si="35"/>
        <v>91.014492753623188</v>
      </c>
    </row>
    <row r="853" spans="1:12" s="72" customFormat="1" ht="25.95" customHeight="1">
      <c r="A853" s="12">
        <v>851</v>
      </c>
      <c r="B853" s="6">
        <v>17</v>
      </c>
      <c r="C853" s="6">
        <v>27</v>
      </c>
      <c r="D853" s="20" t="str">
        <f>IF(C853&lt;&gt;"", IFERROR(INDEX('بنود العقد'!B$3:B$388,C853),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القواطع الجبسية بدهان رمادي بيج  )matt( ، وبتصميم مع غروف حسب الرسومات والمناظير وتعليمات المهندس المشرف.Code: WPD4-01,WDP4-01.A</v>
      </c>
      <c r="E853" s="12" t="str">
        <f>IF(C853&lt;&gt;"", IFERROR(INDEX('بنود العقد'!D$3:D$388,C853), ""), "")</f>
        <v>م2</v>
      </c>
      <c r="F853" s="9">
        <f>IF(C853&lt;&gt;"", IFERROR(INDEX('بنود العقد'!E$3:E$388,C853), 0), "")</f>
        <v>528</v>
      </c>
      <c r="G853" s="9">
        <f>IF(C853&lt;&gt;"", IFERROR(INDEX('بنود العقد'!F$3:F$388,C853), 0), "")</f>
        <v>331</v>
      </c>
      <c r="H853" s="18">
        <f t="shared" si="36"/>
        <v>311</v>
      </c>
      <c r="I853" s="7">
        <v>64</v>
      </c>
      <c r="J853" s="18">
        <f t="shared" si="31"/>
        <v>375</v>
      </c>
      <c r="K853" s="10">
        <f t="shared" si="30"/>
        <v>33792</v>
      </c>
      <c r="L853" s="21">
        <f t="shared" si="35"/>
        <v>113.29305135951661</v>
      </c>
    </row>
    <row r="854" spans="1:12" s="72" customFormat="1" ht="25.95" customHeight="1">
      <c r="A854" s="12">
        <v>852</v>
      </c>
      <c r="B854" s="6">
        <v>17</v>
      </c>
      <c r="C854" s="6">
        <v>28</v>
      </c>
      <c r="D854" s="20" t="str">
        <f>IF(C854&lt;&gt;"", IFERROR(INDEX('بنود العقد'!B$3:B$388,C854),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مثبتة على القواطع الجبسية مع قشرة صناعية بحسب العينة الموافق عليها وغروف حسب الرسومات والمناظير وتعليمات المهندس المشرفCode: WDP2</v>
      </c>
      <c r="E854" s="12" t="str">
        <f>IF(C854&lt;&gt;"", IFERROR(INDEX('بنود العقد'!D$3:D$388,C854), ""), "")</f>
        <v>م2</v>
      </c>
      <c r="F854" s="9">
        <f>IF(C854&lt;&gt;"", IFERROR(INDEX('بنود العقد'!E$3:E$388,C854), 0), "")</f>
        <v>528</v>
      </c>
      <c r="G854" s="9">
        <f>IF(C854&lt;&gt;"", IFERROR(INDEX('بنود العقد'!F$3:F$388,C854), 0), "")</f>
        <v>2517</v>
      </c>
      <c r="H854" s="18">
        <f t="shared" si="36"/>
        <v>2344</v>
      </c>
      <c r="I854" s="7">
        <v>304</v>
      </c>
      <c r="J854" s="18">
        <f t="shared" si="31"/>
        <v>2648</v>
      </c>
      <c r="K854" s="10">
        <f t="shared" si="30"/>
        <v>160512</v>
      </c>
      <c r="L854" s="21">
        <f t="shared" si="35"/>
        <v>105.20460866110449</v>
      </c>
    </row>
    <row r="855" spans="1:12" s="72" customFormat="1" ht="25.95" customHeight="1">
      <c r="A855" s="12">
        <v>853</v>
      </c>
      <c r="B855" s="6">
        <v>17</v>
      </c>
      <c r="C855" s="6">
        <v>29</v>
      </c>
      <c r="D855" s="20" t="str">
        <f>IF(C855&lt;&gt;"", IFERROR(INDEX('بنود العقد'!B$3:B$388,C855),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االقواطع الجبسية بدهان رمادي على شكل وهيئة الأسطح الاسمنتية ) matt( مع تصميم بفتحات حسب الرسومات والمناظير وتعليمات المهندس المشرف.Code: WDP3-01, WDP3-02, WDP3-03</v>
      </c>
      <c r="E855" s="12" t="str">
        <f>IF(C855&lt;&gt;"", IFERROR(INDEX('بنود العقد'!D$3:D$388,C855), ""), "")</f>
        <v>م2</v>
      </c>
      <c r="F855" s="9">
        <f>IF(C855&lt;&gt;"", IFERROR(INDEX('بنود العقد'!E$3:E$388,C855), 0), "")</f>
        <v>528</v>
      </c>
      <c r="G855" s="9">
        <f>IF(C855&lt;&gt;"", IFERROR(INDEX('بنود العقد'!F$3:F$388,C855), 0), "")</f>
        <v>846</v>
      </c>
      <c r="H855" s="18">
        <f t="shared" si="36"/>
        <v>768</v>
      </c>
      <c r="I855" s="7">
        <v>70</v>
      </c>
      <c r="J855" s="18">
        <f t="shared" si="31"/>
        <v>838</v>
      </c>
      <c r="K855" s="10">
        <f t="shared" si="30"/>
        <v>36960</v>
      </c>
      <c r="L855" s="21">
        <f t="shared" si="35"/>
        <v>99.054373522458633</v>
      </c>
    </row>
    <row r="856" spans="1:12" s="72" customFormat="1" ht="25.95" customHeight="1">
      <c r="A856" s="12">
        <v>854</v>
      </c>
      <c r="B856" s="6">
        <v>17</v>
      </c>
      <c r="C856" s="6">
        <v>30</v>
      </c>
      <c r="D856" s="20" t="str">
        <f>IF(C856&lt;&gt;"", IFERROR(INDEX('بنود العقد'!B$3:B$388,C856),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مع قشرة السنديان المطلي بدهان ابيض  مع غروف وفتحات إضاءة مخفية مغلفة من الداخل بطبقة Acrylic مغشى  حسب الرسومات والمناظير وتعليمات المهندس المشرف.Code: WDP1-03, WDP1-04, WDP1-05, WDP1-06</v>
      </c>
      <c r="E856" s="12" t="str">
        <f>IF(C856&lt;&gt;"", IFERROR(INDEX('بنود العقد'!D$3:D$388,C856), ""), "")</f>
        <v>م2</v>
      </c>
      <c r="F856" s="9">
        <f>IF(C856&lt;&gt;"", IFERROR(INDEX('بنود العقد'!E$3:E$388,C856), 0), "")</f>
        <v>570</v>
      </c>
      <c r="G856" s="9">
        <f>IF(C856&lt;&gt;"", IFERROR(INDEX('بنود العقد'!F$3:F$388,C856), 0), "")</f>
        <v>456</v>
      </c>
      <c r="H856" s="18">
        <f t="shared" si="36"/>
        <v>384</v>
      </c>
      <c r="I856" s="7">
        <v>31</v>
      </c>
      <c r="J856" s="18">
        <f t="shared" si="31"/>
        <v>415</v>
      </c>
      <c r="K856" s="10">
        <f t="shared" si="30"/>
        <v>17670</v>
      </c>
      <c r="L856" s="21">
        <f t="shared" si="35"/>
        <v>91.008771929824562</v>
      </c>
    </row>
    <row r="857" spans="1:12" s="72" customFormat="1" ht="25.95" customHeight="1">
      <c r="A857" s="12">
        <v>855</v>
      </c>
      <c r="B857" s="6">
        <v>17</v>
      </c>
      <c r="C857" s="6">
        <v>33</v>
      </c>
      <c r="D857" s="20" t="str">
        <f>IF(C857&lt;&gt;"", IFERROR(INDEX('بنود العقد'!B$3:B$388,C857),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number)-AR-600 to 07-MRA-DD (as per floor number)-AR-604كسوة من خشب الـ) Mdf(  ، مع قشرة  )walnut( لمدخل كبار الشخصيات ومكتب مدير مكتب معالي الوزير     حسب الرسومات والمناظير وتعليمات المهندس المشرف.Code: WDP7</v>
      </c>
      <c r="E857" s="12" t="str">
        <f>IF(C857&lt;&gt;"", IFERROR(INDEX('بنود العقد'!D$3:D$388,C857), ""), "")</f>
        <v>م2</v>
      </c>
      <c r="F857" s="9">
        <f>IF(C857&lt;&gt;"", IFERROR(INDEX('بنود العقد'!E$3:E$388,C857), 0), "")</f>
        <v>570</v>
      </c>
      <c r="G857" s="9">
        <f>IF(C857&lt;&gt;"", IFERROR(INDEX('بنود العقد'!F$3:F$388,C857), 0), "")</f>
        <v>118</v>
      </c>
      <c r="H857" s="18">
        <f t="shared" si="36"/>
        <v>37</v>
      </c>
      <c r="I857" s="7">
        <v>121</v>
      </c>
      <c r="J857" s="18">
        <f t="shared" si="31"/>
        <v>158</v>
      </c>
      <c r="K857" s="10">
        <f t="shared" si="30"/>
        <v>68970</v>
      </c>
      <c r="L857" s="21">
        <f t="shared" si="35"/>
        <v>133.89830508474577</v>
      </c>
    </row>
    <row r="858" spans="1:12" s="72" customFormat="1" ht="25.95" customHeight="1">
      <c r="A858" s="12">
        <v>856</v>
      </c>
      <c r="B858" s="6">
        <v>17</v>
      </c>
      <c r="C858" s="6">
        <v>34</v>
      </c>
      <c r="D858" s="20" t="str">
        <f>IF(C858&lt;&gt;"", IFERROR(INDEX('بنود العقد'!B$3:B$388,C858),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صناعية بلون رمادي بيج لمنطقة معالي الوزير   حسب الرسومات والمناظير وتعليمات المهندس المشرف.Code: WDP8</v>
      </c>
      <c r="E858" s="12" t="str">
        <f>IF(C858&lt;&gt;"", IFERROR(INDEX('بنود العقد'!D$3:D$388,C858), ""), "")</f>
        <v>م2</v>
      </c>
      <c r="F858" s="9">
        <f>IF(C858&lt;&gt;"", IFERROR(INDEX('بنود العقد'!E$3:E$388,C858), 0), "")</f>
        <v>870</v>
      </c>
      <c r="G858" s="9">
        <f>IF(C858&lt;&gt;"", IFERROR(INDEX('بنود العقد'!F$3:F$388,C858), 0), "")</f>
        <v>758</v>
      </c>
      <c r="H858" s="18">
        <f t="shared" si="36"/>
        <v>512</v>
      </c>
      <c r="I858" s="7">
        <v>893</v>
      </c>
      <c r="J858" s="18">
        <f t="shared" si="31"/>
        <v>1405</v>
      </c>
      <c r="K858" s="10">
        <f t="shared" si="30"/>
        <v>776910</v>
      </c>
      <c r="L858" s="21">
        <f t="shared" si="35"/>
        <v>185.35620052770449</v>
      </c>
    </row>
    <row r="859" spans="1:12" s="72" customFormat="1" ht="25.95" customHeight="1">
      <c r="A859" s="12">
        <v>857</v>
      </c>
      <c r="B859" s="6">
        <v>17</v>
      </c>
      <c r="C859" s="6">
        <v>37</v>
      </c>
      <c r="D859" s="20" t="str">
        <f>IF(C859&lt;&gt;"", IFERROR(INDEX('بنود العقد'!B$3:B$388,C859), "⚠"), "")</f>
        <v>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 سقف من خشب الـ)Mdf( ،  مطلي بدهان أبيض بشكل pattern مفرغة من الداخل  ومثبتة على ألواح خشبية مع قشرة الجوز مثبتة بنظام تعليق متصلة بالسقف الخرساني  لمنطقة معالي الوزير حسب الرسومات والمناظير وتعليمات المهندس المشرف.Code: WDC-04</v>
      </c>
      <c r="E859" s="12" t="str">
        <f>IF(C859&lt;&gt;"", IFERROR(INDEX('بنود العقد'!D$3:D$388,C859), ""), "")</f>
        <v>م2</v>
      </c>
      <c r="F859" s="9">
        <f>IF(C859&lt;&gt;"", IFERROR(INDEX('بنود العقد'!E$3:E$388,C859), 0), "")</f>
        <v>1080</v>
      </c>
      <c r="G859" s="9">
        <f>IF(C859&lt;&gt;"", IFERROR(INDEX('بنود العقد'!F$3:F$388,C859), 0), "")</f>
        <v>162</v>
      </c>
      <c r="H859" s="18">
        <f t="shared" si="36"/>
        <v>67</v>
      </c>
      <c r="I859" s="7">
        <v>41</v>
      </c>
      <c r="J859" s="18">
        <f t="shared" si="31"/>
        <v>108</v>
      </c>
      <c r="K859" s="10">
        <f t="shared" si="30"/>
        <v>44280</v>
      </c>
      <c r="L859" s="21">
        <f t="shared" si="35"/>
        <v>66.666666666666657</v>
      </c>
    </row>
    <row r="860" spans="1:12" s="72" customFormat="1" ht="25.95" customHeight="1">
      <c r="A860" s="12">
        <v>858</v>
      </c>
      <c r="B860" s="6">
        <v>17</v>
      </c>
      <c r="C860" s="6">
        <v>38</v>
      </c>
      <c r="D860" s="20" t="str">
        <f>IF(C860&lt;&gt;"", IFERROR(INDEX('بنود العقد'!B$3:B$388,C860), "⚠"), "")</f>
        <v>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 من من خشب الـ)Mdf(  مع قشرة صناعية بحسب العينة الموافق عليها وغروف مثبتة بنظام تعليق متصلة بالسقف الخرساني حسب الرسومات والمناظير وتعليمات المهندس المشرف.Code: WDC-01 &amp; WDC-02</v>
      </c>
      <c r="E860" s="12" t="str">
        <f>IF(C860&lt;&gt;"", IFERROR(INDEX('بنود العقد'!D$3:D$388,C860), ""), "")</f>
        <v>م2</v>
      </c>
      <c r="F860" s="9">
        <f>IF(C860&lt;&gt;"", IFERROR(INDEX('بنود العقد'!E$3:E$388,C860), 0), "")</f>
        <v>840</v>
      </c>
      <c r="G860" s="9">
        <f>IF(C860&lt;&gt;"", IFERROR(INDEX('بنود العقد'!F$3:F$388,C860), 0), "")</f>
        <v>684</v>
      </c>
      <c r="H860" s="18">
        <f t="shared" si="36"/>
        <v>518</v>
      </c>
      <c r="I860" s="7">
        <v>30</v>
      </c>
      <c r="J860" s="18">
        <f t="shared" si="31"/>
        <v>548</v>
      </c>
      <c r="K860" s="10">
        <f t="shared" si="30"/>
        <v>25200</v>
      </c>
      <c r="L860" s="21">
        <f t="shared" si="35"/>
        <v>80.116959064327489</v>
      </c>
    </row>
    <row r="861" spans="1:12" s="72" customFormat="1" ht="25.95" customHeight="1">
      <c r="A861" s="12">
        <v>859</v>
      </c>
      <c r="B861" s="6">
        <v>17</v>
      </c>
      <c r="C861" s="6">
        <v>43</v>
      </c>
      <c r="D861" s="20" t="str">
        <f>IF(C861&lt;&gt;"", IFERROR(INDEX('بنود العقد'!B$3:B$388,C861),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 خزانة خشبية05-WDC  من خشب الـ ) Mdf (  مع قشرة الوينغي الداكنة مع أرفف وإضاءة مخفية، أبواب الخزائن زجاجية   ribbed glass(مع إيطار خشبي وغروف ومفصلات ومقابض مخفية لمنطقة معالي الوزير حسب الرسومات والمناظير وتعليمات المهندس المشرف.</v>
      </c>
      <c r="E861" s="12" t="str">
        <f>IF(C861&lt;&gt;"", IFERROR(INDEX('بنود العقد'!D$3:D$388,C861), ""), "")</f>
        <v>م2</v>
      </c>
      <c r="F861" s="9">
        <f>IF(C861&lt;&gt;"", IFERROR(INDEX('بنود العقد'!E$3:E$388,C861), 0), "")</f>
        <v>1440</v>
      </c>
      <c r="G861" s="9">
        <f>IF(C861&lt;&gt;"", IFERROR(INDEX('بنود العقد'!F$3:F$388,C861), 0), "")</f>
        <v>69</v>
      </c>
      <c r="H861" s="18">
        <f t="shared" si="36"/>
        <v>81</v>
      </c>
      <c r="I861" s="7">
        <v>102</v>
      </c>
      <c r="J861" s="18">
        <f t="shared" si="31"/>
        <v>183</v>
      </c>
      <c r="K861" s="10">
        <f t="shared" si="30"/>
        <v>146880</v>
      </c>
      <c r="L861" s="21">
        <f t="shared" si="35"/>
        <v>265.21739130434781</v>
      </c>
    </row>
    <row r="862" spans="1:12" s="72" customFormat="1" ht="25.95" customHeight="1">
      <c r="A862" s="12">
        <v>860</v>
      </c>
      <c r="B862" s="6">
        <v>17</v>
      </c>
      <c r="C862" s="6">
        <v>45</v>
      </c>
      <c r="D862" s="20" t="str">
        <f>IF(C862&lt;&gt;"", IFERROR(INDEX('بنود العقد'!B$3:B$388,C862), "⚠"), "")</f>
        <v xml:space="preserve"> توريد وتنفيذ طبقتين من غشاء عازل للمياه من الـبيتومين ثخانة 4 مم للأماكن الرطبة وحتى ارتفاع 10   سم على الجدران المحيطة ويشمل تحضير السطوح ومواد حشو الزوايا وطبقات الحماية جيوتكستايل الأفُقية والعمودية. ويشمل السعر أي مواد وأعمال مطلوبة لاستكمال العمل حسب المواصفات والمخططات.وتعليمات المهندس المشرف</v>
      </c>
      <c r="E862" s="12" t="str">
        <f>IF(C862&lt;&gt;"", IFERROR(INDEX('بنود العقد'!D$3:D$388,C862), ""), "")</f>
        <v>م2</v>
      </c>
      <c r="F862" s="9">
        <f>IF(C862&lt;&gt;"", IFERROR(INDEX('بنود العقد'!E$3:E$388,C862), 0), "")</f>
        <v>78</v>
      </c>
      <c r="G862" s="9">
        <f>IF(C862&lt;&gt;"", IFERROR(INDEX('بنود العقد'!F$3:F$388,C862), 0), "")</f>
        <v>1345</v>
      </c>
      <c r="H862" s="18">
        <f t="shared" si="36"/>
        <v>820</v>
      </c>
      <c r="I862" s="7">
        <v>1200</v>
      </c>
      <c r="J862" s="18">
        <f t="shared" si="31"/>
        <v>2020</v>
      </c>
      <c r="K862" s="10">
        <f t="shared" si="30"/>
        <v>93600</v>
      </c>
      <c r="L862" s="21">
        <f t="shared" si="35"/>
        <v>150.18587360594796</v>
      </c>
    </row>
    <row r="863" spans="1:12" s="72" customFormat="1" ht="25.95" customHeight="1">
      <c r="A863" s="12">
        <v>861</v>
      </c>
      <c r="B863" s="6">
        <v>17</v>
      </c>
      <c r="C863" s="6">
        <v>46</v>
      </c>
      <c r="D863" s="20" t="str">
        <f>IF(C863&lt;&gt;"", IFERROR(INDEX('بنود العقد'!B$3:B$388,C863), "⚠"), "")</f>
        <v>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المشرف.Ref drawing: 07-MRA-DD-(as per floor number)-AR-801 بعرض 1000 مم وارتفاع 2700 مم  GD01باب ضلفة واحدة  نموذج</v>
      </c>
      <c r="E863" s="12" t="str">
        <f>IF(C863&lt;&gt;"", IFERROR(INDEX('بنود العقد'!D$3:D$388,C863), ""), "")</f>
        <v>عدد</v>
      </c>
      <c r="F863" s="9">
        <f>IF(C863&lt;&gt;"", IFERROR(INDEX('بنود العقد'!E$3:E$388,C863), 0), "")</f>
        <v>2580</v>
      </c>
      <c r="G863" s="9">
        <f>IF(C863&lt;&gt;"", IFERROR(INDEX('بنود العقد'!F$3:F$388,C863), 0), "")</f>
        <v>238</v>
      </c>
      <c r="H863" s="18">
        <f t="shared" si="36"/>
        <v>123</v>
      </c>
      <c r="I863" s="7">
        <v>23</v>
      </c>
      <c r="J863" s="18">
        <f t="shared" si="31"/>
        <v>146</v>
      </c>
      <c r="K863" s="10">
        <f t="shared" si="30"/>
        <v>59340</v>
      </c>
      <c r="L863" s="21">
        <f t="shared" si="35"/>
        <v>61.344537815126053</v>
      </c>
    </row>
    <row r="864" spans="1:12" s="72" customFormat="1" ht="25.95" customHeight="1">
      <c r="A864" s="12">
        <v>862</v>
      </c>
      <c r="B864" s="6">
        <v>17</v>
      </c>
      <c r="C864" s="6">
        <v>49</v>
      </c>
      <c r="D864" s="20" t="str">
        <f>IF(C864&lt;&gt;"", IFERROR(INDEX('بنود العقد'!B$3:B$388,C864),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2000 مم وارتفاع 2200 مم  WD07باب مروحة ضلفتين  نموذج </v>
      </c>
      <c r="E864" s="12" t="str">
        <f>IF(C864&lt;&gt;"", IFERROR(INDEX('بنود العقد'!D$3:D$388,C864), ""), "")</f>
        <v>عدد</v>
      </c>
      <c r="F864" s="9">
        <f>IF(C864&lt;&gt;"", IFERROR(INDEX('بنود العقد'!E$3:E$388,C864), 0), "")</f>
        <v>5280</v>
      </c>
      <c r="G864" s="9">
        <f>IF(C864&lt;&gt;"", IFERROR(INDEX('بنود العقد'!F$3:F$388,C864), 0), "")</f>
        <v>13</v>
      </c>
      <c r="H864" s="18">
        <f t="shared" si="36"/>
        <v>4</v>
      </c>
      <c r="I864" s="7">
        <v>4</v>
      </c>
      <c r="J864" s="18">
        <f t="shared" si="31"/>
        <v>8</v>
      </c>
      <c r="K864" s="10">
        <f t="shared" si="30"/>
        <v>21120</v>
      </c>
      <c r="L864" s="21">
        <f t="shared" si="35"/>
        <v>61.53846153846154</v>
      </c>
    </row>
    <row r="865" spans="1:12" s="72" customFormat="1" ht="25.95" customHeight="1">
      <c r="A865" s="12">
        <v>863</v>
      </c>
      <c r="B865" s="6">
        <v>17</v>
      </c>
      <c r="C865" s="6">
        <v>50</v>
      </c>
      <c r="D865" s="20" t="str">
        <f>IF(C865&lt;&gt;"", IFERROR(INDEX('بنود العقد'!B$3:B$388,C865),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بعرض1000 مم وارتفاع 2200 مم  WD06باب مروحة ضلفة واحدة  نموذج </v>
      </c>
      <c r="E865" s="12" t="str">
        <f>IF(C865&lt;&gt;"", IFERROR(INDEX('بنود العقد'!D$3:D$388,C865), ""), "")</f>
        <v>عدد</v>
      </c>
      <c r="F865" s="9">
        <f>IF(C865&lt;&gt;"", IFERROR(INDEX('بنود العقد'!E$3:E$388,C865), 0), "")</f>
        <v>2400</v>
      </c>
      <c r="G865" s="9">
        <f>IF(C865&lt;&gt;"", IFERROR(INDEX('بنود العقد'!F$3:F$388,C865), 0), "")</f>
        <v>13</v>
      </c>
      <c r="H865" s="18">
        <f t="shared" si="36"/>
        <v>4</v>
      </c>
      <c r="I865" s="7">
        <v>4</v>
      </c>
      <c r="J865" s="18">
        <f t="shared" si="31"/>
        <v>8</v>
      </c>
      <c r="K865" s="10">
        <f t="shared" si="30"/>
        <v>9600</v>
      </c>
      <c r="L865" s="21">
        <f t="shared" si="35"/>
        <v>61.53846153846154</v>
      </c>
    </row>
    <row r="866" spans="1:12" s="72" customFormat="1" ht="25.95" customHeight="1">
      <c r="A866" s="12">
        <v>864</v>
      </c>
      <c r="B866" s="6">
        <v>17</v>
      </c>
      <c r="C866" s="6">
        <v>51</v>
      </c>
      <c r="D866" s="20" t="str">
        <f>IF(C866&lt;&gt;"", IFERROR(INDEX('بنود العقد'!B$3:B$388,C866),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WD05باب مروحة ضلفة واحدة  نموذج </v>
      </c>
      <c r="E866" s="12" t="str">
        <f>IF(C866&lt;&gt;"", IFERROR(INDEX('بنود العقد'!D$3:D$388,C866), ""), "")</f>
        <v>عدد</v>
      </c>
      <c r="F866" s="9">
        <f>IF(C866&lt;&gt;"", IFERROR(INDEX('بنود العقد'!E$3:E$388,C866), 0), "")</f>
        <v>2400</v>
      </c>
      <c r="G866" s="9">
        <f>IF(C866&lt;&gt;"", IFERROR(INDEX('بنود العقد'!F$3:F$388,C866), 0), "")</f>
        <v>47</v>
      </c>
      <c r="H866" s="18">
        <f t="shared" si="36"/>
        <v>16</v>
      </c>
      <c r="I866" s="7">
        <v>2</v>
      </c>
      <c r="J866" s="18">
        <f t="shared" si="31"/>
        <v>18</v>
      </c>
      <c r="K866" s="10">
        <f t="shared" si="30"/>
        <v>4800</v>
      </c>
      <c r="L866" s="21">
        <f t="shared" si="35"/>
        <v>38.297872340425535</v>
      </c>
    </row>
    <row r="867" spans="1:12" s="72" customFormat="1" ht="25.95" customHeight="1">
      <c r="A867" s="12">
        <v>865</v>
      </c>
      <c r="B867" s="6">
        <v>17</v>
      </c>
      <c r="C867" s="6">
        <v>59</v>
      </c>
      <c r="D867" s="20" t="str">
        <f>IF(C867&lt;&gt;"", IFERROR(INDEX('بنود العقد'!B$3:B$388,C867), "⚠"), "")</f>
        <v xml:space="preserve">توريد وتركيب باب من قطاعات الخشب شبه المصمت بسمك 44مم مكون من قواطيع خشب داخليه بحشو  mdf مع قشرة السنديان المطلية بدهان بيج  والحلق من الخشب السويدي المسطم المقاوم للرطوبة مخفي داخل الواجهة الخشبية والبند يشمل جميع الإكسسوارات اللازمه من مفصلات ودفاش من النوع المخفي ومقابض، 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1000 مم وارتفاع 2600 مم  WD010باب مروحة ضلفة واحدة  نموذج </v>
      </c>
      <c r="E867" s="12" t="str">
        <f>IF(C867&lt;&gt;"", IFERROR(INDEX('بنود العقد'!D$3:D$388,C867), ""), "")</f>
        <v>عدد</v>
      </c>
      <c r="F867" s="9">
        <f>IF(C867&lt;&gt;"", IFERROR(INDEX('بنود العقد'!E$3:E$388,C867), 0), "")</f>
        <v>3600</v>
      </c>
      <c r="G867" s="9">
        <f>IF(C867&lt;&gt;"", IFERROR(INDEX('بنود العقد'!F$3:F$388,C867), 0), "")</f>
        <v>6</v>
      </c>
      <c r="H867" s="18">
        <f t="shared" si="36"/>
        <v>0</v>
      </c>
      <c r="I867" s="7">
        <v>5</v>
      </c>
      <c r="J867" s="18">
        <f t="shared" si="31"/>
        <v>5</v>
      </c>
      <c r="K867" s="10">
        <f t="shared" si="30"/>
        <v>18000</v>
      </c>
      <c r="L867" s="21">
        <f t="shared" si="35"/>
        <v>83.333333333333343</v>
      </c>
    </row>
    <row r="868" spans="1:12" s="72" customFormat="1" ht="25.95" customHeight="1">
      <c r="A868" s="12">
        <v>866</v>
      </c>
      <c r="B868" s="6">
        <v>17</v>
      </c>
      <c r="C868" s="6">
        <v>60</v>
      </c>
      <c r="D868" s="20" t="str">
        <f>IF(C868&lt;&gt;"", IFERROR(INDEX('بنود العقد'!B$3:B$388,C868), "⚠"),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باب مروحة ضلفتين  نموذج 12WD  بعرض 2000 مم وارتفاع 3000 مم )VIP Zone (Ref drawing: 07-MRA-DD-sixth floor-AR-800</v>
      </c>
      <c r="E868" s="12" t="str">
        <f>IF(C868&lt;&gt;"", IFERROR(INDEX('بنود العقد'!D$3:D$388,C868), ""), "")</f>
        <v>عدد</v>
      </c>
      <c r="F868" s="9">
        <f>IF(C868&lt;&gt;"", IFERROR(INDEX('بنود العقد'!E$3:E$388,C868), 0), "")</f>
        <v>5700</v>
      </c>
      <c r="G868" s="9">
        <f>IF(C868&lt;&gt;"", IFERROR(INDEX('بنود العقد'!F$3:F$388,C868), 0), "")</f>
        <v>7</v>
      </c>
      <c r="H868" s="18">
        <f t="shared" si="36"/>
        <v>0</v>
      </c>
      <c r="I868" s="7">
        <v>7</v>
      </c>
      <c r="J868" s="18">
        <f t="shared" si="31"/>
        <v>7</v>
      </c>
      <c r="K868" s="10">
        <f t="shared" si="30"/>
        <v>39900</v>
      </c>
      <c r="L868" s="21">
        <f t="shared" si="35"/>
        <v>100</v>
      </c>
    </row>
    <row r="869" spans="1:12" s="72" customFormat="1" ht="25.95" customHeight="1">
      <c r="A869" s="12">
        <v>867</v>
      </c>
      <c r="B869" s="6">
        <v>17</v>
      </c>
      <c r="C869" s="6">
        <v>61</v>
      </c>
      <c r="D869" s="20" t="str">
        <f>IF(C869&lt;&gt;"", IFERROR(INDEX('بنود العقد'!B$3:B$388,C869), "⚠"),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باب مروحة ضلفة واحدة  نموذج 11WD  بعرض 1000 مم وارتفاع 3000 مم )VIP Zone(</v>
      </c>
      <c r="E869" s="12" t="str">
        <f>IF(C869&lt;&gt;"", IFERROR(INDEX('بنود العقد'!D$3:D$388,C869), ""), "")</f>
        <v>عدد</v>
      </c>
      <c r="F869" s="9">
        <f>IF(C869&lt;&gt;"", IFERROR(INDEX('بنود العقد'!E$3:E$388,C869), 0), "")</f>
        <v>6000</v>
      </c>
      <c r="G869" s="9">
        <f>IF(C869&lt;&gt;"", IFERROR(INDEX('بنود العقد'!F$3:F$388,C869), 0), "")</f>
        <v>8</v>
      </c>
      <c r="H869" s="18">
        <f t="shared" si="36"/>
        <v>0</v>
      </c>
      <c r="I869" s="7">
        <v>8</v>
      </c>
      <c r="J869" s="18">
        <f t="shared" si="31"/>
        <v>8</v>
      </c>
      <c r="K869" s="10">
        <f t="shared" si="30"/>
        <v>48000</v>
      </c>
      <c r="L869" s="21">
        <f t="shared" si="35"/>
        <v>100</v>
      </c>
    </row>
    <row r="870" spans="1:12" s="72" customFormat="1" ht="25.95" customHeight="1">
      <c r="A870" s="12">
        <v>868</v>
      </c>
      <c r="B870" s="6">
        <v>17</v>
      </c>
      <c r="C870" s="6">
        <v>63</v>
      </c>
      <c r="D870" s="20" t="str">
        <f>IF(C870&lt;&gt;"", IFERROR(INDEX('بنود العقد'!B$3:B$388,C870), "⚠"),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باب مروحة ضلفة واحدة  نموذج 13WD  بعرض 1000 مم وارتفاع 4000 مم )VIP Zone(</v>
      </c>
      <c r="E870" s="12" t="str">
        <f>IF(C870&lt;&gt;"", IFERROR(INDEX('بنود العقد'!D$3:D$388,C870), ""), "")</f>
        <v>عدد</v>
      </c>
      <c r="F870" s="9">
        <f>IF(C870&lt;&gt;"", IFERROR(INDEX('بنود العقد'!E$3:E$388,C870), 0), "")</f>
        <v>5400</v>
      </c>
      <c r="G870" s="9">
        <f>IF(C870&lt;&gt;"", IFERROR(INDEX('بنود العقد'!F$3:F$388,C870), 0), "")</f>
        <v>1</v>
      </c>
      <c r="H870" s="18">
        <f t="shared" si="36"/>
        <v>0</v>
      </c>
      <c r="I870" s="7">
        <v>1</v>
      </c>
      <c r="J870" s="18">
        <f t="shared" si="31"/>
        <v>1</v>
      </c>
      <c r="K870" s="10">
        <f t="shared" si="30"/>
        <v>5400</v>
      </c>
      <c r="L870" s="21">
        <f t="shared" si="35"/>
        <v>100</v>
      </c>
    </row>
    <row r="871" spans="1:12" s="72" customFormat="1" ht="25.95" customHeight="1">
      <c r="A871" s="12">
        <v>869</v>
      </c>
      <c r="B871" s="6">
        <v>17</v>
      </c>
      <c r="C871" s="6">
        <v>65</v>
      </c>
      <c r="D871" s="20" t="str">
        <f>IF(C871&lt;&gt;"", IFERROR(INDEX('بنود العقد'!B$3:B$388,C871), "⚠"),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باب مروحة ضلفة واحدة  نموذج 14WD  بعرض 900 مم وارتفاع 2400 مم )VIP Zone(</v>
      </c>
      <c r="E871" s="12" t="str">
        <f>IF(C871&lt;&gt;"", IFERROR(INDEX('بنود العقد'!D$3:D$388,C871), ""), "")</f>
        <v>عدد</v>
      </c>
      <c r="F871" s="9">
        <f>IF(C871&lt;&gt;"", IFERROR(INDEX('بنود العقد'!E$3:E$388,C871), 0), "")</f>
        <v>6420</v>
      </c>
      <c r="G871" s="9">
        <f>IF(C871&lt;&gt;"", IFERROR(INDEX('بنود العقد'!F$3:F$388,C871), 0), "")</f>
        <v>4</v>
      </c>
      <c r="H871" s="18">
        <f t="shared" si="36"/>
        <v>0</v>
      </c>
      <c r="I871" s="7">
        <v>3</v>
      </c>
      <c r="J871" s="18">
        <f t="shared" si="31"/>
        <v>3</v>
      </c>
      <c r="K871" s="10">
        <f t="shared" si="30"/>
        <v>19260</v>
      </c>
      <c r="L871" s="21">
        <f t="shared" si="35"/>
        <v>75</v>
      </c>
    </row>
    <row r="872" spans="1:12" s="72" customFormat="1" ht="25.95" customHeight="1">
      <c r="A872" s="12">
        <v>870</v>
      </c>
      <c r="B872" s="6">
        <v>17</v>
      </c>
      <c r="C872" s="6">
        <v>66</v>
      </c>
      <c r="D872" s="20" t="str">
        <f>IF(C872&lt;&gt;"", IFERROR(INDEX('بنود العقد'!B$3:B$388,C872), "⚠"),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E872" s="12" t="str">
        <f>IF(C872&lt;&gt;"", IFERROR(INDEX('بنود العقد'!D$3:D$388,C872), ""), "")</f>
        <v>م²</v>
      </c>
      <c r="F872" s="9">
        <f>IF(C872&lt;&gt;"", IFERROR(INDEX('بنود العقد'!E$3:E$388,C872), 0), "")</f>
        <v>900</v>
      </c>
      <c r="G872" s="9">
        <f>IF(C872&lt;&gt;"", IFERROR(INDEX('بنود العقد'!F$3:F$388,C872), 0), "")</f>
        <v>4000</v>
      </c>
      <c r="H872" s="18">
        <f t="shared" si="36"/>
        <v>2983</v>
      </c>
      <c r="I872" s="7">
        <v>450</v>
      </c>
      <c r="J872" s="18">
        <f t="shared" si="31"/>
        <v>3433</v>
      </c>
      <c r="K872" s="10">
        <f t="shared" si="30"/>
        <v>405000</v>
      </c>
      <c r="L872" s="21">
        <f t="shared" si="35"/>
        <v>85.824999999999989</v>
      </c>
    </row>
    <row r="873" spans="1:12" s="72" customFormat="1" ht="25.95" customHeight="1">
      <c r="A873" s="12">
        <v>871</v>
      </c>
      <c r="B873" s="6">
        <v>17</v>
      </c>
      <c r="C873" s="6">
        <v>67</v>
      </c>
      <c r="D873" s="20" t="str">
        <f>IF(C873&lt;&gt;"", IFERROR(INDEX('بنود العقد'!B$3:B$388,C873), "⚠"), "")</f>
        <v xml:space="preserve">توريد وتركيب باب من قطاعات الحديد  بسمك 45 مم مقاوم للحريق 90 دقيقة،  مع طبقة من الصاج سماكة 2مم من الجهتين على اطار معدنى مجوف والسعر يشمل التكسية الخشبية بقشرة الجوز لضلفة الباب والإطار من جهة واحدة..ويشمل التوريد والتركيب والتثبيت  والمفصلات والمقابض   والدفاش والاكسسوارت من اجود الانواع  وكل مايلزم لانهاء العمل على اكمل وجه ة حسب المخططات وتعليمات االمهندس المشرف. Ref. drawing: 07-MRA-DD-(as per floor number)-AR-804 ضلفة واحدة عرض1000مم وإرتفاع 2200مم SD01 باب نموذج </v>
      </c>
      <c r="E873" s="12" t="str">
        <f>IF(C873&lt;&gt;"", IFERROR(INDEX('بنود العقد'!D$3:D$388,C873), ""), "")</f>
        <v>م²</v>
      </c>
      <c r="F873" s="9">
        <f>IF(C873&lt;&gt;"", IFERROR(INDEX('بنود العقد'!E$3:E$388,C873), 0), "")</f>
        <v>3000</v>
      </c>
      <c r="G873" s="9">
        <f>IF(C873&lt;&gt;"", IFERROR(INDEX('بنود العقد'!F$3:F$388,C873), 0), "")</f>
        <v>58</v>
      </c>
      <c r="H873" s="18">
        <f t="shared" si="36"/>
        <v>8</v>
      </c>
      <c r="I873" s="7">
        <v>5</v>
      </c>
      <c r="J873" s="18">
        <f t="shared" si="31"/>
        <v>13</v>
      </c>
      <c r="K873" s="10">
        <f t="shared" si="30"/>
        <v>15000</v>
      </c>
      <c r="L873" s="21">
        <f t="shared" si="35"/>
        <v>22.413793103448278</v>
      </c>
    </row>
    <row r="874" spans="1:12" s="72" customFormat="1" ht="25.95" customHeight="1">
      <c r="A874" s="12">
        <v>872</v>
      </c>
      <c r="B874" s="6">
        <v>17</v>
      </c>
      <c r="C874" s="6">
        <v>68</v>
      </c>
      <c r="D874" s="20" t="str">
        <f>IF(C874&lt;&gt;"", IFERROR(INDEX('بنود العقد'!B$3:B$388,C874), "⚠"), "")</f>
        <v>توريد وتركيب باب من قطاعات الحديد  بسمك 45 مم مقاوم للحريق 90 دقيقة،  مع طبقة من الصاج سماكة 2مم من الجهتين على اطار معدنى مجوف والسعر يشمل التكسية الخشبية بقشرة الجوز لضلفة الباب والإطار من جهة واحدة..ويشمل التوريد والتركيب والتثبيت  والمفصلات والمقابض   والدفاش والاكسسوارت من اجود الانواع  وكل مايلزم لانهاء العمل على اكمل وجه ة حسب المخططات وتعليمات االمهندس المشرف. Ref. drawing: 07-MRA-DD-(as per floor number)-AR-804 ضلفة واحدة عرض1100مم وإرتفاع 2200مم SD02 باب نموذج</v>
      </c>
      <c r="E874" s="12" t="str">
        <f>IF(C874&lt;&gt;"", IFERROR(INDEX('بنود العقد'!D$3:D$388,C874), ""), "")</f>
        <v>عدد</v>
      </c>
      <c r="F874" s="9">
        <f>IF(C874&lt;&gt;"", IFERROR(INDEX('بنود العقد'!E$3:E$388,C874), 0), "")</f>
        <v>3000</v>
      </c>
      <c r="G874" s="9">
        <f>IF(C874&lt;&gt;"", IFERROR(INDEX('بنود العقد'!F$3:F$388,C874), 0), "")</f>
        <v>1</v>
      </c>
      <c r="H874" s="18">
        <f t="shared" si="36"/>
        <v>0</v>
      </c>
      <c r="I874" s="7">
        <v>1</v>
      </c>
      <c r="J874" s="18">
        <f t="shared" si="31"/>
        <v>1</v>
      </c>
      <c r="K874" s="10">
        <f t="shared" si="30"/>
        <v>3000</v>
      </c>
      <c r="L874" s="21">
        <f t="shared" si="35"/>
        <v>100</v>
      </c>
    </row>
    <row r="875" spans="1:12" s="72" customFormat="1" ht="25.95" customHeight="1">
      <c r="A875" s="12">
        <v>873</v>
      </c>
      <c r="B875" s="6">
        <v>17</v>
      </c>
      <c r="C875" s="6">
        <v>72</v>
      </c>
      <c r="D875" s="20" t="str">
        <f>IF(C875&lt;&gt;"", IFERROR(INDEX('بنود العقد'!B$3:B$388,C875), "⚠"), "")</f>
        <v>طبقة من اللياسة الأسمنتية فوق الأسطح الخرسانية والجدران الداخلية  بسمك متوسط 20 مم على طبقات  طرطشة بسمك 5 مم وضهارة 15 مم حسب المواصفات مع المعالجة اليومية  بالمياه لمنع التنميلات ويتم عمل افريز بين البلوك والخرسانة يملئ بمواد قابلة للدهان والسعر يشمل كامل الأكسسوارات اللازمة من شبك معدني ممدد وزوايا ونهايات معدنية  ومواد الترابط  وعمل تجاويف في طبقة اللياسة بعمق 10مم عرض 10مم  في الاعمدة  وفي الجدران ان وجدت حسب الرسومات والمناظير وتعليمات المهندس المشرف ذلك حسب الاصول الفنية وتعليمات المهندس المشرف. لياسة الجدران والأعمدة الداخلية  وتشمل جميع الإكسسوارات بإرتفاع 20 سم أعلي الأسقف الجبسيه لزوم الجدران الداخلية</v>
      </c>
      <c r="E875" s="12" t="str">
        <f>IF(C875&lt;&gt;"", IFERROR(INDEX('بنود العقد'!D$3:D$388,C875), ""), "")</f>
        <v>م²</v>
      </c>
      <c r="F875" s="9">
        <f>IF(C875&lt;&gt;"", IFERROR(INDEX('بنود العقد'!E$3:E$388,C875), 0), "")</f>
        <v>42</v>
      </c>
      <c r="G875" s="9">
        <f>IF(C875&lt;&gt;"", IFERROR(INDEX('بنود العقد'!F$3:F$388,C875), 0), "")</f>
        <v>758</v>
      </c>
      <c r="H875" s="18">
        <f t="shared" si="36"/>
        <v>6251.0039999999999</v>
      </c>
      <c r="I875" s="7">
        <v>2249</v>
      </c>
      <c r="J875" s="18">
        <f t="shared" si="31"/>
        <v>8500.0040000000008</v>
      </c>
      <c r="K875" s="10">
        <f t="shared" si="30"/>
        <v>94458</v>
      </c>
      <c r="L875" s="21">
        <f t="shared" si="35"/>
        <v>1121.3725593667548</v>
      </c>
    </row>
    <row r="876" spans="1:12" s="72" customFormat="1" ht="25.95" customHeight="1">
      <c r="A876" s="12">
        <v>874</v>
      </c>
      <c r="B876" s="6">
        <v>17</v>
      </c>
      <c r="C876" s="6">
        <v>74</v>
      </c>
      <c r="D876" s="20" t="str">
        <f>IF(C876&lt;&gt;"", IFERROR(INDEX('بنود العقد'!B$3:B$388,C876), "⚠"), "")</f>
        <v>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v>
      </c>
      <c r="E876" s="12" t="str">
        <f>IF(C876&lt;&gt;"", IFERROR(INDEX('بنود العقد'!D$3:D$388,C876), ""), "")</f>
        <v>م²</v>
      </c>
      <c r="F876" s="9">
        <f>IF(C876&lt;&gt;"", IFERROR(INDEX('بنود العقد'!E$3:E$388,C876), 0), "")</f>
        <v>180</v>
      </c>
      <c r="G876" s="9">
        <f>IF(C876&lt;&gt;"", IFERROR(INDEX('بنود العقد'!F$3:F$388,C876), 0), "")</f>
        <v>12526</v>
      </c>
      <c r="H876" s="18">
        <f t="shared" si="36"/>
        <v>10141</v>
      </c>
      <c r="I876" s="7">
        <v>2000</v>
      </c>
      <c r="J876" s="18">
        <f t="shared" si="31"/>
        <v>12141</v>
      </c>
      <c r="K876" s="10">
        <f t="shared" si="30"/>
        <v>360000</v>
      </c>
      <c r="L876" s="21">
        <f t="shared" si="35"/>
        <v>96.92639310234712</v>
      </c>
    </row>
    <row r="877" spans="1:12" s="72" customFormat="1" ht="25.95" customHeight="1">
      <c r="A877" s="12">
        <v>875</v>
      </c>
      <c r="B877" s="6">
        <v>17</v>
      </c>
      <c r="C877" s="6">
        <v>75</v>
      </c>
      <c r="D877" s="20" t="str">
        <f>IF(C877&lt;&gt;"", IFERROR(INDEX('بنود العقد'!B$3:B$388,C877), "⚠"), "")</f>
        <v>توريد وتركيب أسقف معلقة من الالواح الجبسيه )01-GBC( ثخانة 12 مم المقاومة للحريق شاملة نظام التعليق وضبط الحواف والزوايا وأبواب لفتحات الكشف بالأسقف لأعمال الصيانة )أبواب جاهزة من النوع السهل الاستعمال والمزود بمفصلات مخفية( والإكسسوارات. ويشمل السعر أي مواد أو أعمال يتطلبها استكمال العمل حسب المواصفات والمخططات.</v>
      </c>
      <c r="E877" s="12" t="str">
        <f>IF(C877&lt;&gt;"", IFERROR(INDEX('بنود العقد'!D$3:D$388,C877), ""), "")</f>
        <v>م²</v>
      </c>
      <c r="F877" s="9">
        <f>IF(C877&lt;&gt;"", IFERROR(INDEX('بنود العقد'!E$3:E$388,C877), 0), "")</f>
        <v>150</v>
      </c>
      <c r="G877" s="9">
        <f>IF(C877&lt;&gt;"", IFERROR(INDEX('بنود العقد'!F$3:F$388,C877), 0), "")</f>
        <v>24468</v>
      </c>
      <c r="H877" s="18">
        <f t="shared" si="36"/>
        <v>18313.000070000002</v>
      </c>
      <c r="I877" s="7">
        <v>2000</v>
      </c>
      <c r="J877" s="18">
        <f t="shared" si="31"/>
        <v>20313.000070000002</v>
      </c>
      <c r="K877" s="10">
        <f t="shared" si="30"/>
        <v>300000</v>
      </c>
      <c r="L877" s="21">
        <f t="shared" si="35"/>
        <v>83.018636872649992</v>
      </c>
    </row>
    <row r="878" spans="1:12" s="72" customFormat="1" ht="25.95" customHeight="1">
      <c r="A878" s="12">
        <v>876</v>
      </c>
      <c r="B878" s="6">
        <v>17</v>
      </c>
      <c r="C878" s="6">
        <v>76</v>
      </c>
      <c r="D878" s="20" t="str">
        <f>IF(C878&lt;&gt;"", IFERROR(INDEX('بنود العقد'!B$3:B$388,C878), "⚠"), "")</f>
        <v>توريد وتركيب أسقف معلقة من الالواح الجبسيه  )02-GBC( ثخانة 12 مم المقاومة للرطوبة شاملة نظام التعليق وضبط الحواف والزوايا وأبواب لفتحات الكشف بالأسقف لأعمال الصيانة )أبواب جاهزة من النوع السهل الاستعمال والمزود بمفصلات مخفية( واالإكسسوارات. ويشمل السعر أي مواد أو أعمال يتطلبها استكمال العمل حسب المواصفات والمخططات وتعليمات المهندس المشرف.</v>
      </c>
      <c r="E878" s="12" t="str">
        <f>IF(C878&lt;&gt;"", IFERROR(INDEX('بنود العقد'!D$3:D$388,C878), ""), "")</f>
        <v>م²</v>
      </c>
      <c r="F878" s="9">
        <f>IF(C878&lt;&gt;"", IFERROR(INDEX('بنود العقد'!E$3:E$388,C878), 0), "")</f>
        <v>150</v>
      </c>
      <c r="G878" s="9">
        <f>IF(C878&lt;&gt;"", IFERROR(INDEX('بنود العقد'!F$3:F$388,C878), 0), "")</f>
        <v>1091</v>
      </c>
      <c r="H878" s="18">
        <f t="shared" ref="H878:H941" si="37">IFERROR(SUMIFS(I$3:I$1805, B$3:B$1805, "&lt;"&amp;B878, C$3:C$1805, C878), 0)</f>
        <v>830</v>
      </c>
      <c r="I878" s="7">
        <v>100</v>
      </c>
      <c r="J878" s="18">
        <f t="shared" si="31"/>
        <v>930</v>
      </c>
      <c r="K878" s="10">
        <f t="shared" si="30"/>
        <v>15000</v>
      </c>
      <c r="L878" s="21">
        <f t="shared" si="35"/>
        <v>85.242896425297886</v>
      </c>
    </row>
    <row r="879" spans="1:12" s="72" customFormat="1" ht="25.95" customHeight="1">
      <c r="A879" s="12">
        <v>877</v>
      </c>
      <c r="B879" s="6">
        <v>17</v>
      </c>
      <c r="C879" s="6">
        <v>77</v>
      </c>
      <c r="D879" s="20" t="str">
        <f>IF(C879&lt;&gt;"", IFERROR(INDEX('بنود العقد'!B$3:B$388,C879), "⚠"), "")</f>
        <v>600×600مم توريد وتركيب اسقف اصطناعية  والسعر يشمل نظام التعليق من الحديد المجفلن مع جميع الاكسسوارات وكل مايلزم حسب المواصفات والمخططات وتعليمات الشركة المصنعة .</v>
      </c>
      <c r="E879" s="12" t="str">
        <f>IF(C879&lt;&gt;"", IFERROR(INDEX('بنود العقد'!D$3:D$388,C879), ""), "")</f>
        <v>م²</v>
      </c>
      <c r="F879" s="9">
        <f>IF(C879&lt;&gt;"", IFERROR(INDEX('بنود العقد'!E$3:E$388,C879), 0), "")</f>
        <v>150</v>
      </c>
      <c r="G879" s="9">
        <f>IF(C879&lt;&gt;"", IFERROR(INDEX('بنود العقد'!F$3:F$388,C879), 0), "")</f>
        <v>3323</v>
      </c>
      <c r="H879" s="18">
        <f t="shared" si="37"/>
        <v>2463</v>
      </c>
      <c r="I879" s="7">
        <v>170</v>
      </c>
      <c r="J879" s="18">
        <f t="shared" si="31"/>
        <v>2633</v>
      </c>
      <c r="K879" s="10">
        <f t="shared" si="30"/>
        <v>25500</v>
      </c>
      <c r="L879" s="21">
        <f t="shared" si="35"/>
        <v>79.235630454408664</v>
      </c>
    </row>
    <row r="880" spans="1:12" s="72" customFormat="1" ht="25.95" customHeight="1">
      <c r="A880" s="12">
        <v>878</v>
      </c>
      <c r="B880" s="6">
        <v>17</v>
      </c>
      <c r="C880" s="6">
        <v>79</v>
      </c>
      <c r="D880" s="20" t="str">
        <f>IF(C880&lt;&gt;"", IFERROR(INDEX('بنود العقد'!B$3:B$388,C880), "⚠"), "")</f>
        <v xml:space="preserve"> أرضيات بورسلان 01-PT مقاس 600×600×12مم فرز اول بالمقاسات والالوان المطلوبة لدورات المياه الخاصة بمكاتب الوكلاء ومساعدين الوكلاء العامة ومنطقة التنفيذيين بالدور السادس  طبقاً للمخططات والمواصفات.</v>
      </c>
      <c r="E880" s="12" t="str">
        <f>IF(C880&lt;&gt;"", IFERROR(INDEX('بنود العقد'!D$3:D$388,C880), ""), "")</f>
        <v>م²</v>
      </c>
      <c r="F880" s="9">
        <f>IF(C880&lt;&gt;"", IFERROR(INDEX('بنود العقد'!E$3:E$388,C880), 0), "")</f>
        <v>120</v>
      </c>
      <c r="G880" s="9">
        <f>IF(C880&lt;&gt;"", IFERROR(INDEX('بنود العقد'!F$3:F$388,C880), 0), "")</f>
        <v>140</v>
      </c>
      <c r="H880" s="18">
        <f t="shared" si="37"/>
        <v>0</v>
      </c>
      <c r="I880" s="7">
        <v>115</v>
      </c>
      <c r="J880" s="18">
        <f t="shared" si="31"/>
        <v>115</v>
      </c>
      <c r="K880" s="10">
        <f t="shared" si="30"/>
        <v>13800</v>
      </c>
      <c r="L880" s="21">
        <f t="shared" si="35"/>
        <v>82.142857142857139</v>
      </c>
    </row>
    <row r="881" spans="1:12" s="72" customFormat="1" ht="25.95" customHeight="1">
      <c r="A881" s="12">
        <v>879</v>
      </c>
      <c r="B881" s="6">
        <v>17</v>
      </c>
      <c r="C881" s="6">
        <v>80</v>
      </c>
      <c r="D881" s="20" t="str">
        <f>IF(C881&lt;&gt;"", IFERROR(INDEX('بنود العقد'!B$3:B$388,C881), "⚠"), "")</f>
        <v xml:space="preserve"> أرضيات بورسلان 02-PTمقاس 600×600×12مم فرز اول بالمقاسات والالوان المطلوبة لدورات المياه الخاصة بمكاتب المدراء العامين  طبقاً للمخططات والمواصفات.</v>
      </c>
      <c r="E881" s="12" t="str">
        <f>IF(C881&lt;&gt;"", IFERROR(INDEX('بنود العقد'!D$3:D$388,C881), ""), "")</f>
        <v>م²</v>
      </c>
      <c r="F881" s="9">
        <f>IF(C881&lt;&gt;"", IFERROR(INDEX('بنود العقد'!E$3:E$388,C881), 0), "")</f>
        <v>120</v>
      </c>
      <c r="G881" s="9">
        <f>IF(C881&lt;&gt;"", IFERROR(INDEX('بنود العقد'!F$3:F$388,C881), 0), "")</f>
        <v>246</v>
      </c>
      <c r="H881" s="18">
        <f t="shared" si="37"/>
        <v>20</v>
      </c>
      <c r="I881" s="7">
        <v>160</v>
      </c>
      <c r="J881" s="18">
        <f t="shared" si="31"/>
        <v>180</v>
      </c>
      <c r="K881" s="10">
        <f t="shared" si="30"/>
        <v>19200</v>
      </c>
      <c r="L881" s="21">
        <f t="shared" si="35"/>
        <v>73.170731707317074</v>
      </c>
    </row>
    <row r="882" spans="1:12" s="72" customFormat="1" ht="25.95" customHeight="1">
      <c r="A882" s="12">
        <v>880</v>
      </c>
      <c r="B882" s="6">
        <v>17</v>
      </c>
      <c r="C882" s="6">
        <v>81</v>
      </c>
      <c r="D882" s="20" t="str">
        <f>IF(C882&lt;&gt;"", IFERROR(INDEX('بنود العقد'!B$3:B$388,C882), "⚠"), "")</f>
        <v xml:space="preserve"> أرضيات بورسلان03-PT مقاس 600×600×12مم فرز ثاني بالمقاسات والالوان المطلوبة لدورات المياة العامة  طبقاً للمخططات والمواصفات.</v>
      </c>
      <c r="E882" s="12" t="str">
        <f>IF(C882&lt;&gt;"", IFERROR(INDEX('بنود العقد'!D$3:D$388,C882), ""), "")</f>
        <v>م²</v>
      </c>
      <c r="F882" s="9">
        <f>IF(C882&lt;&gt;"", IFERROR(INDEX('بنود العقد'!E$3:E$388,C882), 0), "")</f>
        <v>120</v>
      </c>
      <c r="G882" s="9">
        <f>IF(C882&lt;&gt;"", IFERROR(INDEX('بنود العقد'!F$3:F$388,C882), 0), "")</f>
        <v>1407</v>
      </c>
      <c r="H882" s="18">
        <f t="shared" si="37"/>
        <v>698.00025000000005</v>
      </c>
      <c r="I882" s="7">
        <v>602</v>
      </c>
      <c r="J882" s="18">
        <f t="shared" si="31"/>
        <v>1300.0002500000001</v>
      </c>
      <c r="K882" s="10">
        <f t="shared" si="30"/>
        <v>72240</v>
      </c>
      <c r="L882" s="21">
        <f t="shared" si="35"/>
        <v>92.395184790334056</v>
      </c>
    </row>
    <row r="883" spans="1:12" s="72" customFormat="1" ht="25.95" customHeight="1">
      <c r="A883" s="12">
        <v>881</v>
      </c>
      <c r="B883" s="6">
        <v>17</v>
      </c>
      <c r="C883" s="6">
        <v>82</v>
      </c>
      <c r="D883" s="20" t="str">
        <f>IF(C883&lt;&gt;"", IFERROR(INDEX('بنود العقد'!B$3:B$388,C883), "⚠"), "")</f>
        <v xml:space="preserve"> أرضيات بورسلان04-PT مقاس 600×600×12مم فرز ثاني بالمقاسات والالوان المطلوبة لغرف الأرشيف والمخازن والمطبخ طبقاً للمخططات والمواصفات.</v>
      </c>
      <c r="E883" s="12" t="str">
        <f>IF(C883&lt;&gt;"", IFERROR(INDEX('بنود العقد'!D$3:D$388,C883), ""), "")</f>
        <v>م²</v>
      </c>
      <c r="F883" s="9">
        <f>IF(C883&lt;&gt;"", IFERROR(INDEX('بنود العقد'!E$3:E$388,C883), 0), "")</f>
        <v>120</v>
      </c>
      <c r="G883" s="9">
        <f>IF(C883&lt;&gt;"", IFERROR(INDEX('بنود العقد'!F$3:F$388,C883), 0), "")</f>
        <v>735</v>
      </c>
      <c r="H883" s="18">
        <f t="shared" si="37"/>
        <v>68</v>
      </c>
      <c r="I883" s="7">
        <v>52</v>
      </c>
      <c r="J883" s="18">
        <f t="shared" si="31"/>
        <v>120</v>
      </c>
      <c r="K883" s="10">
        <f t="shared" si="30"/>
        <v>6240</v>
      </c>
      <c r="L883" s="21">
        <f t="shared" si="35"/>
        <v>16.326530612244898</v>
      </c>
    </row>
    <row r="884" spans="1:12" s="72" customFormat="1" ht="25.95" customHeight="1">
      <c r="A884" s="12">
        <v>882</v>
      </c>
      <c r="B884" s="6">
        <v>17</v>
      </c>
      <c r="C884" s="6">
        <v>85</v>
      </c>
      <c r="D884" s="20" t="str">
        <f>IF(C884&lt;&gt;"", IFERROR(INDEX('بنود العقد'!B$3:B$388,C884), "⚠"), "")</f>
        <v xml:space="preserve"> جدران بورسلان (PW-03(type A&amp;B  مقاس 600×300×12مم فرز ثاني بالمقاسات والالوان المطلوبة لدورات المياة العامة  طبقاً للمخططات والمواصفات.</v>
      </c>
      <c r="E884" s="12" t="str">
        <f>IF(C884&lt;&gt;"", IFERROR(INDEX('بنود العقد'!D$3:D$388,C884), ""), "")</f>
        <v>م²</v>
      </c>
      <c r="F884" s="9">
        <f>IF(C884&lt;&gt;"", IFERROR(INDEX('بنود العقد'!E$3:E$388,C884), 0), "")</f>
        <v>96</v>
      </c>
      <c r="G884" s="9">
        <f>IF(C884&lt;&gt;"", IFERROR(INDEX('بنود العقد'!F$3:F$388,C884), 0), "")</f>
        <v>2648</v>
      </c>
      <c r="H884" s="18">
        <f t="shared" si="37"/>
        <v>561</v>
      </c>
      <c r="I884" s="7">
        <v>799</v>
      </c>
      <c r="J884" s="18">
        <f t="shared" si="31"/>
        <v>1360</v>
      </c>
      <c r="K884" s="10">
        <f t="shared" si="30"/>
        <v>76704</v>
      </c>
      <c r="L884" s="21">
        <f t="shared" si="35"/>
        <v>51.359516616314203</v>
      </c>
    </row>
    <row r="885" spans="1:12" s="72" customFormat="1" ht="25.95" customHeight="1">
      <c r="A885" s="12">
        <v>883</v>
      </c>
      <c r="B885" s="6">
        <v>17</v>
      </c>
      <c r="C885" s="6">
        <v>86</v>
      </c>
      <c r="D885" s="20" t="str">
        <f>IF(C885&lt;&gt;"", IFERROR(INDEX('بنود العقد'!B$3:B$388,C885), "⚠"), "")</f>
        <v xml:space="preserve"> وزرة من بورسلان بسماكة 12مم  100*600 مم والسعر يشمل التثبيت  بالغراء والشطف وكل ما يلزم لانهاء العمل حسب الاصول الفنية وتعليمات المهندس المشرف.Ref. Drawings: 07-MRA-DD-(as per floor number)-AR-300</v>
      </c>
      <c r="E885" s="12" t="str">
        <f>IF(C885&lt;&gt;"", IFERROR(INDEX('بنود العقد'!D$3:D$388,C885), ""), "")</f>
        <v>م.ط</v>
      </c>
      <c r="F885" s="9">
        <f>IF(C885&lt;&gt;"", IFERROR(INDEX('بنود العقد'!E$3:E$388,C885), 0), "")</f>
        <v>120</v>
      </c>
      <c r="G885" s="9">
        <f>IF(C885&lt;&gt;"", IFERROR(INDEX('بنود العقد'!F$3:F$388,C885), 0), "")</f>
        <v>567</v>
      </c>
      <c r="H885" s="18">
        <f t="shared" si="37"/>
        <v>0</v>
      </c>
      <c r="I885" s="7">
        <v>94</v>
      </c>
      <c r="J885" s="18">
        <f t="shared" si="31"/>
        <v>94</v>
      </c>
      <c r="K885" s="10">
        <f t="shared" si="30"/>
        <v>11280</v>
      </c>
      <c r="L885" s="21">
        <f t="shared" si="35"/>
        <v>16.578483245149911</v>
      </c>
    </row>
    <row r="886" spans="1:12" s="72" customFormat="1" ht="25.95" customHeight="1">
      <c r="A886" s="12">
        <v>884</v>
      </c>
      <c r="B886" s="6">
        <v>17</v>
      </c>
      <c r="C886" s="6">
        <v>98</v>
      </c>
      <c r="D886" s="20" t="str">
        <f>IF(C886&lt;&gt;"", IFERROR(INDEX('بنود العقد'!B$3:B$388,C886), "⚠"), "")</f>
        <v>رخام ابيض ثاسوس  سماكة 20مم على جدران دورات مياه منطقة معالي الوزير</v>
      </c>
      <c r="E886" s="12" t="str">
        <f>IF(C886&lt;&gt;"", IFERROR(INDEX('بنود العقد'!D$3:D$388,C886), ""), "")</f>
        <v>م²</v>
      </c>
      <c r="F886" s="9">
        <f>IF(C886&lt;&gt;"", IFERROR(INDEX('بنود العقد'!E$3:E$388,C886), 0), "")</f>
        <v>300</v>
      </c>
      <c r="G886" s="9">
        <f>IF(C886&lt;&gt;"", IFERROR(INDEX('بنود العقد'!F$3:F$388,C886), 0), "")</f>
        <v>43</v>
      </c>
      <c r="H886" s="18">
        <f t="shared" si="37"/>
        <v>0</v>
      </c>
      <c r="I886" s="7">
        <v>32</v>
      </c>
      <c r="J886" s="18">
        <f t="shared" ref="J886:J1016" si="38">IF(I886&lt;&gt;"", H886+I886, 0)</f>
        <v>32</v>
      </c>
      <c r="K886" s="10">
        <f t="shared" si="30"/>
        <v>9600</v>
      </c>
      <c r="L886" s="21">
        <f t="shared" si="35"/>
        <v>74.418604651162795</v>
      </c>
    </row>
    <row r="887" spans="1:12" s="72" customFormat="1" ht="25.95" customHeight="1">
      <c r="A887" s="12">
        <v>885</v>
      </c>
      <c r="B887" s="6">
        <v>17</v>
      </c>
      <c r="C887" s="6">
        <v>99</v>
      </c>
      <c r="D887" s="20" t="str">
        <f>IF(C887&lt;&gt;"", IFERROR(INDEX('بنود العقد'!B$3:B$388,C887), "⚠"), "")</f>
        <v>رخام أخضر داكن مثبت على قواطع السيمنت خلف مكاتب السكرتاريا وفي المدخل الرئيسي في منطقة معالي الوزير.</v>
      </c>
      <c r="E887" s="12" t="str">
        <f>IF(C887&lt;&gt;"", IFERROR(INDEX('بنود العقد'!D$3:D$388,C887), ""), "")</f>
        <v>م²</v>
      </c>
      <c r="F887" s="9">
        <f>IF(C887&lt;&gt;"", IFERROR(INDEX('بنود العقد'!E$3:E$388,C887), 0), "")</f>
        <v>300</v>
      </c>
      <c r="G887" s="9">
        <f>IF(C887&lt;&gt;"", IFERROR(INDEX('بنود العقد'!F$3:F$388,C887), 0), "")</f>
        <v>43</v>
      </c>
      <c r="H887" s="18">
        <f t="shared" si="37"/>
        <v>0</v>
      </c>
      <c r="I887" s="7">
        <v>21</v>
      </c>
      <c r="J887" s="18">
        <f t="shared" si="38"/>
        <v>21</v>
      </c>
      <c r="K887" s="10">
        <f t="shared" si="30"/>
        <v>6300</v>
      </c>
      <c r="L887" s="21">
        <f t="shared" si="35"/>
        <v>48.837209302325576</v>
      </c>
    </row>
    <row r="888" spans="1:12" s="72" customFormat="1" ht="25.95" customHeight="1">
      <c r="A888" s="12">
        <v>886</v>
      </c>
      <c r="B888" s="6">
        <v>17</v>
      </c>
      <c r="C888" s="6">
        <v>101</v>
      </c>
      <c r="D888" s="20" t="str">
        <f>IF(C888&lt;&gt;"", IFERROR(INDEX('بنود العقد'!B$3:B$388,C888), "⚠"), "")</f>
        <v>توريد وتركيب وزرة من الرخام  رمادي فاتح تندر غراي بسماكة 20مم 100*1000 مم والسعر يشمل التثبيت  بالغراء والشطف وكل ما يلزم لانهاء العمل حسب الاصول الفنية وتعليمات المهندس المشرف.</v>
      </c>
      <c r="E888" s="12" t="str">
        <f>IF(C888&lt;&gt;"", IFERROR(INDEX('بنود العقد'!D$3:D$388,C888), ""), "")</f>
        <v>م.ط</v>
      </c>
      <c r="F888" s="9">
        <f>IF(C888&lt;&gt;"", IFERROR(INDEX('بنود العقد'!E$3:E$388,C888), 0), "")</f>
        <v>90</v>
      </c>
      <c r="G888" s="9">
        <f>IF(C888&lt;&gt;"", IFERROR(INDEX('بنود العقد'!F$3:F$388,C888), 0), "")</f>
        <v>400</v>
      </c>
      <c r="H888" s="18">
        <f t="shared" si="37"/>
        <v>0</v>
      </c>
      <c r="I888" s="7">
        <v>414</v>
      </c>
      <c r="J888" s="18">
        <f t="shared" si="38"/>
        <v>414</v>
      </c>
      <c r="K888" s="10">
        <f t="shared" si="30"/>
        <v>37260</v>
      </c>
      <c r="L888" s="21">
        <f t="shared" si="35"/>
        <v>103.49999999999999</v>
      </c>
    </row>
    <row r="889" spans="1:12" s="72" customFormat="1" ht="25.95" customHeight="1">
      <c r="A889" s="12">
        <v>887</v>
      </c>
      <c r="B889" s="6">
        <v>17</v>
      </c>
      <c r="C889" s="6">
        <v>104</v>
      </c>
      <c r="D889" s="20" t="str">
        <f>IF(C889&lt;&gt;"", IFERROR(INDEX('بنود العقد'!B$3:B$388,C889), "⚠"), "")</f>
        <v>Ref drawing: 07-MRA-DD-(as per floor number)-AR-300 مقاس 500×500 مم  لون رمادي لمنطقة المرور CT-01بلاط - سجاد</v>
      </c>
      <c r="E889" s="12" t="str">
        <f>IF(C889&lt;&gt;"", IFERROR(INDEX('بنود العقد'!D$3:D$388,C889), ""), "")</f>
        <v>م²</v>
      </c>
      <c r="F889" s="9">
        <f>IF(C889&lt;&gt;"", IFERROR(INDEX('بنود العقد'!E$3:E$388,C889), 0), "")</f>
        <v>156</v>
      </c>
      <c r="G889" s="9">
        <f>IF(C889&lt;&gt;"", IFERROR(INDEX('بنود العقد'!F$3:F$388,C889), 0), "")</f>
        <v>3600</v>
      </c>
      <c r="H889" s="18">
        <f t="shared" si="37"/>
        <v>2291</v>
      </c>
      <c r="I889" s="7">
        <v>214</v>
      </c>
      <c r="J889" s="18">
        <f t="shared" si="38"/>
        <v>2505</v>
      </c>
      <c r="K889" s="10">
        <f t="shared" si="30"/>
        <v>33384</v>
      </c>
      <c r="L889" s="21">
        <f t="shared" si="35"/>
        <v>69.583333333333329</v>
      </c>
    </row>
    <row r="890" spans="1:12" s="72" customFormat="1" ht="25.95" customHeight="1">
      <c r="A890" s="12">
        <v>888</v>
      </c>
      <c r="B890" s="6">
        <v>17</v>
      </c>
      <c r="C890" s="6">
        <v>105</v>
      </c>
      <c r="D890" s="20" t="str">
        <f>IF(C890&lt;&gt;"", IFERROR(INDEX('بنود العقد'!B$3:B$388,C890), "⚠"), "")</f>
        <v>بلاط - سجاد 02-CT مقاس 500× 500 مم لون أزرق فاتح لمحطة العمل وغرفة الاجتماعات</v>
      </c>
      <c r="E890" s="12" t="str">
        <f>IF(C890&lt;&gt;"", IFERROR(INDEX('بنود العقد'!D$3:D$388,C890), ""), "")</f>
        <v>م²</v>
      </c>
      <c r="F890" s="9">
        <f>IF(C890&lt;&gt;"", IFERROR(INDEX('بنود العقد'!E$3:E$388,C890), 0), "")</f>
        <v>156</v>
      </c>
      <c r="G890" s="9">
        <f>IF(C890&lt;&gt;"", IFERROR(INDEX('بنود العقد'!F$3:F$388,C890), 0), "")</f>
        <v>6705</v>
      </c>
      <c r="H890" s="18">
        <f t="shared" si="37"/>
        <v>4254</v>
      </c>
      <c r="I890" s="7">
        <v>400</v>
      </c>
      <c r="J890" s="18">
        <f t="shared" si="38"/>
        <v>4654</v>
      </c>
      <c r="K890" s="10">
        <f t="shared" ref="K890:K1012" si="39">IF(AND(I890&lt;&gt;"",F890&lt;&gt;""), I890*F890, "")</f>
        <v>62400</v>
      </c>
      <c r="L890" s="21">
        <f t="shared" si="35"/>
        <v>69.410887397464577</v>
      </c>
    </row>
    <row r="891" spans="1:12" s="72" customFormat="1" ht="25.95" customHeight="1">
      <c r="A891" s="12">
        <v>889</v>
      </c>
      <c r="B891" s="6">
        <v>17</v>
      </c>
      <c r="C891" s="6">
        <v>106</v>
      </c>
      <c r="D891" s="20" t="str">
        <f>IF(C891&lt;&gt;"", IFERROR(INDEX('بنود العقد'!B$3:B$388,C891), "⚠"), "")</f>
        <v>Ref drawing: 07-MRA-DD-(as per floor number)-AR-300 مقاس 500×500 مم لون بيج لمكتب المدير CT-03بلاط - سجاد</v>
      </c>
      <c r="E891" s="12" t="str">
        <f>IF(C891&lt;&gt;"", IFERROR(INDEX('بنود العقد'!D$3:D$388,C891), ""), "")</f>
        <v>م²</v>
      </c>
      <c r="F891" s="9">
        <f>IF(C891&lt;&gt;"", IFERROR(INDEX('بنود العقد'!E$3:E$388,C891), 0), "")</f>
        <v>156</v>
      </c>
      <c r="G891" s="9">
        <f>IF(C891&lt;&gt;"", IFERROR(INDEX('بنود العقد'!F$3:F$388,C891), 0), "")</f>
        <v>1213</v>
      </c>
      <c r="H891" s="18">
        <f t="shared" si="37"/>
        <v>869</v>
      </c>
      <c r="I891" s="7">
        <v>95</v>
      </c>
      <c r="J891" s="18">
        <f t="shared" si="38"/>
        <v>964</v>
      </c>
      <c r="K891" s="10">
        <f t="shared" si="39"/>
        <v>14820</v>
      </c>
      <c r="L891" s="21">
        <f t="shared" si="35"/>
        <v>79.472382522671055</v>
      </c>
    </row>
    <row r="892" spans="1:12" ht="25.95" customHeight="1">
      <c r="A892" s="12">
        <v>890</v>
      </c>
      <c r="B892" s="6">
        <v>17</v>
      </c>
      <c r="C892" s="6">
        <v>110</v>
      </c>
      <c r="D892" s="20" t="str">
        <f>IF(C892&lt;&gt;"", IFERROR(INDEX('بنود العقد'!B$3:B$388,C892), "⚠"), "")</f>
        <v>بلاط - سجاد 01-CR مقاس 500×500 مم لمكتب الرئيس ونائب الرئيس والصالة والسكرتارية وغرفة الاجتماعات الكبيرة.</v>
      </c>
      <c r="E892" s="12" t="str">
        <f>IF(C892&lt;&gt;"", IFERROR(INDEX('بنود العقد'!D$3:D$388,C892), ""), "")</f>
        <v>م²</v>
      </c>
      <c r="F892" s="9">
        <f>IF(C892&lt;&gt;"", IFERROR(INDEX('بنود العقد'!E$3:E$388,C892), 0), "")</f>
        <v>156</v>
      </c>
      <c r="G892" s="9">
        <f>IF(C892&lt;&gt;"", IFERROR(INDEX('بنود العقد'!F$3:F$388,C892), 0), "")</f>
        <v>2140</v>
      </c>
      <c r="H892" s="18">
        <f t="shared" si="37"/>
        <v>1376</v>
      </c>
      <c r="I892" s="7">
        <v>403</v>
      </c>
      <c r="J892" s="18">
        <f t="shared" si="38"/>
        <v>1779</v>
      </c>
      <c r="K892" s="10">
        <f t="shared" si="39"/>
        <v>62868</v>
      </c>
      <c r="L892" s="21">
        <f t="shared" si="35"/>
        <v>83.130841121495322</v>
      </c>
    </row>
    <row r="893" spans="1:12" ht="25.95" customHeight="1">
      <c r="A893" s="12">
        <v>891</v>
      </c>
      <c r="B893" s="6">
        <v>17</v>
      </c>
      <c r="C893" s="6">
        <v>111</v>
      </c>
      <c r="D893" s="20" t="str">
        <f>IF(C893&lt;&gt;"", IFERROR(INDEX('بنود العقد'!B$3:B$388,C893), "⚠"), "")</f>
        <v>بلاط - سجاد 02-CR مقاس 500×500 مم لمكتب الرئيس ونائب الرئيس على شكل مثلثات لون بيج، رمادي فاتح ورمادي غامق.</v>
      </c>
      <c r="E893" s="12" t="str">
        <f>IF(C893&lt;&gt;"", IFERROR(INDEX('بنود العقد'!D$3:D$388,C893), ""), "")</f>
        <v>م²</v>
      </c>
      <c r="F893" s="9">
        <f>IF(C893&lt;&gt;"", IFERROR(INDEX('بنود العقد'!E$3:E$388,C893), 0), "")</f>
        <v>156</v>
      </c>
      <c r="G893" s="9">
        <f>IF(C893&lt;&gt;"", IFERROR(INDEX('بنود العقد'!F$3:F$388,C893), 0), "")</f>
        <v>303</v>
      </c>
      <c r="H893" s="18">
        <f t="shared" si="37"/>
        <v>187</v>
      </c>
      <c r="I893" s="7">
        <v>24</v>
      </c>
      <c r="J893" s="18">
        <f t="shared" si="38"/>
        <v>211</v>
      </c>
      <c r="K893" s="10">
        <f t="shared" si="39"/>
        <v>3744</v>
      </c>
      <c r="L893" s="21">
        <f t="shared" si="35"/>
        <v>69.636963696369634</v>
      </c>
    </row>
    <row r="894" spans="1:12" ht="25.95" customHeight="1">
      <c r="A894" s="12">
        <v>892</v>
      </c>
      <c r="B894" s="6">
        <v>17</v>
      </c>
      <c r="C894" s="6">
        <v>112</v>
      </c>
      <c r="D894" s="20" t="str">
        <f>IF(C894&lt;&gt;"", IFERROR(INDEX('بنود العقد'!B$3:B$388,C894), "⚠"), "")</f>
        <v>300-Ref drawing: 07-MRA-DD-(as per floor number)-ARبلاط - سجاد 03-CR مقاس 500×500 مم للمدير العام ومنطقة السكرتارية</v>
      </c>
      <c r="E894" s="12" t="str">
        <f>IF(C894&lt;&gt;"", IFERROR(INDEX('بنود العقد'!D$3:D$388,C894), ""), "")</f>
        <v>م²</v>
      </c>
      <c r="F894" s="9">
        <f>IF(C894&lt;&gt;"", IFERROR(INDEX('بنود العقد'!E$3:E$388,C894), 0), "")</f>
        <v>156</v>
      </c>
      <c r="G894" s="9">
        <f>IF(C894&lt;&gt;"", IFERROR(INDEX('بنود العقد'!F$3:F$388,C894), 0), "")</f>
        <v>1550</v>
      </c>
      <c r="H894" s="18">
        <f t="shared" si="37"/>
        <v>1140</v>
      </c>
      <c r="I894" s="7">
        <v>140</v>
      </c>
      <c r="J894" s="18">
        <f t="shared" si="38"/>
        <v>1280</v>
      </c>
      <c r="K894" s="10">
        <f t="shared" si="39"/>
        <v>21840</v>
      </c>
      <c r="L894" s="21">
        <f t="shared" si="35"/>
        <v>82.58064516129032</v>
      </c>
    </row>
    <row r="895" spans="1:12" s="72" customFormat="1" ht="25.95" customHeight="1">
      <c r="A895" s="12">
        <v>893</v>
      </c>
      <c r="B895" s="6">
        <v>17</v>
      </c>
      <c r="C895" s="6">
        <v>121</v>
      </c>
      <c r="D895" s="20" t="str">
        <f>IF(C895&lt;&gt;"", IFERROR(INDEX('بنود العقد'!B$3:B$388,C895), "⚠"), "")</f>
        <v xml:space="preserve">عمل صبة خرسانية من السرك سماكة 10 سم مع طبقة واحدة من شبك الحديد قطر 6مم. على أن تكون طبقة التشطيب النهائية بلون رمادي غامق على شكل الأسطح الاسمنتية  بحسب اللون والملمس المعتمد. </v>
      </c>
      <c r="E895" s="12" t="str">
        <f>IF(C895&lt;&gt;"", IFERROR(INDEX('بنود العقد'!D$3:D$388,C895), ""), "")</f>
        <v>م²</v>
      </c>
      <c r="F895" s="9">
        <f>IF(C895&lt;&gt;"", IFERROR(INDEX('بنود العقد'!E$3:E$388,C895), 0), "")</f>
        <v>72</v>
      </c>
      <c r="G895" s="9">
        <f>IF(C895&lt;&gt;"", IFERROR(INDEX('بنود العقد'!F$3:F$388,C895), 0), "")</f>
        <v>110</v>
      </c>
      <c r="H895" s="18">
        <f t="shared" si="37"/>
        <v>0</v>
      </c>
      <c r="I895" s="7">
        <v>125</v>
      </c>
      <c r="J895" s="18">
        <f t="shared" si="38"/>
        <v>125</v>
      </c>
      <c r="K895" s="10">
        <f t="shared" si="39"/>
        <v>9000</v>
      </c>
      <c r="L895" s="21">
        <f t="shared" si="35"/>
        <v>113.63636363636364</v>
      </c>
    </row>
    <row r="896" spans="1:12" s="72" customFormat="1" ht="25.95" customHeight="1">
      <c r="A896" s="12">
        <v>894</v>
      </c>
      <c r="B896" s="6">
        <v>17</v>
      </c>
      <c r="C896" s="6">
        <v>125</v>
      </c>
      <c r="D896" s="20" t="str">
        <f>IF(C896&lt;&gt;"", IFERROR(INDEX('بنود العقد'!B$3:B$388,C896), "⚠"), "")</f>
        <v>دهان بلون رمادي بيج على الألواح الجبسية والألواح الاسمنتية 100-WPF</v>
      </c>
      <c r="E896" s="12" t="str">
        <f>IF(C896&lt;&gt;"", IFERROR(INDEX('بنود العقد'!D$3:D$388,C896), ""), "")</f>
        <v>م²</v>
      </c>
      <c r="F896" s="9">
        <f>IF(C896&lt;&gt;"", IFERROR(INDEX('بنود العقد'!E$3:E$388,C896), 0), "")</f>
        <v>25.2</v>
      </c>
      <c r="G896" s="9">
        <f>IF(C896&lt;&gt;"", IFERROR(INDEX('بنود العقد'!F$3:F$388,C896), 0), "")</f>
        <v>12700</v>
      </c>
      <c r="H896" s="18">
        <f t="shared" si="37"/>
        <v>3139.0839999999998</v>
      </c>
      <c r="I896" s="7">
        <v>6281</v>
      </c>
      <c r="J896" s="18">
        <f t="shared" si="38"/>
        <v>9420.0839999999989</v>
      </c>
      <c r="K896" s="10">
        <f t="shared" si="39"/>
        <v>158281.19999999998</v>
      </c>
      <c r="L896" s="21">
        <f t="shared" si="35"/>
        <v>74.173889763779528</v>
      </c>
    </row>
    <row r="897" spans="1:12" s="72" customFormat="1" ht="25.95" customHeight="1">
      <c r="A897" s="12">
        <v>895</v>
      </c>
      <c r="B897" s="6">
        <v>17</v>
      </c>
      <c r="C897" s="6">
        <v>128</v>
      </c>
      <c r="D897" s="20" t="str">
        <f>IF(C897&lt;&gt;"", IFERROR(INDEX('بنود العقد'!B$3:B$388,C897), "⚠"), "")</f>
        <v>.دهان بلون رمادي اسمنتي على الألواح الجبسية والألواح الاسمنتية 200-WPF</v>
      </c>
      <c r="E897" s="12" t="str">
        <f>IF(C897&lt;&gt;"", IFERROR(INDEX('بنود العقد'!D$3:D$388,C897), ""), "")</f>
        <v>م²</v>
      </c>
      <c r="F897" s="9">
        <f>IF(C897&lt;&gt;"", IFERROR(INDEX('بنود العقد'!E$3:E$388,C897), 0), "")</f>
        <v>30</v>
      </c>
      <c r="G897" s="9">
        <f>IF(C897&lt;&gt;"", IFERROR(INDEX('بنود العقد'!F$3:F$388,C897), 0), "")</f>
        <v>2088</v>
      </c>
      <c r="H897" s="18">
        <f t="shared" si="37"/>
        <v>1291.9947</v>
      </c>
      <c r="I897" s="7">
        <v>1700</v>
      </c>
      <c r="J897" s="18">
        <f t="shared" si="38"/>
        <v>2991.9947000000002</v>
      </c>
      <c r="K897" s="10">
        <f t="shared" si="39"/>
        <v>51000</v>
      </c>
      <c r="L897" s="21">
        <f t="shared" si="35"/>
        <v>143.29476532567051</v>
      </c>
    </row>
    <row r="898" spans="1:12" s="72" customFormat="1" ht="25.95" customHeight="1">
      <c r="A898" s="12">
        <v>896</v>
      </c>
      <c r="B898" s="6">
        <v>17</v>
      </c>
      <c r="C898" s="6">
        <v>133</v>
      </c>
      <c r="D898" s="20" t="str">
        <f>IF(C898&lt;&gt;"", IFERROR(INDEX('بنود العقد'!B$3:B$388,C898),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ابيض</v>
      </c>
      <c r="E898" s="12" t="str">
        <f>IF(C898&lt;&gt;"", IFERROR(INDEX('بنود العقد'!D$3:D$388,C898), ""), "")</f>
        <v>م²</v>
      </c>
      <c r="F898" s="9">
        <f>IF(C898&lt;&gt;"", IFERROR(INDEX('بنود العقد'!E$3:E$388,C898), 0), "")</f>
        <v>24</v>
      </c>
      <c r="G898" s="9">
        <f>IF(C898&lt;&gt;"", IFERROR(INDEX('بنود العقد'!F$3:F$388,C898), 0), "")</f>
        <v>25559</v>
      </c>
      <c r="H898" s="18">
        <f t="shared" si="37"/>
        <v>7359.0039999999999</v>
      </c>
      <c r="I898" s="7">
        <v>8000</v>
      </c>
      <c r="J898" s="18">
        <f t="shared" si="38"/>
        <v>15359.004000000001</v>
      </c>
      <c r="K898" s="10">
        <f t="shared" si="39"/>
        <v>192000</v>
      </c>
      <c r="L898" s="21">
        <f t="shared" si="35"/>
        <v>60.092351030948009</v>
      </c>
    </row>
    <row r="899" spans="1:12" s="72" customFormat="1" ht="25.95" customHeight="1">
      <c r="A899" s="12">
        <v>897</v>
      </c>
      <c r="B899" s="6">
        <v>17</v>
      </c>
      <c r="C899" s="6">
        <v>137</v>
      </c>
      <c r="D899" s="20" t="str">
        <f>IF(C899&lt;&gt;"", IFERROR(INDEX('بنود العقد'!B$3:B$388,C899), "⚠"), "")</f>
        <v>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 دهان  بلون اسود</v>
      </c>
      <c r="E899" s="12" t="str">
        <f>IF(C899&lt;&gt;"", IFERROR(INDEX('بنود العقد'!D$3:D$388,C899), ""), "")</f>
        <v>م²</v>
      </c>
      <c r="F899" s="9">
        <f>IF(C899&lt;&gt;"", IFERROR(INDEX('بنود العقد'!E$3:E$388,C899), 0), "")</f>
        <v>30</v>
      </c>
      <c r="G899" s="9">
        <f>IF(C899&lt;&gt;"", IFERROR(INDEX('بنود العقد'!F$3:F$388,C899), 0), "")</f>
        <v>9442</v>
      </c>
      <c r="H899" s="18">
        <f t="shared" si="37"/>
        <v>3970</v>
      </c>
      <c r="I899" s="7">
        <v>4150</v>
      </c>
      <c r="J899" s="18">
        <f t="shared" si="38"/>
        <v>8120</v>
      </c>
      <c r="K899" s="10">
        <f t="shared" si="39"/>
        <v>124500</v>
      </c>
      <c r="L899" s="21">
        <f t="shared" si="35"/>
        <v>85.998729082821441</v>
      </c>
    </row>
    <row r="900" spans="1:12" s="72" customFormat="1" ht="25.95" customHeight="1">
      <c r="A900" s="12">
        <v>898</v>
      </c>
      <c r="B900" s="6">
        <v>17</v>
      </c>
      <c r="C900" s="6">
        <v>175</v>
      </c>
      <c r="D900" s="20" t="str">
        <f>IF(C900&lt;&gt;"", IFERROR(INDEX('بنود العقد'!B$3:B$388,C900), "⚠"), "")</f>
        <v>قواطع الحمامات مكونة من ألواح الفينوليك المضغوط ارتفاع 2 متر ذو المقاومة الشديدة للماء مع طبقة ميلامين بلون رمادي غامق مقاومة للخدش وسهلة التنظيف ، سمك الألواح هو  19 ملم ،. قواطع الحمامات تشمل إكسسوارات عالية الجودة ) مفصلات ذاتية الإغلاق وقفل ( والأبواب والاكسسوارات والعلاقات من الستانلس ستيل brushed finish وكل ما يلزم لانهاء العمل حسب الأصول الفنية والمواصفلت وتعليمات المهندس المشرف .</v>
      </c>
      <c r="E900" s="12" t="str">
        <f>IF(C900&lt;&gt;"", IFERROR(INDEX('بنود العقد'!D$3:D$388,C900), ""), "")</f>
        <v>م²</v>
      </c>
      <c r="F900" s="9">
        <f>IF(C900&lt;&gt;"", IFERROR(INDEX('بنود العقد'!E$3:E$388,C900), 0), "")</f>
        <v>780</v>
      </c>
      <c r="G900" s="9">
        <f>IF(C900&lt;&gt;"", IFERROR(INDEX('بنود العقد'!F$3:F$388,C900), 0), "")</f>
        <v>611</v>
      </c>
      <c r="H900" s="18">
        <f t="shared" si="37"/>
        <v>225.87</v>
      </c>
      <c r="I900" s="7">
        <v>100.13</v>
      </c>
      <c r="J900" s="18">
        <f t="shared" si="38"/>
        <v>326</v>
      </c>
      <c r="K900" s="10">
        <f t="shared" si="39"/>
        <v>78101.399999999994</v>
      </c>
      <c r="L900" s="21">
        <f t="shared" si="35"/>
        <v>53.35515548281505</v>
      </c>
    </row>
    <row r="901" spans="1:12" s="72" customFormat="1" ht="25.95" customHeight="1">
      <c r="A901" s="12">
        <v>899</v>
      </c>
      <c r="B901" s="6">
        <v>17</v>
      </c>
      <c r="C901" s="6">
        <v>176</v>
      </c>
      <c r="D901" s="20" t="str">
        <f>IF(C901&lt;&gt;"", IFERROR(INDEX('بنود العقد'!B$3:B$388,C901),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901" s="12" t="str">
        <f>IF(C901&lt;&gt;"", IFERROR(INDEX('بنود العقد'!D$3:D$388,C901), ""), "")</f>
        <v>م.ط</v>
      </c>
      <c r="F901" s="9">
        <f>IF(C901&lt;&gt;"", IFERROR(INDEX('بنود العقد'!E$3:E$388,C901), 0), "")</f>
        <v>66</v>
      </c>
      <c r="G901" s="9">
        <f>IF(C901&lt;&gt;"", IFERROR(INDEX('بنود العقد'!F$3:F$388,C901), 0), "")</f>
        <v>532</v>
      </c>
      <c r="H901" s="18">
        <f t="shared" si="37"/>
        <v>961</v>
      </c>
      <c r="I901" s="7">
        <v>900</v>
      </c>
      <c r="J901" s="18">
        <f t="shared" si="38"/>
        <v>1861</v>
      </c>
      <c r="K901" s="10">
        <f t="shared" si="39"/>
        <v>59400</v>
      </c>
      <c r="L901" s="21">
        <f t="shared" si="35"/>
        <v>349.81203007518798</v>
      </c>
    </row>
    <row r="902" spans="1:12" s="72" customFormat="1" ht="25.95" customHeight="1">
      <c r="A902" s="12">
        <v>900</v>
      </c>
      <c r="B902" s="6">
        <v>17</v>
      </c>
      <c r="C902" s="6">
        <v>177</v>
      </c>
      <c r="D902" s="20" t="str">
        <f>IF(C902&lt;&gt;"", IFERROR(INDEX('بنود العقد'!B$3:B$388,C902),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E902" s="12" t="str">
        <f>IF(C902&lt;&gt;"", IFERROR(INDEX('بنود العقد'!D$3:D$388,C902), ""), "")</f>
        <v>م.ط</v>
      </c>
      <c r="F902" s="9">
        <f>IF(C902&lt;&gt;"", IFERROR(INDEX('بنود العقد'!E$3:E$388,C902), 0), "")</f>
        <v>70.8</v>
      </c>
      <c r="G902" s="9">
        <f>IF(C902&lt;&gt;"", IFERROR(INDEX('بنود العقد'!F$3:F$388,C902), 0), "")</f>
        <v>221</v>
      </c>
      <c r="H902" s="18">
        <f t="shared" si="37"/>
        <v>243</v>
      </c>
      <c r="I902" s="7">
        <v>180</v>
      </c>
      <c r="J902" s="18">
        <f t="shared" si="38"/>
        <v>423</v>
      </c>
      <c r="K902" s="10">
        <f t="shared" si="39"/>
        <v>12744</v>
      </c>
      <c r="L902" s="21">
        <f t="shared" si="35"/>
        <v>191.40271493212671</v>
      </c>
    </row>
    <row r="903" spans="1:12" s="72" customFormat="1" ht="25.95" customHeight="1">
      <c r="A903" s="12">
        <v>901</v>
      </c>
      <c r="B903" s="6">
        <v>17</v>
      </c>
      <c r="C903" s="6">
        <v>178</v>
      </c>
      <c r="D903" s="20" t="str">
        <f>IF(C903&lt;&gt;"", IFERROR(INDEX('بنود العقد'!B$3:B$388,C903),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32مم</v>
      </c>
      <c r="E903" s="12" t="str">
        <f>IF(C903&lt;&gt;"", IFERROR(INDEX('بنود العقد'!D$3:D$388,C903), ""), "")</f>
        <v>م.ط</v>
      </c>
      <c r="F903" s="9">
        <f>IF(C903&lt;&gt;"", IFERROR(INDEX('بنود العقد'!E$3:E$388,C903), 0), "")</f>
        <v>102</v>
      </c>
      <c r="G903" s="9">
        <f>IF(C903&lt;&gt;"", IFERROR(INDEX('بنود العقد'!F$3:F$388,C903), 0), "")</f>
        <v>207</v>
      </c>
      <c r="H903" s="18">
        <f t="shared" si="37"/>
        <v>166.00000000000003</v>
      </c>
      <c r="I903" s="7">
        <v>140</v>
      </c>
      <c r="J903" s="18">
        <f t="shared" si="38"/>
        <v>306</v>
      </c>
      <c r="K903" s="10">
        <f t="shared" si="39"/>
        <v>14280</v>
      </c>
      <c r="L903" s="21">
        <f t="shared" si="35"/>
        <v>147.82608695652172</v>
      </c>
    </row>
    <row r="904" spans="1:12" s="72" customFormat="1" ht="25.95" customHeight="1">
      <c r="A904" s="12">
        <v>902</v>
      </c>
      <c r="B904" s="6">
        <v>17</v>
      </c>
      <c r="C904" s="6">
        <v>179</v>
      </c>
      <c r="D904" s="20" t="str">
        <f>IF(C904&lt;&gt;"", IFERROR(INDEX('بنود العقد'!B$3:B$388,C904),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40 مم</v>
      </c>
      <c r="E904" s="12" t="str">
        <f>IF(C904&lt;&gt;"", IFERROR(INDEX('بنود العقد'!D$3:D$388,C904), ""), "")</f>
        <v>م.ط</v>
      </c>
      <c r="F904" s="9">
        <f>IF(C904&lt;&gt;"", IFERROR(INDEX('بنود العقد'!E$3:E$388,C904), 0), "")</f>
        <v>85.2</v>
      </c>
      <c r="G904" s="9">
        <f>IF(C904&lt;&gt;"", IFERROR(INDEX('بنود العقد'!F$3:F$388,C904), 0), "")</f>
        <v>103</v>
      </c>
      <c r="H904" s="18">
        <f t="shared" si="37"/>
        <v>257</v>
      </c>
      <c r="I904" s="7">
        <v>170</v>
      </c>
      <c r="J904" s="18">
        <f t="shared" si="38"/>
        <v>427</v>
      </c>
      <c r="K904" s="10">
        <f t="shared" si="39"/>
        <v>14484</v>
      </c>
      <c r="L904" s="21">
        <f t="shared" si="35"/>
        <v>414.56310679611653</v>
      </c>
    </row>
    <row r="905" spans="1:12" s="72" customFormat="1" ht="25.95" customHeight="1">
      <c r="A905" s="12">
        <v>903</v>
      </c>
      <c r="B905" s="6">
        <v>17</v>
      </c>
      <c r="C905" s="6">
        <v>180</v>
      </c>
      <c r="D905" s="20" t="str">
        <f>IF(C905&lt;&gt;"", IFERROR(INDEX('بنود العقد'!B$3:B$388,C905),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الداخلية:قطر 50 مم</v>
      </c>
      <c r="E905" s="12" t="str">
        <f>IF(C905&lt;&gt;"", IFERROR(INDEX('بنود العقد'!D$3:D$388,C905), ""), "")</f>
        <v>م.ط</v>
      </c>
      <c r="F905" s="9">
        <f>IF(C905&lt;&gt;"", IFERROR(INDEX('بنود العقد'!E$3:E$388,C905), 0), "")</f>
        <v>94.8</v>
      </c>
      <c r="G905" s="9">
        <f>IF(C905&lt;&gt;"", IFERROR(INDEX('بنود العقد'!F$3:F$388,C905), 0), "")</f>
        <v>218</v>
      </c>
      <c r="H905" s="18">
        <f t="shared" si="37"/>
        <v>154</v>
      </c>
      <c r="I905" s="7">
        <v>200</v>
      </c>
      <c r="J905" s="18">
        <f t="shared" si="38"/>
        <v>354</v>
      </c>
      <c r="K905" s="10">
        <f t="shared" si="39"/>
        <v>18960</v>
      </c>
      <c r="L905" s="21">
        <f t="shared" si="35"/>
        <v>162.38532110091742</v>
      </c>
    </row>
    <row r="906" spans="1:12" s="72" customFormat="1" ht="25.95" customHeight="1">
      <c r="A906" s="12">
        <v>904</v>
      </c>
      <c r="B906" s="6">
        <v>17</v>
      </c>
      <c r="C906" s="6">
        <v>181</v>
      </c>
      <c r="D906" s="20" t="str">
        <f>IF(C906&lt;&gt;"", IFERROR(INDEX('بنود العقد'!B$3:B$388,C906),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906" s="12" t="str">
        <f>IF(C906&lt;&gt;"", IFERROR(INDEX('بنود العقد'!D$3:D$388,C906), ""), "")</f>
        <v>م.ط</v>
      </c>
      <c r="F906" s="9">
        <f>IF(C906&lt;&gt;"", IFERROR(INDEX('بنود العقد'!E$3:E$388,C906), 0), "")</f>
        <v>70.8</v>
      </c>
      <c r="G906" s="9">
        <f>IF(C906&lt;&gt;"", IFERROR(INDEX('بنود العقد'!F$3:F$388,C906), 0), "")</f>
        <v>150</v>
      </c>
      <c r="H906" s="18">
        <f t="shared" si="37"/>
        <v>543</v>
      </c>
      <c r="I906" s="7">
        <v>457</v>
      </c>
      <c r="J906" s="18">
        <f t="shared" si="38"/>
        <v>1000</v>
      </c>
      <c r="K906" s="10">
        <f t="shared" si="39"/>
        <v>32355.599999999999</v>
      </c>
      <c r="L906" s="21">
        <f t="shared" si="35"/>
        <v>666.66666666666674</v>
      </c>
    </row>
    <row r="907" spans="1:12" s="72" customFormat="1" ht="25.95" customHeight="1">
      <c r="A907" s="12">
        <v>905</v>
      </c>
      <c r="B907" s="6">
        <v>17</v>
      </c>
      <c r="C907" s="6">
        <v>182</v>
      </c>
      <c r="D907" s="20" t="str">
        <f>IF(C907&lt;&gt;"", IFERROR(INDEX('بنود العقد'!B$3:B$388,C907),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E907" s="12" t="str">
        <f>IF(C907&lt;&gt;"", IFERROR(INDEX('بنود العقد'!D$3:D$388,C907), ""), "")</f>
        <v>م.ط</v>
      </c>
      <c r="F907" s="9">
        <f>IF(C907&lt;&gt;"", IFERROR(INDEX('بنود العقد'!E$3:E$388,C907), 0), "")</f>
        <v>75.599999999999994</v>
      </c>
      <c r="G907" s="9">
        <f>IF(C907&lt;&gt;"", IFERROR(INDEX('بنود العقد'!F$3:F$388,C907), 0), "")</f>
        <v>100</v>
      </c>
      <c r="H907" s="18">
        <f t="shared" si="37"/>
        <v>75</v>
      </c>
      <c r="I907" s="7">
        <v>30</v>
      </c>
      <c r="J907" s="18">
        <f t="shared" si="38"/>
        <v>105</v>
      </c>
      <c r="K907" s="10">
        <f t="shared" si="39"/>
        <v>2268</v>
      </c>
      <c r="L907" s="21">
        <f t="shared" si="35"/>
        <v>105</v>
      </c>
    </row>
    <row r="908" spans="1:12" s="72" customFormat="1" ht="25.95" customHeight="1">
      <c r="A908" s="12">
        <v>906</v>
      </c>
      <c r="B908" s="6">
        <v>17</v>
      </c>
      <c r="C908" s="6">
        <v>183</v>
      </c>
      <c r="D908" s="20" t="str">
        <f>IF(C908&lt;&gt;"", IFERROR(INDEX('بنود العقد'!B$3:B$388,C908), "⚠"), "")</f>
        <v>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التالية:توريد و تركيب و اختبار سخان بسعة 30 لتر، وقدرة 2.1  كيلو وات، مرجع     1-EWH</v>
      </c>
      <c r="E908" s="12" t="str">
        <f>IF(C908&lt;&gt;"", IFERROR(INDEX('بنود العقد'!D$3:D$388,C908), ""), "")</f>
        <v>عدد</v>
      </c>
      <c r="F908" s="9">
        <f>IF(C908&lt;&gt;"", IFERROR(INDEX('بنود العقد'!E$3:E$388,C908), 0), "")</f>
        <v>672</v>
      </c>
      <c r="G908" s="9">
        <f>IF(C908&lt;&gt;"", IFERROR(INDEX('بنود العقد'!F$3:F$388,C908), 0), "")</f>
        <v>77</v>
      </c>
      <c r="H908" s="18">
        <f t="shared" si="37"/>
        <v>33</v>
      </c>
      <c r="I908" s="7">
        <v>37</v>
      </c>
      <c r="J908" s="18">
        <f t="shared" si="38"/>
        <v>70</v>
      </c>
      <c r="K908" s="10">
        <f t="shared" si="39"/>
        <v>24864</v>
      </c>
      <c r="L908" s="21">
        <f t="shared" si="35"/>
        <v>90.909090909090907</v>
      </c>
    </row>
    <row r="909" spans="1:12" s="72" customFormat="1" ht="25.95" customHeight="1">
      <c r="A909" s="12">
        <v>907</v>
      </c>
      <c r="B909" s="6">
        <v>17</v>
      </c>
      <c r="C909" s="6">
        <v>184</v>
      </c>
      <c r="D909" s="20" t="str">
        <f>IF(C909&lt;&gt;"", IFERROR(INDEX('بنود العقد'!B$3:B$388,C909), "⚠"), "")</f>
        <v>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التالية:اعادة تركيب و اختبار السخان الحالي بسعة 100 ليتر   بعد الكشف و المعاينة و الفحص حسب تعليمات مهندس المشرف</v>
      </c>
      <c r="E909" s="12" t="str">
        <f>IF(C909&lt;&gt;"", IFERROR(INDEX('بنود العقد'!D$3:D$388,C909), ""), "")</f>
        <v>عدد</v>
      </c>
      <c r="F909" s="9">
        <f>IF(C909&lt;&gt;"", IFERROR(INDEX('بنود العقد'!E$3:E$388,C909), 0), "")</f>
        <v>816</v>
      </c>
      <c r="G909" s="9">
        <f>IF(C909&lt;&gt;"", IFERROR(INDEX('بنود العقد'!F$3:F$388,C909), 0), "")</f>
        <v>24</v>
      </c>
      <c r="H909" s="18">
        <f t="shared" si="37"/>
        <v>14</v>
      </c>
      <c r="I909" s="7">
        <v>10</v>
      </c>
      <c r="J909" s="18">
        <f t="shared" si="38"/>
        <v>24</v>
      </c>
      <c r="K909" s="10">
        <f t="shared" si="39"/>
        <v>8160</v>
      </c>
      <c r="L909" s="21">
        <f t="shared" si="35"/>
        <v>100</v>
      </c>
    </row>
    <row r="910" spans="1:12" s="72" customFormat="1" ht="25.95" customHeight="1">
      <c r="A910" s="12">
        <v>908</v>
      </c>
      <c r="B910" s="6">
        <v>17</v>
      </c>
      <c r="C910" s="6">
        <v>185</v>
      </c>
      <c r="D910" s="20" t="str">
        <f>IF(C910&lt;&gt;"", IFERROR(INDEX('بنود العقد'!B$3:B$388,C910),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v>
      </c>
      <c r="E910" s="12" t="str">
        <f>IF(C910&lt;&gt;"", IFERROR(INDEX('بنود العقد'!D$3:D$388,C910), ""), "")</f>
        <v>م.ط</v>
      </c>
      <c r="F910" s="9">
        <f>IF(C910&lt;&gt;"", IFERROR(INDEX('بنود العقد'!E$3:E$388,C910), 0), "")</f>
        <v>75.599999999999994</v>
      </c>
      <c r="G910" s="9">
        <f>IF(C910&lt;&gt;"", IFERROR(INDEX('بنود العقد'!F$3:F$388,C910), 0), "")</f>
        <v>426</v>
      </c>
      <c r="H910" s="18">
        <f t="shared" si="37"/>
        <v>1164</v>
      </c>
      <c r="I910" s="7">
        <v>900</v>
      </c>
      <c r="J910" s="18">
        <f t="shared" si="38"/>
        <v>2064</v>
      </c>
      <c r="K910" s="10">
        <f t="shared" si="39"/>
        <v>68040</v>
      </c>
      <c r="L910" s="21">
        <f t="shared" si="35"/>
        <v>484.50704225352109</v>
      </c>
    </row>
    <row r="911" spans="1:12" s="72" customFormat="1" ht="25.95" customHeight="1">
      <c r="A911" s="12">
        <v>909</v>
      </c>
      <c r="B911" s="6">
        <v>17</v>
      </c>
      <c r="C911" s="6">
        <v>186</v>
      </c>
      <c r="D911" s="20" t="str">
        <f>IF(C911&lt;&gt;"", IFERROR(INDEX('بنود العقد'!B$3:B$388,C911),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75 مم</v>
      </c>
      <c r="E911" s="12" t="str">
        <f>IF(C911&lt;&gt;"", IFERROR(INDEX('بنود العقد'!D$3:D$388,C911), ""), "")</f>
        <v>م.ط</v>
      </c>
      <c r="F911" s="9">
        <f>IF(C911&lt;&gt;"", IFERROR(INDEX('بنود العقد'!E$3:E$388,C911), 0), "")</f>
        <v>91.2</v>
      </c>
      <c r="G911" s="9">
        <f>IF(C911&lt;&gt;"", IFERROR(INDEX('بنود العقد'!F$3:F$388,C911), 0), "")</f>
        <v>934</v>
      </c>
      <c r="H911" s="18">
        <f t="shared" si="37"/>
        <v>648</v>
      </c>
      <c r="I911" s="7">
        <v>300</v>
      </c>
      <c r="J911" s="18">
        <f t="shared" si="38"/>
        <v>948</v>
      </c>
      <c r="K911" s="10">
        <f t="shared" si="39"/>
        <v>27360</v>
      </c>
      <c r="L911" s="21">
        <f t="shared" si="35"/>
        <v>101.49892933618843</v>
      </c>
    </row>
    <row r="912" spans="1:12" s="72" customFormat="1" ht="25.95" customHeight="1">
      <c r="A912" s="12">
        <v>910</v>
      </c>
      <c r="B912" s="6">
        <v>17</v>
      </c>
      <c r="C912" s="6">
        <v>187</v>
      </c>
      <c r="D912" s="20" t="str">
        <f>IF(C912&lt;&gt;"", IFERROR(INDEX('بنود العقد'!B$3:B$388,C912),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v>
      </c>
      <c r="E912" s="12" t="str">
        <f>IF(C912&lt;&gt;"", IFERROR(INDEX('بنود العقد'!D$3:D$388,C912), ""), "")</f>
        <v>م.ط</v>
      </c>
      <c r="F912" s="9">
        <f>IF(C912&lt;&gt;"", IFERROR(INDEX('بنود العقد'!E$3:E$388,C912), 0), "")</f>
        <v>102</v>
      </c>
      <c r="G912" s="9">
        <f>IF(C912&lt;&gt;"", IFERROR(INDEX('بنود العقد'!F$3:F$388,C912), 0), "")</f>
        <v>961</v>
      </c>
      <c r="H912" s="18">
        <f t="shared" si="37"/>
        <v>1804</v>
      </c>
      <c r="I912" s="7">
        <v>696</v>
      </c>
      <c r="J912" s="18">
        <f t="shared" si="38"/>
        <v>2500</v>
      </c>
      <c r="K912" s="10">
        <f t="shared" si="39"/>
        <v>70992</v>
      </c>
      <c r="L912" s="21">
        <f t="shared" si="35"/>
        <v>260.14568158168572</v>
      </c>
    </row>
    <row r="913" spans="1:12" s="72" customFormat="1" ht="25.95" customHeight="1">
      <c r="A913" s="12">
        <v>911</v>
      </c>
      <c r="B913" s="6">
        <v>17</v>
      </c>
      <c r="C913" s="6">
        <v>188</v>
      </c>
      <c r="D913" s="20" t="str">
        <f>IF(C913&lt;&gt;"", IFERROR(INDEX('بنود العقد'!B$3:B$388,C913), "⚠"), "")</f>
        <v>صفاية أرضية )FD(، من PVC مع مصفاة معدنية  مطلية بالكروم شاملة سيفون كما هو موصف بالمقاسات التالية:مخرج قطر 75 مم</v>
      </c>
      <c r="E913" s="12" t="str">
        <f>IF(C913&lt;&gt;"", IFERROR(INDEX('بنود العقد'!D$3:D$388,C913), ""), "")</f>
        <v>عدد</v>
      </c>
      <c r="F913" s="9">
        <f>IF(C913&lt;&gt;"", IFERROR(INDEX('بنود العقد'!E$3:E$388,C913), 0), "")</f>
        <v>300</v>
      </c>
      <c r="G913" s="9">
        <f>IF(C913&lt;&gt;"", IFERROR(INDEX('بنود العقد'!F$3:F$388,C913), 0), "")</f>
        <v>161</v>
      </c>
      <c r="H913" s="18">
        <f t="shared" si="37"/>
        <v>81</v>
      </c>
      <c r="I913" s="7">
        <v>55</v>
      </c>
      <c r="J913" s="18">
        <f t="shared" si="38"/>
        <v>136</v>
      </c>
      <c r="K913" s="10">
        <f t="shared" si="39"/>
        <v>16500</v>
      </c>
      <c r="L913" s="21">
        <f t="shared" si="35"/>
        <v>84.472049689440993</v>
      </c>
    </row>
    <row r="914" spans="1:12" s="72" customFormat="1" ht="25.95" customHeight="1">
      <c r="A914" s="12">
        <v>912</v>
      </c>
      <c r="B914" s="6">
        <v>17</v>
      </c>
      <c r="C914" s="6">
        <v>190</v>
      </c>
      <c r="D914" s="20" t="str">
        <f>IF(C914&lt;&gt;"", IFERROR(INDEX('بنود العقد'!B$3:B$388,C914),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:حوض وجه على رخامة )مرجع 1-LAV ( من نفس نوع الرخام الصناعي كوريان للكاونتر والكاونتر محسوب في بند منفصل</v>
      </c>
      <c r="E914" s="12" t="str">
        <f>IF(C914&lt;&gt;"", IFERROR(INDEX('بنود العقد'!D$3:D$388,C914), ""), "")</f>
        <v>عدد</v>
      </c>
      <c r="F914" s="9">
        <f>IF(C914&lt;&gt;"", IFERROR(INDEX('بنود العقد'!E$3:E$388,C914), 0), "")</f>
        <v>2640</v>
      </c>
      <c r="G914" s="9">
        <f>IF(C914&lt;&gt;"", IFERROR(INDEX('بنود العقد'!F$3:F$388,C914), 0), "")</f>
        <v>68</v>
      </c>
      <c r="H914" s="18">
        <f t="shared" si="37"/>
        <v>12</v>
      </c>
      <c r="I914" s="7">
        <v>20</v>
      </c>
      <c r="J914" s="18">
        <f t="shared" si="38"/>
        <v>32</v>
      </c>
      <c r="K914" s="10">
        <f t="shared" si="39"/>
        <v>52800</v>
      </c>
      <c r="L914" s="21">
        <f t="shared" si="35"/>
        <v>47.058823529411761</v>
      </c>
    </row>
    <row r="915" spans="1:12" s="72" customFormat="1" ht="25.95" customHeight="1">
      <c r="A915" s="12">
        <v>913</v>
      </c>
      <c r="B915" s="6">
        <v>17</v>
      </c>
      <c r="C915" s="6">
        <v>192</v>
      </c>
      <c r="D915" s="20" t="str">
        <f>IF(C915&lt;&gt;"", IFERROR(INDEX('بنود العقد'!B$3:B$388,C915), "⚠"), "")</f>
        <v>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غسيل أواني للمطبخ بعين واحدة )مرجع 1-KS</v>
      </c>
      <c r="E915" s="12" t="str">
        <f>IF(C915&lt;&gt;"", IFERROR(INDEX('بنود العقد'!D$3:D$388,C915), ""), "")</f>
        <v>عدد</v>
      </c>
      <c r="F915" s="9">
        <f>IF(C915&lt;&gt;"", IFERROR(INDEX('بنود العقد'!E$3:E$388,C915), 0), "")</f>
        <v>3000</v>
      </c>
      <c r="G915" s="9">
        <f>IF(C915&lt;&gt;"", IFERROR(INDEX('بنود العقد'!F$3:F$388,C915), 0), "")</f>
        <v>16</v>
      </c>
      <c r="H915" s="18">
        <f t="shared" si="37"/>
        <v>0</v>
      </c>
      <c r="I915" s="7">
        <v>3</v>
      </c>
      <c r="J915" s="18">
        <f t="shared" si="38"/>
        <v>3</v>
      </c>
      <c r="K915" s="10">
        <f t="shared" si="39"/>
        <v>9000</v>
      </c>
      <c r="L915" s="21">
        <f t="shared" si="35"/>
        <v>18.75</v>
      </c>
    </row>
    <row r="916" spans="1:12" s="72" customFormat="1" ht="25.95" customHeight="1">
      <c r="A916" s="12">
        <v>914</v>
      </c>
      <c r="B916" s="6">
        <v>17</v>
      </c>
      <c r="C916" s="6">
        <v>193</v>
      </c>
      <c r="D916" s="20" t="str">
        <f>IF(C916&lt;&gt;"", IFERROR(INDEX('بنود العقد'!B$3:B$388,C916), "⚠"), "")</f>
        <v>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وجه يركب على الكاونتر )مرجع 3-LAV (</v>
      </c>
      <c r="E916" s="12" t="str">
        <f>IF(C916&lt;&gt;"", IFERROR(INDEX('بنود العقد'!D$3:D$388,C916), ""), "")</f>
        <v>عدد</v>
      </c>
      <c r="F916" s="9">
        <f>IF(C916&lt;&gt;"", IFERROR(INDEX('بنود العقد'!E$3:E$388,C916), 0), "")</f>
        <v>2220</v>
      </c>
      <c r="G916" s="9">
        <f>IF(C916&lt;&gt;"", IFERROR(INDEX('بنود العقد'!F$3:F$388,C916), 0), "")</f>
        <v>92</v>
      </c>
      <c r="H916" s="18">
        <f t="shared" si="37"/>
        <v>20</v>
      </c>
      <c r="I916" s="7">
        <v>30</v>
      </c>
      <c r="J916" s="18">
        <f t="shared" si="38"/>
        <v>50</v>
      </c>
      <c r="K916" s="10">
        <f t="shared" si="39"/>
        <v>66600</v>
      </c>
      <c r="L916" s="21">
        <f t="shared" si="35"/>
        <v>54.347826086956516</v>
      </c>
    </row>
    <row r="917" spans="1:12" s="72" customFormat="1" ht="25.95" customHeight="1">
      <c r="A917" s="12">
        <v>915</v>
      </c>
      <c r="B917" s="6">
        <v>17</v>
      </c>
      <c r="C917" s="6">
        <v>195</v>
      </c>
      <c r="D917" s="20" t="str">
        <f>IF(C917&lt;&gt;"", IFERROR(INDEX('بنود العقد'!B$3:B$388,C917),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افرنجي ) مرجع 2-WWC (  مثبت على الحائط بخزان  طرد مخفي مع زر دفق من الصلب الذي لا يصدأ - مع غطاء للمرحاض مقاوم للبكتريا من نوع soft closing</v>
      </c>
      <c r="E917" s="12" t="str">
        <f>IF(C917&lt;&gt;"", IFERROR(INDEX('بنود العقد'!D$3:D$388,C917), ""), "")</f>
        <v>عدد</v>
      </c>
      <c r="F917" s="9">
        <f>IF(C917&lt;&gt;"", IFERROR(INDEX('بنود العقد'!E$3:E$388,C917), 0), "")</f>
        <v>2760</v>
      </c>
      <c r="G917" s="9">
        <f>IF(C917&lt;&gt;"", IFERROR(INDEX('بنود العقد'!F$3:F$388,C917), 0), "")</f>
        <v>55</v>
      </c>
      <c r="H917" s="18">
        <f t="shared" si="37"/>
        <v>17</v>
      </c>
      <c r="I917" s="7">
        <v>13</v>
      </c>
      <c r="J917" s="18">
        <f t="shared" si="38"/>
        <v>30</v>
      </c>
      <c r="K917" s="10">
        <f t="shared" si="39"/>
        <v>35880</v>
      </c>
      <c r="L917" s="21">
        <f t="shared" si="35"/>
        <v>54.54545454545454</v>
      </c>
    </row>
    <row r="918" spans="1:12" s="72" customFormat="1" ht="25.95" customHeight="1">
      <c r="A918" s="12">
        <v>916</v>
      </c>
      <c r="B918" s="6">
        <v>17</v>
      </c>
      <c r="C918" s="6">
        <v>196</v>
      </c>
      <c r="D918" s="20" t="str">
        <f>IF(C918&lt;&gt;"", IFERROR(INDEX('بنود العقد'!B$3:B$388,C918),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شرقي )مرجع EWC( مثبت على الحائط بخزان  طرد مخفي مع زر دفق من الصلب الذي لا يصدأ،</v>
      </c>
      <c r="E918" s="12" t="str">
        <f>IF(C918&lt;&gt;"", IFERROR(INDEX('بنود العقد'!D$3:D$388,C918), ""), "")</f>
        <v>عدد</v>
      </c>
      <c r="F918" s="9">
        <f>IF(C918&lt;&gt;"", IFERROR(INDEX('بنود العقد'!E$3:E$388,C918), 0), "")</f>
        <v>2160</v>
      </c>
      <c r="G918" s="9">
        <f>IF(C918&lt;&gt;"", IFERROR(INDEX('بنود العقد'!F$3:F$388,C918), 0), "")</f>
        <v>23</v>
      </c>
      <c r="H918" s="18">
        <f t="shared" si="37"/>
        <v>6</v>
      </c>
      <c r="I918" s="7">
        <v>4</v>
      </c>
      <c r="J918" s="18">
        <f t="shared" si="38"/>
        <v>10</v>
      </c>
      <c r="K918" s="10">
        <f t="shared" si="39"/>
        <v>8640</v>
      </c>
      <c r="L918" s="21">
        <f t="shared" si="35"/>
        <v>43.478260869565219</v>
      </c>
    </row>
    <row r="919" spans="1:12" s="72" customFormat="1" ht="25.95" customHeight="1">
      <c r="A919" s="12">
        <v>917</v>
      </c>
      <c r="B919" s="6">
        <v>17</v>
      </c>
      <c r="C919" s="6">
        <v>197</v>
      </c>
      <c r="D919" s="20" t="str">
        <f>IF(C919&lt;&gt;"", IFERROR(INDEX('بنود العقد'!B$3:B$388,C919),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:مقبض رشاش مع الخرطوم وأداة التعليق، مرجع PS</v>
      </c>
      <c r="E919" s="12" t="str">
        <f>IF(C919&lt;&gt;"", IFERROR(INDEX('بنود العقد'!D$3:D$388,C919), ""), "")</f>
        <v>عدد</v>
      </c>
      <c r="F919" s="9">
        <f>IF(C919&lt;&gt;"", IFERROR(INDEX('بنود العقد'!E$3:E$388,C919), 0), "")</f>
        <v>180</v>
      </c>
      <c r="G919" s="9">
        <f>IF(C919&lt;&gt;"", IFERROR(INDEX('بنود العقد'!F$3:F$388,C919), 0), "")</f>
        <v>191</v>
      </c>
      <c r="H919" s="18">
        <f t="shared" si="37"/>
        <v>61</v>
      </c>
      <c r="I919" s="7">
        <v>21</v>
      </c>
      <c r="J919" s="18">
        <f t="shared" si="38"/>
        <v>82</v>
      </c>
      <c r="K919" s="10">
        <f t="shared" si="39"/>
        <v>3780</v>
      </c>
      <c r="L919" s="21">
        <f t="shared" si="35"/>
        <v>42.931937172774873</v>
      </c>
    </row>
    <row r="920" spans="1:12" s="72" customFormat="1" ht="25.95" customHeight="1">
      <c r="A920" s="12">
        <v>918</v>
      </c>
      <c r="B920" s="6">
        <v>17</v>
      </c>
      <c r="C920" s="6">
        <v>198</v>
      </c>
      <c r="D920" s="20" t="str">
        <f>IF(C920&lt;&gt;"", IFERROR(INDEX('بنود العقد'!B$3:B$388,C920),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:خلاط مياة  يركب على الحوض</v>
      </c>
      <c r="E920" s="12" t="str">
        <f>IF(C920&lt;&gt;"", IFERROR(INDEX('بنود العقد'!D$3:D$388,C920), ""), "")</f>
        <v>عدد</v>
      </c>
      <c r="F920" s="9">
        <f>IF(C920&lt;&gt;"", IFERROR(INDEX('بنود العقد'!E$3:E$388,C920), 0), "")</f>
        <v>1080</v>
      </c>
      <c r="G920" s="9">
        <f>IF(C920&lt;&gt;"", IFERROR(INDEX('بنود العقد'!F$3:F$388,C920), 0), "")</f>
        <v>208</v>
      </c>
      <c r="H920" s="18">
        <f t="shared" si="37"/>
        <v>35</v>
      </c>
      <c r="I920" s="7">
        <v>82</v>
      </c>
      <c r="J920" s="18">
        <f t="shared" si="38"/>
        <v>117</v>
      </c>
      <c r="K920" s="10">
        <f t="shared" si="39"/>
        <v>88560</v>
      </c>
      <c r="L920" s="21">
        <f t="shared" si="35"/>
        <v>56.25</v>
      </c>
    </row>
    <row r="921" spans="1:12" s="72" customFormat="1" ht="25.95" customHeight="1">
      <c r="A921" s="12">
        <v>919</v>
      </c>
      <c r="B921" s="6">
        <v>17</v>
      </c>
      <c r="C921" s="6">
        <v>199</v>
      </c>
      <c r="D921" s="20" t="str">
        <f>IF(C921&lt;&gt;"", IFERROR(INDEX('بنود العقد'!B$3:B$388,C921),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E921" s="12" t="str">
        <f>IF(C921&lt;&gt;"", IFERROR(INDEX('بنود العقد'!D$3:D$388,C921), ""), "")</f>
        <v>م.ط</v>
      </c>
      <c r="F921" s="9">
        <f>IF(C921&lt;&gt;"", IFERROR(INDEX('بنود العقد'!E$3:E$388,C921), 0), "")</f>
        <v>108</v>
      </c>
      <c r="G921" s="9">
        <f>IF(C921&lt;&gt;"", IFERROR(INDEX('بنود العقد'!F$3:F$388,C921), 0), "")</f>
        <v>3900</v>
      </c>
      <c r="H921" s="18">
        <f t="shared" si="37"/>
        <v>6467</v>
      </c>
      <c r="I921" s="7">
        <v>2200</v>
      </c>
      <c r="J921" s="18">
        <f t="shared" si="38"/>
        <v>8667</v>
      </c>
      <c r="K921" s="10">
        <f t="shared" si="39"/>
        <v>237600</v>
      </c>
      <c r="L921" s="21">
        <f t="shared" si="35"/>
        <v>222.23076923076923</v>
      </c>
    </row>
    <row r="922" spans="1:12" s="72" customFormat="1" ht="25.95" customHeight="1">
      <c r="A922" s="12">
        <v>920</v>
      </c>
      <c r="B922" s="6">
        <v>17</v>
      </c>
      <c r="C922" s="6">
        <v>200</v>
      </c>
      <c r="D922" s="20" t="str">
        <f>IF(C922&lt;&gt;"", IFERROR(INDEX('بنود العقد'!B$3:B$388,C922),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28</v>
      </c>
      <c r="E922" s="12" t="str">
        <f>IF(C922&lt;&gt;"", IFERROR(INDEX('بنود العقد'!D$3:D$388,C922), ""), "")</f>
        <v>م.ط</v>
      </c>
      <c r="F922" s="9">
        <f>IF(C922&lt;&gt;"", IFERROR(INDEX('بنود العقد'!E$3:E$388,C922), 0), "")</f>
        <v>138</v>
      </c>
      <c r="G922" s="9">
        <f>IF(C922&lt;&gt;"", IFERROR(INDEX('بنود العقد'!F$3:F$388,C922), 0), "")</f>
        <v>323</v>
      </c>
      <c r="H922" s="18">
        <f t="shared" si="37"/>
        <v>382</v>
      </c>
      <c r="I922" s="7">
        <v>300</v>
      </c>
      <c r="J922" s="18">
        <f t="shared" si="38"/>
        <v>682</v>
      </c>
      <c r="K922" s="10">
        <f t="shared" si="39"/>
        <v>41400</v>
      </c>
      <c r="L922" s="21">
        <f t="shared" si="35"/>
        <v>211.14551083591331</v>
      </c>
    </row>
    <row r="923" spans="1:12" s="72" customFormat="1" ht="25.95" customHeight="1">
      <c r="A923" s="12">
        <v>921</v>
      </c>
      <c r="B923" s="6">
        <v>17</v>
      </c>
      <c r="C923" s="6">
        <v>201</v>
      </c>
      <c r="D923" s="20" t="str">
        <f>IF(C923&lt;&gt;"", IFERROR(INDEX('بنود العقد'!B$3:B$388,C923),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33</v>
      </c>
      <c r="E923" s="12" t="str">
        <f>IF(C923&lt;&gt;"", IFERROR(INDEX('بنود العقد'!D$3:D$388,C923), ""), "")</f>
        <v>م.ط</v>
      </c>
      <c r="F923" s="9">
        <f>IF(C923&lt;&gt;"", IFERROR(INDEX('بنود العقد'!E$3:E$388,C923), 0), "")</f>
        <v>192</v>
      </c>
      <c r="G923" s="9">
        <f>IF(C923&lt;&gt;"", IFERROR(INDEX('بنود العقد'!F$3:F$388,C923), 0), "")</f>
        <v>660</v>
      </c>
      <c r="H923" s="18">
        <f t="shared" si="37"/>
        <v>795</v>
      </c>
      <c r="I923" s="7">
        <v>750</v>
      </c>
      <c r="J923" s="18">
        <f t="shared" si="38"/>
        <v>1545</v>
      </c>
      <c r="K923" s="10">
        <f t="shared" si="39"/>
        <v>144000</v>
      </c>
      <c r="L923" s="21">
        <f t="shared" si="35"/>
        <v>234.09090909090909</v>
      </c>
    </row>
    <row r="924" spans="1:12" s="72" customFormat="1" ht="25.95" customHeight="1">
      <c r="A924" s="12">
        <v>922</v>
      </c>
      <c r="B924" s="6">
        <v>17</v>
      </c>
      <c r="C924" s="6">
        <v>202</v>
      </c>
      <c r="D924" s="20" t="str">
        <f>IF(C924&lt;&gt;"", IFERROR(INDEX('بنود العقد'!B$3:B$388,C924),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40</v>
      </c>
      <c r="E924" s="12" t="str">
        <f>IF(C924&lt;&gt;"", IFERROR(INDEX('بنود العقد'!D$3:D$388,C924), ""), "")</f>
        <v>م.ط</v>
      </c>
      <c r="F924" s="9">
        <f>IF(C924&lt;&gt;"", IFERROR(INDEX('بنود العقد'!E$3:E$388,C924), 0), "")</f>
        <v>222</v>
      </c>
      <c r="G924" s="9">
        <f>IF(C924&lt;&gt;"", IFERROR(INDEX('بنود العقد'!F$3:F$388,C924), 0), "")</f>
        <v>600</v>
      </c>
      <c r="H924" s="18">
        <f t="shared" si="37"/>
        <v>565</v>
      </c>
      <c r="I924" s="7">
        <v>350</v>
      </c>
      <c r="J924" s="18">
        <f t="shared" si="38"/>
        <v>915</v>
      </c>
      <c r="K924" s="10">
        <f t="shared" si="39"/>
        <v>77700</v>
      </c>
      <c r="L924" s="21">
        <f t="shared" si="35"/>
        <v>152.5</v>
      </c>
    </row>
    <row r="925" spans="1:12" s="72" customFormat="1" ht="25.95" customHeight="1">
      <c r="A925" s="12">
        <v>923</v>
      </c>
      <c r="B925" s="6">
        <v>17</v>
      </c>
      <c r="C925" s="6">
        <v>203</v>
      </c>
      <c r="D925" s="20" t="str">
        <f>IF(C925&lt;&gt;"", IFERROR(INDEX('بنود العقد'!B$3:B$388,C925),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63</v>
      </c>
      <c r="E925" s="12" t="str">
        <f>IF(C925&lt;&gt;"", IFERROR(INDEX('بنود العقد'!D$3:D$388,C925), ""), "")</f>
        <v>م.ط</v>
      </c>
      <c r="F925" s="9">
        <f>IF(C925&lt;&gt;"", IFERROR(INDEX('بنود العقد'!E$3:E$388,C925), 0), "")</f>
        <v>240</v>
      </c>
      <c r="G925" s="9">
        <f>IF(C925&lt;&gt;"", IFERROR(INDEX('بنود العقد'!F$3:F$388,C925), 0), "")</f>
        <v>646</v>
      </c>
      <c r="H925" s="18">
        <f t="shared" si="37"/>
        <v>588</v>
      </c>
      <c r="I925" s="7">
        <v>700</v>
      </c>
      <c r="J925" s="18">
        <f t="shared" si="38"/>
        <v>1288</v>
      </c>
      <c r="K925" s="10">
        <f t="shared" si="39"/>
        <v>168000</v>
      </c>
      <c r="L925" s="21">
        <f t="shared" si="35"/>
        <v>199.38080495356036</v>
      </c>
    </row>
    <row r="926" spans="1:12" s="72" customFormat="1" ht="25.95" customHeight="1">
      <c r="A926" s="12">
        <v>924</v>
      </c>
      <c r="B926" s="6">
        <v>17</v>
      </c>
      <c r="C926" s="6">
        <v>204</v>
      </c>
      <c r="D926" s="20" t="str">
        <f>IF(C926&lt;&gt;"", IFERROR(INDEX('بنود العقد'!B$3:B$388,C926),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77</v>
      </c>
      <c r="E926" s="12" t="str">
        <f>IF(C926&lt;&gt;"", IFERROR(INDEX('بنود العقد'!D$3:D$388,C926), ""), "")</f>
        <v>م.ط</v>
      </c>
      <c r="F926" s="9">
        <f>IF(C926&lt;&gt;"", IFERROR(INDEX('بنود العقد'!E$3:E$388,C926), 0), "")</f>
        <v>288</v>
      </c>
      <c r="G926" s="9">
        <f>IF(C926&lt;&gt;"", IFERROR(INDEX('بنود العقد'!F$3:F$388,C926), 0), "")</f>
        <v>110</v>
      </c>
      <c r="H926" s="18">
        <f t="shared" si="37"/>
        <v>279</v>
      </c>
      <c r="I926" s="7">
        <v>150</v>
      </c>
      <c r="J926" s="18">
        <f t="shared" si="38"/>
        <v>429</v>
      </c>
      <c r="K926" s="10">
        <f t="shared" si="39"/>
        <v>43200</v>
      </c>
      <c r="L926" s="21">
        <f t="shared" si="35"/>
        <v>390</v>
      </c>
    </row>
    <row r="927" spans="1:12" s="72" customFormat="1" ht="25.95" customHeight="1">
      <c r="A927" s="12">
        <v>925</v>
      </c>
      <c r="B927" s="6">
        <v>17</v>
      </c>
      <c r="C927" s="6">
        <v>205</v>
      </c>
      <c r="D927" s="20" t="str">
        <f>IF(C927&lt;&gt;"", IFERROR(INDEX('بنود العقد'!B$3:B$388,C927),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94</v>
      </c>
      <c r="E927" s="12" t="str">
        <f>IF(C927&lt;&gt;"", IFERROR(INDEX('بنود العقد'!D$3:D$388,C927), ""), "")</f>
        <v>م.ط</v>
      </c>
      <c r="F927" s="9">
        <f>IF(C927&lt;&gt;"", IFERROR(INDEX('بنود العقد'!E$3:E$388,C927), 0), "")</f>
        <v>324</v>
      </c>
      <c r="G927" s="9">
        <f>IF(C927&lt;&gt;"", IFERROR(INDEX('بنود العقد'!F$3:F$388,C927), 0), "")</f>
        <v>314</v>
      </c>
      <c r="H927" s="18">
        <f t="shared" si="37"/>
        <v>204</v>
      </c>
      <c r="I927" s="7">
        <v>196</v>
      </c>
      <c r="J927" s="18">
        <f t="shared" si="38"/>
        <v>400</v>
      </c>
      <c r="K927" s="10">
        <f t="shared" si="39"/>
        <v>63504</v>
      </c>
      <c r="L927" s="21">
        <f t="shared" si="35"/>
        <v>127.38853503184713</v>
      </c>
    </row>
    <row r="928" spans="1:12" s="72" customFormat="1" ht="25.95" customHeight="1">
      <c r="A928" s="12">
        <v>926</v>
      </c>
      <c r="B928" s="6">
        <v>17</v>
      </c>
      <c r="C928" s="6">
        <v>206</v>
      </c>
      <c r="D928" s="20" t="str">
        <f>IF(C928&lt;&gt;"", IFERROR(INDEX('بنود العقد'!B$3:B$388,C928),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141</v>
      </c>
      <c r="E928" s="12" t="str">
        <f>IF(C928&lt;&gt;"", IFERROR(INDEX('بنود العقد'!D$3:D$388,C928), ""), "")</f>
        <v>م.ط</v>
      </c>
      <c r="F928" s="9">
        <f>IF(C928&lt;&gt;"", IFERROR(INDEX('بنود العقد'!E$3:E$388,C928), 0), "")</f>
        <v>360</v>
      </c>
      <c r="G928" s="9">
        <f>IF(C928&lt;&gt;"", IFERROR(INDEX('بنود العقد'!F$3:F$388,C928), 0), "")</f>
        <v>200</v>
      </c>
      <c r="H928" s="18">
        <f t="shared" si="37"/>
        <v>452</v>
      </c>
      <c r="I928" s="7">
        <v>170</v>
      </c>
      <c r="J928" s="18">
        <f t="shared" si="38"/>
        <v>622</v>
      </c>
      <c r="K928" s="10">
        <f t="shared" si="39"/>
        <v>61200</v>
      </c>
      <c r="L928" s="21">
        <f t="shared" si="35"/>
        <v>311</v>
      </c>
    </row>
    <row r="929" spans="1:12" s="72" customFormat="1" ht="25.95" customHeight="1">
      <c r="A929" s="12">
        <v>927</v>
      </c>
      <c r="B929" s="6">
        <v>17</v>
      </c>
      <c r="C929" s="6">
        <v>215</v>
      </c>
      <c r="D929" s="20" t="str">
        <f>IF(C929&lt;&gt;"", IFERROR(INDEX('بنود العقد'!B$3:B$388,C929), "⚠"), "")</f>
        <v>توريد و تركيب و اختبار رشاشات آلية اوتوماتيكية كما هو موصف رشاشات من النوع المخفي، ذات فتحة 2/1 بوصة، ومعامل 5.6 =K   ودرجة حرارة تشغيل 68 درجة مئوية</v>
      </c>
      <c r="E929" s="12" t="str">
        <f>IF(C929&lt;&gt;"", IFERROR(INDEX('بنود العقد'!D$3:D$388,C929), ""), "")</f>
        <v>عدد</v>
      </c>
      <c r="F929" s="9">
        <f>IF(C929&lt;&gt;"", IFERROR(INDEX('بنود العقد'!E$3:E$388,C929), 0), "")</f>
        <v>90</v>
      </c>
      <c r="G929" s="9">
        <f>IF(C929&lt;&gt;"", IFERROR(INDEX('بنود العقد'!F$3:F$388,C929), 0), "")</f>
        <v>1000</v>
      </c>
      <c r="H929" s="18">
        <f t="shared" si="37"/>
        <v>351</v>
      </c>
      <c r="I929" s="7">
        <v>800</v>
      </c>
      <c r="J929" s="18">
        <f t="shared" si="38"/>
        <v>1151</v>
      </c>
      <c r="K929" s="10">
        <f t="shared" si="39"/>
        <v>72000</v>
      </c>
      <c r="L929" s="21">
        <f t="shared" si="35"/>
        <v>115.10000000000001</v>
      </c>
    </row>
    <row r="930" spans="1:12" s="72" customFormat="1" ht="25.95" customHeight="1">
      <c r="A930" s="12">
        <v>928</v>
      </c>
      <c r="B930" s="6">
        <v>17</v>
      </c>
      <c r="C930" s="6">
        <v>221</v>
      </c>
      <c r="D930" s="20" t="str">
        <f>IF(C930&lt;&gt;"", IFERROR(INDEX('بنود العقد'!B$3:B$388,C930),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01-VAV ، اجمالي الهواء 0-250 ) ق/د( استطاعة التخزين 5.1 )ك/و(</v>
      </c>
      <c r="E930" s="12" t="str">
        <f>IF(C930&lt;&gt;"", IFERROR(INDEX('بنود العقد'!D$3:D$388,C930), ""), "")</f>
        <v>عدد</v>
      </c>
      <c r="F930" s="9">
        <f>IF(C930&lt;&gt;"", IFERROR(INDEX('بنود العقد'!E$3:E$388,C930), 0), "")</f>
        <v>6600</v>
      </c>
      <c r="G930" s="9">
        <f>IF(C930&lt;&gt;"", IFERROR(INDEX('بنود العقد'!F$3:F$388,C930), 0), "")</f>
        <v>9</v>
      </c>
      <c r="H930" s="18">
        <f t="shared" si="37"/>
        <v>33</v>
      </c>
      <c r="I930" s="7">
        <v>40</v>
      </c>
      <c r="J930" s="18">
        <f t="shared" si="38"/>
        <v>73</v>
      </c>
      <c r="K930" s="10">
        <f t="shared" si="39"/>
        <v>264000</v>
      </c>
      <c r="L930" s="21">
        <f t="shared" si="35"/>
        <v>811.11111111111109</v>
      </c>
    </row>
    <row r="931" spans="1:12" s="72" customFormat="1" ht="25.95" customHeight="1">
      <c r="A931" s="12">
        <v>929</v>
      </c>
      <c r="B931" s="6">
        <v>17</v>
      </c>
      <c r="C931" s="6">
        <v>222</v>
      </c>
      <c r="D931" s="20" t="str">
        <f>IF(C931&lt;&gt;"", IFERROR(INDEX('بنود العقد'!B$3:B$388,C931),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02-VAV ، اجمالي الهواء 0-500 ) ق/د( استطاعة التخزين 2 )ك/و(</v>
      </c>
      <c r="E931" s="12" t="str">
        <f>IF(C931&lt;&gt;"", IFERROR(INDEX('بنود العقد'!D$3:D$388,C931), ""), "")</f>
        <v>عدد</v>
      </c>
      <c r="F931" s="9">
        <f>IF(C931&lt;&gt;"", IFERROR(INDEX('بنود العقد'!E$3:E$388,C931), 0), "")</f>
        <v>6960</v>
      </c>
      <c r="G931" s="9">
        <f>IF(C931&lt;&gt;"", IFERROR(INDEX('بنود العقد'!F$3:F$388,C931), 0), "")</f>
        <v>127</v>
      </c>
      <c r="H931" s="18">
        <f t="shared" si="37"/>
        <v>76</v>
      </c>
      <c r="I931" s="7">
        <v>22</v>
      </c>
      <c r="J931" s="18">
        <f t="shared" si="38"/>
        <v>98</v>
      </c>
      <c r="K931" s="10">
        <f t="shared" si="39"/>
        <v>153120</v>
      </c>
      <c r="L931" s="21">
        <f t="shared" si="35"/>
        <v>77.165354330708652</v>
      </c>
    </row>
    <row r="932" spans="1:12" s="72" customFormat="1" ht="25.95" customHeight="1">
      <c r="A932" s="12">
        <v>930</v>
      </c>
      <c r="B932" s="6">
        <v>17</v>
      </c>
      <c r="C932" s="6">
        <v>223</v>
      </c>
      <c r="D932" s="20" t="str">
        <f>IF(C932&lt;&gt;"", IFERROR(INDEX('بنود العقد'!B$3:B$388,C932), "⚠"), "")</f>
        <v xml:space="preserve">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03-VAV ، اجمالي الهواء 0-750 ) ق/د( استطاعة التخزين 3 )ك/و( </v>
      </c>
      <c r="E932" s="12" t="str">
        <f>IF(C932&lt;&gt;"", IFERROR(INDEX('بنود العقد'!D$3:D$388,C932), ""), "")</f>
        <v>عدد</v>
      </c>
      <c r="F932" s="9">
        <f>IF(C932&lt;&gt;"", IFERROR(INDEX('بنود العقد'!E$3:E$388,C932), 0), "")</f>
        <v>7200</v>
      </c>
      <c r="G932" s="9">
        <f>IF(C932&lt;&gt;"", IFERROR(INDEX('بنود العقد'!F$3:F$388,C932), 0), "")</f>
        <v>51</v>
      </c>
      <c r="H932" s="18">
        <f t="shared" si="37"/>
        <v>50</v>
      </c>
      <c r="I932" s="7">
        <v>28</v>
      </c>
      <c r="J932" s="18">
        <f t="shared" si="38"/>
        <v>78</v>
      </c>
      <c r="K932" s="10">
        <f t="shared" si="39"/>
        <v>201600</v>
      </c>
      <c r="L932" s="21">
        <f t="shared" si="35"/>
        <v>152.94117647058823</v>
      </c>
    </row>
    <row r="933" spans="1:12" s="72" customFormat="1" ht="25.95" customHeight="1">
      <c r="A933" s="12">
        <v>931</v>
      </c>
      <c r="B933" s="6">
        <v>17</v>
      </c>
      <c r="C933" s="6">
        <v>224</v>
      </c>
      <c r="D933" s="20" t="str">
        <f>IF(C933&lt;&gt;"", IFERROR(INDEX('بنود العقد'!B$3:B$388,C933),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04-VAV ، اجمالي الهواء 0-1000 ) ق/د( استطاعة التخزين 5.3 )ك/و(</v>
      </c>
      <c r="E933" s="12" t="str">
        <f>IF(C933&lt;&gt;"", IFERROR(INDEX('بنود العقد'!D$3:D$388,C933), ""), "")</f>
        <v>عدد</v>
      </c>
      <c r="F933" s="9">
        <f>IF(C933&lt;&gt;"", IFERROR(INDEX('بنود العقد'!E$3:E$388,C933), 0), "")</f>
        <v>7200</v>
      </c>
      <c r="G933" s="9">
        <f>IF(C933&lt;&gt;"", IFERROR(INDEX('بنود العقد'!F$3:F$388,C933), 0), "")</f>
        <v>24</v>
      </c>
      <c r="H933" s="18">
        <f t="shared" si="37"/>
        <v>25</v>
      </c>
      <c r="I933" s="7">
        <v>11</v>
      </c>
      <c r="J933" s="18">
        <f t="shared" si="38"/>
        <v>36</v>
      </c>
      <c r="K933" s="10">
        <f t="shared" si="39"/>
        <v>79200</v>
      </c>
      <c r="L933" s="21">
        <f t="shared" si="35"/>
        <v>150</v>
      </c>
    </row>
    <row r="934" spans="1:12" s="72" customFormat="1" ht="25.95" customHeight="1">
      <c r="A934" s="12">
        <v>932</v>
      </c>
      <c r="B934" s="6">
        <v>17</v>
      </c>
      <c r="C934" s="6">
        <v>225</v>
      </c>
      <c r="D934" s="20" t="str">
        <f>IF(C934&lt;&gt;"", IFERROR(INDEX('بنود العقد'!B$3:B$388,C934),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05-VAV ، اجمالي الهواء 0-1500 ) ق/د( استطاعة التخزين 5.3 )ك/و(</v>
      </c>
      <c r="E934" s="12" t="str">
        <f>IF(C934&lt;&gt;"", IFERROR(INDEX('بنود العقد'!D$3:D$388,C934), ""), "")</f>
        <v>عدد</v>
      </c>
      <c r="F934" s="9">
        <f>IF(C934&lt;&gt;"", IFERROR(INDEX('بنود العقد'!E$3:E$388,C934), 0), "")</f>
        <v>9000</v>
      </c>
      <c r="G934" s="9">
        <f>IF(C934&lt;&gt;"", IFERROR(INDEX('بنود العقد'!F$3:F$388,C934), 0), "")</f>
        <v>44</v>
      </c>
      <c r="H934" s="18">
        <f t="shared" si="37"/>
        <v>34</v>
      </c>
      <c r="I934" s="7">
        <v>10</v>
      </c>
      <c r="J934" s="18">
        <f t="shared" si="38"/>
        <v>44</v>
      </c>
      <c r="K934" s="10">
        <f t="shared" si="39"/>
        <v>90000</v>
      </c>
      <c r="L934" s="21">
        <f t="shared" si="35"/>
        <v>100</v>
      </c>
    </row>
    <row r="935" spans="1:12" s="72" customFormat="1" ht="25.95" customHeight="1">
      <c r="A935" s="12">
        <v>933</v>
      </c>
      <c r="B935" s="6">
        <v>17</v>
      </c>
      <c r="C935" s="6">
        <v>226</v>
      </c>
      <c r="D935" s="20" t="str">
        <f>IF(C935&lt;&gt;"", IFERROR(INDEX('بنود العقد'!B$3:B$388,C935),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06-VAV ، اجمالي الهواء 0-2000 ) ق/د( استطاعة التخزين 6.3 )ك/و(</v>
      </c>
      <c r="E935" s="12" t="str">
        <f>IF(C935&lt;&gt;"", IFERROR(INDEX('بنود العقد'!D$3:D$388,C935), ""), "")</f>
        <v>عدد</v>
      </c>
      <c r="F935" s="9">
        <f>IF(C935&lt;&gt;"", IFERROR(INDEX('بنود العقد'!E$3:E$388,C935), 0), "")</f>
        <v>10200</v>
      </c>
      <c r="G935" s="9">
        <f>IF(C935&lt;&gt;"", IFERROR(INDEX('بنود العقد'!F$3:F$388,C935), 0), "")</f>
        <v>49</v>
      </c>
      <c r="H935" s="18">
        <f t="shared" si="37"/>
        <v>20</v>
      </c>
      <c r="I935" s="7">
        <v>10</v>
      </c>
      <c r="J935" s="18">
        <f t="shared" si="38"/>
        <v>30</v>
      </c>
      <c r="K935" s="10">
        <f t="shared" si="39"/>
        <v>102000</v>
      </c>
      <c r="L935" s="21">
        <f t="shared" si="35"/>
        <v>61.224489795918366</v>
      </c>
    </row>
    <row r="936" spans="1:12" s="72" customFormat="1" ht="25.95" customHeight="1">
      <c r="A936" s="12">
        <v>934</v>
      </c>
      <c r="B936" s="6">
        <v>17</v>
      </c>
      <c r="C936" s="6">
        <v>227</v>
      </c>
      <c r="D936" s="20" t="str">
        <f>IF(C936&lt;&gt;"", IFERROR(INDEX('بنود العقد'!B$3:B$388,C936),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07-VAV ، اجمالي الهواء 0-2500 ) ق/د( استطاعة التخزين 7.3 )ك/و(</v>
      </c>
      <c r="E936" s="12" t="str">
        <f>IF(C936&lt;&gt;"", IFERROR(INDEX('بنود العقد'!D$3:D$388,C936), ""), "")</f>
        <v>عدد</v>
      </c>
      <c r="F936" s="9">
        <f>IF(C936&lt;&gt;"", IFERROR(INDEX('بنود العقد'!E$3:E$388,C936), 0), "")</f>
        <v>10800</v>
      </c>
      <c r="G936" s="9">
        <f>IF(C936&lt;&gt;"", IFERROR(INDEX('بنود العقد'!F$3:F$388,C936), 0), "")</f>
        <v>24</v>
      </c>
      <c r="H936" s="18">
        <f t="shared" si="37"/>
        <v>15</v>
      </c>
      <c r="I936" s="7">
        <v>5</v>
      </c>
      <c r="J936" s="18">
        <f t="shared" si="38"/>
        <v>20</v>
      </c>
      <c r="K936" s="10">
        <f t="shared" si="39"/>
        <v>54000</v>
      </c>
      <c r="L936" s="21">
        <f t="shared" si="35"/>
        <v>83.333333333333343</v>
      </c>
    </row>
    <row r="937" spans="1:12" s="72" customFormat="1" ht="25.95" customHeight="1">
      <c r="A937" s="12">
        <v>935</v>
      </c>
      <c r="B937" s="6">
        <v>17</v>
      </c>
      <c r="C937" s="6">
        <v>230</v>
      </c>
      <c r="D937" s="20" t="str">
        <f>IF(C937&lt;&gt;"", IFERROR(INDEX('بنود العقد'!B$3:B$388,C937),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E937" s="12" t="str">
        <f>IF(C937&lt;&gt;"", IFERROR(INDEX('بنود العقد'!D$3:D$388,C937), ""), "")</f>
        <v>م.ط</v>
      </c>
      <c r="F937" s="9">
        <f>IF(C937&lt;&gt;"", IFERROR(INDEX('بنود العقد'!E$3:E$388,C937), 0), "")</f>
        <v>300</v>
      </c>
      <c r="G937" s="9">
        <f>IF(C937&lt;&gt;"", IFERROR(INDEX('بنود العقد'!F$3:F$388,C937), 0), "")</f>
        <v>7000</v>
      </c>
      <c r="H937" s="18">
        <f t="shared" si="37"/>
        <v>10418</v>
      </c>
      <c r="I937" s="7">
        <v>1500</v>
      </c>
      <c r="J937" s="18">
        <f t="shared" si="38"/>
        <v>11918</v>
      </c>
      <c r="K937" s="10">
        <f t="shared" si="39"/>
        <v>450000</v>
      </c>
      <c r="L937" s="21">
        <f t="shared" si="35"/>
        <v>170.25714285714287</v>
      </c>
    </row>
    <row r="938" spans="1:12" s="72" customFormat="1" ht="25.95" customHeight="1">
      <c r="A938" s="12">
        <v>936</v>
      </c>
      <c r="B938" s="6">
        <v>17</v>
      </c>
      <c r="C938" s="6">
        <v>231</v>
      </c>
      <c r="D938" s="20" t="str">
        <f>IF(C938&lt;&gt;"", IFERROR(INDEX('بنود العقد'!B$3:B$388,C938), "⚠"), "")</f>
        <v>ناشرة هواء ذات فتحات طولية  للهواء الداخل مصنعة من الألمنيوم المشكل بالبثق ومطلية بمسحوق البولستركاملة، مخمدات صوت ذات أرياش متضادّة ،وصندوق حجمى معزول من الداخل بعازل صوتى وميكانيزم للتحكم فى الهواء من واجهة الناشر وكل قطع الأكسسوار حسب المواصفات والمخططات مع توفير عينات للاعتماد من مهندس المشرف. ثلاثة فتحات / ثقب 25مم عرض</v>
      </c>
      <c r="E938" s="12" t="str">
        <f>IF(C938&lt;&gt;"", IFERROR(INDEX('بنود العقد'!D$3:D$388,C938), ""), "")</f>
        <v>م.ط</v>
      </c>
      <c r="F938" s="9">
        <f>IF(C938&lt;&gt;"", IFERROR(INDEX('بنود العقد'!E$3:E$388,C938), 0), "")</f>
        <v>480</v>
      </c>
      <c r="G938" s="9">
        <f>IF(C938&lt;&gt;"", IFERROR(INDEX('بنود العقد'!F$3:F$388,C938), 0), "")</f>
        <v>1925</v>
      </c>
      <c r="H938" s="18">
        <f t="shared" si="37"/>
        <v>550</v>
      </c>
      <c r="I938" s="7">
        <v>550</v>
      </c>
      <c r="J938" s="18">
        <f t="shared" si="38"/>
        <v>1100</v>
      </c>
      <c r="K938" s="10">
        <f t="shared" si="39"/>
        <v>264000</v>
      </c>
      <c r="L938" s="21">
        <f t="shared" si="35"/>
        <v>57.142857142857139</v>
      </c>
    </row>
    <row r="939" spans="1:12" s="72" customFormat="1" ht="25.95" customHeight="1">
      <c r="A939" s="12">
        <v>937</v>
      </c>
      <c r="B939" s="6">
        <v>17</v>
      </c>
      <c r="C939" s="6">
        <v>232</v>
      </c>
      <c r="D939" s="20" t="str">
        <f>IF(C939&lt;&gt;"", IFERROR(INDEX('بنود العقد'!B$3:B$388,C939), "⚠"), "")</f>
        <v>ناشرة هواء ذات فتحات طولية للهواء الراجع مصنعة من الألمنيوم المشكل بالبثق ومطلية بمسحوق البولستركاملة، وكل قطع الأكسسوار حسب المواصفات والمخططات مع توفير عينات للاعتماد من مهندس المشرف. ثلاثة فتحات / ثقب 25مم عرض</v>
      </c>
      <c r="E939" s="12" t="str">
        <f>IF(C939&lt;&gt;"", IFERROR(INDEX('بنود العقد'!D$3:D$388,C939), ""), "")</f>
        <v>م.ط</v>
      </c>
      <c r="F939" s="9">
        <f>IF(C939&lt;&gt;"", IFERROR(INDEX('بنود العقد'!E$3:E$388,C939), 0), "")</f>
        <v>480</v>
      </c>
      <c r="G939" s="9">
        <f>IF(C939&lt;&gt;"", IFERROR(INDEX('بنود العقد'!F$3:F$388,C939), 0), "")</f>
        <v>1925</v>
      </c>
      <c r="H939" s="18">
        <f t="shared" si="37"/>
        <v>539</v>
      </c>
      <c r="I939" s="7">
        <v>600</v>
      </c>
      <c r="J939" s="18">
        <f t="shared" si="38"/>
        <v>1139</v>
      </c>
      <c r="K939" s="10">
        <f t="shared" si="39"/>
        <v>288000</v>
      </c>
      <c r="L939" s="21">
        <f t="shared" si="35"/>
        <v>59.168831168831169</v>
      </c>
    </row>
    <row r="940" spans="1:12" s="72" customFormat="1" ht="25.95" customHeight="1">
      <c r="A940" s="12">
        <v>938</v>
      </c>
      <c r="B940" s="6">
        <v>17</v>
      </c>
      <c r="C940" s="6">
        <v>233</v>
      </c>
      <c r="D940" s="20" t="str">
        <f>IF(C940&lt;&gt;"", IFERROR(INDEX('بنود العقد'!B$3:B$388,C940), "⚠"), "")</f>
        <v xml:space="preserve"> جريلات تغذية من الالومينيوم مغطاة ببودرة البوليستر كاملة وجميع الملحقات حسب المخططات..والمواصفات مع توفير عينات للاعتماد من مهندس المشرف 600mm X 600mm</v>
      </c>
      <c r="E940" s="12" t="str">
        <f>IF(C940&lt;&gt;"", IFERROR(INDEX('بنود العقد'!D$3:D$388,C940), ""), "")</f>
        <v>عدد</v>
      </c>
      <c r="F940" s="9">
        <f>IF(C940&lt;&gt;"", IFERROR(INDEX('بنود العقد'!E$3:E$388,C940), 0), "")</f>
        <v>456</v>
      </c>
      <c r="G940" s="9">
        <f>IF(C940&lt;&gt;"", IFERROR(INDEX('بنود العقد'!F$3:F$388,C940), 0), "")</f>
        <v>724</v>
      </c>
      <c r="H940" s="18">
        <f t="shared" si="37"/>
        <v>291</v>
      </c>
      <c r="I940" s="7">
        <v>120</v>
      </c>
      <c r="J940" s="18">
        <f t="shared" si="38"/>
        <v>411</v>
      </c>
      <c r="K940" s="10">
        <f t="shared" si="39"/>
        <v>54720</v>
      </c>
      <c r="L940" s="21">
        <f t="shared" si="35"/>
        <v>56.767955801104975</v>
      </c>
    </row>
    <row r="941" spans="1:12" s="72" customFormat="1" ht="25.95" customHeight="1">
      <c r="A941" s="12">
        <v>939</v>
      </c>
      <c r="B941" s="6">
        <v>17</v>
      </c>
      <c r="C941" s="6">
        <v>234</v>
      </c>
      <c r="D941" s="20" t="str">
        <f>IF(C941&lt;&gt;"", IFERROR(INDEX('بنود العقد'!B$3:B$388,C941), "⚠"), "")</f>
        <v xml:space="preserve"> جريلات رجوع من الالومينيوم مغطاة ببودرة البوليستر كاملة وجميع الملحقات حسب المخططات.والمواصفات مع توفير عينات للاعتماد من مهندس المشرف 600mm X 600mm</v>
      </c>
      <c r="E941" s="12" t="str">
        <f>IF(C941&lt;&gt;"", IFERROR(INDEX('بنود العقد'!D$3:D$388,C941), ""), "")</f>
        <v>عدد</v>
      </c>
      <c r="F941" s="9">
        <f>IF(C941&lt;&gt;"", IFERROR(INDEX('بنود العقد'!E$3:E$388,C941), 0), "")</f>
        <v>264</v>
      </c>
      <c r="G941" s="9">
        <f>IF(C941&lt;&gt;"", IFERROR(INDEX('بنود العقد'!F$3:F$388,C941), 0), "")</f>
        <v>724</v>
      </c>
      <c r="H941" s="18">
        <f t="shared" si="37"/>
        <v>177</v>
      </c>
      <c r="I941" s="7">
        <v>60</v>
      </c>
      <c r="J941" s="18">
        <f t="shared" si="38"/>
        <v>237</v>
      </c>
      <c r="K941" s="10">
        <f t="shared" si="39"/>
        <v>15840</v>
      </c>
      <c r="L941" s="21">
        <f t="shared" si="35"/>
        <v>32.734806629834253</v>
      </c>
    </row>
    <row r="942" spans="1:12" s="72" customFormat="1" ht="25.95" customHeight="1">
      <c r="A942" s="12">
        <v>940</v>
      </c>
      <c r="B942" s="6">
        <v>17</v>
      </c>
      <c r="C942" s="6">
        <v>235</v>
      </c>
      <c r="D942" s="20" t="str">
        <f>IF(C942&lt;&gt;"", IFERROR(INDEX('بنود العقد'!B$3:B$388,C942), "⚠"), "")</f>
        <v xml:space="preserve"> جريلات لسحب الهواء من الالمونيوم مغطاة ببودرة البوليستر كاملة بجميع ملحقات التركيب وحسب.المخططات والمواصفات مع توفير عينات للاعتماد من مهندس المشرف 150mm X 150MM</v>
      </c>
      <c r="E942" s="12" t="str">
        <f>IF(C942&lt;&gt;"", IFERROR(INDEX('بنود العقد'!D$3:D$388,C942), ""), "")</f>
        <v>عدد</v>
      </c>
      <c r="F942" s="9">
        <f>IF(C942&lt;&gt;"", IFERROR(INDEX('بنود العقد'!E$3:E$388,C942), 0), "")</f>
        <v>210</v>
      </c>
      <c r="G942" s="9">
        <f>IF(C942&lt;&gt;"", IFERROR(INDEX('بنود العقد'!F$3:F$388,C942), 0), "")</f>
        <v>102</v>
      </c>
      <c r="H942" s="18">
        <f t="shared" ref="H942:H976" si="40">IFERROR(SUMIFS(I$3:I$1805, B$3:B$1805, "&lt;"&amp;B942, C$3:C$1805, C942), 0)</f>
        <v>102</v>
      </c>
      <c r="I942" s="7">
        <v>38</v>
      </c>
      <c r="J942" s="18">
        <f t="shared" si="38"/>
        <v>140</v>
      </c>
      <c r="K942" s="10">
        <f t="shared" si="39"/>
        <v>7980</v>
      </c>
      <c r="L942" s="21">
        <f t="shared" si="35"/>
        <v>137.25490196078431</v>
      </c>
    </row>
    <row r="943" spans="1:12" s="72" customFormat="1" ht="25.95" customHeight="1">
      <c r="A943" s="12">
        <v>941</v>
      </c>
      <c r="B943" s="6">
        <v>17</v>
      </c>
      <c r="C943" s="6">
        <v>236</v>
      </c>
      <c r="D943" s="20" t="str">
        <f>IF(C943&lt;&gt;"", IFERROR(INDEX('بنود العقد'!B$3:B$388,C943),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المشرف.Dia 150 mm</v>
      </c>
      <c r="E943" s="12" t="str">
        <f>IF(C943&lt;&gt;"", IFERROR(INDEX('بنود العقد'!D$3:D$388,C943), ""), "")</f>
        <v>م.ط</v>
      </c>
      <c r="F943" s="9">
        <f>IF(C943&lt;&gt;"", IFERROR(INDEX('بنود العقد'!E$3:E$388,C943), 0), "")</f>
        <v>45.6</v>
      </c>
      <c r="G943" s="9">
        <f>IF(C943&lt;&gt;"", IFERROR(INDEX('بنود العقد'!F$3:F$388,C943), 0), "")</f>
        <v>240</v>
      </c>
      <c r="H943" s="18">
        <f t="shared" si="40"/>
        <v>39.6</v>
      </c>
      <c r="I943" s="7">
        <v>30.4</v>
      </c>
      <c r="J943" s="18">
        <f t="shared" si="38"/>
        <v>70</v>
      </c>
      <c r="K943" s="10">
        <f t="shared" si="39"/>
        <v>1386.24</v>
      </c>
      <c r="L943" s="21">
        <f t="shared" si="35"/>
        <v>29.166666666666668</v>
      </c>
    </row>
    <row r="944" spans="1:12" s="72" customFormat="1" ht="25.95" customHeight="1">
      <c r="A944" s="12">
        <v>942</v>
      </c>
      <c r="B944" s="6">
        <v>17</v>
      </c>
      <c r="C944" s="6">
        <v>237</v>
      </c>
      <c r="D944" s="20" t="str">
        <f>IF(C944&lt;&gt;"", IFERROR(INDEX('بنود العقد'!B$3:B$388,C944),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200 mm</v>
      </c>
      <c r="E944" s="12" t="str">
        <f>IF(C944&lt;&gt;"", IFERROR(INDEX('بنود العقد'!D$3:D$388,C944), ""), "")</f>
        <v>م.ط</v>
      </c>
      <c r="F944" s="9">
        <f>IF(C944&lt;&gt;"", IFERROR(INDEX('بنود العقد'!E$3:E$388,C944), 0), "")</f>
        <v>54</v>
      </c>
      <c r="G944" s="9">
        <f>IF(C944&lt;&gt;"", IFERROR(INDEX('بنود العقد'!F$3:F$388,C944), 0), "")</f>
        <v>2964</v>
      </c>
      <c r="H944" s="18">
        <f t="shared" si="40"/>
        <v>144</v>
      </c>
      <c r="I944" s="7">
        <v>300</v>
      </c>
      <c r="J944" s="18">
        <f t="shared" si="38"/>
        <v>444</v>
      </c>
      <c r="K944" s="10">
        <f t="shared" si="39"/>
        <v>16200</v>
      </c>
      <c r="L944" s="21">
        <f t="shared" si="35"/>
        <v>14.979757085020243</v>
      </c>
    </row>
    <row r="945" spans="1:12" s="72" customFormat="1" ht="25.95" customHeight="1">
      <c r="A945" s="12">
        <v>943</v>
      </c>
      <c r="B945" s="6">
        <v>17</v>
      </c>
      <c r="C945" s="6">
        <v>238</v>
      </c>
      <c r="D945" s="20" t="str">
        <f>IF(C945&lt;&gt;"", IFERROR(INDEX('بنود العقد'!B$3:B$388,C945),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250 mm</v>
      </c>
      <c r="E945" s="12" t="str">
        <f>IF(C945&lt;&gt;"", IFERROR(INDEX('بنود العقد'!D$3:D$388,C945), ""), "")</f>
        <v>م.ط</v>
      </c>
      <c r="F945" s="9">
        <f>IF(C945&lt;&gt;"", IFERROR(INDEX('بنود العقد'!E$3:E$388,C945), 0), "")</f>
        <v>66</v>
      </c>
      <c r="G945" s="9">
        <f>IF(C945&lt;&gt;"", IFERROR(INDEX('بنود العقد'!F$3:F$388,C945), 0), "")</f>
        <v>60</v>
      </c>
      <c r="H945" s="18">
        <f t="shared" si="40"/>
        <v>738</v>
      </c>
      <c r="I945" s="7">
        <v>62</v>
      </c>
      <c r="J945" s="18">
        <f t="shared" si="38"/>
        <v>800</v>
      </c>
      <c r="K945" s="10">
        <f t="shared" si="39"/>
        <v>4092</v>
      </c>
      <c r="L945" s="21">
        <f t="shared" si="35"/>
        <v>1333.3333333333335</v>
      </c>
    </row>
    <row r="946" spans="1:12" s="72" customFormat="1" ht="25.95" customHeight="1">
      <c r="A946" s="12">
        <v>944</v>
      </c>
      <c r="B946" s="6">
        <v>17</v>
      </c>
      <c r="C946" s="6">
        <v>239</v>
      </c>
      <c r="D946" s="20" t="str">
        <f>IF(C946&lt;&gt;"", IFERROR(INDEX('بنود العقد'!B$3:B$388,C946), "⚠"), "")</f>
        <v xml:space="preserve"> توريد و تركيب مراوح سحب الهواء )طرد مركزي فوق السطح ( تشمل عمليات الاختبار و الموازنة : تشمل عمليات التوريد و التركيب و الاختبار و التثبيت مراوح سحب الهواء )طرد مركزي فوق السطح ( سعة 6500 قدم مكعب بالدقيقة</v>
      </c>
      <c r="E946" s="12" t="str">
        <f>IF(C946&lt;&gt;"", IFERROR(INDEX('بنود العقد'!D$3:D$388,C946), ""), "")</f>
        <v>عدد</v>
      </c>
      <c r="F946" s="9">
        <f>IF(C946&lt;&gt;"", IFERROR(INDEX('بنود العقد'!E$3:E$388,C946), 0), "")</f>
        <v>18000</v>
      </c>
      <c r="G946" s="9">
        <f>IF(C946&lt;&gt;"", IFERROR(INDEX('بنود العقد'!F$3:F$388,C946), 0), "")</f>
        <v>1</v>
      </c>
      <c r="H946" s="18">
        <f t="shared" si="40"/>
        <v>0</v>
      </c>
      <c r="I946" s="7">
        <v>3.6</v>
      </c>
      <c r="J946" s="18">
        <f t="shared" si="38"/>
        <v>3.6</v>
      </c>
      <c r="K946" s="10">
        <f t="shared" si="39"/>
        <v>64800</v>
      </c>
      <c r="L946" s="21">
        <f t="shared" si="35"/>
        <v>360</v>
      </c>
    </row>
    <row r="947" spans="1:12" s="72" customFormat="1" ht="25.95" customHeight="1">
      <c r="A947" s="12">
        <v>945</v>
      </c>
      <c r="B947" s="6">
        <v>17</v>
      </c>
      <c r="C947" s="6">
        <v>243</v>
      </c>
      <c r="D947" s="20" t="str">
        <f>IF(C947&lt;&gt;"", IFERROR(INDEX('بنود العقد'!B$3:B$388,C947), "⚠"), "")</f>
        <v>نظام إدارة المبنى BMS    تصميم وتوريد وتركيب نظام لإدارة المبنى أتوماتيكياً على أن يكون نظام التشغيل )OPEN PROTOCOL ( حسب توصيات الاستشارى المشرف وذلك للتحكم في تشغيل ومراقبة الانظمة الميكانيكية والكهربائية التالية :                                                  ـ التشلرات والمراوح ووحدات مناولة الهواء ووحدات ملف المروحة ومضخات المياه ووحدة ضخ الهواء وإنظمة الحريق والتحكم في الأنظمة والمعدات الميكانيكية بالمبنى - والتحكم في تشغيل ومتابعة حالة اللوحات الكهربائية الرئيسية والثانوية والمصاعد وكل الأنظمة التي يراها الاستشاري لأزمة مع الأخذ في الاعتبار قابلية التوسع في المباني المستقبلية .توريد وتركيب وتوصيل نظام إدارة المباني ) BMS ( لأنظمة HVAC ، وأنظمة السباكة ، ونظام الحريق ، والأنظمة الكهربائية والخدمات الخارجية ، كاملة بما في ذلك وحدات التحكم ونقاط التحكم والأسلاك والقنوات وصناديق السحب وصناديق التوصيل الثانوية وجميع عمليات التثبيت الضرورية مستلزمات؛ كل ما هو محدد ومفصل على الرسومات والموصوفة في المواصفات. والنظام يجب ان يتضمن البرامج واجهزة التحكم واجهزة المواقع ونقاط التحكم والاسلاك المتصلة بباقي الانظمة والمواسير وعلب السحب وعلب التوصيل الثانوية وجميع اكسسوارات ومتطلبات التركيبات الضرورية وهذه الاجهزة يجب ان يتم توصيلها مع جميع انظمة شبكة IP سواء من خلال تمكين اجهزة IP او من خلال بوابة IP او الموزع ويجب ان تشمل وحدات التحكم الطرفية التركيبات الضرورية والبرمجة والدمج عند اللزوم لتأسيس الاتصال والتعامل بين اجهزة التركيبات الالكتروميكانيكية وانظمة السلامة وانظمة الامن حسب اوامر ونظام التشغيل ووفقا لنظام وحسب تعليمات مهندس المشرف و يجب ان يتوافق النظام مع الانظمة الحالية للترشيد و المراقبة و يكون النظام لكامل المبني</v>
      </c>
      <c r="E947" s="12" t="str">
        <f>IF(C947&lt;&gt;"", IFERROR(INDEX('بنود العقد'!D$3:D$388,C947), ""), "")</f>
        <v>عدد</v>
      </c>
      <c r="F947" s="9">
        <f>IF(C947&lt;&gt;"", IFERROR(INDEX('بنود العقد'!E$3:E$388,C947), 0), "")</f>
        <v>2520000</v>
      </c>
      <c r="G947" s="9">
        <f>IF(C947&lt;&gt;"", IFERROR(INDEX('بنود العقد'!F$3:F$388,C947), 0), "")</f>
        <v>1</v>
      </c>
      <c r="H947" s="18">
        <f t="shared" si="40"/>
        <v>0.41000000000000003</v>
      </c>
      <c r="I947" s="7">
        <v>0.23</v>
      </c>
      <c r="J947" s="18">
        <f t="shared" si="38"/>
        <v>0.64</v>
      </c>
      <c r="K947" s="10">
        <f t="shared" si="39"/>
        <v>579600</v>
      </c>
      <c r="L947" s="21">
        <f t="shared" si="35"/>
        <v>64</v>
      </c>
    </row>
    <row r="948" spans="1:12" s="72" customFormat="1" ht="25.95" customHeight="1">
      <c r="A948" s="12">
        <v>946</v>
      </c>
      <c r="B948" s="6">
        <v>17</v>
      </c>
      <c r="C948" s="6">
        <v>244</v>
      </c>
      <c r="D948" s="20" t="str">
        <f>IF(C948&lt;&gt;"", IFERROR(INDEX('بنود العقد'!B$3:B$388,C948),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اللازمة.PP-1,  200 A ,MCCB</v>
      </c>
      <c r="E948" s="12" t="str">
        <f>IF(C948&lt;&gt;"", IFERROR(INDEX('بنود العقد'!D$3:D$388,C948), ""), "")</f>
        <v>عدد</v>
      </c>
      <c r="F948" s="9">
        <f>IF(C948&lt;&gt;"", IFERROR(INDEX('بنود العقد'!E$3:E$388,C948), 0), "")</f>
        <v>9600</v>
      </c>
      <c r="G948" s="9">
        <f>IF(C948&lt;&gt;"", IFERROR(INDEX('بنود العقد'!F$3:F$388,C948), 0), "")</f>
        <v>6</v>
      </c>
      <c r="H948" s="18">
        <f t="shared" si="40"/>
        <v>0</v>
      </c>
      <c r="I948" s="7">
        <v>6</v>
      </c>
      <c r="J948" s="18">
        <f t="shared" si="38"/>
        <v>6</v>
      </c>
      <c r="K948" s="10">
        <f t="shared" si="39"/>
        <v>57600</v>
      </c>
      <c r="L948" s="21">
        <f t="shared" si="35"/>
        <v>100</v>
      </c>
    </row>
    <row r="949" spans="1:12" s="72" customFormat="1" ht="25.95" customHeight="1">
      <c r="A949" s="12">
        <v>947</v>
      </c>
      <c r="B949" s="6">
        <v>17</v>
      </c>
      <c r="C949" s="6">
        <v>245</v>
      </c>
      <c r="D949" s="20" t="str">
        <f>IF(C949&lt;&gt;"", IFERROR(INDEX('بنود العقد'!B$3:B$388,C949),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 PP-2, 200 A , MCCB</v>
      </c>
      <c r="E949" s="12" t="str">
        <f>IF(C949&lt;&gt;"", IFERROR(INDEX('بنود العقد'!D$3:D$388,C949), ""), "")</f>
        <v>عدد</v>
      </c>
      <c r="F949" s="9">
        <f>IF(C949&lt;&gt;"", IFERROR(INDEX('بنود العقد'!E$3:E$388,C949), 0), "")</f>
        <v>9600</v>
      </c>
      <c r="G949" s="9">
        <f>IF(C949&lt;&gt;"", IFERROR(INDEX('بنود العقد'!F$3:F$388,C949), 0), "")</f>
        <v>6</v>
      </c>
      <c r="H949" s="18">
        <f t="shared" si="40"/>
        <v>0</v>
      </c>
      <c r="I949" s="7">
        <v>6</v>
      </c>
      <c r="J949" s="18">
        <f t="shared" si="38"/>
        <v>6</v>
      </c>
      <c r="K949" s="10">
        <f t="shared" si="39"/>
        <v>57600</v>
      </c>
      <c r="L949" s="21">
        <f t="shared" si="35"/>
        <v>100</v>
      </c>
    </row>
    <row r="950" spans="1:12" s="72" customFormat="1" ht="25.95" customHeight="1">
      <c r="A950" s="12">
        <v>948</v>
      </c>
      <c r="B950" s="6">
        <v>17</v>
      </c>
      <c r="C950" s="6">
        <v>246</v>
      </c>
      <c r="D950" s="20" t="str">
        <f>IF(C950&lt;&gt;"", IFERROR(INDEX('بنود العقد'!B$3:B$388,C950),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 PP-3, 200 A , MCCB</v>
      </c>
      <c r="E950" s="12" t="str">
        <f>IF(C950&lt;&gt;"", IFERROR(INDEX('بنود العقد'!D$3:D$388,C950), ""), "")</f>
        <v>عدد</v>
      </c>
      <c r="F950" s="9">
        <f>IF(C950&lt;&gt;"", IFERROR(INDEX('بنود العقد'!E$3:E$388,C950), 0), "")</f>
        <v>9600</v>
      </c>
      <c r="G950" s="9">
        <f>IF(C950&lt;&gt;"", IFERROR(INDEX('بنود العقد'!F$3:F$388,C950), 0), "")</f>
        <v>6</v>
      </c>
      <c r="H950" s="18">
        <f t="shared" si="40"/>
        <v>2</v>
      </c>
      <c r="I950" s="7">
        <v>6</v>
      </c>
      <c r="J950" s="18">
        <f t="shared" si="38"/>
        <v>8</v>
      </c>
      <c r="K950" s="10">
        <f t="shared" si="39"/>
        <v>57600</v>
      </c>
      <c r="L950" s="21">
        <f t="shared" si="35"/>
        <v>133.33333333333331</v>
      </c>
    </row>
    <row r="951" spans="1:12" s="72" customFormat="1" ht="25.95" customHeight="1">
      <c r="A951" s="12">
        <v>949</v>
      </c>
      <c r="B951" s="6">
        <v>17</v>
      </c>
      <c r="C951" s="6">
        <v>247</v>
      </c>
      <c r="D951" s="20" t="str">
        <f>IF(C951&lt;&gt;"", IFERROR(INDEX('بنود العقد'!B$3:B$388,C951),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اللازمة.PP-4, 200 A , MCCB</v>
      </c>
      <c r="E951" s="12" t="str">
        <f>IF(C951&lt;&gt;"", IFERROR(INDEX('بنود العقد'!D$3:D$388,C951), ""), "")</f>
        <v>عدد</v>
      </c>
      <c r="F951" s="9">
        <f>IF(C951&lt;&gt;"", IFERROR(INDEX('بنود العقد'!E$3:E$388,C951), 0), "")</f>
        <v>9600</v>
      </c>
      <c r="G951" s="9">
        <f>IF(C951&lt;&gt;"", IFERROR(INDEX('بنود العقد'!F$3:F$388,C951), 0), "")</f>
        <v>6</v>
      </c>
      <c r="H951" s="18">
        <f t="shared" si="40"/>
        <v>2</v>
      </c>
      <c r="I951" s="7">
        <v>6</v>
      </c>
      <c r="J951" s="18">
        <f t="shared" si="38"/>
        <v>8</v>
      </c>
      <c r="K951" s="10">
        <f t="shared" si="39"/>
        <v>57600</v>
      </c>
      <c r="L951" s="21">
        <f t="shared" si="35"/>
        <v>133.33333333333331</v>
      </c>
    </row>
    <row r="952" spans="1:12" s="72" customFormat="1" ht="25.95" customHeight="1">
      <c r="A952" s="12">
        <v>950</v>
      </c>
      <c r="B952" s="6">
        <v>17</v>
      </c>
      <c r="C952" s="6">
        <v>253</v>
      </c>
      <c r="D952" s="20" t="str">
        <f>IF(C952&lt;&gt;"", IFERROR(INDEX('بنود العقد'!B$3:B$388,C952), "⚠"), "")</f>
        <v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المشرفمخرج  ومؤرض 30 أمبير ، 230 فولت 3 أسلاك ، 1 فاز لمجفف الأيدي</v>
      </c>
      <c r="E952" s="12" t="str">
        <f>IF(C952&lt;&gt;"", IFERROR(INDEX('بنود العقد'!D$3:D$388,C952), ""), "")</f>
        <v>عدد</v>
      </c>
      <c r="F952" s="9">
        <f>IF(C952&lt;&gt;"", IFERROR(INDEX('بنود العقد'!E$3:E$388,C952), 0), "")</f>
        <v>264</v>
      </c>
      <c r="G952" s="9">
        <f>IF(C952&lt;&gt;"", IFERROR(INDEX('بنود العقد'!F$3:F$388,C952), 0), "")</f>
        <v>72</v>
      </c>
      <c r="H952" s="18">
        <f t="shared" si="40"/>
        <v>36</v>
      </c>
      <c r="I952" s="7">
        <v>25</v>
      </c>
      <c r="J952" s="18">
        <f t="shared" si="38"/>
        <v>61</v>
      </c>
      <c r="K952" s="10">
        <f t="shared" si="39"/>
        <v>6600</v>
      </c>
      <c r="L952" s="21">
        <f t="shared" si="35"/>
        <v>84.722222222222214</v>
      </c>
    </row>
    <row r="953" spans="1:12" s="72" customFormat="1" ht="25.95" customHeight="1">
      <c r="A953" s="12">
        <v>951</v>
      </c>
      <c r="B953" s="6">
        <v>17</v>
      </c>
      <c r="C953" s="6">
        <v>254</v>
      </c>
      <c r="D953" s="20" t="str">
        <f>IF(C953&lt;&gt;"", IFERROR(INDEX('بنود العقد'!B$3:B$388,C953),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)A(  )تحتوى على  4 قوى &amp; 4 داتا (</v>
      </c>
      <c r="E953" s="12" t="str">
        <f>IF(C953&lt;&gt;"", IFERROR(INDEX('بنود العقد'!D$3:D$388,C953), ""), "")</f>
        <v>عدد</v>
      </c>
      <c r="F953" s="9">
        <f>IF(C953&lt;&gt;"", IFERROR(INDEX('بنود العقد'!E$3:E$388,C953), 0), "")</f>
        <v>2160</v>
      </c>
      <c r="G953" s="9">
        <f>IF(C953&lt;&gt;"", IFERROR(INDEX('بنود العقد'!F$3:F$388,C953), 0), "")</f>
        <v>286</v>
      </c>
      <c r="H953" s="18">
        <f t="shared" si="40"/>
        <v>319</v>
      </c>
      <c r="I953" s="7">
        <v>50</v>
      </c>
      <c r="J953" s="18">
        <f t="shared" si="38"/>
        <v>369</v>
      </c>
      <c r="K953" s="10">
        <f t="shared" si="39"/>
        <v>108000</v>
      </c>
      <c r="L953" s="21">
        <f t="shared" si="35"/>
        <v>129.02097902097901</v>
      </c>
    </row>
    <row r="954" spans="1:12" s="72" customFormat="1" ht="25.95" customHeight="1">
      <c r="A954" s="12">
        <v>952</v>
      </c>
      <c r="B954" s="6">
        <v>17</v>
      </c>
      <c r="C954" s="6">
        <v>255</v>
      </c>
      <c r="D954" s="20" t="str">
        <f>IF(C954&lt;&gt;"", IFERROR(INDEX('بنود العقد'!B$3:B$388,C954),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)B(   )تحتوى على 2 قوى &amp; 2 داتا (</v>
      </c>
      <c r="E954" s="12" t="str">
        <f>IF(C954&lt;&gt;"", IFERROR(INDEX('بنود العقد'!D$3:D$388,C954), ""), "")</f>
        <v>عدد</v>
      </c>
      <c r="F954" s="9">
        <f>IF(C954&lt;&gt;"", IFERROR(INDEX('بنود العقد'!E$3:E$388,C954), 0), "")</f>
        <v>1800</v>
      </c>
      <c r="G954" s="9">
        <f>IF(C954&lt;&gt;"", IFERROR(INDEX('بنود العقد'!F$3:F$388,C954), 0), "")</f>
        <v>20</v>
      </c>
      <c r="H954" s="18">
        <f t="shared" si="40"/>
        <v>279</v>
      </c>
      <c r="I954" s="7">
        <v>100</v>
      </c>
      <c r="J954" s="18">
        <f t="shared" si="38"/>
        <v>379</v>
      </c>
      <c r="K954" s="10">
        <f t="shared" si="39"/>
        <v>180000</v>
      </c>
      <c r="L954" s="21">
        <f t="shared" si="35"/>
        <v>1895</v>
      </c>
    </row>
    <row r="955" spans="1:12" s="72" customFormat="1" ht="25.95" customHeight="1">
      <c r="A955" s="12">
        <v>953</v>
      </c>
      <c r="B955" s="6">
        <v>17</v>
      </c>
      <c r="C955" s="6">
        <v>256</v>
      </c>
      <c r="D955" s="20" t="str">
        <f>IF(C955&lt;&gt;"", IFERROR(INDEX('بنود العقد'!B$3:B$388,C955),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)1FB(   )تحتوى على 1 قوى (</v>
      </c>
      <c r="E955" s="12" t="str">
        <f>IF(C955&lt;&gt;"", IFERROR(INDEX('بنود العقد'!D$3:D$388,C955), ""), "")</f>
        <v>عدد</v>
      </c>
      <c r="F955" s="9">
        <f>IF(C955&lt;&gt;"", IFERROR(INDEX('بنود العقد'!E$3:E$388,C955), 0), "")</f>
        <v>720</v>
      </c>
      <c r="G955" s="9">
        <f>IF(C955&lt;&gt;"", IFERROR(INDEX('بنود العقد'!F$3:F$388,C955), 0), "")</f>
        <v>141</v>
      </c>
      <c r="H955" s="18">
        <f t="shared" si="40"/>
        <v>42</v>
      </c>
      <c r="I955" s="7">
        <v>58</v>
      </c>
      <c r="J955" s="18">
        <f t="shared" si="38"/>
        <v>100</v>
      </c>
      <c r="K955" s="10">
        <f t="shared" si="39"/>
        <v>41760</v>
      </c>
      <c r="L955" s="21">
        <f t="shared" si="35"/>
        <v>70.921985815602838</v>
      </c>
    </row>
    <row r="956" spans="1:12" s="72" customFormat="1" ht="25.95" customHeight="1">
      <c r="A956" s="12">
        <v>954</v>
      </c>
      <c r="B956" s="6">
        <v>17</v>
      </c>
      <c r="C956" s="6">
        <v>264</v>
      </c>
      <c r="D956" s="20" t="str">
        <f>IF(C956&lt;&gt;"", IFERROR(INDEX('بنود العقد'!B$3:B$388,C956),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A2</v>
      </c>
      <c r="E956" s="12" t="str">
        <f>IF(C956&lt;&gt;"", IFERROR(INDEX('بنود العقد'!D$3:D$388,C956), ""), "")</f>
        <v>عدد</v>
      </c>
      <c r="F956" s="9">
        <f>IF(C956&lt;&gt;"", IFERROR(INDEX('بنود العقد'!E$3:E$388,C956), 0), "")</f>
        <v>1044</v>
      </c>
      <c r="G956" s="9">
        <f>IF(C956&lt;&gt;"", IFERROR(INDEX('بنود العقد'!F$3:F$388,C956), 0), "")</f>
        <v>1113</v>
      </c>
      <c r="H956" s="18">
        <f t="shared" si="40"/>
        <v>866</v>
      </c>
      <c r="I956" s="7">
        <v>80</v>
      </c>
      <c r="J956" s="18">
        <f t="shared" si="38"/>
        <v>946</v>
      </c>
      <c r="K956" s="10">
        <f t="shared" si="39"/>
        <v>83520</v>
      </c>
      <c r="L956" s="21">
        <f t="shared" si="35"/>
        <v>84.99550763701707</v>
      </c>
    </row>
    <row r="957" spans="1:12" s="72" customFormat="1" ht="25.95" customHeight="1">
      <c r="A957" s="12">
        <v>955</v>
      </c>
      <c r="B957" s="6">
        <v>17</v>
      </c>
      <c r="C957" s="6">
        <v>274</v>
      </c>
      <c r="D957" s="20" t="str">
        <f>IF(C957&lt;&gt;"", IFERROR(INDEX('بنود العقد'!B$3:B$388,C957),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C1</v>
      </c>
      <c r="E957" s="12" t="str">
        <f>IF(C957&lt;&gt;"", IFERROR(INDEX('بنود العقد'!D$3:D$388,C957), ""), "")</f>
        <v>عدد</v>
      </c>
      <c r="F957" s="9">
        <f>IF(C957&lt;&gt;"", IFERROR(INDEX('بنود العقد'!E$3:E$388,C957), 0), "")</f>
        <v>1128</v>
      </c>
      <c r="G957" s="9">
        <f>IF(C957&lt;&gt;"", IFERROR(INDEX('بنود العقد'!F$3:F$388,C957), 0), "")</f>
        <v>172</v>
      </c>
      <c r="H957" s="18">
        <f t="shared" si="40"/>
        <v>89</v>
      </c>
      <c r="I957" s="7">
        <v>46</v>
      </c>
      <c r="J957" s="18">
        <f t="shared" si="38"/>
        <v>135</v>
      </c>
      <c r="K957" s="10">
        <f t="shared" si="39"/>
        <v>51888</v>
      </c>
      <c r="L957" s="21">
        <f t="shared" si="35"/>
        <v>78.488372093023244</v>
      </c>
    </row>
    <row r="958" spans="1:12" s="72" customFormat="1" ht="25.95" customHeight="1">
      <c r="A958" s="12">
        <v>956</v>
      </c>
      <c r="B958" s="6">
        <v>17</v>
      </c>
      <c r="C958" s="6">
        <v>275</v>
      </c>
      <c r="D958" s="20" t="str">
        <f>IF(C958&lt;&gt;"", IFERROR(INDEX('بنود العقد'!B$3:B$388,C958),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v>
      </c>
      <c r="E958" s="12" t="str">
        <f>IF(C958&lt;&gt;"", IFERROR(INDEX('بنود العقد'!D$3:D$388,C958), ""), "")</f>
        <v>عدد</v>
      </c>
      <c r="F958" s="9">
        <f>IF(C958&lt;&gt;"", IFERROR(INDEX('بنود العقد'!E$3:E$388,C958), 0), "")</f>
        <v>420</v>
      </c>
      <c r="G958" s="9">
        <f>IF(C958&lt;&gt;"", IFERROR(INDEX('بنود العقد'!F$3:F$388,C958), 0), "")</f>
        <v>1422</v>
      </c>
      <c r="H958" s="18">
        <f t="shared" si="40"/>
        <v>991</v>
      </c>
      <c r="I958" s="7">
        <v>250</v>
      </c>
      <c r="J958" s="18">
        <f t="shared" si="38"/>
        <v>1241</v>
      </c>
      <c r="K958" s="10">
        <f t="shared" si="39"/>
        <v>105000</v>
      </c>
      <c r="L958" s="21">
        <f t="shared" si="35"/>
        <v>87.271448663853718</v>
      </c>
    </row>
    <row r="959" spans="1:12" s="72" customFormat="1" ht="25.95" customHeight="1">
      <c r="A959" s="12">
        <v>957</v>
      </c>
      <c r="B959" s="6">
        <v>17</v>
      </c>
      <c r="C959" s="6">
        <v>286</v>
      </c>
      <c r="D959" s="20" t="str">
        <f>IF(C959&lt;&gt;"", IFERROR(INDEX('بنود العقد'!B$3:B$388,C959),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E2</v>
      </c>
      <c r="E959" s="12" t="str">
        <f>IF(C959&lt;&gt;"", IFERROR(INDEX('بنود العقد'!D$3:D$388,C959), ""), "")</f>
        <v>عدد</v>
      </c>
      <c r="F959" s="9">
        <f>IF(C959&lt;&gt;"", IFERROR(INDEX('بنود العقد'!E$3:E$388,C959), 0), "")</f>
        <v>504</v>
      </c>
      <c r="G959" s="9">
        <f>IF(C959&lt;&gt;"", IFERROR(INDEX('بنود العقد'!F$3:F$388,C959), 0), "")</f>
        <v>186</v>
      </c>
      <c r="H959" s="18">
        <f t="shared" si="40"/>
        <v>183</v>
      </c>
      <c r="I959" s="7">
        <v>22</v>
      </c>
      <c r="J959" s="18">
        <f t="shared" si="38"/>
        <v>205</v>
      </c>
      <c r="K959" s="10">
        <f t="shared" si="39"/>
        <v>11088</v>
      </c>
      <c r="L959" s="21">
        <f t="shared" si="35"/>
        <v>110.21505376344085</v>
      </c>
    </row>
    <row r="960" spans="1:12" s="72" customFormat="1" ht="25.95" customHeight="1">
      <c r="A960" s="12">
        <v>958</v>
      </c>
      <c r="B960" s="6">
        <v>17</v>
      </c>
      <c r="C960" s="6">
        <v>288</v>
      </c>
      <c r="D960" s="20" t="str">
        <f>IF(C960&lt;&gt;"", IFERROR(INDEX('بنود العقد'!B$3:B$388,C960),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LB1</v>
      </c>
      <c r="E960" s="12" t="str">
        <f>IF(C960&lt;&gt;"", IFERROR(INDEX('بنود العقد'!D$3:D$388,C960), ""), "")</f>
        <v>م.ط</v>
      </c>
      <c r="F960" s="9">
        <f>IF(C960&lt;&gt;"", IFERROR(INDEX('بنود العقد'!E$3:E$388,C960), 0), "")</f>
        <v>170.4</v>
      </c>
      <c r="G960" s="9">
        <f>IF(C960&lt;&gt;"", IFERROR(INDEX('بنود العقد'!F$3:F$388,C960), 0), "")</f>
        <v>5772</v>
      </c>
      <c r="H960" s="18">
        <f t="shared" si="40"/>
        <v>4002</v>
      </c>
      <c r="I960" s="7">
        <v>2400</v>
      </c>
      <c r="J960" s="18">
        <f t="shared" si="38"/>
        <v>6402</v>
      </c>
      <c r="K960" s="10">
        <f t="shared" si="39"/>
        <v>408960</v>
      </c>
      <c r="L960" s="21">
        <f t="shared" si="35"/>
        <v>110.91476091476092</v>
      </c>
    </row>
    <row r="961" spans="1:12" s="72" customFormat="1" ht="25.95" customHeight="1">
      <c r="A961" s="12">
        <v>959</v>
      </c>
      <c r="B961" s="6">
        <v>17</v>
      </c>
      <c r="C961" s="6">
        <v>309</v>
      </c>
      <c r="D961" s="20" t="str">
        <f>IF(C961&lt;&gt;"", IFERROR(INDEX('بنود العقد'!B$3:B$388,C961), "⚠"), "")</f>
        <v xml:space="preserve"> كاشف انذار دخان من النوع المعنون طبقا للمخططات  ومواصفات المشروع</v>
      </c>
      <c r="E961" s="12" t="str">
        <f>IF(C961&lt;&gt;"", IFERROR(INDEX('بنود العقد'!D$3:D$388,C961), ""), "")</f>
        <v>عدد</v>
      </c>
      <c r="F961" s="9">
        <f>IF(C961&lt;&gt;"", IFERROR(INDEX('بنود العقد'!E$3:E$388,C961), 0), "")</f>
        <v>276</v>
      </c>
      <c r="G961" s="9">
        <f>IF(C961&lt;&gt;"", IFERROR(INDEX('بنود العقد'!F$3:F$388,C961), 0), "")</f>
        <v>715</v>
      </c>
      <c r="H961" s="18">
        <f t="shared" si="40"/>
        <v>155</v>
      </c>
      <c r="I961" s="7">
        <v>300</v>
      </c>
      <c r="J961" s="18">
        <f t="shared" si="38"/>
        <v>455</v>
      </c>
      <c r="K961" s="10">
        <f t="shared" si="39"/>
        <v>82800</v>
      </c>
      <c r="L961" s="21">
        <f t="shared" si="35"/>
        <v>63.636363636363633</v>
      </c>
    </row>
    <row r="962" spans="1:12" s="72" customFormat="1" ht="25.95" customHeight="1">
      <c r="A962" s="12">
        <v>960</v>
      </c>
      <c r="B962" s="6">
        <v>17</v>
      </c>
      <c r="C962" s="6">
        <v>311</v>
      </c>
      <c r="D962" s="20" t="str">
        <f>IF(C962&lt;&gt;"", IFERROR(INDEX('بنود العقد'!B$3:B$388,C962), "⚠"), "")</f>
        <v xml:space="preserve"> وحدة إنذار حريق يدوية من النوع المعنون طبقا للمخططات  ومواصفات المشروع</v>
      </c>
      <c r="E962" s="12" t="str">
        <f>IF(C962&lt;&gt;"", IFERROR(INDEX('بنود العقد'!D$3:D$388,C962), ""), "")</f>
        <v>عدد</v>
      </c>
      <c r="F962" s="9">
        <f>IF(C962&lt;&gt;"", IFERROR(INDEX('بنود العقد'!E$3:E$388,C962), 0), "")</f>
        <v>384</v>
      </c>
      <c r="G962" s="9">
        <f>IF(C962&lt;&gt;"", IFERROR(INDEX('بنود العقد'!F$3:F$388,C962), 0), "")</f>
        <v>54</v>
      </c>
      <c r="H962" s="18">
        <f t="shared" si="40"/>
        <v>7</v>
      </c>
      <c r="I962" s="7">
        <v>10</v>
      </c>
      <c r="J962" s="18">
        <f t="shared" si="38"/>
        <v>17</v>
      </c>
      <c r="K962" s="10">
        <f t="shared" si="39"/>
        <v>3840</v>
      </c>
      <c r="L962" s="21">
        <f t="shared" si="35"/>
        <v>31.481481481481481</v>
      </c>
    </row>
    <row r="963" spans="1:12" s="72" customFormat="1" ht="25.95" customHeight="1">
      <c r="A963" s="12">
        <v>961</v>
      </c>
      <c r="B963" s="6">
        <v>17</v>
      </c>
      <c r="C963" s="6">
        <v>313</v>
      </c>
      <c r="D963" s="20" t="str">
        <f>IF(C963&lt;&gt;"", IFERROR(INDEX('بنود العقد'!B$3:B$388,C963), "⚠"), "")</f>
        <v>وحدة تحكم  )Control module( من النوع المعنون طبقا للمخططات  ومواصفات المشروع</v>
      </c>
      <c r="E963" s="12" t="str">
        <f>IF(C963&lt;&gt;"", IFERROR(INDEX('بنود العقد'!D$3:D$388,C963), ""), "")</f>
        <v>عدد</v>
      </c>
      <c r="F963" s="9">
        <f>IF(C963&lt;&gt;"", IFERROR(INDEX('بنود العقد'!E$3:E$388,C963), 0), "")</f>
        <v>420</v>
      </c>
      <c r="G963" s="9">
        <f>IF(C963&lt;&gt;"", IFERROR(INDEX('بنود العقد'!F$3:F$388,C963), 0), "")</f>
        <v>69</v>
      </c>
      <c r="H963" s="18">
        <f t="shared" si="40"/>
        <v>15</v>
      </c>
      <c r="I963" s="7">
        <v>50</v>
      </c>
      <c r="J963" s="18">
        <f t="shared" si="38"/>
        <v>65</v>
      </c>
      <c r="K963" s="10">
        <f t="shared" si="39"/>
        <v>21000</v>
      </c>
      <c r="L963" s="21">
        <f t="shared" si="35"/>
        <v>94.20289855072464</v>
      </c>
    </row>
    <row r="964" spans="1:12" s="72" customFormat="1" ht="25.95" customHeight="1">
      <c r="A964" s="12">
        <v>962</v>
      </c>
      <c r="B964" s="6">
        <v>17</v>
      </c>
      <c r="C964" s="6">
        <v>314</v>
      </c>
      <c r="D964" s="20" t="str">
        <f>IF(C964&lt;&gt;"", IFERROR(INDEX('بنود العقد'!B$3:B$388,C964), "⚠"), "")</f>
        <v>وحدة جرس إنذار حريق داخلى طبقا للمخططات  ومواصفات المشروع</v>
      </c>
      <c r="E964" s="12" t="str">
        <f>IF(C964&lt;&gt;"", IFERROR(INDEX('بنود العقد'!D$3:D$388,C964), ""), "")</f>
        <v>عدد</v>
      </c>
      <c r="F964" s="9">
        <f>IF(C964&lt;&gt;"", IFERROR(INDEX('بنود العقد'!E$3:E$388,C964), 0), "")</f>
        <v>576</v>
      </c>
      <c r="G964" s="9">
        <f>IF(C964&lt;&gt;"", IFERROR(INDEX('بنود العقد'!F$3:F$388,C964), 0), "")</f>
        <v>24</v>
      </c>
      <c r="H964" s="18">
        <f t="shared" si="40"/>
        <v>5</v>
      </c>
      <c r="I964" s="7">
        <v>10</v>
      </c>
      <c r="J964" s="18">
        <f t="shared" si="38"/>
        <v>15</v>
      </c>
      <c r="K964" s="10">
        <f t="shared" si="39"/>
        <v>5760</v>
      </c>
      <c r="L964" s="21">
        <f t="shared" si="35"/>
        <v>62.5</v>
      </c>
    </row>
    <row r="965" spans="1:12" s="72" customFormat="1" ht="25.95" customHeight="1">
      <c r="A965" s="12">
        <v>963</v>
      </c>
      <c r="B965" s="6">
        <v>17</v>
      </c>
      <c r="C965" s="6">
        <v>316</v>
      </c>
      <c r="D965" s="20" t="str">
        <f>IF(C965&lt;&gt;"", IFERROR(INDEX('بنود العقد'!B$3:B$388,C965), "⚠"), "")</f>
        <v>وحدات لاسلكية لتوفير خدمة شبكة المعلومات )Wireless Access Points(</v>
      </c>
      <c r="E965" s="12" t="str">
        <f>IF(C965&lt;&gt;"", IFERROR(INDEX('بنود العقد'!D$3:D$388,C965), ""), "")</f>
        <v>عدد</v>
      </c>
      <c r="F965" s="9">
        <f>IF(C965&lt;&gt;"", IFERROR(INDEX('بنود العقد'!E$3:E$388,C965), 0), "")</f>
        <v>1080</v>
      </c>
      <c r="G965" s="9">
        <f>IF(C965&lt;&gt;"", IFERROR(INDEX('بنود العقد'!F$3:F$388,C965), 0), "")</f>
        <v>181</v>
      </c>
      <c r="H965" s="18">
        <f t="shared" si="40"/>
        <v>66</v>
      </c>
      <c r="I965" s="7">
        <v>10</v>
      </c>
      <c r="J965" s="18">
        <f t="shared" si="38"/>
        <v>76</v>
      </c>
      <c r="K965" s="10">
        <f t="shared" si="39"/>
        <v>10800</v>
      </c>
      <c r="L965" s="21">
        <f t="shared" si="35"/>
        <v>41.988950276243095</v>
      </c>
    </row>
    <row r="966" spans="1:12" s="72" customFormat="1" ht="25.95" customHeight="1">
      <c r="A966" s="12">
        <v>964</v>
      </c>
      <c r="B966" s="6">
        <v>17</v>
      </c>
      <c r="C966" s="6">
        <v>317</v>
      </c>
      <c r="D966" s="20" t="str">
        <f>IF(C966&lt;&gt;"", IFERROR(INDEX('بنود العقد'!B$3:B$388,C966), "⚠"), "")</f>
        <v>عن طريق مقاول متخصص ذو خبرة كبيرة في هذا المجال ويقدم للاعتماد من إدارة الـ IT بالوزارة و يربط النظام مع الانظمة المعنية بالتحكم و الموازنة و يشمل البند جميع الوصلات و الكابلات و غيرها من المتطلبات الخاصة بنهو النظام كاملا توريد وتركيب واختبارنقاط كاميرا مراقبة داخلية سقفية و جميع ما يلزم من توصيلات و تركيبات و خلافة  لنهو النظام .</v>
      </c>
      <c r="E966" s="12" t="str">
        <f>IF(C966&lt;&gt;"", IFERROR(INDEX('بنود العقد'!D$3:D$388,C966), ""), "")</f>
        <v>عدد</v>
      </c>
      <c r="F966" s="9">
        <f>IF(C966&lt;&gt;"", IFERROR(INDEX('بنود العقد'!E$3:E$388,C966), 0), "")</f>
        <v>2640</v>
      </c>
      <c r="G966" s="9">
        <f>IF(C966&lt;&gt;"", IFERROR(INDEX('بنود العقد'!F$3:F$388,C966), 0), "")</f>
        <v>258</v>
      </c>
      <c r="H966" s="18">
        <f t="shared" si="40"/>
        <v>113</v>
      </c>
      <c r="I966" s="7">
        <v>80</v>
      </c>
      <c r="J966" s="18">
        <f t="shared" si="38"/>
        <v>193</v>
      </c>
      <c r="K966" s="10">
        <f t="shared" si="39"/>
        <v>211200</v>
      </c>
      <c r="L966" s="21">
        <f t="shared" si="35"/>
        <v>74.806201550387598</v>
      </c>
    </row>
    <row r="967" spans="1:12" s="72" customFormat="1" ht="25.95" customHeight="1">
      <c r="A967" s="12">
        <v>965</v>
      </c>
      <c r="B967" s="6">
        <v>17</v>
      </c>
      <c r="C967" s="6">
        <v>330</v>
      </c>
      <c r="D967" s="20" t="str">
        <f>IF(C967&lt;&gt;"", IFERROR(INDEX('بنود العقد'!B$3:B$388,C967), "⚠"), "")</f>
        <v>خزانة تجهيزات 42 U مقاس 2000×1000×800 ملم من أجود األنواع العالمية مع جميع االكسسوارات الالزمة من قاطع رئيسي 32( أمبير) وموزعات و مراوح و منظمات مسير الكوابل و كل
ما يلزم التمام العمل وحسب مواصفات وتعليمات إدارة الـ IT بالوزارة.</v>
      </c>
      <c r="E967" s="12" t="str">
        <f>IF(C967&lt;&gt;"", IFERROR(INDEX('بنود العقد'!D$3:D$388,C967), ""), "")</f>
        <v>عدد</v>
      </c>
      <c r="F967" s="9">
        <f>IF(C967&lt;&gt;"", IFERROR(INDEX('بنود العقد'!E$3:E$388,C967), 0), "")</f>
        <v>66000</v>
      </c>
      <c r="G967" s="9">
        <f>IF(C967&lt;&gt;"", IFERROR(INDEX('بنود العقد'!F$3:F$388,C967), 0), "")</f>
        <v>12</v>
      </c>
      <c r="H967" s="18">
        <f t="shared" si="40"/>
        <v>5</v>
      </c>
      <c r="I967" s="7">
        <v>2</v>
      </c>
      <c r="J967" s="18">
        <f t="shared" si="38"/>
        <v>7</v>
      </c>
      <c r="K967" s="10">
        <f t="shared" si="39"/>
        <v>132000</v>
      </c>
      <c r="L967" s="21">
        <f t="shared" si="35"/>
        <v>58.333333333333336</v>
      </c>
    </row>
    <row r="968" spans="1:12" s="72" customFormat="1" ht="25.95" customHeight="1">
      <c r="A968" s="12">
        <v>966</v>
      </c>
      <c r="B968" s="6">
        <v>17</v>
      </c>
      <c r="C968" s="6">
        <v>332</v>
      </c>
      <c r="D968" s="20" t="str">
        <f>IF(C968&lt;&gt;"", IFERROR(INDEX('بنود العقد'!B$3:B$388,C968), "⚠"), "")</f>
        <v>لوحات توزيع كابالت نحاسية Panel Patch a 6 CAT مع الوصالت لعدد 24 مخرج</v>
      </c>
      <c r="E968" s="12" t="str">
        <f>IF(C968&lt;&gt;"", IFERROR(INDEX('بنود العقد'!D$3:D$388,C968), ""), "")</f>
        <v>عدد</v>
      </c>
      <c r="F968" s="9">
        <f>IF(C968&lt;&gt;"", IFERROR(INDEX('بنود العقد'!E$3:E$388,C968), 0), "")</f>
        <v>2400</v>
      </c>
      <c r="G968" s="9">
        <f>IF(C968&lt;&gt;"", IFERROR(INDEX('بنود العقد'!F$3:F$388,C968), 0), "")</f>
        <v>55</v>
      </c>
      <c r="H968" s="18">
        <f t="shared" si="40"/>
        <v>24</v>
      </c>
      <c r="I968" s="7">
        <v>10</v>
      </c>
      <c r="J968" s="18">
        <f t="shared" si="38"/>
        <v>34</v>
      </c>
      <c r="K968" s="10">
        <f t="shared" si="39"/>
        <v>24000</v>
      </c>
      <c r="L968" s="21">
        <f t="shared" si="35"/>
        <v>61.818181818181813</v>
      </c>
    </row>
    <row r="969" spans="1:12" s="72" customFormat="1" ht="25.95" customHeight="1">
      <c r="A969" s="12">
        <v>967</v>
      </c>
      <c r="B969" s="6">
        <v>17</v>
      </c>
      <c r="C969" s="6">
        <v>340</v>
      </c>
      <c r="D969" s="20" t="str">
        <f>IF(C969&lt;&gt;"", IFERROR(INDEX('بنود العقد'!B$3:B$388,C969), "⚠"), "")</f>
        <v>ازالة وتكسير وترحيل ارضيات الخرسانة</v>
      </c>
      <c r="E969" s="12" t="str">
        <f>IF(C969&lt;&gt;"", IFERROR(INDEX('بنود العقد'!D$3:D$388,C969), ""), "")</f>
        <v>م²</v>
      </c>
      <c r="F969" s="9">
        <f>IF(C969&lt;&gt;"", IFERROR(INDEX('بنود العقد'!E$3:E$388,C969), 0), "")</f>
        <v>69.42</v>
      </c>
      <c r="G969" s="9">
        <f>IF(C969&lt;&gt;"", IFERROR(INDEX('بنود العقد'!F$3:F$388,C969), 0), "")</f>
        <v>0</v>
      </c>
      <c r="H969" s="18">
        <f t="shared" si="40"/>
        <v>1448</v>
      </c>
      <c r="I969" s="7">
        <v>552</v>
      </c>
      <c r="J969" s="18">
        <f t="shared" si="38"/>
        <v>2000</v>
      </c>
      <c r="K969" s="10">
        <f t="shared" si="39"/>
        <v>38319.840000000004</v>
      </c>
      <c r="L969" s="21" t="str">
        <f t="shared" ref="L969:L1032" si="41">IF(AND(J969&lt;&gt;"",G969&lt;&gt;"",G969&gt;0), J969/G969*100, "")</f>
        <v/>
      </c>
    </row>
    <row r="970" spans="1:12" s="72" customFormat="1" ht="25.95" customHeight="1">
      <c r="A970" s="12">
        <v>968</v>
      </c>
      <c r="B970" s="6">
        <v>17</v>
      </c>
      <c r="C970" s="6">
        <v>344</v>
      </c>
      <c r="D970" s="20" t="str">
        <f>IF(C970&lt;&gt;"", IFERROR(INDEX('بنود العقد'!B$3:B$388,C970), "⚠"), "")</f>
        <v xml:space="preserve">تصنيع و توريد و تركيب شباك دبل أكشن (Tilt &amp;turn)مقاس
 (1.0متر *3.0متر ) ثابت مع مفصلات </v>
      </c>
      <c r="E970" s="12" t="str">
        <f>IF(C970&lt;&gt;"", IFERROR(INDEX('بنود العقد'!D$3:D$388,C970), ""), "")</f>
        <v>م²</v>
      </c>
      <c r="F970" s="9">
        <f>IF(C970&lt;&gt;"", IFERROR(INDEX('بنود العقد'!E$3:E$388,C970), 0), "")</f>
        <v>1665</v>
      </c>
      <c r="G970" s="9">
        <f>IF(C970&lt;&gt;"", IFERROR(INDEX('بنود العقد'!F$3:F$388,C970), 0), "")</f>
        <v>0</v>
      </c>
      <c r="H970" s="18">
        <f t="shared" si="40"/>
        <v>33</v>
      </c>
      <c r="I970" s="7">
        <v>9</v>
      </c>
      <c r="J970" s="18">
        <f t="shared" si="38"/>
        <v>42</v>
      </c>
      <c r="K970" s="10">
        <f t="shared" si="39"/>
        <v>14985</v>
      </c>
      <c r="L970" s="21" t="str">
        <f t="shared" si="41"/>
        <v/>
      </c>
    </row>
    <row r="971" spans="1:12" s="72" customFormat="1" ht="25.95" customHeight="1">
      <c r="A971" s="12">
        <v>969</v>
      </c>
      <c r="B971" s="6">
        <v>17</v>
      </c>
      <c r="C971" s="6">
        <v>345</v>
      </c>
      <c r="D971" s="20" t="str">
        <f>IF(C971&lt;&gt;"", IFERROR(INDEX('بنود العقد'!B$3:B$388,C971), "⚠"), "")</f>
        <v xml:space="preserve">تصنيع و توريد و تركيب شباك دبل أكشن (Tilt &amp;turn)مقاس
 1.0 متر * 4.40متر ) ثابت مع مفصلات </v>
      </c>
      <c r="E971" s="12" t="str">
        <f>IF(C971&lt;&gt;"", IFERROR(INDEX('بنود العقد'!D$3:D$388,C971), ""), "")</f>
        <v>م²</v>
      </c>
      <c r="F971" s="9">
        <f>IF(C971&lt;&gt;"", IFERROR(INDEX('بنود العقد'!E$3:E$388,C971), 0), "")</f>
        <v>1665</v>
      </c>
      <c r="G971" s="9">
        <f>IF(C971&lt;&gt;"", IFERROR(INDEX('بنود العقد'!F$3:F$388,C971), 0), "")</f>
        <v>0</v>
      </c>
      <c r="H971" s="18">
        <f t="shared" si="40"/>
        <v>0</v>
      </c>
      <c r="I971" s="7">
        <v>8</v>
      </c>
      <c r="J971" s="18">
        <f t="shared" si="38"/>
        <v>8</v>
      </c>
      <c r="K971" s="10">
        <f t="shared" si="39"/>
        <v>13320</v>
      </c>
      <c r="L971" s="21" t="str">
        <f t="shared" si="41"/>
        <v/>
      </c>
    </row>
    <row r="972" spans="1:12" s="72" customFormat="1" ht="25.95" customHeight="1">
      <c r="A972" s="12">
        <v>970</v>
      </c>
      <c r="B972" s="6">
        <v>17</v>
      </c>
      <c r="C972" s="6">
        <v>346</v>
      </c>
      <c r="D972" s="20" t="str">
        <f>IF(C972&lt;&gt;"", IFERROR(INDEX('بنود العقد'!B$3:B$388,C972), "⚠"), "")</f>
        <v xml:space="preserve">
توريد وتركيب مرحاض افرنجي مثبت على الحائط  مع محبس دفق (Flush valve)  مع زر دفق من الكروم ، مع غطاء للمرحاض مقاوم للبكتريا من نوع soft closing</v>
      </c>
      <c r="E972" s="12" t="str">
        <f>IF(C972&lt;&gt;"", IFERROR(INDEX('بنود العقد'!D$3:D$388,C972), ""), "")</f>
        <v>عدد</v>
      </c>
      <c r="F972" s="9">
        <f>IF(C972&lt;&gt;"", IFERROR(INDEX('بنود العقد'!E$3:E$388,C972), 0), "")</f>
        <v>2408.39</v>
      </c>
      <c r="G972" s="9">
        <f>IF(C972&lt;&gt;"", IFERROR(INDEX('بنود العقد'!F$3:F$388,C972), 0), "")</f>
        <v>0</v>
      </c>
      <c r="H972" s="18">
        <f t="shared" si="40"/>
        <v>30</v>
      </c>
      <c r="I972" s="7">
        <v>20</v>
      </c>
      <c r="J972" s="18">
        <f t="shared" si="38"/>
        <v>50</v>
      </c>
      <c r="K972" s="10">
        <f t="shared" si="39"/>
        <v>48167.799999999996</v>
      </c>
      <c r="L972" s="21" t="str">
        <f t="shared" si="41"/>
        <v/>
      </c>
    </row>
    <row r="973" spans="1:12" s="72" customFormat="1" ht="25.95" customHeight="1">
      <c r="A973" s="12">
        <v>971</v>
      </c>
      <c r="B973" s="6">
        <v>17</v>
      </c>
      <c r="C973" s="6">
        <v>347</v>
      </c>
      <c r="D973" s="20" t="str">
        <f>IF(C973&lt;&gt;"", IFERROR(INDEX('بنود العقد'!B$3:B$388,C973), "⚠"), "")</f>
        <v xml:space="preserve">
توريد وتركيب مرحاض افرنجي مثبت على الحائط  مع محبس دفق (Flush valve) مزود بحساس مع زر دفق من الكروم، مع غطاء للمرحاض مقاوم للبكتريا من نوع soft closing</v>
      </c>
      <c r="E973" s="12" t="str">
        <f>IF(C973&lt;&gt;"", IFERROR(INDEX('بنود العقد'!D$3:D$388,C973), ""), "")</f>
        <v>عدد</v>
      </c>
      <c r="F973" s="9">
        <f>IF(C973&lt;&gt;"", IFERROR(INDEX('بنود العقد'!E$3:E$388,C973), 0), "")</f>
        <v>4186.79</v>
      </c>
      <c r="G973" s="9">
        <f>IF(C973&lt;&gt;"", IFERROR(INDEX('بنود العقد'!F$3:F$388,C973), 0), "")</f>
        <v>0</v>
      </c>
      <c r="H973" s="18">
        <f t="shared" si="40"/>
        <v>0</v>
      </c>
      <c r="I973" s="7">
        <v>14</v>
      </c>
      <c r="J973" s="18">
        <f t="shared" si="38"/>
        <v>14</v>
      </c>
      <c r="K973" s="10">
        <f t="shared" si="39"/>
        <v>58615.06</v>
      </c>
      <c r="L973" s="21" t="str">
        <f t="shared" si="41"/>
        <v/>
      </c>
    </row>
    <row r="974" spans="1:12" s="72" customFormat="1" ht="25.95" customHeight="1">
      <c r="A974" s="12">
        <v>972</v>
      </c>
      <c r="B974" s="6">
        <v>17</v>
      </c>
      <c r="C974" s="6">
        <v>362</v>
      </c>
      <c r="D974" s="20" t="str">
        <f>IF(C974&lt;&gt;"", IFERROR(INDEX('بنود العقد'!B$3:B$388,C974), "⚠"), "")</f>
        <v>01-MT 02&amp; MT رخام مون ستون غراي رمادي فاتح و رمادي غامق 
مقاس  1200× 300 مم لمنطقة القهوة و المدخل سماكة 30مم .</v>
      </c>
      <c r="E974" s="12" t="str">
        <f>IF(C974&lt;&gt;"", IFERROR(INDEX('بنود العقد'!D$3:D$388,C974), ""), "")</f>
        <v>م²</v>
      </c>
      <c r="F974" s="9">
        <f>IF(C974&lt;&gt;"", IFERROR(INDEX('بنود العقد'!E$3:E$388,C974), 0), "")</f>
        <v>609</v>
      </c>
      <c r="G974" s="9">
        <f>IF(C974&lt;&gt;"", IFERROR(INDEX('بنود العقد'!F$3:F$388,C974), 0), "")</f>
        <v>0</v>
      </c>
      <c r="H974" s="18">
        <f t="shared" si="40"/>
        <v>0</v>
      </c>
      <c r="I974" s="7">
        <v>344</v>
      </c>
      <c r="J974" s="18">
        <f t="shared" si="38"/>
        <v>344</v>
      </c>
      <c r="K974" s="10">
        <f t="shared" si="39"/>
        <v>209496</v>
      </c>
      <c r="L974" s="21" t="str">
        <f t="shared" si="41"/>
        <v/>
      </c>
    </row>
    <row r="975" spans="1:12" s="72" customFormat="1" ht="25.95" customHeight="1">
      <c r="A975" s="12">
        <v>973</v>
      </c>
      <c r="B975" s="6">
        <v>17</v>
      </c>
      <c r="C975" s="6">
        <v>364</v>
      </c>
      <c r="D975" s="20" t="str">
        <f>IF(C975&lt;&gt;"", IFERROR(INDEX('بنود العقد'!B$3:B$388,C975), "⚠"), "")</f>
        <v>رخام رمادي بيترا غراي للدور السادس ألواح مقاس 1000× 1000 مم بحسب اعتماد المهندس سماكة 30مم</v>
      </c>
      <c r="E975" s="12" t="str">
        <f>IF(C975&lt;&gt;"", IFERROR(INDEX('بنود العقد'!D$3:D$388,C975), ""), "")</f>
        <v>م²</v>
      </c>
      <c r="F975" s="9">
        <f>IF(C975&lt;&gt;"", IFERROR(INDEX('بنود العقد'!E$3:E$388,C975), 0), "")</f>
        <v>717</v>
      </c>
      <c r="G975" s="9">
        <f>IF(C975&lt;&gt;"", IFERROR(INDEX('بنود العقد'!F$3:F$388,C975), 0), "")</f>
        <v>0</v>
      </c>
      <c r="H975" s="18">
        <f t="shared" si="40"/>
        <v>492</v>
      </c>
      <c r="I975" s="7">
        <v>660</v>
      </c>
      <c r="J975" s="18">
        <f t="shared" si="38"/>
        <v>1152</v>
      </c>
      <c r="K975" s="10">
        <f t="shared" si="39"/>
        <v>473220</v>
      </c>
      <c r="L975" s="21" t="str">
        <f t="shared" si="41"/>
        <v/>
      </c>
    </row>
    <row r="976" spans="1:12" s="72" customFormat="1" ht="25.95" customHeight="1">
      <c r="A976" s="12">
        <v>974</v>
      </c>
      <c r="B976" s="6">
        <v>17</v>
      </c>
      <c r="C976" s="6">
        <v>367</v>
      </c>
      <c r="D976" s="20" t="str">
        <f>IF(C976&lt;&gt;"", IFERROR(INDEX('بنود العقد'!B$3:B$388,C976), "⚠"), "")</f>
        <v xml:space="preserve"> توريد و تركيب حوض خدمة  (JANITOR SINK) والبند يشمل كوع الصرف والخلاط وجميع ما يلزم للتركيب والتثبيت</v>
      </c>
      <c r="E976" s="12" t="str">
        <f>IF(C976&lt;&gt;"", IFERROR(INDEX('بنود العقد'!D$3:D$388,C976), ""), "")</f>
        <v>عدد</v>
      </c>
      <c r="F976" s="9">
        <f>IF(C976&lt;&gt;"", IFERROR(INDEX('بنود العقد'!E$3:E$388,C976), 0), "")</f>
        <v>2445</v>
      </c>
      <c r="G976" s="9">
        <f>IF(C976&lt;&gt;"", IFERROR(INDEX('بنود العقد'!F$3:F$388,C976), 0), "")</f>
        <v>0</v>
      </c>
      <c r="H976" s="18">
        <f t="shared" si="40"/>
        <v>8</v>
      </c>
      <c r="I976" s="7">
        <v>11</v>
      </c>
      <c r="J976" s="18">
        <f t="shared" si="38"/>
        <v>19</v>
      </c>
      <c r="K976" s="10">
        <f t="shared" si="39"/>
        <v>26895</v>
      </c>
      <c r="L976" s="21" t="str">
        <f t="shared" si="41"/>
        <v/>
      </c>
    </row>
    <row r="977" spans="1:12" s="72" customFormat="1" ht="25.95" customHeight="1">
      <c r="A977" s="12">
        <v>975</v>
      </c>
      <c r="B977" s="6">
        <v>18</v>
      </c>
      <c r="C977" s="6">
        <v>5</v>
      </c>
      <c r="D977" s="20" t="str">
        <f>IF(C977&lt;&gt;"", IFERROR(INDEX('بنود العقد'!B$3:B$388,C977), "⚠"), "")</f>
        <v>صبة أسمنتية كطبقة حماية للعزل في الأماكن الرطبة. ويشمل السعر وأي مواد أو أعمال يتطلبها تنفيذ العمل حسب المواصفات والمخططات وتعليمات المهندس المشرف.</v>
      </c>
      <c r="E977" s="12" t="str">
        <f>IF(C977&lt;&gt;"", IFERROR(INDEX('بنود العقد'!D$3:D$388,C977), ""), "")</f>
        <v>م3</v>
      </c>
      <c r="F977" s="9">
        <f>IF(C977&lt;&gt;"", IFERROR(INDEX('بنود العقد'!E$3:E$388,C977), 0), "")</f>
        <v>366</v>
      </c>
      <c r="G977" s="9">
        <f>IF(C977&lt;&gt;"", IFERROR(INDEX('بنود العقد'!F$3:F$388,C977), 0), "")</f>
        <v>1345</v>
      </c>
      <c r="H977" s="18">
        <f t="shared" ref="H977:H1040" si="42">IFERROR(SUMIFS(I$3:I$1805, B$3:B$1805, "&lt;"&amp;B977, C$3:C$1805, C977), 0)</f>
        <v>195.32</v>
      </c>
      <c r="I977" s="7">
        <v>211</v>
      </c>
      <c r="J977" s="18">
        <f t="shared" si="38"/>
        <v>406.32</v>
      </c>
      <c r="K977" s="10">
        <f t="shared" si="39"/>
        <v>77226</v>
      </c>
      <c r="L977" s="21">
        <f t="shared" si="41"/>
        <v>30.209665427509293</v>
      </c>
    </row>
    <row r="978" spans="1:12" s="72" customFormat="1" ht="25.95" customHeight="1">
      <c r="A978" s="12">
        <v>976</v>
      </c>
      <c r="B978" s="6">
        <v>18</v>
      </c>
      <c r="C978" s="6">
        <v>6</v>
      </c>
      <c r="D978" s="20" t="str">
        <f>IF(C978&lt;&gt;"", IFERROR(INDEX('بنود العقد'!B$3:B$388,C978),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v>
      </c>
      <c r="E978" s="12" t="str">
        <f>IF(C978&lt;&gt;"", IFERROR(INDEX('بنود العقد'!D$3:D$388,C978), ""), "")</f>
        <v>م2</v>
      </c>
      <c r="F978" s="9">
        <f>IF(C978&lt;&gt;"", IFERROR(INDEX('بنود العقد'!E$3:E$388,C978), 0), "")</f>
        <v>150</v>
      </c>
      <c r="G978" s="9">
        <f>IF(C978&lt;&gt;"", IFERROR(INDEX('بنود العقد'!F$3:F$388,C978), 0), "")</f>
        <v>450</v>
      </c>
      <c r="H978" s="18">
        <f t="shared" si="42"/>
        <v>3680.51</v>
      </c>
      <c r="I978" s="7">
        <v>978</v>
      </c>
      <c r="J978" s="18">
        <f t="shared" si="38"/>
        <v>4658.51</v>
      </c>
      <c r="K978" s="10">
        <f t="shared" si="39"/>
        <v>146700</v>
      </c>
      <c r="L978" s="21">
        <f t="shared" si="41"/>
        <v>1035.2244444444445</v>
      </c>
    </row>
    <row r="979" spans="1:12" s="72" customFormat="1" ht="25.95" customHeight="1">
      <c r="A979" s="12">
        <v>977</v>
      </c>
      <c r="B979" s="6">
        <v>18</v>
      </c>
      <c r="C979" s="6">
        <v>22</v>
      </c>
      <c r="D979" s="20" t="str">
        <f>IF(C979&lt;&gt;"", IFERROR(INDEX('بنود العقد'!B$3:B$388,C979), "⚠"), "")</f>
        <v>توريد وتركيب وزرات خشب )Mdf( مع قشرة جوز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 .Ref drawing: 07-MRA-DD-(as per floor number)-AR-301</v>
      </c>
      <c r="E979" s="12" t="str">
        <f>IF(C979&lt;&gt;"", IFERROR(INDEX('بنود العقد'!D$3:D$388,C979), ""), "")</f>
        <v>م.ط</v>
      </c>
      <c r="F979" s="9">
        <f>IF(C979&lt;&gt;"", IFERROR(INDEX('بنود العقد'!E$3:E$388,C979), 0), "")</f>
        <v>42</v>
      </c>
      <c r="G979" s="9">
        <f>IF(C979&lt;&gt;"", IFERROR(INDEX('بنود العقد'!F$3:F$388,C979), 0), "")</f>
        <v>4532</v>
      </c>
      <c r="H979" s="18">
        <f t="shared" si="42"/>
        <v>1554</v>
      </c>
      <c r="I979" s="7">
        <v>1600</v>
      </c>
      <c r="J979" s="18">
        <f t="shared" si="38"/>
        <v>3154</v>
      </c>
      <c r="K979" s="10">
        <f t="shared" si="39"/>
        <v>67200</v>
      </c>
      <c r="L979" s="21">
        <f t="shared" si="41"/>
        <v>69.593998234774929</v>
      </c>
    </row>
    <row r="980" spans="1:12" s="72" customFormat="1" ht="25.95" customHeight="1">
      <c r="A980" s="12">
        <v>978</v>
      </c>
      <c r="B980" s="6">
        <v>18</v>
      </c>
      <c r="C980" s="6">
        <v>23</v>
      </c>
      <c r="D980" s="20" t="str">
        <f>IF(C980&lt;&gt;"", IFERROR(INDEX('بنود العقد'!B$3:B$388,C980), "⚠"), "")</f>
        <v>توريد وتركيب وزرات خشب )Mdf( مع قشرة ،وينغي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المشرفRef drawing: 07-MRA-DD-(as per floor number)-AR-301</v>
      </c>
      <c r="E980" s="12" t="str">
        <f>IF(C980&lt;&gt;"", IFERROR(INDEX('بنود العقد'!D$3:D$388,C980), ""), "")</f>
        <v>م.ط</v>
      </c>
      <c r="F980" s="9">
        <f>IF(C980&lt;&gt;"", IFERROR(INDEX('بنود العقد'!E$3:E$388,C980), 0), "")</f>
        <v>42</v>
      </c>
      <c r="G980" s="9">
        <f>IF(C980&lt;&gt;"", IFERROR(INDEX('بنود العقد'!F$3:F$388,C980), 0), "")</f>
        <v>700</v>
      </c>
      <c r="H980" s="18">
        <f t="shared" si="42"/>
        <v>425</v>
      </c>
      <c r="I980" s="7">
        <v>130</v>
      </c>
      <c r="J980" s="18">
        <f t="shared" si="38"/>
        <v>555</v>
      </c>
      <c r="K980" s="10">
        <f t="shared" si="39"/>
        <v>5460</v>
      </c>
      <c r="L980" s="21">
        <f t="shared" si="41"/>
        <v>79.285714285714278</v>
      </c>
    </row>
    <row r="981" spans="1:12" s="72" customFormat="1" ht="25.95" customHeight="1">
      <c r="A981" s="12">
        <v>979</v>
      </c>
      <c r="B981" s="6">
        <v>18</v>
      </c>
      <c r="C981" s="6">
        <v>24</v>
      </c>
      <c r="D981" s="20" t="str">
        <f>IF(C981&lt;&gt;"", IFERROR(INDEX('بنود العقد'!B$3:B$388,C981), "⚠"), "")</f>
        <v>تصنيع وتركيب جدار خشبي ) Mdf(  مع قشرة السنديان المطلي بدهان ابيض تثبت على هيكل معدني، مع تصميم  فتحات على شكل مثلثات مضاءة من الداخل واحجام بمستويات مختلفة، حسب المناظير والرسومات وتعليمات المهندس المشرف.Code: WDP1-01,WDP1-02,WDP1-02.A</v>
      </c>
      <c r="E981" s="12" t="str">
        <f>IF(C981&lt;&gt;"", IFERROR(INDEX('بنود العقد'!D$3:D$388,C981), ""), "")</f>
        <v>م2</v>
      </c>
      <c r="F981" s="9">
        <f>IF(C981&lt;&gt;"", IFERROR(INDEX('بنود العقد'!E$3:E$388,C981), 0), "")</f>
        <v>714</v>
      </c>
      <c r="G981" s="9">
        <f>IF(C981&lt;&gt;"", IFERROR(INDEX('بنود العقد'!F$3:F$388,C981), 0), "")</f>
        <v>431</v>
      </c>
      <c r="H981" s="18">
        <f t="shared" si="42"/>
        <v>0</v>
      </c>
      <c r="I981" s="7">
        <v>200</v>
      </c>
      <c r="J981" s="18">
        <f t="shared" si="38"/>
        <v>200</v>
      </c>
      <c r="K981" s="10">
        <f t="shared" si="39"/>
        <v>142800</v>
      </c>
      <c r="L981" s="21">
        <f t="shared" si="41"/>
        <v>46.403712296983755</v>
      </c>
    </row>
    <row r="982" spans="1:12" s="72" customFormat="1" ht="25.95" customHeight="1">
      <c r="A982" s="12">
        <v>980</v>
      </c>
      <c r="B982" s="6">
        <v>18</v>
      </c>
      <c r="C982" s="6">
        <v>30</v>
      </c>
      <c r="D982" s="20" t="str">
        <f>IF(C982&lt;&gt;"", IFERROR(INDEX('بنود العقد'!B$3:B$388,C982),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مع قشرة السنديان المطلي بدهان ابيض  مع غروف وفتحات إضاءة مخفية مغلفة من الداخل بطبقة Acrylic مغشى  حسب الرسومات والمناظير وتعليمات المهندس المشرف.Code: WDP1-03, WDP1-04, WDP1-05, WDP1-06</v>
      </c>
      <c r="E982" s="12" t="str">
        <f>IF(C982&lt;&gt;"", IFERROR(INDEX('بنود العقد'!D$3:D$388,C982), ""), "")</f>
        <v>م2</v>
      </c>
      <c r="F982" s="9">
        <f>IF(C982&lt;&gt;"", IFERROR(INDEX('بنود العقد'!E$3:E$388,C982), 0), "")</f>
        <v>570</v>
      </c>
      <c r="G982" s="9">
        <f>IF(C982&lt;&gt;"", IFERROR(INDEX('بنود العقد'!F$3:F$388,C982), 0), "")</f>
        <v>456</v>
      </c>
      <c r="H982" s="18">
        <f t="shared" si="42"/>
        <v>415</v>
      </c>
      <c r="I982" s="7">
        <v>70</v>
      </c>
      <c r="J982" s="18">
        <f t="shared" si="38"/>
        <v>485</v>
      </c>
      <c r="K982" s="10">
        <f t="shared" si="39"/>
        <v>39900</v>
      </c>
      <c r="L982" s="21">
        <f t="shared" si="41"/>
        <v>106.35964912280701</v>
      </c>
    </row>
    <row r="983" spans="1:12" s="72" customFormat="1" ht="25.95" customHeight="1">
      <c r="A983" s="12">
        <v>981</v>
      </c>
      <c r="B983" s="6">
        <v>18</v>
      </c>
      <c r="C983" s="6">
        <v>33</v>
      </c>
      <c r="D983" s="20" t="str">
        <f>IF(C983&lt;&gt;"", IFERROR(INDEX('بنود العقد'!B$3:B$388,C983),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number)-AR-600 to 07-MRA-DD (as per floor number)-AR-604كسوة من خشب الـ) Mdf(  ، مع قشرة  )walnut( لمدخل كبار الشخصيات ومكتب مدير مكتب معالي الوزير     حسب الرسومات والمناظير وتعليمات المهندس المشرف.Code: WDP7</v>
      </c>
      <c r="E983" s="12" t="str">
        <f>IF(C983&lt;&gt;"", IFERROR(INDEX('بنود العقد'!D$3:D$388,C983), ""), "")</f>
        <v>م2</v>
      </c>
      <c r="F983" s="9">
        <f>IF(C983&lt;&gt;"", IFERROR(INDEX('بنود العقد'!E$3:E$388,C983), 0), "")</f>
        <v>570</v>
      </c>
      <c r="G983" s="9">
        <f>IF(C983&lt;&gt;"", IFERROR(INDEX('بنود العقد'!F$3:F$388,C983), 0), "")</f>
        <v>118</v>
      </c>
      <c r="H983" s="18">
        <f t="shared" si="42"/>
        <v>158</v>
      </c>
      <c r="I983" s="7">
        <v>30</v>
      </c>
      <c r="J983" s="18">
        <f t="shared" si="38"/>
        <v>188</v>
      </c>
      <c r="K983" s="10">
        <f t="shared" si="39"/>
        <v>17100</v>
      </c>
      <c r="L983" s="21">
        <f t="shared" si="41"/>
        <v>159.32203389830508</v>
      </c>
    </row>
    <row r="984" spans="1:12" s="72" customFormat="1" ht="25.95" customHeight="1">
      <c r="A984" s="12">
        <v>982</v>
      </c>
      <c r="B984" s="6">
        <v>18</v>
      </c>
      <c r="C984" s="6">
        <v>34</v>
      </c>
      <c r="D984" s="20" t="str">
        <f>IF(C984&lt;&gt;"", IFERROR(INDEX('بنود العقد'!B$3:B$388,C984),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صناعية بلون رمادي بيج لمنطقة معالي الوزير   حسب الرسومات والمناظير وتعليمات المهندس المشرف.Code: WDP8</v>
      </c>
      <c r="E984" s="12" t="str">
        <f>IF(C984&lt;&gt;"", IFERROR(INDEX('بنود العقد'!D$3:D$388,C984), ""), "")</f>
        <v>م2</v>
      </c>
      <c r="F984" s="9">
        <f>IF(C984&lt;&gt;"", IFERROR(INDEX('بنود العقد'!E$3:E$388,C984), 0), "")</f>
        <v>870</v>
      </c>
      <c r="G984" s="9">
        <f>IF(C984&lt;&gt;"", IFERROR(INDEX('بنود العقد'!F$3:F$388,C984), 0), "")</f>
        <v>758</v>
      </c>
      <c r="H984" s="18">
        <f t="shared" si="42"/>
        <v>1405</v>
      </c>
      <c r="I984" s="7">
        <v>50</v>
      </c>
      <c r="J984" s="18">
        <f t="shared" si="38"/>
        <v>1455</v>
      </c>
      <c r="K984" s="10">
        <f t="shared" si="39"/>
        <v>43500</v>
      </c>
      <c r="L984" s="21">
        <f t="shared" si="41"/>
        <v>191.95250659630608</v>
      </c>
    </row>
    <row r="985" spans="1:12" s="72" customFormat="1" ht="25.95" customHeight="1">
      <c r="A985" s="12">
        <v>983</v>
      </c>
      <c r="B985" s="6">
        <v>18</v>
      </c>
      <c r="C985" s="6">
        <v>35</v>
      </c>
      <c r="D985" s="20" t="str">
        <f>IF(C985&lt;&gt;"", IFERROR(INDEX('بنود العقد'!B$3:B$388,C985),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ال )wenge( بشكل pattern مفرغة من الداخل مع ايطار خشبي ملبس بجلد لون بيج ومثبتة على الجدار الخشبي  لمنطقة معالي الوزير  حسب الرسومات والمناظير  وتعليمات المهندس المشرف.Code: P1</v>
      </c>
      <c r="E985" s="12" t="str">
        <f>IF(C985&lt;&gt;"", IFERROR(INDEX('بنود العقد'!D$3:D$388,C985), ""), "")</f>
        <v>م2</v>
      </c>
      <c r="F985" s="9">
        <f>IF(C985&lt;&gt;"", IFERROR(INDEX('بنود العقد'!E$3:E$388,C985), 0), "")</f>
        <v>1080</v>
      </c>
      <c r="G985" s="9">
        <f>IF(C985&lt;&gt;"", IFERROR(INDEX('بنود العقد'!F$3:F$388,C985), 0), "")</f>
        <v>60</v>
      </c>
      <c r="H985" s="18">
        <f t="shared" si="42"/>
        <v>53</v>
      </c>
      <c r="I985" s="7">
        <v>9</v>
      </c>
      <c r="J985" s="18">
        <f t="shared" si="38"/>
        <v>62</v>
      </c>
      <c r="K985" s="10">
        <f t="shared" si="39"/>
        <v>9720</v>
      </c>
      <c r="L985" s="21">
        <f t="shared" si="41"/>
        <v>103.33333333333334</v>
      </c>
    </row>
    <row r="986" spans="1:12" s="72" customFormat="1" ht="25.95" customHeight="1">
      <c r="A986" s="12">
        <v>984</v>
      </c>
      <c r="B986" s="6">
        <v>18</v>
      </c>
      <c r="C986" s="6">
        <v>36</v>
      </c>
      <c r="D986" s="20" t="str">
        <f>IF(C986&lt;&gt;"", IFERROR(INDEX('بنود العقد'!B$3:B$388,C986),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ال )wenge( بشكل pattern مفرغة من الداخل مع ايطار خشبي ومثبتة على الجدار الخشبي  لمنطقة التنفيذيين حسب الرسومات والمناظير وتعليمات المهندس المشرف.Code: P2</v>
      </c>
      <c r="E986" s="12" t="str">
        <f>IF(C986&lt;&gt;"", IFERROR(INDEX('بنود العقد'!D$3:D$388,C986), ""), "")</f>
        <v>م2</v>
      </c>
      <c r="F986" s="9">
        <f>IF(C986&lt;&gt;"", IFERROR(INDEX('بنود العقد'!E$3:E$388,C986), 0), "")</f>
        <v>960</v>
      </c>
      <c r="G986" s="9">
        <f>IF(C986&lt;&gt;"", IFERROR(INDEX('بنود العقد'!F$3:F$388,C986), 0), "")</f>
        <v>75</v>
      </c>
      <c r="H986" s="18">
        <f t="shared" si="42"/>
        <v>47</v>
      </c>
      <c r="I986" s="7">
        <v>10</v>
      </c>
      <c r="J986" s="18">
        <f t="shared" si="38"/>
        <v>57</v>
      </c>
      <c r="K986" s="10">
        <f t="shared" si="39"/>
        <v>9600</v>
      </c>
      <c r="L986" s="21">
        <f t="shared" si="41"/>
        <v>76</v>
      </c>
    </row>
    <row r="987" spans="1:12" s="72" customFormat="1" ht="25.95" customHeight="1">
      <c r="A987" s="12">
        <v>985</v>
      </c>
      <c r="B987" s="6">
        <v>18</v>
      </c>
      <c r="C987" s="6">
        <v>37</v>
      </c>
      <c r="D987" s="20" t="str">
        <f>IF(C987&lt;&gt;"", IFERROR(INDEX('بنود العقد'!B$3:B$388,C987), "⚠"), "")</f>
        <v>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 سقف من خشب الـ)Mdf( ،  مطلي بدهان أبيض بشكل pattern مفرغة من الداخل  ومثبتة على ألواح خشبية مع قشرة الجوز مثبتة بنظام تعليق متصلة بالسقف الخرساني  لمنطقة معالي الوزير حسب الرسومات والمناظير وتعليمات المهندس المشرف.Code: WDC-04</v>
      </c>
      <c r="E987" s="12" t="str">
        <f>IF(C987&lt;&gt;"", IFERROR(INDEX('بنود العقد'!D$3:D$388,C987), ""), "")</f>
        <v>م2</v>
      </c>
      <c r="F987" s="9">
        <f>IF(C987&lt;&gt;"", IFERROR(INDEX('بنود العقد'!E$3:E$388,C987), 0), "")</f>
        <v>1080</v>
      </c>
      <c r="G987" s="9">
        <f>IF(C987&lt;&gt;"", IFERROR(INDEX('بنود العقد'!F$3:F$388,C987), 0), "")</f>
        <v>162</v>
      </c>
      <c r="H987" s="18">
        <f t="shared" si="42"/>
        <v>108</v>
      </c>
      <c r="I987" s="7">
        <v>22</v>
      </c>
      <c r="J987" s="18">
        <f t="shared" si="38"/>
        <v>130</v>
      </c>
      <c r="K987" s="10">
        <f t="shared" si="39"/>
        <v>23760</v>
      </c>
      <c r="L987" s="21">
        <f t="shared" si="41"/>
        <v>80.246913580246911</v>
      </c>
    </row>
    <row r="988" spans="1:12" s="72" customFormat="1" ht="25.95" customHeight="1">
      <c r="A988" s="12">
        <v>986</v>
      </c>
      <c r="B988" s="6">
        <v>18</v>
      </c>
      <c r="C988" s="6">
        <v>38</v>
      </c>
      <c r="D988" s="20" t="str">
        <f>IF(C988&lt;&gt;"", IFERROR(INDEX('بنود العقد'!B$3:B$388,C988), "⚠"), "")</f>
        <v>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 من من خشب الـ)Mdf(  مع قشرة صناعية بحسب العينة الموافق عليها وغروف مثبتة بنظام تعليق متصلة بالسقف الخرساني حسب الرسومات والمناظير وتعليمات المهندس المشرف.Code: WDC-01 &amp; WDC-02</v>
      </c>
      <c r="E988" s="12" t="str">
        <f>IF(C988&lt;&gt;"", IFERROR(INDEX('بنود العقد'!D$3:D$388,C988), ""), "")</f>
        <v>م2</v>
      </c>
      <c r="F988" s="9">
        <f>IF(C988&lt;&gt;"", IFERROR(INDEX('بنود العقد'!E$3:E$388,C988), 0), "")</f>
        <v>840</v>
      </c>
      <c r="G988" s="9">
        <f>IF(C988&lt;&gt;"", IFERROR(INDEX('بنود العقد'!F$3:F$388,C988), 0), "")</f>
        <v>684</v>
      </c>
      <c r="H988" s="18">
        <f t="shared" si="42"/>
        <v>548</v>
      </c>
      <c r="I988" s="7">
        <v>80</v>
      </c>
      <c r="J988" s="18">
        <f t="shared" si="38"/>
        <v>628</v>
      </c>
      <c r="K988" s="10">
        <f t="shared" si="39"/>
        <v>67200</v>
      </c>
      <c r="L988" s="21">
        <f t="shared" si="41"/>
        <v>91.812865497076018</v>
      </c>
    </row>
    <row r="989" spans="1:12" s="72" customFormat="1" ht="25.95" customHeight="1">
      <c r="A989" s="12">
        <v>987</v>
      </c>
      <c r="B989" s="6">
        <v>18</v>
      </c>
      <c r="C989" s="6">
        <v>39</v>
      </c>
      <c r="D989" s="20" t="str">
        <f>IF(C989&lt;&gt;"", IFERROR(INDEX('بنود العقد'!B$3:B$388,C989), "⚠"), "")</f>
        <v>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خشبي03-WDC من من خشب الـ)Mdf( على شكل مربعات بسماكة تصميم  5سم، وفتحات على شكل مثلث مع اضاءة مخفية مغلفة من الاعلى بطبقة Acrylic شفاف مغشى سماكة 4مم مثبتة بنظام تعليق متصلة بالسقف الخرساني حسب الرسومات والمناظير وتعليمات المهندس المشرف.Code: WDC-03</v>
      </c>
      <c r="E989" s="12" t="str">
        <f>IF(C989&lt;&gt;"", IFERROR(INDEX('بنود العقد'!D$3:D$388,C989), ""), "")</f>
        <v>م2</v>
      </c>
      <c r="F989" s="9">
        <f>IF(C989&lt;&gt;"", IFERROR(INDEX('بنود العقد'!E$3:E$388,C989), 0), "")</f>
        <v>780</v>
      </c>
      <c r="G989" s="9">
        <f>IF(C989&lt;&gt;"", IFERROR(INDEX('بنود العقد'!F$3:F$388,C989), 0), "")</f>
        <v>64</v>
      </c>
      <c r="H989" s="18">
        <f t="shared" si="42"/>
        <v>49</v>
      </c>
      <c r="I989" s="7">
        <v>3</v>
      </c>
      <c r="J989" s="18">
        <f t="shared" si="38"/>
        <v>52</v>
      </c>
      <c r="K989" s="10">
        <f t="shared" si="39"/>
        <v>2340</v>
      </c>
      <c r="L989" s="21">
        <f t="shared" si="41"/>
        <v>81.25</v>
      </c>
    </row>
    <row r="990" spans="1:12" s="72" customFormat="1" ht="25.95" customHeight="1">
      <c r="A990" s="12">
        <v>988</v>
      </c>
      <c r="B990" s="6">
        <v>18</v>
      </c>
      <c r="C990" s="6">
        <v>40</v>
      </c>
      <c r="D990" s="20" t="str">
        <f>IF(C990&lt;&gt;"", IFERROR(INDEX('بنود العقد'!B$3:B$388,C990),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خشبية01-WDC و 02-WDC من خشب الـ ) Mdf ( متداخلة الالوان من قشرة صناعية بحسب  العينة الموافق عليها والدهان الرمادي  على شكل وهيئة الاسطح الاسمنتية مثبتة على القواطع الجبسية مع اضاءة مخفية ومفصلات ومقابض مخفية وتصميم حسب الرسومات والمناظير وتعليمات المهندس المشرف.</v>
      </c>
      <c r="E990" s="12" t="str">
        <f>IF(C990&lt;&gt;"", IFERROR(INDEX('بنود العقد'!D$3:D$388,C990), ""), "")</f>
        <v>م2</v>
      </c>
      <c r="F990" s="9">
        <f>IF(C990&lt;&gt;"", IFERROR(INDEX('بنود العقد'!E$3:E$388,C990), 0), "")</f>
        <v>1440</v>
      </c>
      <c r="G990" s="9">
        <f>IF(C990&lt;&gt;"", IFERROR(INDEX('بنود العقد'!F$3:F$388,C990), 0), "")</f>
        <v>72</v>
      </c>
      <c r="H990" s="18">
        <f t="shared" si="42"/>
        <v>30</v>
      </c>
      <c r="I990" s="7">
        <v>6</v>
      </c>
      <c r="J990" s="18">
        <f t="shared" si="38"/>
        <v>36</v>
      </c>
      <c r="K990" s="10">
        <f t="shared" si="39"/>
        <v>8640</v>
      </c>
      <c r="L990" s="21">
        <f t="shared" si="41"/>
        <v>50</v>
      </c>
    </row>
    <row r="991" spans="1:12" s="72" customFormat="1" ht="25.95" customHeight="1">
      <c r="A991" s="12">
        <v>989</v>
      </c>
      <c r="B991" s="6">
        <v>18</v>
      </c>
      <c r="C991" s="6">
        <v>41</v>
      </c>
      <c r="D991" s="20" t="str">
        <f>IF(C991&lt;&gt;"", IFERROR(INDEX('بنود العقد'!B$3:B$388,C991),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خشبية03-WDC  من خشب الـ ) Mdf (  مع قشرة صناعية بحسب العينة الموافق عليها مثبتة على القواطع الجبسية  مع غروف ومفصلات ومقابض مخفية ،  حسب الرسومات والمناظير</v>
      </c>
      <c r="E991" s="12" t="str">
        <f>IF(C991&lt;&gt;"", IFERROR(INDEX('بنود العقد'!D$3:D$388,C991), ""), "")</f>
        <v>م2</v>
      </c>
      <c r="F991" s="9">
        <f>IF(C991&lt;&gt;"", IFERROR(INDEX('بنود العقد'!E$3:E$388,C991), 0), "")</f>
        <v>1440</v>
      </c>
      <c r="G991" s="9">
        <f>IF(C991&lt;&gt;"", IFERROR(INDEX('بنود العقد'!F$3:F$388,C991), 0), "")</f>
        <v>78</v>
      </c>
      <c r="H991" s="18">
        <f t="shared" si="42"/>
        <v>53</v>
      </c>
      <c r="I991" s="7">
        <v>10</v>
      </c>
      <c r="J991" s="18">
        <f t="shared" si="38"/>
        <v>63</v>
      </c>
      <c r="K991" s="10">
        <f t="shared" si="39"/>
        <v>14400</v>
      </c>
      <c r="L991" s="21">
        <f t="shared" si="41"/>
        <v>80.769230769230774</v>
      </c>
    </row>
    <row r="992" spans="1:12" s="72" customFormat="1" ht="25.95" customHeight="1">
      <c r="A992" s="12">
        <v>990</v>
      </c>
      <c r="B992" s="6">
        <v>18</v>
      </c>
      <c r="C992" s="6">
        <v>42</v>
      </c>
      <c r="D992" s="20" t="str">
        <f>IF(C992&lt;&gt;"", IFERROR(INDEX('بنود العقد'!B$3:B$388,C992),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خشبية04-WDC   من خشب الـ ) Mdf (  مطلية بدهان رمادي على شكل وهيئة الاسطح الاسمنتية مع غروف ومفصلات ومقابض مخفية ، وارفف مفتوحة من قشرة الجوز ،واضاءة مخفية ، مثبتة على الجدار الخارجي حسب الرسومات والمناظير  وتعليمات المهندس المشرف.</v>
      </c>
      <c r="E992" s="12" t="str">
        <f>IF(C992&lt;&gt;"", IFERROR(INDEX('بنود العقد'!D$3:D$388,C992), ""), "")</f>
        <v>م2</v>
      </c>
      <c r="F992" s="9">
        <f>IF(C992&lt;&gt;"", IFERROR(INDEX('بنود العقد'!E$3:E$388,C992), 0), "")</f>
        <v>1200</v>
      </c>
      <c r="G992" s="9">
        <f>IF(C992&lt;&gt;"", IFERROR(INDEX('بنود العقد'!F$3:F$388,C992), 0), "")</f>
        <v>297</v>
      </c>
      <c r="H992" s="18">
        <f t="shared" si="42"/>
        <v>173</v>
      </c>
      <c r="I992" s="7">
        <v>40</v>
      </c>
      <c r="J992" s="18">
        <f t="shared" si="38"/>
        <v>213</v>
      </c>
      <c r="K992" s="10">
        <f t="shared" si="39"/>
        <v>48000</v>
      </c>
      <c r="L992" s="21">
        <f t="shared" si="41"/>
        <v>71.717171717171709</v>
      </c>
    </row>
    <row r="993" spans="1:12" s="72" customFormat="1" ht="25.95" customHeight="1">
      <c r="A993" s="12">
        <v>991</v>
      </c>
      <c r="B993" s="6">
        <v>18</v>
      </c>
      <c r="C993" s="6">
        <v>46</v>
      </c>
      <c r="D993" s="20" t="str">
        <f>IF(C993&lt;&gt;"", IFERROR(INDEX('بنود العقد'!B$3:B$388,C993), "⚠"), "")</f>
        <v>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المشرف.Ref drawing: 07-MRA-DD-(as per floor number)-AR-801 بعرض 1000 مم وارتفاع 2700 مم  GD01باب ضلفة واحدة  نموذج</v>
      </c>
      <c r="E993" s="12" t="str">
        <f>IF(C993&lt;&gt;"", IFERROR(INDEX('بنود العقد'!D$3:D$388,C993), ""), "")</f>
        <v>عدد</v>
      </c>
      <c r="F993" s="9">
        <f>IF(C993&lt;&gt;"", IFERROR(INDEX('بنود العقد'!E$3:E$388,C993), 0), "")</f>
        <v>2580</v>
      </c>
      <c r="G993" s="9">
        <f>IF(C993&lt;&gt;"", IFERROR(INDEX('بنود العقد'!F$3:F$388,C993), 0), "")</f>
        <v>238</v>
      </c>
      <c r="H993" s="18">
        <f t="shared" si="42"/>
        <v>146</v>
      </c>
      <c r="I993" s="7">
        <v>50</v>
      </c>
      <c r="J993" s="18">
        <f t="shared" si="38"/>
        <v>196</v>
      </c>
      <c r="K993" s="10">
        <f t="shared" si="39"/>
        <v>129000</v>
      </c>
      <c r="L993" s="21">
        <f t="shared" si="41"/>
        <v>82.35294117647058</v>
      </c>
    </row>
    <row r="994" spans="1:12" s="72" customFormat="1" ht="25.95" customHeight="1">
      <c r="A994" s="12">
        <v>992</v>
      </c>
      <c r="B994" s="6">
        <v>18</v>
      </c>
      <c r="C994" s="6">
        <v>47</v>
      </c>
      <c r="D994" s="20" t="str">
        <f>IF(C994&lt;&gt;"", IFERROR(INDEX('بنود العقد'!B$3:B$388,C994), "⚠"), "")</f>
        <v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2600 مم  GD02باب ضلفتين  نموذج </v>
      </c>
      <c r="E994" s="12" t="str">
        <f>IF(C994&lt;&gt;"", IFERROR(INDEX('بنود العقد'!D$3:D$388,C994), ""), "")</f>
        <v>عدد</v>
      </c>
      <c r="F994" s="9">
        <f>IF(C994&lt;&gt;"", IFERROR(INDEX('بنود العقد'!E$3:E$388,C994), 0), "")</f>
        <v>4020</v>
      </c>
      <c r="G994" s="9">
        <f>IF(C994&lt;&gt;"", IFERROR(INDEX('بنود العقد'!F$3:F$388,C994), 0), "")</f>
        <v>37</v>
      </c>
      <c r="H994" s="18">
        <f t="shared" si="42"/>
        <v>20</v>
      </c>
      <c r="I994" s="7">
        <v>10</v>
      </c>
      <c r="J994" s="18">
        <f t="shared" si="38"/>
        <v>30</v>
      </c>
      <c r="K994" s="10">
        <f t="shared" si="39"/>
        <v>40200</v>
      </c>
      <c r="L994" s="21">
        <f t="shared" si="41"/>
        <v>81.081081081081081</v>
      </c>
    </row>
    <row r="995" spans="1:12" s="72" customFormat="1" ht="25.95" customHeight="1">
      <c r="A995" s="12">
        <v>993</v>
      </c>
      <c r="B995" s="6">
        <v>18</v>
      </c>
      <c r="C995" s="6">
        <v>48</v>
      </c>
      <c r="D995" s="20" t="str">
        <f>IF(C995&lt;&gt;"", IFERROR(INDEX('بنود العقد'!B$3:B$388,C995), "⚠"), "")</f>
        <v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2100 مم  GD03باب ضلفتين  نموذج </v>
      </c>
      <c r="E995" s="12" t="str">
        <f>IF(C995&lt;&gt;"", IFERROR(INDEX('بنود العقد'!D$3:D$388,C995), ""), "")</f>
        <v>عدد</v>
      </c>
      <c r="F995" s="9">
        <f>IF(C995&lt;&gt;"", IFERROR(INDEX('بنود العقد'!E$3:E$388,C995), 0), "")</f>
        <v>3600</v>
      </c>
      <c r="G995" s="9">
        <f>IF(C995&lt;&gt;"", IFERROR(INDEX('بنود العقد'!F$3:F$388,C995), 0), "")</f>
        <v>5</v>
      </c>
      <c r="H995" s="18">
        <f t="shared" si="42"/>
        <v>2</v>
      </c>
      <c r="I995" s="7">
        <v>2</v>
      </c>
      <c r="J995" s="18">
        <f t="shared" si="38"/>
        <v>4</v>
      </c>
      <c r="K995" s="10">
        <f t="shared" si="39"/>
        <v>7200</v>
      </c>
      <c r="L995" s="21">
        <f t="shared" si="41"/>
        <v>80</v>
      </c>
    </row>
    <row r="996" spans="1:12" s="72" customFormat="1" ht="25.95" customHeight="1">
      <c r="A996" s="12">
        <v>994</v>
      </c>
      <c r="B996" s="6">
        <v>18</v>
      </c>
      <c r="C996" s="6">
        <v>49</v>
      </c>
      <c r="D996" s="20" t="str">
        <f>IF(C996&lt;&gt;"", IFERROR(INDEX('بنود العقد'!B$3:B$388,C996),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2000 مم وارتفاع 2200 مم  WD07باب مروحة ضلفتين  نموذج </v>
      </c>
      <c r="E996" s="12" t="str">
        <f>IF(C996&lt;&gt;"", IFERROR(INDEX('بنود العقد'!D$3:D$388,C996), ""), "")</f>
        <v>عدد</v>
      </c>
      <c r="F996" s="9">
        <f>IF(C996&lt;&gt;"", IFERROR(INDEX('بنود العقد'!E$3:E$388,C996), 0), "")</f>
        <v>5280</v>
      </c>
      <c r="G996" s="9">
        <f>IF(C996&lt;&gt;"", IFERROR(INDEX('بنود العقد'!F$3:F$388,C996), 0), "")</f>
        <v>13</v>
      </c>
      <c r="H996" s="18">
        <f t="shared" si="42"/>
        <v>8</v>
      </c>
      <c r="I996" s="7">
        <v>4</v>
      </c>
      <c r="J996" s="18">
        <f t="shared" si="38"/>
        <v>12</v>
      </c>
      <c r="K996" s="10">
        <f t="shared" si="39"/>
        <v>21120</v>
      </c>
      <c r="L996" s="21">
        <f t="shared" si="41"/>
        <v>92.307692307692307</v>
      </c>
    </row>
    <row r="997" spans="1:12" s="72" customFormat="1" ht="25.95" customHeight="1">
      <c r="A997" s="12">
        <v>995</v>
      </c>
      <c r="B997" s="6">
        <v>18</v>
      </c>
      <c r="C997" s="6">
        <v>50</v>
      </c>
      <c r="D997" s="20" t="str">
        <f>IF(C997&lt;&gt;"", IFERROR(INDEX('بنود العقد'!B$3:B$388,C997),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بعرض1000 مم وارتفاع 2200 مم  WD06باب مروحة ضلفة واحدة  نموذج </v>
      </c>
      <c r="E997" s="12" t="str">
        <f>IF(C997&lt;&gt;"", IFERROR(INDEX('بنود العقد'!D$3:D$388,C997), ""), "")</f>
        <v>عدد</v>
      </c>
      <c r="F997" s="9">
        <f>IF(C997&lt;&gt;"", IFERROR(INDEX('بنود العقد'!E$3:E$388,C997), 0), "")</f>
        <v>2400</v>
      </c>
      <c r="G997" s="9">
        <f>IF(C997&lt;&gt;"", IFERROR(INDEX('بنود العقد'!F$3:F$388,C997), 0), "")</f>
        <v>13</v>
      </c>
      <c r="H997" s="18">
        <f t="shared" si="42"/>
        <v>8</v>
      </c>
      <c r="I997" s="7">
        <v>1</v>
      </c>
      <c r="J997" s="18">
        <f t="shared" si="38"/>
        <v>9</v>
      </c>
      <c r="K997" s="10">
        <f t="shared" si="39"/>
        <v>2400</v>
      </c>
      <c r="L997" s="21">
        <f t="shared" si="41"/>
        <v>69.230769230769226</v>
      </c>
    </row>
    <row r="998" spans="1:12" s="72" customFormat="1" ht="25.95" customHeight="1">
      <c r="A998" s="12">
        <v>996</v>
      </c>
      <c r="B998" s="6">
        <v>18</v>
      </c>
      <c r="C998" s="6">
        <v>51</v>
      </c>
      <c r="D998" s="20" t="str">
        <f>IF(C998&lt;&gt;"", IFERROR(INDEX('بنود العقد'!B$3:B$388,C998),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WD05باب مروحة ضلفة واحدة  نموذج </v>
      </c>
      <c r="E998" s="12" t="str">
        <f>IF(C998&lt;&gt;"", IFERROR(INDEX('بنود العقد'!D$3:D$388,C998), ""), "")</f>
        <v>عدد</v>
      </c>
      <c r="F998" s="9">
        <f>IF(C998&lt;&gt;"", IFERROR(INDEX('بنود العقد'!E$3:E$388,C998), 0), "")</f>
        <v>2400</v>
      </c>
      <c r="G998" s="9">
        <f>IF(C998&lt;&gt;"", IFERROR(INDEX('بنود العقد'!F$3:F$388,C998), 0), "")</f>
        <v>47</v>
      </c>
      <c r="H998" s="18">
        <f t="shared" si="42"/>
        <v>18</v>
      </c>
      <c r="I998" s="7">
        <v>6</v>
      </c>
      <c r="J998" s="18">
        <f t="shared" si="38"/>
        <v>24</v>
      </c>
      <c r="K998" s="10">
        <f t="shared" si="39"/>
        <v>14400</v>
      </c>
      <c r="L998" s="21">
        <f t="shared" si="41"/>
        <v>51.063829787234042</v>
      </c>
    </row>
    <row r="999" spans="1:12" s="72" customFormat="1" ht="25.95" customHeight="1">
      <c r="A999" s="12">
        <v>997</v>
      </c>
      <c r="B999" s="6">
        <v>18</v>
      </c>
      <c r="C999" s="6">
        <v>52</v>
      </c>
      <c r="D999" s="20" t="str">
        <f>IF(C999&lt;&gt;"", IFERROR(INDEX('بنود العقد'!B$3:B$388,C999),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800 مم وارتفاع 2200 مم  WD04باب مروحة ضلفة واحدة  نموذج </v>
      </c>
      <c r="E999" s="12" t="str">
        <f>IF(C999&lt;&gt;"", IFERROR(INDEX('بنود العقد'!D$3:D$388,C999), ""), "")</f>
        <v>عدد</v>
      </c>
      <c r="F999" s="9">
        <f>IF(C999&lt;&gt;"", IFERROR(INDEX('بنود العقد'!E$3:E$388,C999), 0), "")</f>
        <v>2400</v>
      </c>
      <c r="G999" s="9">
        <f>IF(C999&lt;&gt;"", IFERROR(INDEX('بنود العقد'!F$3:F$388,C999), 0), "")</f>
        <v>48</v>
      </c>
      <c r="H999" s="18">
        <f t="shared" si="42"/>
        <v>18</v>
      </c>
      <c r="I999" s="7">
        <v>17</v>
      </c>
      <c r="J999" s="18">
        <f t="shared" si="38"/>
        <v>35</v>
      </c>
      <c r="K999" s="10">
        <f t="shared" si="39"/>
        <v>40800</v>
      </c>
      <c r="L999" s="21">
        <f t="shared" si="41"/>
        <v>72.916666666666657</v>
      </c>
    </row>
    <row r="1000" spans="1:12" s="72" customFormat="1" ht="25.95" customHeight="1">
      <c r="A1000" s="12">
        <v>998</v>
      </c>
      <c r="B1000" s="6">
        <v>18</v>
      </c>
      <c r="C1000" s="6">
        <v>53</v>
      </c>
      <c r="D1000" s="20" t="str">
        <f>IF(C1000&lt;&gt;"", IFERROR(INDEX('بنود العقد'!B$3:B$388,C1000),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1000 مم وارتفاع 3000 مم  WD015باب مروحة ضلفة واحدة  نموذج </v>
      </c>
      <c r="E1000" s="12" t="str">
        <f>IF(C1000&lt;&gt;"", IFERROR(INDEX('بنود العقد'!D$3:D$388,C1000), ""), "")</f>
        <v>عدد</v>
      </c>
      <c r="F1000" s="9">
        <f>IF(C1000&lt;&gt;"", IFERROR(INDEX('بنود العقد'!E$3:E$388,C1000), 0), "")</f>
        <v>3600</v>
      </c>
      <c r="G1000" s="9">
        <f>IF(C1000&lt;&gt;"", IFERROR(INDEX('بنود العقد'!F$3:F$388,C1000), 0), "")</f>
        <v>1</v>
      </c>
      <c r="H1000" s="18">
        <f t="shared" si="42"/>
        <v>0</v>
      </c>
      <c r="I1000" s="7">
        <v>1</v>
      </c>
      <c r="J1000" s="18">
        <f t="shared" si="38"/>
        <v>1</v>
      </c>
      <c r="K1000" s="10">
        <f t="shared" si="39"/>
        <v>3600</v>
      </c>
      <c r="L1000" s="21">
        <f t="shared" si="41"/>
        <v>100</v>
      </c>
    </row>
    <row r="1001" spans="1:12" s="72" customFormat="1" ht="25.95" customHeight="1">
      <c r="A1001" s="12">
        <v>999</v>
      </c>
      <c r="B1001" s="6">
        <v>18</v>
      </c>
      <c r="C1001" s="6">
        <v>55</v>
      </c>
      <c r="D1001" s="20" t="str">
        <f>IF(C1001&lt;&gt;"", IFERROR(INDEX('بنود العقد'!B$3:B$388,C1001), "⚠"), "")</f>
        <v xml:space="preserve">توريد وتركيب باب من قطاعات الخشب شبه المصمت بسمك 44مم مكون من قواطيع خشب داخليه بحشو خفيف mdfوالمطلي بدهان رمادي على هيئة الأسطح الاسمنتية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WD01باب مروحة ضلفة واحدة  نموذج </v>
      </c>
      <c r="E1001" s="12" t="str">
        <f>IF(C1001&lt;&gt;"", IFERROR(INDEX('بنود العقد'!D$3:D$388,C1001), ""), "")</f>
        <v>عدد</v>
      </c>
      <c r="F1001" s="9">
        <f>IF(C1001&lt;&gt;"", IFERROR(INDEX('بنود العقد'!E$3:E$388,C1001), 0), "")</f>
        <v>2400</v>
      </c>
      <c r="G1001" s="9">
        <f>IF(C1001&lt;&gt;"", IFERROR(INDEX('بنود العقد'!F$3:F$388,C1001), 0), "")</f>
        <v>14</v>
      </c>
      <c r="H1001" s="18">
        <f t="shared" si="42"/>
        <v>6</v>
      </c>
      <c r="I1001" s="7">
        <v>2</v>
      </c>
      <c r="J1001" s="18">
        <f t="shared" si="38"/>
        <v>8</v>
      </c>
      <c r="K1001" s="10">
        <f t="shared" si="39"/>
        <v>4800</v>
      </c>
      <c r="L1001" s="21">
        <f t="shared" si="41"/>
        <v>57.142857142857139</v>
      </c>
    </row>
    <row r="1002" spans="1:12" s="72" customFormat="1" ht="25.95" customHeight="1">
      <c r="A1002" s="12">
        <v>1000</v>
      </c>
      <c r="B1002" s="6">
        <v>18</v>
      </c>
      <c r="C1002" s="6">
        <v>56</v>
      </c>
      <c r="D1002" s="20" t="str">
        <f>IF(C1002&lt;&gt;"", IFERROR(INDEX('بنود العقد'!B$3:B$388,C1002), "⚠"), "")</f>
        <v xml:space="preserve">توريد وتركيب باب من قطاعات الخشب شبه المصمت بسمك 44مم مكون من قواطيع خشب داخليه بحشو  mdfوالمطلي بدهان رمادي بيج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بعرض900 مم وارتفاع 2200 مم  WD03باب مروحة ضلفة واحدة  نموذج </v>
      </c>
      <c r="E1002" s="12" t="str">
        <f>IF(C1002&lt;&gt;"", IFERROR(INDEX('بنود العقد'!D$3:D$388,C1002), ""), "")</f>
        <v>عدد</v>
      </c>
      <c r="F1002" s="9">
        <f>IF(C1002&lt;&gt;"", IFERROR(INDEX('بنود العقد'!E$3:E$388,C1002), 0), "")</f>
        <v>2400</v>
      </c>
      <c r="G1002" s="9">
        <f>IF(C1002&lt;&gt;"", IFERROR(INDEX('بنود العقد'!F$3:F$388,C1002), 0), "")</f>
        <v>32</v>
      </c>
      <c r="H1002" s="18">
        <f t="shared" si="42"/>
        <v>12</v>
      </c>
      <c r="I1002" s="7">
        <v>11</v>
      </c>
      <c r="J1002" s="18">
        <f t="shared" si="38"/>
        <v>23</v>
      </c>
      <c r="K1002" s="10">
        <f t="shared" si="39"/>
        <v>26400</v>
      </c>
      <c r="L1002" s="21">
        <f t="shared" si="41"/>
        <v>71.875</v>
      </c>
    </row>
    <row r="1003" spans="1:12" s="72" customFormat="1" ht="25.95" customHeight="1">
      <c r="A1003" s="12">
        <v>1001</v>
      </c>
      <c r="B1003" s="6">
        <v>18</v>
      </c>
      <c r="C1003" s="6">
        <v>62</v>
      </c>
      <c r="D1003" s="20" t="str">
        <f>IF(C1003&lt;&gt;"", IFERROR(INDEX('بنود العقد'!B$3:B$388,C1003), "⚠"),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تصميم على شكل وهيئة الباب   نموذج  WD11 A  بعرض 1000 مم وارتفاع 3000 مم )VIP  )Zone</v>
      </c>
      <c r="E1003" s="12" t="str">
        <f>IF(C1003&lt;&gt;"", IFERROR(INDEX('بنود العقد'!D$3:D$388,C1003), ""), "")</f>
        <v>عدد</v>
      </c>
      <c r="F1003" s="9">
        <f>IF(C1003&lt;&gt;"", IFERROR(INDEX('بنود العقد'!E$3:E$388,C1003), 0), "")</f>
        <v>5400</v>
      </c>
      <c r="G1003" s="9">
        <f>IF(C1003&lt;&gt;"", IFERROR(INDEX('بنود العقد'!F$3:F$388,C1003), 0), "")</f>
        <v>2</v>
      </c>
      <c r="H1003" s="18">
        <f t="shared" si="42"/>
        <v>0</v>
      </c>
      <c r="I1003" s="7">
        <v>1</v>
      </c>
      <c r="J1003" s="18">
        <f t="shared" si="38"/>
        <v>1</v>
      </c>
      <c r="K1003" s="10">
        <f t="shared" si="39"/>
        <v>5400</v>
      </c>
      <c r="L1003" s="21">
        <f t="shared" si="41"/>
        <v>50</v>
      </c>
    </row>
    <row r="1004" spans="1:12" s="72" customFormat="1" ht="25.95" customHeight="1">
      <c r="A1004" s="12">
        <v>1002</v>
      </c>
      <c r="B1004" s="6">
        <v>18</v>
      </c>
      <c r="C1004" s="6">
        <v>64</v>
      </c>
      <c r="D1004" s="20" t="str">
        <f>IF(C1004&lt;&gt;"", IFERROR(INDEX('بنود العقد'!B$3:B$388,C1004), "⚠"),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تصميم على شكل وهيئة الباب   نموذج  WD13 A  بعرض 1000 مم وارتفاع 4000 مم )VIP )Zone</v>
      </c>
      <c r="E1004" s="12" t="str">
        <f>IF(C1004&lt;&gt;"", IFERROR(INDEX('بنود العقد'!D$3:D$388,C1004), ""), "")</f>
        <v>عدد</v>
      </c>
      <c r="F1004" s="9">
        <f>IF(C1004&lt;&gt;"", IFERROR(INDEX('بنود العقد'!E$3:E$388,C1004), 0), "")</f>
        <v>5400</v>
      </c>
      <c r="G1004" s="9">
        <f>IF(C1004&lt;&gt;"", IFERROR(INDEX('بنود العقد'!F$3:F$388,C1004), 0), "")</f>
        <v>1</v>
      </c>
      <c r="H1004" s="18">
        <f t="shared" si="42"/>
        <v>0</v>
      </c>
      <c r="I1004" s="7">
        <v>1</v>
      </c>
      <c r="J1004" s="18">
        <f t="shared" si="38"/>
        <v>1</v>
      </c>
      <c r="K1004" s="10">
        <f t="shared" si="39"/>
        <v>5400</v>
      </c>
      <c r="L1004" s="21">
        <f t="shared" si="41"/>
        <v>100</v>
      </c>
    </row>
    <row r="1005" spans="1:12" s="72" customFormat="1" ht="25.95" customHeight="1">
      <c r="A1005" s="12">
        <v>1003</v>
      </c>
      <c r="B1005" s="6">
        <v>18</v>
      </c>
      <c r="C1005" s="6">
        <v>66</v>
      </c>
      <c r="D1005" s="20" t="str">
        <f>IF(C1005&lt;&gt;"", IFERROR(INDEX('بنود العقد'!B$3:B$388,C1005), "⚠"),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E1005" s="12" t="str">
        <f>IF(C1005&lt;&gt;"", IFERROR(INDEX('بنود العقد'!D$3:D$388,C1005), ""), "")</f>
        <v>م²</v>
      </c>
      <c r="F1005" s="9">
        <f>IF(C1005&lt;&gt;"", IFERROR(INDEX('بنود العقد'!E$3:E$388,C1005), 0), "")</f>
        <v>900</v>
      </c>
      <c r="G1005" s="9">
        <f>IF(C1005&lt;&gt;"", IFERROR(INDEX('بنود العقد'!F$3:F$388,C1005), 0), "")</f>
        <v>4000</v>
      </c>
      <c r="H1005" s="18">
        <f t="shared" si="42"/>
        <v>3433</v>
      </c>
      <c r="I1005" s="7">
        <v>567</v>
      </c>
      <c r="J1005" s="18">
        <f t="shared" si="38"/>
        <v>4000</v>
      </c>
      <c r="K1005" s="10">
        <f t="shared" si="39"/>
        <v>510300</v>
      </c>
      <c r="L1005" s="21">
        <f t="shared" si="41"/>
        <v>100</v>
      </c>
    </row>
    <row r="1006" spans="1:12" s="72" customFormat="1" ht="25.95" customHeight="1">
      <c r="A1006" s="12">
        <v>1004</v>
      </c>
      <c r="B1006" s="6">
        <v>18</v>
      </c>
      <c r="C1006" s="6">
        <v>69</v>
      </c>
      <c r="D1006" s="20" t="str">
        <f>IF(C1006&lt;&gt;"", IFERROR(INDEX('بنود العقد'!B$3:B$388,C1006), "⚠"), "")</f>
        <v>تجديد وترميم الأبواب الحديدية وتشمل الأعمال ما يلي: ــ  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ضلفتين عرض2000مم</v>
      </c>
      <c r="E1006" s="12" t="str">
        <f>IF(C1006&lt;&gt;"", IFERROR(INDEX('بنود العقد'!D$3:D$388,C1006), ""), "")</f>
        <v>عدد</v>
      </c>
      <c r="F1006" s="9">
        <f>IF(C1006&lt;&gt;"", IFERROR(INDEX('بنود العقد'!E$3:E$388,C1006), 0), "")</f>
        <v>540</v>
      </c>
      <c r="G1006" s="9">
        <f>IF(C1006&lt;&gt;"", IFERROR(INDEX('بنود العقد'!F$3:F$388,C1006), 0), "")</f>
        <v>46</v>
      </c>
      <c r="H1006" s="18">
        <f t="shared" si="42"/>
        <v>0</v>
      </c>
      <c r="I1006" s="7">
        <v>8</v>
      </c>
      <c r="J1006" s="18">
        <f t="shared" si="38"/>
        <v>8</v>
      </c>
      <c r="K1006" s="10">
        <f t="shared" si="39"/>
        <v>4320</v>
      </c>
      <c r="L1006" s="21">
        <f t="shared" si="41"/>
        <v>17.391304347826086</v>
      </c>
    </row>
    <row r="1007" spans="1:12" s="72" customFormat="1" ht="25.95" customHeight="1">
      <c r="A1007" s="12">
        <v>1005</v>
      </c>
      <c r="B1007" s="6">
        <v>18</v>
      </c>
      <c r="C1007" s="6">
        <v>70</v>
      </c>
      <c r="D1007" s="20" t="str">
        <f>IF(C1007&lt;&gt;"", IFERROR(INDEX('بنود العقد'!B$3:B$388,C1007), "⚠"), "")</f>
        <v>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ضلفة واحدة عرض1000مم</v>
      </c>
      <c r="E1007" s="12" t="str">
        <f>IF(C1007&lt;&gt;"", IFERROR(INDEX('بنود العقد'!D$3:D$388,C1007), ""), "")</f>
        <v>عدد</v>
      </c>
      <c r="F1007" s="9">
        <f>IF(C1007&lt;&gt;"", IFERROR(INDEX('بنود العقد'!E$3:E$388,C1007), 0), "")</f>
        <v>360</v>
      </c>
      <c r="G1007" s="9">
        <f>IF(C1007&lt;&gt;"", IFERROR(INDEX('بنود العقد'!F$3:F$388,C1007), 0), "")</f>
        <v>52</v>
      </c>
      <c r="H1007" s="18">
        <f t="shared" si="42"/>
        <v>0</v>
      </c>
      <c r="I1007" s="7">
        <v>8</v>
      </c>
      <c r="J1007" s="18">
        <f t="shared" si="38"/>
        <v>8</v>
      </c>
      <c r="K1007" s="10">
        <f t="shared" si="39"/>
        <v>2880</v>
      </c>
      <c r="L1007" s="21">
        <f t="shared" si="41"/>
        <v>15.384615384615385</v>
      </c>
    </row>
    <row r="1008" spans="1:12" s="72" customFormat="1" ht="25.95" customHeight="1">
      <c r="A1008" s="12">
        <v>1006</v>
      </c>
      <c r="B1008" s="6">
        <v>18</v>
      </c>
      <c r="C1008" s="6">
        <v>71</v>
      </c>
      <c r="D1008" s="20" t="str">
        <f>IF(C1008&lt;&gt;"", IFERROR(INDEX('بنود العقد'!B$3:B$388,C1008), "⚠"), "")</f>
        <v>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ضلفة واحدة عرض800مم</v>
      </c>
      <c r="E1008" s="12" t="str">
        <f>IF(C1008&lt;&gt;"", IFERROR(INDEX('بنود العقد'!D$3:D$388,C1008), ""), "")</f>
        <v>عدد</v>
      </c>
      <c r="F1008" s="9">
        <f>IF(C1008&lt;&gt;"", IFERROR(INDEX('بنود العقد'!E$3:E$388,C1008), 0), "")</f>
        <v>360</v>
      </c>
      <c r="G1008" s="9">
        <f>IF(C1008&lt;&gt;"", IFERROR(INDEX('بنود العقد'!F$3:F$388,C1008), 0), "")</f>
        <v>23</v>
      </c>
      <c r="H1008" s="18">
        <f t="shared" si="42"/>
        <v>0</v>
      </c>
      <c r="I1008" s="7">
        <v>6</v>
      </c>
      <c r="J1008" s="18">
        <f t="shared" si="38"/>
        <v>6</v>
      </c>
      <c r="K1008" s="10">
        <f t="shared" si="39"/>
        <v>2160</v>
      </c>
      <c r="L1008" s="21">
        <f t="shared" si="41"/>
        <v>26.086956521739129</v>
      </c>
    </row>
    <row r="1009" spans="1:12" s="72" customFormat="1" ht="25.95" customHeight="1">
      <c r="A1009" s="12">
        <v>1007</v>
      </c>
      <c r="B1009" s="6">
        <v>18</v>
      </c>
      <c r="C1009" s="6">
        <v>72</v>
      </c>
      <c r="D1009" s="20" t="str">
        <f>IF(C1009&lt;&gt;"", IFERROR(INDEX('بنود العقد'!B$3:B$388,C1009), "⚠"), "")</f>
        <v>طبقة من اللياسة الأسمنتية فوق الأسطح الخرسانية والجدران الداخلية  بسمك متوسط 20 مم على طبقات  طرطشة بسمك 5 مم وضهارة 15 مم حسب المواصفات مع المعالجة اليومية  بالمياه لمنع التنميلات ويتم عمل افريز بين البلوك والخرسانة يملئ بمواد قابلة للدهان والسعر يشمل كامل الأكسسوارات اللازمة من شبك معدني ممدد وزوايا ونهايات معدنية  ومواد الترابط  وعمل تجاويف في طبقة اللياسة بعمق 10مم عرض 10مم  في الاعمدة  وفي الجدران ان وجدت حسب الرسومات والمناظير وتعليمات المهندس المشرف ذلك حسب الاصول الفنية وتعليمات المهندس المشرف. لياسة الجدران والأعمدة الداخلية  وتشمل جميع الإكسسوارات بإرتفاع 20 سم أعلي الأسقف الجبسيه لزوم الجدران الداخلية</v>
      </c>
      <c r="E1009" s="12" t="str">
        <f>IF(C1009&lt;&gt;"", IFERROR(INDEX('بنود العقد'!D$3:D$388,C1009), ""), "")</f>
        <v>م²</v>
      </c>
      <c r="F1009" s="9">
        <f>IF(C1009&lt;&gt;"", IFERROR(INDEX('بنود العقد'!E$3:E$388,C1009), 0), "")</f>
        <v>42</v>
      </c>
      <c r="G1009" s="9">
        <f>IF(C1009&lt;&gt;"", IFERROR(INDEX('بنود العقد'!F$3:F$388,C1009), 0), "")</f>
        <v>758</v>
      </c>
      <c r="H1009" s="18">
        <f t="shared" si="42"/>
        <v>8500.0040000000008</v>
      </c>
      <c r="I1009" s="7">
        <v>745</v>
      </c>
      <c r="J1009" s="18">
        <f t="shared" si="38"/>
        <v>9245.0040000000008</v>
      </c>
      <c r="K1009" s="10">
        <f t="shared" si="39"/>
        <v>31290</v>
      </c>
      <c r="L1009" s="21">
        <f t="shared" si="41"/>
        <v>1219.6575197889183</v>
      </c>
    </row>
    <row r="1010" spans="1:12" s="72" customFormat="1" ht="25.95" customHeight="1">
      <c r="A1010" s="12">
        <v>1008</v>
      </c>
      <c r="B1010" s="6">
        <v>18</v>
      </c>
      <c r="C1010" s="6">
        <v>73</v>
      </c>
      <c r="D1010" s="20" t="str">
        <f>IF(C1010&lt;&gt;"", IFERROR(INDEX('بنود العقد'!B$3:B$388,C1010), "⚠"), "")</f>
        <v xml:space="preserve">توريد وتركيب قاطع جداري ثخانة 100مم ذو الواح اسمنتية مقاوم للحريق  ثخانة 12مم تركب من الجهتين )طبقات مزدوجة(  لدورات المياه والأوفيس ويشمل المسامير المعدنية و المزالج / الأعضاء المعدنية الساندة والسكك والغطاء العازل للصوت )صوف صخري( وكل الاكسسوارات حسب المخطط والمواصفات وتعليمات المهندس المشرف. </v>
      </c>
      <c r="E1010" s="12" t="str">
        <f>IF(C1010&lt;&gt;"", IFERROR(INDEX('بنود العقد'!D$3:D$388,C1010), ""), "")</f>
        <v>م²</v>
      </c>
      <c r="F1010" s="9">
        <f>IF(C1010&lt;&gt;"", IFERROR(INDEX('بنود العقد'!E$3:E$388,C1010), 0), "")</f>
        <v>180</v>
      </c>
      <c r="G1010" s="9">
        <f>IF(C1010&lt;&gt;"", IFERROR(INDEX('بنود العقد'!F$3:F$388,C1010), 0), "")</f>
        <v>3507</v>
      </c>
      <c r="H1010" s="18">
        <f t="shared" si="42"/>
        <v>0</v>
      </c>
      <c r="I1010" s="7">
        <v>120</v>
      </c>
      <c r="J1010" s="18">
        <f t="shared" si="38"/>
        <v>120</v>
      </c>
      <c r="K1010" s="10">
        <f t="shared" si="39"/>
        <v>21600</v>
      </c>
      <c r="L1010" s="21">
        <f t="shared" si="41"/>
        <v>3.4217279726261762</v>
      </c>
    </row>
    <row r="1011" spans="1:12" s="72" customFormat="1" ht="25.95" customHeight="1">
      <c r="A1011" s="12">
        <v>1009</v>
      </c>
      <c r="B1011" s="6">
        <v>18</v>
      </c>
      <c r="C1011" s="6">
        <v>74</v>
      </c>
      <c r="D1011" s="20" t="str">
        <f>IF(C1011&lt;&gt;"", IFERROR(INDEX('بنود العقد'!B$3:B$388,C1011), "⚠"), "")</f>
        <v>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v>
      </c>
      <c r="E1011" s="12" t="str">
        <f>IF(C1011&lt;&gt;"", IFERROR(INDEX('بنود العقد'!D$3:D$388,C1011), ""), "")</f>
        <v>م²</v>
      </c>
      <c r="F1011" s="9">
        <f>IF(C1011&lt;&gt;"", IFERROR(INDEX('بنود العقد'!E$3:E$388,C1011), 0), "")</f>
        <v>180</v>
      </c>
      <c r="G1011" s="9">
        <f>IF(C1011&lt;&gt;"", IFERROR(INDEX('بنود العقد'!F$3:F$388,C1011), 0), "")</f>
        <v>12526</v>
      </c>
      <c r="H1011" s="18">
        <f t="shared" si="42"/>
        <v>12141</v>
      </c>
      <c r="I1011" s="7">
        <v>950</v>
      </c>
      <c r="J1011" s="18">
        <f t="shared" si="38"/>
        <v>13091</v>
      </c>
      <c r="K1011" s="10">
        <f t="shared" si="39"/>
        <v>171000</v>
      </c>
      <c r="L1011" s="21">
        <f t="shared" si="41"/>
        <v>104.51061791473735</v>
      </c>
    </row>
    <row r="1012" spans="1:12" s="72" customFormat="1" ht="25.95" customHeight="1">
      <c r="A1012" s="12">
        <v>1010</v>
      </c>
      <c r="B1012" s="6">
        <v>18</v>
      </c>
      <c r="C1012" s="6">
        <v>75</v>
      </c>
      <c r="D1012" s="20" t="str">
        <f>IF(C1012&lt;&gt;"", IFERROR(INDEX('بنود العقد'!B$3:B$388,C1012), "⚠"), "")</f>
        <v>توريد وتركيب أسقف معلقة من الالواح الجبسيه )01-GBC( ثخانة 12 مم المقاومة للحريق شاملة نظام التعليق وضبط الحواف والزوايا وأبواب لفتحات الكشف بالأسقف لأعمال الصيانة )أبواب جاهزة من النوع السهل الاستعمال والمزود بمفصلات مخفية( والإكسسوارات. ويشمل السعر أي مواد أو أعمال يتطلبها استكمال العمل حسب المواصفات والمخططات.</v>
      </c>
      <c r="E1012" s="12" t="str">
        <f>IF(C1012&lt;&gt;"", IFERROR(INDEX('بنود العقد'!D$3:D$388,C1012), ""), "")</f>
        <v>م²</v>
      </c>
      <c r="F1012" s="9">
        <f>IF(C1012&lt;&gt;"", IFERROR(INDEX('بنود العقد'!E$3:E$388,C1012), 0), "")</f>
        <v>150</v>
      </c>
      <c r="G1012" s="9">
        <f>IF(C1012&lt;&gt;"", IFERROR(INDEX('بنود العقد'!F$3:F$388,C1012), 0), "")</f>
        <v>24468</v>
      </c>
      <c r="H1012" s="18">
        <f t="shared" si="42"/>
        <v>20313.000070000002</v>
      </c>
      <c r="I1012" s="7">
        <v>4250</v>
      </c>
      <c r="J1012" s="18">
        <f t="shared" si="38"/>
        <v>24563.000070000002</v>
      </c>
      <c r="K1012" s="10">
        <f t="shared" si="39"/>
        <v>637500</v>
      </c>
      <c r="L1012" s="21">
        <f t="shared" si="41"/>
        <v>100.38826250613046</v>
      </c>
    </row>
    <row r="1013" spans="1:12" s="72" customFormat="1" ht="25.95" customHeight="1">
      <c r="A1013" s="12">
        <v>1011</v>
      </c>
      <c r="B1013" s="6">
        <v>18</v>
      </c>
      <c r="C1013" s="6">
        <v>76</v>
      </c>
      <c r="D1013" s="20" t="str">
        <f>IF(C1013&lt;&gt;"", IFERROR(INDEX('بنود العقد'!B$3:B$388,C1013), "⚠"), "")</f>
        <v>توريد وتركيب أسقف معلقة من الالواح الجبسيه  )02-GBC( ثخانة 12 مم المقاومة للرطوبة شاملة نظام التعليق وضبط الحواف والزوايا وأبواب لفتحات الكشف بالأسقف لأعمال الصيانة )أبواب جاهزة من النوع السهل الاستعمال والمزود بمفصلات مخفية( واالإكسسوارات. ويشمل السعر أي مواد أو أعمال يتطلبها استكمال العمل حسب المواصفات والمخططات وتعليمات المهندس المشرف.</v>
      </c>
      <c r="E1013" s="12" t="str">
        <f>IF(C1013&lt;&gt;"", IFERROR(INDEX('بنود العقد'!D$3:D$388,C1013), ""), "")</f>
        <v>م²</v>
      </c>
      <c r="F1013" s="9">
        <f>IF(C1013&lt;&gt;"", IFERROR(INDEX('بنود العقد'!E$3:E$388,C1013), 0), "")</f>
        <v>150</v>
      </c>
      <c r="G1013" s="9">
        <f>IF(C1013&lt;&gt;"", IFERROR(INDEX('بنود العقد'!F$3:F$388,C1013), 0), "")</f>
        <v>1091</v>
      </c>
      <c r="H1013" s="18">
        <f t="shared" si="42"/>
        <v>930</v>
      </c>
      <c r="I1013" s="7">
        <v>200</v>
      </c>
      <c r="J1013" s="18">
        <f t="shared" si="38"/>
        <v>1130</v>
      </c>
      <c r="K1013" s="10">
        <f t="shared" ref="K1013:K1244" si="43">IF(AND(I1013&lt;&gt;"",F1013&lt;&gt;""), I1013*F1013, "")</f>
        <v>30000</v>
      </c>
      <c r="L1013" s="21">
        <f t="shared" si="41"/>
        <v>103.57470210815765</v>
      </c>
    </row>
    <row r="1014" spans="1:12" s="72" customFormat="1" ht="25.95" customHeight="1">
      <c r="A1014" s="12">
        <v>1012</v>
      </c>
      <c r="B1014" s="6">
        <v>18</v>
      </c>
      <c r="C1014" s="6">
        <v>77</v>
      </c>
      <c r="D1014" s="20" t="str">
        <f>IF(C1014&lt;&gt;"", IFERROR(INDEX('بنود العقد'!B$3:B$388,C1014), "⚠"), "")</f>
        <v>600×600مم توريد وتركيب اسقف اصطناعية  والسعر يشمل نظام التعليق من الحديد المجفلن مع جميع الاكسسوارات وكل مايلزم حسب المواصفات والمخططات وتعليمات الشركة المصنعة .</v>
      </c>
      <c r="E1014" s="12" t="str">
        <f>IF(C1014&lt;&gt;"", IFERROR(INDEX('بنود العقد'!D$3:D$388,C1014), ""), "")</f>
        <v>م²</v>
      </c>
      <c r="F1014" s="9">
        <f>IF(C1014&lt;&gt;"", IFERROR(INDEX('بنود العقد'!E$3:E$388,C1014), 0), "")</f>
        <v>150</v>
      </c>
      <c r="G1014" s="9">
        <f>IF(C1014&lt;&gt;"", IFERROR(INDEX('بنود العقد'!F$3:F$388,C1014), 0), "")</f>
        <v>3323</v>
      </c>
      <c r="H1014" s="18">
        <f t="shared" si="42"/>
        <v>2633</v>
      </c>
      <c r="I1014" s="7">
        <v>170</v>
      </c>
      <c r="J1014" s="18">
        <f t="shared" si="38"/>
        <v>2803</v>
      </c>
      <c r="K1014" s="10">
        <f t="shared" si="43"/>
        <v>25500</v>
      </c>
      <c r="L1014" s="21">
        <f t="shared" si="41"/>
        <v>84.351489617815218</v>
      </c>
    </row>
    <row r="1015" spans="1:12" s="72" customFormat="1" ht="25.95" customHeight="1">
      <c r="A1015" s="12">
        <v>1013</v>
      </c>
      <c r="B1015" s="6">
        <v>18</v>
      </c>
      <c r="C1015" s="6">
        <v>80</v>
      </c>
      <c r="D1015" s="20" t="str">
        <f>IF(C1015&lt;&gt;"", IFERROR(INDEX('بنود العقد'!B$3:B$388,C1015), "⚠"), "")</f>
        <v xml:space="preserve"> أرضيات بورسلان 02-PTمقاس 600×600×12مم فرز اول بالمقاسات والالوان المطلوبة لدورات المياه الخاصة بمكاتب المدراء العامين  طبقاً للمخططات والمواصفات.</v>
      </c>
      <c r="E1015" s="12" t="str">
        <f>IF(C1015&lt;&gt;"", IFERROR(INDEX('بنود العقد'!D$3:D$388,C1015), ""), "")</f>
        <v>م²</v>
      </c>
      <c r="F1015" s="9">
        <f>IF(C1015&lt;&gt;"", IFERROR(INDEX('بنود العقد'!E$3:E$388,C1015), 0), "")</f>
        <v>120</v>
      </c>
      <c r="G1015" s="9">
        <f>IF(C1015&lt;&gt;"", IFERROR(INDEX('بنود العقد'!F$3:F$388,C1015), 0), "")</f>
        <v>246</v>
      </c>
      <c r="H1015" s="18">
        <f t="shared" si="42"/>
        <v>180</v>
      </c>
      <c r="I1015" s="7">
        <v>30</v>
      </c>
      <c r="J1015" s="18">
        <f t="shared" si="38"/>
        <v>210</v>
      </c>
      <c r="K1015" s="10">
        <f t="shared" si="43"/>
        <v>3600</v>
      </c>
      <c r="L1015" s="21">
        <f t="shared" si="41"/>
        <v>85.365853658536579</v>
      </c>
    </row>
    <row r="1016" spans="1:12" s="72" customFormat="1" ht="25.95" customHeight="1">
      <c r="A1016" s="12">
        <v>1014</v>
      </c>
      <c r="B1016" s="6">
        <v>18</v>
      </c>
      <c r="C1016" s="6">
        <v>82</v>
      </c>
      <c r="D1016" s="20" t="str">
        <f>IF(C1016&lt;&gt;"", IFERROR(INDEX('بنود العقد'!B$3:B$388,C1016), "⚠"), "")</f>
        <v xml:space="preserve"> أرضيات بورسلان04-PT مقاس 600×600×12مم فرز ثاني بالمقاسات والالوان المطلوبة لغرف الأرشيف والمخازن والمطبخ طبقاً للمخططات والمواصفات.</v>
      </c>
      <c r="E1016" s="12" t="str">
        <f>IF(C1016&lt;&gt;"", IFERROR(INDEX('بنود العقد'!D$3:D$388,C1016), ""), "")</f>
        <v>م²</v>
      </c>
      <c r="F1016" s="9">
        <f>IF(C1016&lt;&gt;"", IFERROR(INDEX('بنود العقد'!E$3:E$388,C1016), 0), "")</f>
        <v>120</v>
      </c>
      <c r="G1016" s="9">
        <f>IF(C1016&lt;&gt;"", IFERROR(INDEX('بنود العقد'!F$3:F$388,C1016), 0), "")</f>
        <v>735</v>
      </c>
      <c r="H1016" s="18">
        <f t="shared" si="42"/>
        <v>120</v>
      </c>
      <c r="I1016" s="7">
        <v>40</v>
      </c>
      <c r="J1016" s="18">
        <f t="shared" si="38"/>
        <v>160</v>
      </c>
      <c r="K1016" s="10">
        <f t="shared" si="43"/>
        <v>4800</v>
      </c>
      <c r="L1016" s="21">
        <f t="shared" si="41"/>
        <v>21.768707482993197</v>
      </c>
    </row>
    <row r="1017" spans="1:12" s="72" customFormat="1" ht="25.95" customHeight="1">
      <c r="A1017" s="12">
        <v>1015</v>
      </c>
      <c r="B1017" s="6">
        <v>18</v>
      </c>
      <c r="C1017" s="6">
        <v>85</v>
      </c>
      <c r="D1017" s="20" t="str">
        <f>IF(C1017&lt;&gt;"", IFERROR(INDEX('بنود العقد'!B$3:B$388,C1017), "⚠"), "")</f>
        <v xml:space="preserve"> جدران بورسلان (PW-03(type A&amp;B  مقاس 600×300×12مم فرز ثاني بالمقاسات والالوان المطلوبة لدورات المياة العامة  طبقاً للمخططات والمواصفات.</v>
      </c>
      <c r="E1017" s="12" t="str">
        <f>IF(C1017&lt;&gt;"", IFERROR(INDEX('بنود العقد'!D$3:D$388,C1017), ""), "")</f>
        <v>م²</v>
      </c>
      <c r="F1017" s="9">
        <f>IF(C1017&lt;&gt;"", IFERROR(INDEX('بنود العقد'!E$3:E$388,C1017), 0), "")</f>
        <v>96</v>
      </c>
      <c r="G1017" s="9">
        <f>IF(C1017&lt;&gt;"", IFERROR(INDEX('بنود العقد'!F$3:F$388,C1017), 0), "")</f>
        <v>2648</v>
      </c>
      <c r="H1017" s="18">
        <f t="shared" si="42"/>
        <v>1360</v>
      </c>
      <c r="I1017" s="7">
        <v>800</v>
      </c>
      <c r="J1017" s="18">
        <f t="shared" ref="J1017:J1248" si="44">IF(I1017&lt;&gt;"", H1017+I1017, 0)</f>
        <v>2160</v>
      </c>
      <c r="K1017" s="10">
        <f t="shared" si="43"/>
        <v>76800</v>
      </c>
      <c r="L1017" s="21">
        <f t="shared" si="41"/>
        <v>81.570996978851966</v>
      </c>
    </row>
    <row r="1018" spans="1:12" s="72" customFormat="1" ht="25.95" customHeight="1">
      <c r="A1018" s="12">
        <v>1016</v>
      </c>
      <c r="B1018" s="6">
        <v>18</v>
      </c>
      <c r="C1018" s="6">
        <v>86</v>
      </c>
      <c r="D1018" s="20" t="str">
        <f>IF(C1018&lt;&gt;"", IFERROR(INDEX('بنود العقد'!B$3:B$388,C1018), "⚠"), "")</f>
        <v xml:space="preserve"> وزرة من بورسلان بسماكة 12مم  100*600 مم والسعر يشمل التثبيت  بالغراء والشطف وكل ما يلزم لانهاء العمل حسب الاصول الفنية وتعليمات المهندس المشرف.Ref. Drawings: 07-MRA-DD-(as per floor number)-AR-300</v>
      </c>
      <c r="E1018" s="12" t="str">
        <f>IF(C1018&lt;&gt;"", IFERROR(INDEX('بنود العقد'!D$3:D$388,C1018), ""), "")</f>
        <v>م.ط</v>
      </c>
      <c r="F1018" s="9">
        <f>IF(C1018&lt;&gt;"", IFERROR(INDEX('بنود العقد'!E$3:E$388,C1018), 0), "")</f>
        <v>120</v>
      </c>
      <c r="G1018" s="9">
        <f>IF(C1018&lt;&gt;"", IFERROR(INDEX('بنود العقد'!F$3:F$388,C1018), 0), "")</f>
        <v>567</v>
      </c>
      <c r="H1018" s="18">
        <f t="shared" si="42"/>
        <v>94</v>
      </c>
      <c r="I1018" s="7">
        <v>150</v>
      </c>
      <c r="J1018" s="18">
        <f t="shared" si="44"/>
        <v>244</v>
      </c>
      <c r="K1018" s="10">
        <f t="shared" si="43"/>
        <v>18000</v>
      </c>
      <c r="L1018" s="21">
        <f t="shared" si="41"/>
        <v>43.033509700176367</v>
      </c>
    </row>
    <row r="1019" spans="1:12" s="72" customFormat="1" ht="25.95" customHeight="1">
      <c r="A1019" s="12">
        <v>1017</v>
      </c>
      <c r="B1019" s="6">
        <v>18</v>
      </c>
      <c r="C1019" s="6">
        <v>95</v>
      </c>
      <c r="D1019" s="20" t="str">
        <f>IF(C1019&lt;&gt;"", IFERROR(INDEX('بنود العقد'!B$3:B$388,C1019), "⚠"), "")</f>
        <v>معالجة وتنظيف وصقل وجلاء بلاط رخام الأرضيات والدرج مع بودرة الرخام المستخدم والتلميع 4 أوجه وملو الفواصل بمادة مقاومة للرطوبة والبكتيريا  والسعر يشمل جميع المواد والأعمال اللازمة لإتمام العمل المطلوب طبقا للمخططات والمواصفات الفنية وبحسب توجيهات واعتماد المهندس المشرف. رخام الأرضيات في المداخل و الممرات الرئيسية وبسطات الدرج.</v>
      </c>
      <c r="E1019" s="12" t="str">
        <f>IF(C1019&lt;&gt;"", IFERROR(INDEX('بنود العقد'!D$3:D$388,C1019), ""), "")</f>
        <v>م²</v>
      </c>
      <c r="F1019" s="9">
        <f>IF(C1019&lt;&gt;"", IFERROR(INDEX('بنود العقد'!E$3:E$388,C1019), 0), "")</f>
        <v>42</v>
      </c>
      <c r="G1019" s="9">
        <f>IF(C1019&lt;&gt;"", IFERROR(INDEX('بنود العقد'!F$3:F$388,C1019), 0), "")</f>
        <v>4800</v>
      </c>
      <c r="H1019" s="18">
        <f t="shared" si="42"/>
        <v>740</v>
      </c>
      <c r="I1019" s="7">
        <v>1500</v>
      </c>
      <c r="J1019" s="18">
        <f t="shared" si="44"/>
        <v>2240</v>
      </c>
      <c r="K1019" s="10">
        <f t="shared" si="43"/>
        <v>63000</v>
      </c>
      <c r="L1019" s="21">
        <f t="shared" si="41"/>
        <v>46.666666666666664</v>
      </c>
    </row>
    <row r="1020" spans="1:12" s="72" customFormat="1" ht="25.95" customHeight="1">
      <c r="A1020" s="12">
        <v>1018</v>
      </c>
      <c r="B1020" s="6">
        <v>18</v>
      </c>
      <c r="C1020" s="6">
        <v>97</v>
      </c>
      <c r="D1020" s="20" t="str">
        <f>IF(C1020&lt;&gt;"", IFERROR(INDEX('بنود العقد'!B$3:B$388,C1020), "⚠"), "")</f>
        <v>رخام رمادي غامق تندر غراي مقاس 600×900 مم  سماكة  20مم  كإطار حول المصاعد</v>
      </c>
      <c r="E1020" s="12" t="str">
        <f>IF(C1020&lt;&gt;"", IFERROR(INDEX('بنود العقد'!D$3:D$388,C1020), ""), "")</f>
        <v>م²</v>
      </c>
      <c r="F1020" s="9">
        <f>IF(C1020&lt;&gt;"", IFERROR(INDEX('بنود العقد'!E$3:E$388,C1020), 0), "")</f>
        <v>300</v>
      </c>
      <c r="G1020" s="9">
        <f>IF(C1020&lt;&gt;"", IFERROR(INDEX('بنود العقد'!F$3:F$388,C1020), 0), "")</f>
        <v>101</v>
      </c>
      <c r="H1020" s="18">
        <f t="shared" si="42"/>
        <v>13</v>
      </c>
      <c r="I1020" s="7">
        <v>80</v>
      </c>
      <c r="J1020" s="18">
        <f t="shared" si="44"/>
        <v>93</v>
      </c>
      <c r="K1020" s="10">
        <f t="shared" si="43"/>
        <v>24000</v>
      </c>
      <c r="L1020" s="21">
        <f t="shared" si="41"/>
        <v>92.079207920792086</v>
      </c>
    </row>
    <row r="1021" spans="1:12" s="72" customFormat="1" ht="25.95" customHeight="1">
      <c r="A1021" s="12">
        <v>1019</v>
      </c>
      <c r="B1021" s="6">
        <v>18</v>
      </c>
      <c r="C1021" s="6">
        <v>100</v>
      </c>
      <c r="D1021" s="20" t="str">
        <f>IF(C1021&lt;&gt;"", IFERROR(INDEX('بنود العقد'!B$3:B$388,C1021), "⚠"), "")</f>
        <v>رخام  الحوائط والأعمدة والكمر والوزرات لمدخل كبار الشخصيات ومدخل الموظفين وعلى المصاعد وفي الممرات الرئيسية والوجهات الداخلية للفناء الوسطي.</v>
      </c>
      <c r="E1021" s="12" t="str">
        <f>IF(C1021&lt;&gt;"", IFERROR(INDEX('بنود العقد'!D$3:D$388,C1021), ""), "")</f>
        <v>م²</v>
      </c>
      <c r="F1021" s="9">
        <f>IF(C1021&lt;&gt;"", IFERROR(INDEX('بنود العقد'!E$3:E$388,C1021), 0), "")</f>
        <v>60</v>
      </c>
      <c r="G1021" s="9">
        <f>IF(C1021&lt;&gt;"", IFERROR(INDEX('بنود العقد'!F$3:F$388,C1021), 0), "")</f>
        <v>6000</v>
      </c>
      <c r="H1021" s="18">
        <f t="shared" si="42"/>
        <v>289</v>
      </c>
      <c r="I1021" s="7">
        <v>450</v>
      </c>
      <c r="J1021" s="18">
        <f t="shared" si="44"/>
        <v>739</v>
      </c>
      <c r="K1021" s="10">
        <f t="shared" si="43"/>
        <v>27000</v>
      </c>
      <c r="L1021" s="21">
        <f t="shared" si="41"/>
        <v>12.316666666666666</v>
      </c>
    </row>
    <row r="1022" spans="1:12" s="72" customFormat="1" ht="25.95" customHeight="1">
      <c r="A1022" s="12">
        <v>1020</v>
      </c>
      <c r="B1022" s="6">
        <v>18</v>
      </c>
      <c r="C1022" s="6">
        <v>104</v>
      </c>
      <c r="D1022" s="20" t="str">
        <f>IF(C1022&lt;&gt;"", IFERROR(INDEX('بنود العقد'!B$3:B$388,C1022), "⚠"), "")</f>
        <v>Ref drawing: 07-MRA-DD-(as per floor number)-AR-300 مقاس 500×500 مم  لون رمادي لمنطقة المرور CT-01بلاط - سجاد</v>
      </c>
      <c r="E1022" s="12" t="str">
        <f>IF(C1022&lt;&gt;"", IFERROR(INDEX('بنود العقد'!D$3:D$388,C1022), ""), "")</f>
        <v>م²</v>
      </c>
      <c r="F1022" s="9">
        <f>IF(C1022&lt;&gt;"", IFERROR(INDEX('بنود العقد'!E$3:E$388,C1022), 0), "")</f>
        <v>156</v>
      </c>
      <c r="G1022" s="9">
        <f>IF(C1022&lt;&gt;"", IFERROR(INDEX('بنود العقد'!F$3:F$388,C1022), 0), "")</f>
        <v>3600</v>
      </c>
      <c r="H1022" s="18">
        <f t="shared" si="42"/>
        <v>2505</v>
      </c>
      <c r="I1022" s="7">
        <v>430</v>
      </c>
      <c r="J1022" s="18">
        <f t="shared" si="44"/>
        <v>2935</v>
      </c>
      <c r="K1022" s="10">
        <f t="shared" si="43"/>
        <v>67080</v>
      </c>
      <c r="L1022" s="21">
        <f t="shared" si="41"/>
        <v>81.527777777777771</v>
      </c>
    </row>
    <row r="1023" spans="1:12" s="72" customFormat="1" ht="25.95" customHeight="1">
      <c r="A1023" s="12">
        <v>1021</v>
      </c>
      <c r="B1023" s="6">
        <v>18</v>
      </c>
      <c r="C1023" s="6">
        <v>105</v>
      </c>
      <c r="D1023" s="20" t="str">
        <f>IF(C1023&lt;&gt;"", IFERROR(INDEX('بنود العقد'!B$3:B$388,C1023), "⚠"), "")</f>
        <v>بلاط - سجاد 02-CT مقاس 500× 500 مم لون أزرق فاتح لمحطة العمل وغرفة الاجتماعات</v>
      </c>
      <c r="E1023" s="12" t="str">
        <f>IF(C1023&lt;&gt;"", IFERROR(INDEX('بنود العقد'!D$3:D$388,C1023), ""), "")</f>
        <v>م²</v>
      </c>
      <c r="F1023" s="9">
        <f>IF(C1023&lt;&gt;"", IFERROR(INDEX('بنود العقد'!E$3:E$388,C1023), 0), "")</f>
        <v>156</v>
      </c>
      <c r="G1023" s="9">
        <f>IF(C1023&lt;&gt;"", IFERROR(INDEX('بنود العقد'!F$3:F$388,C1023), 0), "")</f>
        <v>6705</v>
      </c>
      <c r="H1023" s="18">
        <f t="shared" si="42"/>
        <v>4654</v>
      </c>
      <c r="I1023" s="7">
        <v>800</v>
      </c>
      <c r="J1023" s="18">
        <f t="shared" si="44"/>
        <v>5454</v>
      </c>
      <c r="K1023" s="10">
        <f t="shared" si="43"/>
        <v>124800</v>
      </c>
      <c r="L1023" s="21">
        <f t="shared" si="41"/>
        <v>81.34228187919463</v>
      </c>
    </row>
    <row r="1024" spans="1:12" s="72" customFormat="1" ht="25.95" customHeight="1">
      <c r="A1024" s="12">
        <v>1022</v>
      </c>
      <c r="B1024" s="6">
        <v>18</v>
      </c>
      <c r="C1024" s="6">
        <v>106</v>
      </c>
      <c r="D1024" s="20" t="str">
        <f>IF(C1024&lt;&gt;"", IFERROR(INDEX('بنود العقد'!B$3:B$388,C1024), "⚠"), "")</f>
        <v>Ref drawing: 07-MRA-DD-(as per floor number)-AR-300 مقاس 500×500 مم لون بيج لمكتب المدير CT-03بلاط - سجاد</v>
      </c>
      <c r="E1024" s="12" t="str">
        <f>IF(C1024&lt;&gt;"", IFERROR(INDEX('بنود العقد'!D$3:D$388,C1024), ""), "")</f>
        <v>م²</v>
      </c>
      <c r="F1024" s="9">
        <f>IF(C1024&lt;&gt;"", IFERROR(INDEX('بنود العقد'!E$3:E$388,C1024), 0), "")</f>
        <v>156</v>
      </c>
      <c r="G1024" s="9">
        <f>IF(C1024&lt;&gt;"", IFERROR(INDEX('بنود العقد'!F$3:F$388,C1024), 0), "")</f>
        <v>1213</v>
      </c>
      <c r="H1024" s="18">
        <f t="shared" si="42"/>
        <v>964</v>
      </c>
      <c r="I1024" s="7">
        <v>100</v>
      </c>
      <c r="J1024" s="18">
        <f t="shared" si="44"/>
        <v>1064</v>
      </c>
      <c r="K1024" s="10">
        <f t="shared" si="43"/>
        <v>15600</v>
      </c>
      <c r="L1024" s="21">
        <f t="shared" si="41"/>
        <v>87.716405605935705</v>
      </c>
    </row>
    <row r="1025" spans="1:12" s="72" customFormat="1" ht="25.95" customHeight="1">
      <c r="A1025" s="12">
        <v>1023</v>
      </c>
      <c r="B1025" s="6">
        <v>18</v>
      </c>
      <c r="C1025" s="6">
        <v>108</v>
      </c>
      <c r="D1025" s="20" t="str">
        <f>IF(C1025&lt;&gt;"", IFERROR(INDEX('بنود العقد'!B$3:B$388,C1025), "⚠"), "")</f>
        <v>بلاط - سجاد05-CT مقاس 500×500 مم لغرف خدمة العملاء مع تصميم بشكل مثلث وألوان مختلفة</v>
      </c>
      <c r="E1025" s="12" t="str">
        <f>IF(C1025&lt;&gt;"", IFERROR(INDEX('بنود العقد'!D$3:D$388,C1025), ""), "")</f>
        <v>م²</v>
      </c>
      <c r="F1025" s="9">
        <f>IF(C1025&lt;&gt;"", IFERROR(INDEX('بنود العقد'!E$3:E$388,C1025), 0), "")</f>
        <v>156</v>
      </c>
      <c r="G1025" s="9">
        <f>IF(C1025&lt;&gt;"", IFERROR(INDEX('بنود العقد'!F$3:F$388,C1025), 0), "")</f>
        <v>735</v>
      </c>
      <c r="H1025" s="18">
        <f t="shared" si="42"/>
        <v>316.75</v>
      </c>
      <c r="I1025" s="7">
        <v>300</v>
      </c>
      <c r="J1025" s="18">
        <f t="shared" si="44"/>
        <v>616.75</v>
      </c>
      <c r="K1025" s="10">
        <f t="shared" si="43"/>
        <v>46800</v>
      </c>
      <c r="L1025" s="21">
        <f t="shared" si="41"/>
        <v>83.911564625850346</v>
      </c>
    </row>
    <row r="1026" spans="1:12" s="72" customFormat="1" ht="25.95" customHeight="1">
      <c r="A1026" s="12">
        <v>1024</v>
      </c>
      <c r="B1026" s="6">
        <v>18</v>
      </c>
      <c r="C1026" s="6">
        <v>110</v>
      </c>
      <c r="D1026" s="20" t="str">
        <f>IF(C1026&lt;&gt;"", IFERROR(INDEX('بنود العقد'!B$3:B$388,C1026), "⚠"), "")</f>
        <v>بلاط - سجاد 01-CR مقاس 500×500 مم لمكتب الرئيس ونائب الرئيس والصالة والسكرتارية وغرفة الاجتماعات الكبيرة.</v>
      </c>
      <c r="E1026" s="12" t="str">
        <f>IF(C1026&lt;&gt;"", IFERROR(INDEX('بنود العقد'!D$3:D$388,C1026), ""), "")</f>
        <v>م²</v>
      </c>
      <c r="F1026" s="9">
        <f>IF(C1026&lt;&gt;"", IFERROR(INDEX('بنود العقد'!E$3:E$388,C1026), 0), "")</f>
        <v>156</v>
      </c>
      <c r="G1026" s="9">
        <f>IF(C1026&lt;&gt;"", IFERROR(INDEX('بنود العقد'!F$3:F$388,C1026), 0), "")</f>
        <v>2140</v>
      </c>
      <c r="H1026" s="18">
        <f t="shared" si="42"/>
        <v>1779</v>
      </c>
      <c r="I1026" s="7">
        <v>50</v>
      </c>
      <c r="J1026" s="18">
        <f t="shared" si="44"/>
        <v>1829</v>
      </c>
      <c r="K1026" s="10">
        <f t="shared" si="43"/>
        <v>7800</v>
      </c>
      <c r="L1026" s="21">
        <f t="shared" si="41"/>
        <v>85.467289719626166</v>
      </c>
    </row>
    <row r="1027" spans="1:12" s="72" customFormat="1" ht="25.95" customHeight="1">
      <c r="A1027" s="12">
        <v>1025</v>
      </c>
      <c r="B1027" s="6">
        <v>18</v>
      </c>
      <c r="C1027" s="6">
        <v>111</v>
      </c>
      <c r="D1027" s="20" t="str">
        <f>IF(C1027&lt;&gt;"", IFERROR(INDEX('بنود العقد'!B$3:B$388,C1027), "⚠"), "")</f>
        <v>بلاط - سجاد 02-CR مقاس 500×500 مم لمكتب الرئيس ونائب الرئيس على شكل مثلثات لون بيج، رمادي فاتح ورمادي غامق.</v>
      </c>
      <c r="E1027" s="12" t="str">
        <f>IF(C1027&lt;&gt;"", IFERROR(INDEX('بنود العقد'!D$3:D$388,C1027), ""), "")</f>
        <v>م²</v>
      </c>
      <c r="F1027" s="9">
        <f>IF(C1027&lt;&gt;"", IFERROR(INDEX('بنود العقد'!E$3:E$388,C1027), 0), "")</f>
        <v>156</v>
      </c>
      <c r="G1027" s="9">
        <f>IF(C1027&lt;&gt;"", IFERROR(INDEX('بنود العقد'!F$3:F$388,C1027), 0), "")</f>
        <v>303</v>
      </c>
      <c r="H1027" s="18">
        <f t="shared" si="42"/>
        <v>211</v>
      </c>
      <c r="I1027" s="7">
        <v>20</v>
      </c>
      <c r="J1027" s="18">
        <f t="shared" si="44"/>
        <v>231</v>
      </c>
      <c r="K1027" s="10">
        <f t="shared" si="43"/>
        <v>3120</v>
      </c>
      <c r="L1027" s="21">
        <f t="shared" si="41"/>
        <v>76.237623762376245</v>
      </c>
    </row>
    <row r="1028" spans="1:12" s="72" customFormat="1" ht="25.95" customHeight="1">
      <c r="A1028" s="12">
        <v>1026</v>
      </c>
      <c r="B1028" s="6">
        <v>18</v>
      </c>
      <c r="C1028" s="6">
        <v>112</v>
      </c>
      <c r="D1028" s="20" t="str">
        <f>IF(C1028&lt;&gt;"", IFERROR(INDEX('بنود العقد'!B$3:B$388,C1028), "⚠"), "")</f>
        <v>300-Ref drawing: 07-MRA-DD-(as per floor number)-ARبلاط - سجاد 03-CR مقاس 500×500 مم للمدير العام ومنطقة السكرتارية</v>
      </c>
      <c r="E1028" s="12" t="str">
        <f>IF(C1028&lt;&gt;"", IFERROR(INDEX('بنود العقد'!D$3:D$388,C1028), ""), "")</f>
        <v>م²</v>
      </c>
      <c r="F1028" s="9">
        <f>IF(C1028&lt;&gt;"", IFERROR(INDEX('بنود العقد'!E$3:E$388,C1028), 0), "")</f>
        <v>156</v>
      </c>
      <c r="G1028" s="9">
        <f>IF(C1028&lt;&gt;"", IFERROR(INDEX('بنود العقد'!F$3:F$388,C1028), 0), "")</f>
        <v>1550</v>
      </c>
      <c r="H1028" s="18">
        <f t="shared" si="42"/>
        <v>1280</v>
      </c>
      <c r="I1028" s="7">
        <v>20</v>
      </c>
      <c r="J1028" s="18">
        <f t="shared" si="44"/>
        <v>1300</v>
      </c>
      <c r="K1028" s="10">
        <f t="shared" si="43"/>
        <v>3120</v>
      </c>
      <c r="L1028" s="21">
        <f t="shared" si="41"/>
        <v>83.870967741935488</v>
      </c>
    </row>
    <row r="1029" spans="1:12" s="72" customFormat="1" ht="25.95" customHeight="1">
      <c r="A1029" s="12">
        <v>1027</v>
      </c>
      <c r="B1029" s="6">
        <v>18</v>
      </c>
      <c r="C1029" s="6">
        <v>120</v>
      </c>
      <c r="D1029" s="20" t="str">
        <f>IF(C1029&lt;&gt;"", IFERROR(INDEX('بنود العقد'!B$3:B$388,C1029), "⚠"), "")</f>
        <v>بلاط laminated HDF باركيه01-PQ  لمركز الأعمال والفناء الوسطي</v>
      </c>
      <c r="E1029" s="12" t="str">
        <f>IF(C1029&lt;&gt;"", IFERROR(INDEX('بنود العقد'!D$3:D$388,C1029), ""), "")</f>
        <v>م²</v>
      </c>
      <c r="F1029" s="9">
        <f>IF(C1029&lt;&gt;"", IFERROR(INDEX('بنود العقد'!E$3:E$388,C1029), 0), "")</f>
        <v>156</v>
      </c>
      <c r="G1029" s="9">
        <f>IF(C1029&lt;&gt;"", IFERROR(INDEX('بنود العقد'!F$3:F$388,C1029), 0), "")</f>
        <v>178</v>
      </c>
      <c r="H1029" s="18">
        <f t="shared" si="42"/>
        <v>0</v>
      </c>
      <c r="I1029" s="7">
        <v>55</v>
      </c>
      <c r="J1029" s="18">
        <f t="shared" si="44"/>
        <v>55</v>
      </c>
      <c r="K1029" s="10">
        <f t="shared" si="43"/>
        <v>8580</v>
      </c>
      <c r="L1029" s="21">
        <f t="shared" si="41"/>
        <v>30.898876404494381</v>
      </c>
    </row>
    <row r="1030" spans="1:12" s="72" customFormat="1" ht="25.95" customHeight="1">
      <c r="A1030" s="12">
        <v>1028</v>
      </c>
      <c r="B1030" s="6">
        <v>18</v>
      </c>
      <c r="C1030" s="6">
        <v>121</v>
      </c>
      <c r="D1030" s="20" t="str">
        <f>IF(C1030&lt;&gt;"", IFERROR(INDEX('بنود العقد'!B$3:B$388,C1030), "⚠"), "")</f>
        <v xml:space="preserve">عمل صبة خرسانية من السرك سماكة 10 سم مع طبقة واحدة من شبك الحديد قطر 6مم. على أن تكون طبقة التشطيب النهائية بلون رمادي غامق على شكل الأسطح الاسمنتية  بحسب اللون والملمس المعتمد. </v>
      </c>
      <c r="E1030" s="12" t="str">
        <f>IF(C1030&lt;&gt;"", IFERROR(INDEX('بنود العقد'!D$3:D$388,C1030), ""), "")</f>
        <v>م²</v>
      </c>
      <c r="F1030" s="9">
        <f>IF(C1030&lt;&gt;"", IFERROR(INDEX('بنود العقد'!E$3:E$388,C1030), 0), "")</f>
        <v>72</v>
      </c>
      <c r="G1030" s="9">
        <f>IF(C1030&lt;&gt;"", IFERROR(INDEX('بنود العقد'!F$3:F$388,C1030), 0), "")</f>
        <v>110</v>
      </c>
      <c r="H1030" s="18">
        <f t="shared" si="42"/>
        <v>125</v>
      </c>
      <c r="I1030" s="7">
        <v>60</v>
      </c>
      <c r="J1030" s="18">
        <f t="shared" si="44"/>
        <v>185</v>
      </c>
      <c r="K1030" s="10">
        <f t="shared" si="43"/>
        <v>4320</v>
      </c>
      <c r="L1030" s="21">
        <f t="shared" si="41"/>
        <v>168.18181818181819</v>
      </c>
    </row>
    <row r="1031" spans="1:12" s="72" customFormat="1" ht="25.95" customHeight="1">
      <c r="A1031" s="12">
        <v>1029</v>
      </c>
      <c r="B1031" s="6">
        <v>18</v>
      </c>
      <c r="C1031" s="6">
        <v>123</v>
      </c>
      <c r="D1031" s="20" t="str">
        <f>IF(C1031&lt;&gt;"", IFERROR(INDEX('بنود العقد'!B$3:B$388,C1031), "⚠"), "")</f>
        <v xml:space="preserve">حجر جرانيت اسود مع تشكيلات مثلثات من لون فاتح للنافورة الداخلية   01-ST حسب الموضح بالمخطط </v>
      </c>
      <c r="E1031" s="12" t="str">
        <f>IF(C1031&lt;&gt;"", IFERROR(INDEX('بنود العقد'!D$3:D$388,C1031), ""), "")</f>
        <v>م²</v>
      </c>
      <c r="F1031" s="9">
        <f>IF(C1031&lt;&gt;"", IFERROR(INDEX('بنود العقد'!E$3:E$388,C1031), 0), "")</f>
        <v>120</v>
      </c>
      <c r="G1031" s="9">
        <f>IF(C1031&lt;&gt;"", IFERROR(INDEX('بنود العقد'!F$3:F$388,C1031), 0), "")</f>
        <v>170</v>
      </c>
      <c r="H1031" s="18">
        <f t="shared" si="42"/>
        <v>0</v>
      </c>
      <c r="I1031" s="7">
        <v>100</v>
      </c>
      <c r="J1031" s="18">
        <f t="shared" si="44"/>
        <v>100</v>
      </c>
      <c r="K1031" s="10">
        <f t="shared" si="43"/>
        <v>12000</v>
      </c>
      <c r="L1031" s="21">
        <f t="shared" si="41"/>
        <v>58.82352941176471</v>
      </c>
    </row>
    <row r="1032" spans="1:12" s="72" customFormat="1" ht="25.95" customHeight="1">
      <c r="A1032" s="12">
        <v>1030</v>
      </c>
      <c r="B1032" s="6">
        <v>18</v>
      </c>
      <c r="C1032" s="6">
        <v>125</v>
      </c>
      <c r="D1032" s="20" t="str">
        <f>IF(C1032&lt;&gt;"", IFERROR(INDEX('بنود العقد'!B$3:B$388,C1032), "⚠"), "")</f>
        <v>دهان بلون رمادي بيج على الألواح الجبسية والألواح الاسمنتية 100-WPF</v>
      </c>
      <c r="E1032" s="12" t="str">
        <f>IF(C1032&lt;&gt;"", IFERROR(INDEX('بنود العقد'!D$3:D$388,C1032), ""), "")</f>
        <v>م²</v>
      </c>
      <c r="F1032" s="9">
        <f>IF(C1032&lt;&gt;"", IFERROR(INDEX('بنود العقد'!E$3:E$388,C1032), 0), "")</f>
        <v>25.2</v>
      </c>
      <c r="G1032" s="9">
        <f>IF(C1032&lt;&gt;"", IFERROR(INDEX('بنود العقد'!F$3:F$388,C1032), 0), "")</f>
        <v>12700</v>
      </c>
      <c r="H1032" s="18">
        <f t="shared" si="42"/>
        <v>9420.0839999999989</v>
      </c>
      <c r="I1032" s="7">
        <v>1000</v>
      </c>
      <c r="J1032" s="18">
        <f t="shared" si="44"/>
        <v>10420.083999999999</v>
      </c>
      <c r="K1032" s="10">
        <f t="shared" si="43"/>
        <v>25200</v>
      </c>
      <c r="L1032" s="21">
        <f t="shared" si="41"/>
        <v>82.04790551181101</v>
      </c>
    </row>
    <row r="1033" spans="1:12" s="72" customFormat="1" ht="25.95" customHeight="1">
      <c r="A1033" s="12">
        <v>1031</v>
      </c>
      <c r="B1033" s="6">
        <v>18</v>
      </c>
      <c r="C1033" s="6">
        <v>128</v>
      </c>
      <c r="D1033" s="20" t="str">
        <f>IF(C1033&lt;&gt;"", IFERROR(INDEX('بنود العقد'!B$3:B$388,C1033), "⚠"), "")</f>
        <v>.دهان بلون رمادي اسمنتي على الألواح الجبسية والألواح الاسمنتية 200-WPF</v>
      </c>
      <c r="E1033" s="12" t="str">
        <f>IF(C1033&lt;&gt;"", IFERROR(INDEX('بنود العقد'!D$3:D$388,C1033), ""), "")</f>
        <v>م²</v>
      </c>
      <c r="F1033" s="9">
        <f>IF(C1033&lt;&gt;"", IFERROR(INDEX('بنود العقد'!E$3:E$388,C1033), 0), "")</f>
        <v>30</v>
      </c>
      <c r="G1033" s="9">
        <f>IF(C1033&lt;&gt;"", IFERROR(INDEX('بنود العقد'!F$3:F$388,C1033), 0), "")</f>
        <v>2088</v>
      </c>
      <c r="H1033" s="18">
        <f t="shared" si="42"/>
        <v>2991.9947000000002</v>
      </c>
      <c r="I1033" s="7">
        <v>1000</v>
      </c>
      <c r="J1033" s="18">
        <f t="shared" si="44"/>
        <v>3991.9947000000002</v>
      </c>
      <c r="K1033" s="10">
        <f t="shared" si="43"/>
        <v>30000</v>
      </c>
      <c r="L1033" s="21">
        <f t="shared" ref="L1033:L1242" si="45">IF(AND(J1033&lt;&gt;"",G1033&lt;&gt;"",G1033&gt;0), J1033/G1033*100, "")</f>
        <v>191.18748563218389</v>
      </c>
    </row>
    <row r="1034" spans="1:12" s="72" customFormat="1" ht="25.95" customHeight="1">
      <c r="A1034" s="12">
        <v>1032</v>
      </c>
      <c r="B1034" s="6">
        <v>18</v>
      </c>
      <c r="C1034" s="6">
        <v>133</v>
      </c>
      <c r="D1034" s="20" t="str">
        <f>IF(C1034&lt;&gt;"", IFERROR(INDEX('بنود العقد'!B$3:B$388,C1034),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ابيض</v>
      </c>
      <c r="E1034" s="12" t="str">
        <f>IF(C1034&lt;&gt;"", IFERROR(INDEX('بنود العقد'!D$3:D$388,C1034), ""), "")</f>
        <v>م²</v>
      </c>
      <c r="F1034" s="9">
        <f>IF(C1034&lt;&gt;"", IFERROR(INDEX('بنود العقد'!E$3:E$388,C1034), 0), "")</f>
        <v>24</v>
      </c>
      <c r="G1034" s="9">
        <f>IF(C1034&lt;&gt;"", IFERROR(INDEX('بنود العقد'!F$3:F$388,C1034), 0), "")</f>
        <v>25559</v>
      </c>
      <c r="H1034" s="18">
        <f t="shared" si="42"/>
        <v>15359.004000000001</v>
      </c>
      <c r="I1034" s="7">
        <v>6500</v>
      </c>
      <c r="J1034" s="18">
        <f t="shared" si="44"/>
        <v>21859.004000000001</v>
      </c>
      <c r="K1034" s="10">
        <f t="shared" si="43"/>
        <v>156000</v>
      </c>
      <c r="L1034" s="21">
        <f t="shared" si="45"/>
        <v>85.523705935286984</v>
      </c>
    </row>
    <row r="1035" spans="1:12" s="72" customFormat="1" ht="25.95" customHeight="1">
      <c r="A1035" s="12">
        <v>1033</v>
      </c>
      <c r="B1035" s="6">
        <v>18</v>
      </c>
      <c r="C1035" s="6">
        <v>137</v>
      </c>
      <c r="D1035" s="20" t="str">
        <f>IF(C1035&lt;&gt;"", IFERROR(INDEX('بنود العقد'!B$3:B$388,C1035), "⚠"), "")</f>
        <v>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 دهان  بلون اسود</v>
      </c>
      <c r="E1035" s="12" t="str">
        <f>IF(C1035&lt;&gt;"", IFERROR(INDEX('بنود العقد'!D$3:D$388,C1035), ""), "")</f>
        <v>م²</v>
      </c>
      <c r="F1035" s="9">
        <f>IF(C1035&lt;&gt;"", IFERROR(INDEX('بنود العقد'!E$3:E$388,C1035), 0), "")</f>
        <v>30</v>
      </c>
      <c r="G1035" s="9">
        <f>IF(C1035&lt;&gt;"", IFERROR(INDEX('بنود العقد'!F$3:F$388,C1035), 0), "")</f>
        <v>9442</v>
      </c>
      <c r="H1035" s="18">
        <f t="shared" si="42"/>
        <v>8120</v>
      </c>
      <c r="I1035" s="7">
        <v>1800</v>
      </c>
      <c r="J1035" s="18">
        <f t="shared" si="44"/>
        <v>9920</v>
      </c>
      <c r="K1035" s="10">
        <f t="shared" si="43"/>
        <v>54000</v>
      </c>
      <c r="L1035" s="21">
        <f t="shared" si="45"/>
        <v>105.06248676127939</v>
      </c>
    </row>
    <row r="1036" spans="1:12" s="72" customFormat="1" ht="25.95" customHeight="1">
      <c r="A1036" s="12">
        <v>1034</v>
      </c>
      <c r="B1036" s="6">
        <v>18</v>
      </c>
      <c r="C1036" s="6">
        <v>141</v>
      </c>
      <c r="D1036" s="20" t="str">
        <f>IF(C1036&lt;&gt;"", IFERROR(INDEX('بنود العقد'!B$3:B$388,C1036), "⚠"), "")</f>
        <v>جهاز تجفيف للأيدي كهربائي</v>
      </c>
      <c r="E1036" s="12" t="str">
        <f>IF(C1036&lt;&gt;"", IFERROR(INDEX('بنود العقد'!D$3:D$388,C1036), ""), "")</f>
        <v>عدد</v>
      </c>
      <c r="F1036" s="9">
        <f>IF(C1036&lt;&gt;"", IFERROR(INDEX('بنود العقد'!E$3:E$388,C1036), 0), "")</f>
        <v>990</v>
      </c>
      <c r="G1036" s="9">
        <f>IF(C1036&lt;&gt;"", IFERROR(INDEX('بنود العقد'!F$3:F$388,C1036), 0), "")</f>
        <v>47</v>
      </c>
      <c r="H1036" s="18">
        <f t="shared" si="42"/>
        <v>0</v>
      </c>
      <c r="I1036" s="7">
        <v>60</v>
      </c>
      <c r="J1036" s="18">
        <f t="shared" si="44"/>
        <v>60</v>
      </c>
      <c r="K1036" s="10">
        <f t="shared" si="43"/>
        <v>59400</v>
      </c>
      <c r="L1036" s="21">
        <f t="shared" si="45"/>
        <v>127.65957446808511</v>
      </c>
    </row>
    <row r="1037" spans="1:12" s="72" customFormat="1" ht="25.95" customHeight="1">
      <c r="A1037" s="12">
        <v>1035</v>
      </c>
      <c r="B1037" s="6">
        <v>18</v>
      </c>
      <c r="C1037" s="6">
        <v>143</v>
      </c>
      <c r="D1037" s="20" t="str">
        <f>IF(C1037&lt;&gt;"", IFERROR(INDEX('بنود العقد'!B$3:B$388,C1037), "⚠"), "")</f>
        <v>موزع صابون سائل</v>
      </c>
      <c r="E1037" s="12" t="str">
        <f>IF(C1037&lt;&gt;"", IFERROR(INDEX('بنود العقد'!D$3:D$388,C1037), ""), "")</f>
        <v>عدد</v>
      </c>
      <c r="F1037" s="9">
        <f>IF(C1037&lt;&gt;"", IFERROR(INDEX('بنود العقد'!E$3:E$388,C1037), 0), "")</f>
        <v>192</v>
      </c>
      <c r="G1037" s="9">
        <f>IF(C1037&lt;&gt;"", IFERROR(INDEX('بنود العقد'!F$3:F$388,C1037), 0), "")</f>
        <v>115</v>
      </c>
      <c r="H1037" s="18">
        <f t="shared" si="42"/>
        <v>21</v>
      </c>
      <c r="I1037" s="7">
        <v>40</v>
      </c>
      <c r="J1037" s="18">
        <f t="shared" si="44"/>
        <v>61</v>
      </c>
      <c r="K1037" s="10">
        <f t="shared" si="43"/>
        <v>7680</v>
      </c>
      <c r="L1037" s="21">
        <f t="shared" si="45"/>
        <v>53.04347826086957</v>
      </c>
    </row>
    <row r="1038" spans="1:12" s="72" customFormat="1" ht="25.95" customHeight="1">
      <c r="A1038" s="12">
        <v>1036</v>
      </c>
      <c r="B1038" s="6">
        <v>18</v>
      </c>
      <c r="C1038" s="6">
        <v>144</v>
      </c>
      <c r="D1038" s="20" t="str">
        <f>IF(C1038&lt;&gt;"", IFERROR(INDEX('بنود العقد'!B$3:B$388,C1038), "⚠"), "")</f>
        <v>حاملة لفة ورق توليت</v>
      </c>
      <c r="E1038" s="12" t="str">
        <f>IF(C1038&lt;&gt;"", IFERROR(INDEX('بنود العقد'!D$3:D$388,C1038), ""), "")</f>
        <v>عدد</v>
      </c>
      <c r="F1038" s="9">
        <f>IF(C1038&lt;&gt;"", IFERROR(INDEX('بنود العقد'!E$3:E$388,C1038), 0), "")</f>
        <v>192</v>
      </c>
      <c r="G1038" s="9">
        <f>IF(C1038&lt;&gt;"", IFERROR(INDEX('بنود العقد'!F$3:F$388,C1038), 0), "")</f>
        <v>138</v>
      </c>
      <c r="H1038" s="18">
        <f t="shared" si="42"/>
        <v>6</v>
      </c>
      <c r="I1038" s="7">
        <v>60</v>
      </c>
      <c r="J1038" s="18">
        <f t="shared" si="44"/>
        <v>66</v>
      </c>
      <c r="K1038" s="10">
        <f t="shared" si="43"/>
        <v>11520</v>
      </c>
      <c r="L1038" s="21">
        <f t="shared" si="45"/>
        <v>47.826086956521742</v>
      </c>
    </row>
    <row r="1039" spans="1:12" s="72" customFormat="1" ht="25.95" customHeight="1">
      <c r="A1039" s="12">
        <v>1037</v>
      </c>
      <c r="B1039" s="6">
        <v>18</v>
      </c>
      <c r="C1039" s="6">
        <v>145</v>
      </c>
      <c r="D1039" s="20" t="str">
        <f>IF(C1039&lt;&gt;"", IFERROR(INDEX('بنود العقد'!B$3:B$388,C1039), "⚠"), "")</f>
        <v>مقابض لذوي الاحتياجات الخاصة  مكونه من مقبض خلفي 900 مم</v>
      </c>
      <c r="E1039" s="12" t="str">
        <f>IF(C1039&lt;&gt;"", IFERROR(INDEX('بنود العقد'!D$3:D$388,C1039), ""), "")</f>
        <v>عدد</v>
      </c>
      <c r="F1039" s="9">
        <f>IF(C1039&lt;&gt;"", IFERROR(INDEX('بنود العقد'!E$3:E$388,C1039), 0), "")</f>
        <v>720</v>
      </c>
      <c r="G1039" s="9">
        <f>IF(C1039&lt;&gt;"", IFERROR(INDEX('بنود العقد'!F$3:F$388,C1039), 0), "")</f>
        <v>23</v>
      </c>
      <c r="H1039" s="18">
        <f t="shared" si="42"/>
        <v>0</v>
      </c>
      <c r="I1039" s="7">
        <v>14</v>
      </c>
      <c r="J1039" s="18">
        <f t="shared" si="44"/>
        <v>14</v>
      </c>
      <c r="K1039" s="10">
        <f t="shared" si="43"/>
        <v>10080</v>
      </c>
      <c r="L1039" s="21">
        <f t="shared" si="45"/>
        <v>60.869565217391312</v>
      </c>
    </row>
    <row r="1040" spans="1:12" s="72" customFormat="1" ht="25.95" customHeight="1">
      <c r="A1040" s="12">
        <v>1038</v>
      </c>
      <c r="B1040" s="6">
        <v>18</v>
      </c>
      <c r="C1040" s="6">
        <v>146</v>
      </c>
      <c r="D1040" s="20" t="str">
        <f>IF(C1040&lt;&gt;"", IFERROR(INDEX('بنود العقد'!B$3:B$388,C1040), "⚠"), "")</f>
        <v>مقابض لذوي الاحتياجات الخاصة   مكونه من مقبض جانبي1100 مم</v>
      </c>
      <c r="E1040" s="12" t="str">
        <f>IF(C1040&lt;&gt;"", IFERROR(INDEX('بنود العقد'!D$3:D$388,C1040), ""), "")</f>
        <v>عدد</v>
      </c>
      <c r="F1040" s="9">
        <f>IF(C1040&lt;&gt;"", IFERROR(INDEX('بنود العقد'!E$3:E$388,C1040), 0), "")</f>
        <v>840</v>
      </c>
      <c r="G1040" s="9">
        <f>IF(C1040&lt;&gt;"", IFERROR(INDEX('بنود العقد'!F$3:F$388,C1040), 0), "")</f>
        <v>23</v>
      </c>
      <c r="H1040" s="18">
        <f t="shared" si="42"/>
        <v>0</v>
      </c>
      <c r="I1040" s="7">
        <v>14</v>
      </c>
      <c r="J1040" s="18">
        <f t="shared" si="44"/>
        <v>14</v>
      </c>
      <c r="K1040" s="10">
        <f t="shared" si="43"/>
        <v>11760</v>
      </c>
      <c r="L1040" s="21">
        <f t="shared" si="45"/>
        <v>60.869565217391312</v>
      </c>
    </row>
    <row r="1041" spans="1:12" s="72" customFormat="1" ht="25.95" customHeight="1">
      <c r="A1041" s="12">
        <v>1039</v>
      </c>
      <c r="B1041" s="6">
        <v>18</v>
      </c>
      <c r="C1041" s="6">
        <v>151</v>
      </c>
      <c r="D1041" s="20" t="str">
        <f>IF(C1041&lt;&gt;"", IFERROR(INDEX('بنود العقد'!B$3:B$388,C1041), "⚠"), "")</f>
        <v>توريد وتركيب مرآة وجه 6 مم ترُكّب بارزة عن الجدار مع شطف على كل الجهات طبقا للمواصفات وبحسب تعليمات المهندس المشرف. مقاس 1200 × 800 مم</v>
      </c>
      <c r="E1041" s="12" t="str">
        <f>IF(C1041&lt;&gt;"", IFERROR(INDEX('بنود العقد'!D$3:D$388,C1041), ""), "")</f>
        <v>عدد</v>
      </c>
      <c r="F1041" s="9">
        <f>IF(C1041&lt;&gt;"", IFERROR(INDEX('بنود العقد'!E$3:E$388,C1041), 0), "")</f>
        <v>1200</v>
      </c>
      <c r="G1041" s="9">
        <f>IF(C1041&lt;&gt;"", IFERROR(INDEX('بنود العقد'!F$3:F$388,C1041), 0), "")</f>
        <v>75</v>
      </c>
      <c r="H1041" s="18">
        <f t="shared" ref="H1041:H1082" si="46">IFERROR(SUMIFS(I$3:I$1805, B$3:B$1805, "&lt;"&amp;B1041, C$3:C$1805, C1041), 0)</f>
        <v>12</v>
      </c>
      <c r="I1041" s="7">
        <v>40</v>
      </c>
      <c r="J1041" s="18">
        <f t="shared" si="44"/>
        <v>52</v>
      </c>
      <c r="K1041" s="10">
        <f t="shared" si="43"/>
        <v>48000</v>
      </c>
      <c r="L1041" s="21">
        <f t="shared" si="45"/>
        <v>69.333333333333343</v>
      </c>
    </row>
    <row r="1042" spans="1:12" s="72" customFormat="1" ht="25.95" customHeight="1">
      <c r="A1042" s="12">
        <v>1040</v>
      </c>
      <c r="B1042" s="6">
        <v>18</v>
      </c>
      <c r="C1042" s="6">
        <v>152</v>
      </c>
      <c r="D1042" s="20" t="str">
        <f>IF(C1042&lt;&gt;"", IFERROR(INDEX('بنود العقد'!B$3:B$388,C1042), "⚠"), "")</f>
        <v>توريد وتركيب مرآة وجه 6 مم ترُكّب بارزة عن الجدار مع شطف على كل الجهات طبقا للمواصفات وبحسب تعليمات المهندس المشرف. مقاس 1200 × 700 مم</v>
      </c>
      <c r="E1042" s="12" t="str">
        <f>IF(C1042&lt;&gt;"", IFERROR(INDEX('بنود العقد'!D$3:D$388,C1042), ""), "")</f>
        <v>عدد</v>
      </c>
      <c r="F1042" s="9">
        <f>IF(C1042&lt;&gt;"", IFERROR(INDEX('بنود العقد'!E$3:E$388,C1042), 0), "")</f>
        <v>1200</v>
      </c>
      <c r="G1042" s="9">
        <f>IF(C1042&lt;&gt;"", IFERROR(INDEX('بنود العقد'!F$3:F$388,C1042), 0), "")</f>
        <v>92</v>
      </c>
      <c r="H1042" s="18">
        <f t="shared" si="46"/>
        <v>16</v>
      </c>
      <c r="I1042" s="7">
        <v>60</v>
      </c>
      <c r="J1042" s="18">
        <f t="shared" si="44"/>
        <v>76</v>
      </c>
      <c r="K1042" s="10">
        <f t="shared" si="43"/>
        <v>72000</v>
      </c>
      <c r="L1042" s="21">
        <f t="shared" si="45"/>
        <v>82.608695652173907</v>
      </c>
    </row>
    <row r="1043" spans="1:12" s="72" customFormat="1" ht="25.95" customHeight="1">
      <c r="A1043" s="12">
        <v>1041</v>
      </c>
      <c r="B1043" s="6">
        <v>18</v>
      </c>
      <c r="C1043" s="6">
        <v>153</v>
      </c>
      <c r="D1043" s="20" t="str">
        <f>IF(C1043&lt;&gt;"", IFERROR(INDEX('بنود العقد'!B$3:B$388,C1043),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1250طول × عرض600 مم </v>
      </c>
      <c r="E1043" s="12" t="str">
        <f>IF(C1043&lt;&gt;"", IFERROR(INDEX('بنود العقد'!D$3:D$388,C1043), ""), "")</f>
        <v>عدد</v>
      </c>
      <c r="F1043" s="9">
        <f>IF(C1043&lt;&gt;"", IFERROR(INDEX('بنود العقد'!E$3:E$388,C1043), 0), "")</f>
        <v>1800</v>
      </c>
      <c r="G1043" s="9">
        <f>IF(C1043&lt;&gt;"", IFERROR(INDEX('بنود العقد'!F$3:F$388,C1043), 0), "")</f>
        <v>32</v>
      </c>
      <c r="H1043" s="18">
        <f t="shared" si="46"/>
        <v>12</v>
      </c>
      <c r="I1043" s="7">
        <v>6</v>
      </c>
      <c r="J1043" s="18">
        <f t="shared" si="44"/>
        <v>18</v>
      </c>
      <c r="K1043" s="10">
        <f t="shared" si="43"/>
        <v>10800</v>
      </c>
      <c r="L1043" s="21">
        <f t="shared" si="45"/>
        <v>56.25</v>
      </c>
    </row>
    <row r="1044" spans="1:12" s="72" customFormat="1" ht="25.95" customHeight="1">
      <c r="A1044" s="12">
        <v>1042</v>
      </c>
      <c r="B1044" s="6">
        <v>18</v>
      </c>
      <c r="C1044" s="6">
        <v>154</v>
      </c>
      <c r="D1044" s="20" t="str">
        <f>IF(C1044&lt;&gt;"", IFERROR(INDEX('بنود العقد'!B$3:B$388,C1044),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1200طول × عرض600 مم </v>
      </c>
      <c r="E1044" s="12" t="str">
        <f>IF(C1044&lt;&gt;"", IFERROR(INDEX('بنود العقد'!D$3:D$388,C1044), ""), "")</f>
        <v>عدد</v>
      </c>
      <c r="F1044" s="9">
        <f>IF(C1044&lt;&gt;"", IFERROR(INDEX('بنود العقد'!E$3:E$388,C1044), 0), "")</f>
        <v>1800</v>
      </c>
      <c r="G1044" s="9">
        <f>IF(C1044&lt;&gt;"", IFERROR(INDEX('بنود العقد'!F$3:F$388,C1044), 0), "")</f>
        <v>20</v>
      </c>
      <c r="H1044" s="18">
        <f t="shared" si="46"/>
        <v>4</v>
      </c>
      <c r="I1044" s="7">
        <v>8</v>
      </c>
      <c r="J1044" s="18">
        <f t="shared" si="44"/>
        <v>12</v>
      </c>
      <c r="K1044" s="10">
        <f t="shared" si="43"/>
        <v>14400</v>
      </c>
      <c r="L1044" s="21">
        <f t="shared" si="45"/>
        <v>60</v>
      </c>
    </row>
    <row r="1045" spans="1:12" s="72" customFormat="1" ht="25.95" customHeight="1">
      <c r="A1045" s="12">
        <v>1043</v>
      </c>
      <c r="B1045" s="6">
        <v>18</v>
      </c>
      <c r="C1045" s="6">
        <v>155</v>
      </c>
      <c r="D1045" s="20" t="str">
        <f>IF(C1045&lt;&gt;"", IFERROR(INDEX('بنود العقد'!B$3:B$388,C1045),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مقاس: 1000طولRef drawing: 07-MRA-DD-(as per floor number)-AR-700 to 703 عرض600 مم × </v>
      </c>
      <c r="E1045" s="12" t="str">
        <f>IF(C1045&lt;&gt;"", IFERROR(INDEX('بنود العقد'!D$3:D$388,C1045), ""), "")</f>
        <v>عدد</v>
      </c>
      <c r="F1045" s="9">
        <f>IF(C1045&lt;&gt;"", IFERROR(INDEX('بنود العقد'!E$3:E$388,C1045), 0), "")</f>
        <v>1200</v>
      </c>
      <c r="G1045" s="9">
        <f>IF(C1045&lt;&gt;"", IFERROR(INDEX('بنود العقد'!F$3:F$388,C1045), 0), "")</f>
        <v>22</v>
      </c>
      <c r="H1045" s="18">
        <f t="shared" si="46"/>
        <v>10</v>
      </c>
      <c r="I1045" s="7">
        <v>12</v>
      </c>
      <c r="J1045" s="18">
        <f t="shared" si="44"/>
        <v>22</v>
      </c>
      <c r="K1045" s="10">
        <f t="shared" si="43"/>
        <v>14400</v>
      </c>
      <c r="L1045" s="21">
        <f t="shared" si="45"/>
        <v>100</v>
      </c>
    </row>
    <row r="1046" spans="1:12" s="72" customFormat="1" ht="25.95" customHeight="1">
      <c r="A1046" s="12">
        <v>1044</v>
      </c>
      <c r="B1046" s="6">
        <v>18</v>
      </c>
      <c r="C1046" s="6">
        <v>156</v>
      </c>
      <c r="D1046" s="20" t="str">
        <f>IF(C1046&lt;&gt;"", IFERROR(INDEX('بنود العقد'!B$3:B$388,C1046),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المشرف.Ref drawing: 07-MRA-DD-(as per floor number)-AR-700 to 703 مقاس: 3800طول × عرض600 مم </v>
      </c>
      <c r="E1046" s="12" t="str">
        <f>IF(C1046&lt;&gt;"", IFERROR(INDEX('بنود العقد'!D$3:D$388,C1046), ""), "")</f>
        <v>عدد</v>
      </c>
      <c r="F1046" s="9">
        <f>IF(C1046&lt;&gt;"", IFERROR(INDEX('بنود العقد'!E$3:E$388,C1046), 0), "")</f>
        <v>6000</v>
      </c>
      <c r="G1046" s="9">
        <f>IF(C1046&lt;&gt;"", IFERROR(INDEX('بنود العقد'!F$3:F$388,C1046), 0), "")</f>
        <v>23</v>
      </c>
      <c r="H1046" s="18">
        <f t="shared" si="46"/>
        <v>7</v>
      </c>
      <c r="I1046" s="7">
        <v>13</v>
      </c>
      <c r="J1046" s="18">
        <f t="shared" si="44"/>
        <v>20</v>
      </c>
      <c r="K1046" s="10">
        <f t="shared" si="43"/>
        <v>78000</v>
      </c>
      <c r="L1046" s="21">
        <f t="shared" si="45"/>
        <v>86.956521739130437</v>
      </c>
    </row>
    <row r="1047" spans="1:12" s="72" customFormat="1" ht="25.95" customHeight="1">
      <c r="A1047" s="12">
        <v>1045</v>
      </c>
      <c r="B1047" s="6">
        <v>18</v>
      </c>
      <c r="C1047" s="6">
        <v>160</v>
      </c>
      <c r="D1047" s="20" t="str">
        <f>IF(C1047&lt;&gt;"", IFERROR(INDEX('بنود العقد'!B$3:B$388,C1047),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1250طول × عرض600 مم</v>
      </c>
      <c r="E1047" s="12" t="str">
        <f>IF(C1047&lt;&gt;"", IFERROR(INDEX('بنود العقد'!D$3:D$388,C1047), ""), "")</f>
        <v>عدد</v>
      </c>
      <c r="F1047" s="9">
        <f>IF(C1047&lt;&gt;"", IFERROR(INDEX('بنود العقد'!E$3:E$388,C1047), 0), "")</f>
        <v>1800</v>
      </c>
      <c r="G1047" s="9">
        <f>IF(C1047&lt;&gt;"", IFERROR(INDEX('بنود العقد'!F$3:F$388,C1047), 0), "")</f>
        <v>32</v>
      </c>
      <c r="H1047" s="18">
        <f t="shared" si="46"/>
        <v>0</v>
      </c>
      <c r="I1047" s="7">
        <v>12</v>
      </c>
      <c r="J1047" s="18">
        <f t="shared" si="44"/>
        <v>12</v>
      </c>
      <c r="K1047" s="10">
        <f t="shared" si="43"/>
        <v>21600</v>
      </c>
      <c r="L1047" s="21">
        <f t="shared" si="45"/>
        <v>37.5</v>
      </c>
    </row>
    <row r="1048" spans="1:12" s="72" customFormat="1" ht="25.95" customHeight="1">
      <c r="A1048" s="12">
        <v>1046</v>
      </c>
      <c r="B1048" s="6">
        <v>18</v>
      </c>
      <c r="C1048" s="6">
        <v>161</v>
      </c>
      <c r="D1048" s="20" t="str">
        <f>IF(C1048&lt;&gt;"", IFERROR(INDEX('بنود العقد'!B$3:B$388,C1048),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1200طول × عرض600 مم</v>
      </c>
      <c r="E1048" s="12" t="str">
        <f>IF(C1048&lt;&gt;"", IFERROR(INDEX('بنود العقد'!D$3:D$388,C1048), ""), "")</f>
        <v>عدد</v>
      </c>
      <c r="F1048" s="9">
        <f>IF(C1048&lt;&gt;"", IFERROR(INDEX('بنود العقد'!E$3:E$388,C1048), 0), "")</f>
        <v>1800</v>
      </c>
      <c r="G1048" s="9">
        <f>IF(C1048&lt;&gt;"", IFERROR(INDEX('بنود العقد'!F$3:F$388,C1048), 0), "")</f>
        <v>20</v>
      </c>
      <c r="H1048" s="18">
        <f t="shared" si="46"/>
        <v>2</v>
      </c>
      <c r="I1048" s="7">
        <v>9</v>
      </c>
      <c r="J1048" s="18">
        <f t="shared" si="44"/>
        <v>11</v>
      </c>
      <c r="K1048" s="10">
        <f t="shared" si="43"/>
        <v>16200</v>
      </c>
      <c r="L1048" s="21">
        <f t="shared" si="45"/>
        <v>55.000000000000007</v>
      </c>
    </row>
    <row r="1049" spans="1:12" s="72" customFormat="1" ht="25.95" customHeight="1">
      <c r="A1049" s="12">
        <v>1047</v>
      </c>
      <c r="B1049" s="6">
        <v>18</v>
      </c>
      <c r="C1049" s="6">
        <v>162</v>
      </c>
      <c r="D1049" s="20" t="str">
        <f>IF(C1049&lt;&gt;"", IFERROR(INDEX('بنود العقد'!B$3:B$388,C1049),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المشرف.Ref drawing: 07-MRA-DD-(as per floor number)-AR-700 to 703 مقاس: 1000طول × عرض600 مم</v>
      </c>
      <c r="E1049" s="12" t="str">
        <f>IF(C1049&lt;&gt;"", IFERROR(INDEX('بنود العقد'!D$3:D$388,C1049), ""), "")</f>
        <v>عدد</v>
      </c>
      <c r="F1049" s="9">
        <f>IF(C1049&lt;&gt;"", IFERROR(INDEX('بنود العقد'!E$3:E$388,C1049), 0), "")</f>
        <v>1800</v>
      </c>
      <c r="G1049" s="9">
        <f>IF(C1049&lt;&gt;"", IFERROR(INDEX('بنود العقد'!F$3:F$388,C1049), 0), "")</f>
        <v>22</v>
      </c>
      <c r="H1049" s="18">
        <f t="shared" si="46"/>
        <v>5</v>
      </c>
      <c r="I1049" s="7">
        <v>15</v>
      </c>
      <c r="J1049" s="18">
        <f t="shared" si="44"/>
        <v>20</v>
      </c>
      <c r="K1049" s="10">
        <f t="shared" si="43"/>
        <v>27000</v>
      </c>
      <c r="L1049" s="21">
        <f t="shared" si="45"/>
        <v>90.909090909090907</v>
      </c>
    </row>
    <row r="1050" spans="1:12" s="72" customFormat="1" ht="25.95" customHeight="1">
      <c r="A1050" s="12">
        <v>1048</v>
      </c>
      <c r="B1050" s="6">
        <v>18</v>
      </c>
      <c r="C1050" s="6">
        <v>175</v>
      </c>
      <c r="D1050" s="20" t="str">
        <f>IF(C1050&lt;&gt;"", IFERROR(INDEX('بنود العقد'!B$3:B$388,C1050), "⚠"), "")</f>
        <v>قواطع الحمامات مكونة من ألواح الفينوليك المضغوط ارتفاع 2 متر ذو المقاومة الشديدة للماء مع طبقة ميلامين بلون رمادي غامق مقاومة للخدش وسهلة التنظيف ، سمك الألواح هو  19 ملم ،. قواطع الحمامات تشمل إكسسوارات عالية الجودة ) مفصلات ذاتية الإغلاق وقفل ( والأبواب والاكسسوارات والعلاقات من الستانلس ستيل brushed finish وكل ما يلزم لانهاء العمل حسب الأصول الفنية والمواصفلت وتعليمات المهندس المشرف .</v>
      </c>
      <c r="E1050" s="12" t="str">
        <f>IF(C1050&lt;&gt;"", IFERROR(INDEX('بنود العقد'!D$3:D$388,C1050), ""), "")</f>
        <v>م²</v>
      </c>
      <c r="F1050" s="9">
        <f>IF(C1050&lt;&gt;"", IFERROR(INDEX('بنود العقد'!E$3:E$388,C1050), 0), "")</f>
        <v>780</v>
      </c>
      <c r="G1050" s="9">
        <f>IF(C1050&lt;&gt;"", IFERROR(INDEX('بنود العقد'!F$3:F$388,C1050), 0), "")</f>
        <v>611</v>
      </c>
      <c r="H1050" s="18">
        <f t="shared" si="46"/>
        <v>326</v>
      </c>
      <c r="I1050" s="7">
        <v>120</v>
      </c>
      <c r="J1050" s="18">
        <f t="shared" si="44"/>
        <v>446</v>
      </c>
      <c r="K1050" s="10">
        <f t="shared" si="43"/>
        <v>93600</v>
      </c>
      <c r="L1050" s="21">
        <f t="shared" si="45"/>
        <v>72.995090016366618</v>
      </c>
    </row>
    <row r="1051" spans="1:12" s="72" customFormat="1" ht="25.95" customHeight="1">
      <c r="A1051" s="12">
        <v>1049</v>
      </c>
      <c r="B1051" s="6">
        <v>18</v>
      </c>
      <c r="C1051" s="6">
        <v>176</v>
      </c>
      <c r="D1051" s="20" t="str">
        <f>IF(C1051&lt;&gt;"", IFERROR(INDEX('بنود العقد'!B$3:B$388,C1051),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1051" s="12" t="str">
        <f>IF(C1051&lt;&gt;"", IFERROR(INDEX('بنود العقد'!D$3:D$388,C1051), ""), "")</f>
        <v>م.ط</v>
      </c>
      <c r="F1051" s="9">
        <f>IF(C1051&lt;&gt;"", IFERROR(INDEX('بنود العقد'!E$3:E$388,C1051), 0), "")</f>
        <v>66</v>
      </c>
      <c r="G1051" s="9">
        <f>IF(C1051&lt;&gt;"", IFERROR(INDEX('بنود العقد'!F$3:F$388,C1051), 0), "")</f>
        <v>532</v>
      </c>
      <c r="H1051" s="18">
        <f t="shared" si="46"/>
        <v>1861</v>
      </c>
      <c r="I1051" s="7">
        <v>50</v>
      </c>
      <c r="J1051" s="18">
        <f t="shared" si="44"/>
        <v>1911</v>
      </c>
      <c r="K1051" s="10">
        <f t="shared" si="43"/>
        <v>3300</v>
      </c>
      <c r="L1051" s="21">
        <f t="shared" si="45"/>
        <v>359.21052631578948</v>
      </c>
    </row>
    <row r="1052" spans="1:12" s="72" customFormat="1" ht="25.95" customHeight="1">
      <c r="A1052" s="12">
        <v>1050</v>
      </c>
      <c r="B1052" s="6">
        <v>18</v>
      </c>
      <c r="C1052" s="6">
        <v>177</v>
      </c>
      <c r="D1052" s="20" t="str">
        <f>IF(C1052&lt;&gt;"", IFERROR(INDEX('بنود العقد'!B$3:B$388,C1052),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E1052" s="12" t="str">
        <f>IF(C1052&lt;&gt;"", IFERROR(INDEX('بنود العقد'!D$3:D$388,C1052), ""), "")</f>
        <v>م.ط</v>
      </c>
      <c r="F1052" s="9">
        <f>IF(C1052&lt;&gt;"", IFERROR(INDEX('بنود العقد'!E$3:E$388,C1052), 0), "")</f>
        <v>70.8</v>
      </c>
      <c r="G1052" s="9">
        <f>IF(C1052&lt;&gt;"", IFERROR(INDEX('بنود العقد'!F$3:F$388,C1052), 0), "")</f>
        <v>221</v>
      </c>
      <c r="H1052" s="18">
        <f t="shared" si="46"/>
        <v>423</v>
      </c>
      <c r="I1052" s="7">
        <v>27</v>
      </c>
      <c r="J1052" s="18">
        <f t="shared" si="44"/>
        <v>450</v>
      </c>
      <c r="K1052" s="10">
        <f t="shared" si="43"/>
        <v>1911.6</v>
      </c>
      <c r="L1052" s="21">
        <f t="shared" si="45"/>
        <v>203.61990950226243</v>
      </c>
    </row>
    <row r="1053" spans="1:12" s="72" customFormat="1" ht="25.95" customHeight="1">
      <c r="A1053" s="12">
        <v>1051</v>
      </c>
      <c r="B1053" s="6">
        <v>18</v>
      </c>
      <c r="C1053" s="6">
        <v>178</v>
      </c>
      <c r="D1053" s="20" t="str">
        <f>IF(C1053&lt;&gt;"", IFERROR(INDEX('بنود العقد'!B$3:B$388,C1053),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32مم</v>
      </c>
      <c r="E1053" s="12" t="str">
        <f>IF(C1053&lt;&gt;"", IFERROR(INDEX('بنود العقد'!D$3:D$388,C1053), ""), "")</f>
        <v>م.ط</v>
      </c>
      <c r="F1053" s="9">
        <f>IF(C1053&lt;&gt;"", IFERROR(INDEX('بنود العقد'!E$3:E$388,C1053), 0), "")</f>
        <v>102</v>
      </c>
      <c r="G1053" s="9">
        <f>IF(C1053&lt;&gt;"", IFERROR(INDEX('بنود العقد'!F$3:F$388,C1053), 0), "")</f>
        <v>207</v>
      </c>
      <c r="H1053" s="18">
        <f t="shared" si="46"/>
        <v>306</v>
      </c>
      <c r="I1053" s="7">
        <v>24</v>
      </c>
      <c r="J1053" s="18">
        <f t="shared" si="44"/>
        <v>330</v>
      </c>
      <c r="K1053" s="10">
        <f t="shared" si="43"/>
        <v>2448</v>
      </c>
      <c r="L1053" s="21">
        <f t="shared" si="45"/>
        <v>159.42028985507247</v>
      </c>
    </row>
    <row r="1054" spans="1:12" s="72" customFormat="1" ht="25.95" customHeight="1">
      <c r="A1054" s="12">
        <v>1052</v>
      </c>
      <c r="B1054" s="6">
        <v>18</v>
      </c>
      <c r="C1054" s="6">
        <v>179</v>
      </c>
      <c r="D1054" s="20" t="str">
        <f>IF(C1054&lt;&gt;"", IFERROR(INDEX('بنود العقد'!B$3:B$388,C1054),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40 مم</v>
      </c>
      <c r="E1054" s="12" t="str">
        <f>IF(C1054&lt;&gt;"", IFERROR(INDEX('بنود العقد'!D$3:D$388,C1054), ""), "")</f>
        <v>م.ط</v>
      </c>
      <c r="F1054" s="9">
        <f>IF(C1054&lt;&gt;"", IFERROR(INDEX('بنود العقد'!E$3:E$388,C1054), 0), "")</f>
        <v>85.2</v>
      </c>
      <c r="G1054" s="9">
        <f>IF(C1054&lt;&gt;"", IFERROR(INDEX('بنود العقد'!F$3:F$388,C1054), 0), "")</f>
        <v>103</v>
      </c>
      <c r="H1054" s="18">
        <f t="shared" si="46"/>
        <v>427</v>
      </c>
      <c r="I1054" s="7">
        <v>23</v>
      </c>
      <c r="J1054" s="18">
        <f t="shared" si="44"/>
        <v>450</v>
      </c>
      <c r="K1054" s="10">
        <f t="shared" si="43"/>
        <v>1959.6000000000001</v>
      </c>
      <c r="L1054" s="21">
        <f t="shared" si="45"/>
        <v>436.89320388349512</v>
      </c>
    </row>
    <row r="1055" spans="1:12" s="72" customFormat="1" ht="25.95" customHeight="1">
      <c r="A1055" s="12">
        <v>1053</v>
      </c>
      <c r="B1055" s="6">
        <v>18</v>
      </c>
      <c r="C1055" s="6">
        <v>181</v>
      </c>
      <c r="D1055" s="20" t="str">
        <f>IF(C1055&lt;&gt;"", IFERROR(INDEX('بنود العقد'!B$3:B$388,C1055),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1055" s="12" t="str">
        <f>IF(C1055&lt;&gt;"", IFERROR(INDEX('بنود العقد'!D$3:D$388,C1055), ""), "")</f>
        <v>م.ط</v>
      </c>
      <c r="F1055" s="9">
        <f>IF(C1055&lt;&gt;"", IFERROR(INDEX('بنود العقد'!E$3:E$388,C1055), 0), "")</f>
        <v>70.8</v>
      </c>
      <c r="G1055" s="9">
        <f>IF(C1055&lt;&gt;"", IFERROR(INDEX('بنود العقد'!F$3:F$388,C1055), 0), "")</f>
        <v>150</v>
      </c>
      <c r="H1055" s="18">
        <f t="shared" si="46"/>
        <v>1000</v>
      </c>
      <c r="I1055" s="7">
        <v>100</v>
      </c>
      <c r="J1055" s="18">
        <f t="shared" si="44"/>
        <v>1100</v>
      </c>
      <c r="K1055" s="10">
        <f t="shared" si="43"/>
        <v>7080</v>
      </c>
      <c r="L1055" s="21">
        <f t="shared" si="45"/>
        <v>733.33333333333326</v>
      </c>
    </row>
    <row r="1056" spans="1:12" s="72" customFormat="1" ht="25.95" customHeight="1">
      <c r="A1056" s="12">
        <v>1054</v>
      </c>
      <c r="B1056" s="6">
        <v>18</v>
      </c>
      <c r="C1056" s="6">
        <v>182</v>
      </c>
      <c r="D1056" s="20" t="str">
        <f>IF(C1056&lt;&gt;"", IFERROR(INDEX('بنود العقد'!B$3:B$388,C1056),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E1056" s="12" t="str">
        <f>IF(C1056&lt;&gt;"", IFERROR(INDEX('بنود العقد'!D$3:D$388,C1056), ""), "")</f>
        <v>م.ط</v>
      </c>
      <c r="F1056" s="9">
        <f>IF(C1056&lt;&gt;"", IFERROR(INDEX('بنود العقد'!E$3:E$388,C1056), 0), "")</f>
        <v>75.599999999999994</v>
      </c>
      <c r="G1056" s="9">
        <f>IF(C1056&lt;&gt;"", IFERROR(INDEX('بنود العقد'!F$3:F$388,C1056), 0), "")</f>
        <v>100</v>
      </c>
      <c r="H1056" s="18">
        <f t="shared" si="46"/>
        <v>105</v>
      </c>
      <c r="I1056" s="7">
        <v>25</v>
      </c>
      <c r="J1056" s="18">
        <f t="shared" si="44"/>
        <v>130</v>
      </c>
      <c r="K1056" s="10">
        <f t="shared" si="43"/>
        <v>1889.9999999999998</v>
      </c>
      <c r="L1056" s="21">
        <f t="shared" si="45"/>
        <v>130</v>
      </c>
    </row>
    <row r="1057" spans="1:12" s="72" customFormat="1" ht="25.95" customHeight="1">
      <c r="A1057" s="12">
        <v>1055</v>
      </c>
      <c r="B1057" s="6">
        <v>18</v>
      </c>
      <c r="C1057" s="6">
        <v>183</v>
      </c>
      <c r="D1057" s="20" t="str">
        <f>IF(C1057&lt;&gt;"", IFERROR(INDEX('بنود العقد'!B$3:B$388,C1057), "⚠"), "")</f>
        <v>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التالية:توريد و تركيب و اختبار سخان بسعة 30 لتر، وقدرة 2.1  كيلو وات، مرجع     1-EWH</v>
      </c>
      <c r="E1057" s="12" t="str">
        <f>IF(C1057&lt;&gt;"", IFERROR(INDEX('بنود العقد'!D$3:D$388,C1057), ""), "")</f>
        <v>عدد</v>
      </c>
      <c r="F1057" s="9">
        <f>IF(C1057&lt;&gt;"", IFERROR(INDEX('بنود العقد'!E$3:E$388,C1057), 0), "")</f>
        <v>672</v>
      </c>
      <c r="G1057" s="9">
        <f>IF(C1057&lt;&gt;"", IFERROR(INDEX('بنود العقد'!F$3:F$388,C1057), 0), "")</f>
        <v>77</v>
      </c>
      <c r="H1057" s="18">
        <f t="shared" si="46"/>
        <v>70</v>
      </c>
      <c r="I1057" s="7">
        <v>10</v>
      </c>
      <c r="J1057" s="18">
        <f t="shared" si="44"/>
        <v>80</v>
      </c>
      <c r="K1057" s="10">
        <f t="shared" si="43"/>
        <v>6720</v>
      </c>
      <c r="L1057" s="21">
        <f t="shared" si="45"/>
        <v>103.89610389610388</v>
      </c>
    </row>
    <row r="1058" spans="1:12" s="72" customFormat="1" ht="25.95" customHeight="1">
      <c r="A1058" s="12">
        <v>1056</v>
      </c>
      <c r="B1058" s="6">
        <v>18</v>
      </c>
      <c r="C1058" s="6">
        <v>184</v>
      </c>
      <c r="D1058" s="20" t="str">
        <f>IF(C1058&lt;&gt;"", IFERROR(INDEX('بنود العقد'!B$3:B$388,C1058), "⚠"), "")</f>
        <v>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التالية:اعادة تركيب و اختبار السخان الحالي بسعة 100 ليتر   بعد الكشف و المعاينة و الفحص حسب تعليمات مهندس المشرف</v>
      </c>
      <c r="E1058" s="12" t="str">
        <f>IF(C1058&lt;&gt;"", IFERROR(INDEX('بنود العقد'!D$3:D$388,C1058), ""), "")</f>
        <v>عدد</v>
      </c>
      <c r="F1058" s="9">
        <f>IF(C1058&lt;&gt;"", IFERROR(INDEX('بنود العقد'!E$3:E$388,C1058), 0), "")</f>
        <v>816</v>
      </c>
      <c r="G1058" s="9">
        <f>IF(C1058&lt;&gt;"", IFERROR(INDEX('بنود العقد'!F$3:F$388,C1058), 0), "")</f>
        <v>24</v>
      </c>
      <c r="H1058" s="18">
        <f t="shared" si="46"/>
        <v>24</v>
      </c>
      <c r="I1058" s="7">
        <v>2</v>
      </c>
      <c r="J1058" s="18">
        <f t="shared" si="44"/>
        <v>26</v>
      </c>
      <c r="K1058" s="10">
        <f t="shared" si="43"/>
        <v>1632</v>
      </c>
      <c r="L1058" s="21">
        <f t="shared" si="45"/>
        <v>108.33333333333333</v>
      </c>
    </row>
    <row r="1059" spans="1:12" s="72" customFormat="1" ht="25.95" customHeight="1">
      <c r="A1059" s="12">
        <v>1057</v>
      </c>
      <c r="B1059" s="6">
        <v>18</v>
      </c>
      <c r="C1059" s="6">
        <v>185</v>
      </c>
      <c r="D1059" s="20" t="str">
        <f>IF(C1059&lt;&gt;"", IFERROR(INDEX('بنود العقد'!B$3:B$388,C1059),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v>
      </c>
      <c r="E1059" s="12" t="str">
        <f>IF(C1059&lt;&gt;"", IFERROR(INDEX('بنود العقد'!D$3:D$388,C1059), ""), "")</f>
        <v>م.ط</v>
      </c>
      <c r="F1059" s="9">
        <f>IF(C1059&lt;&gt;"", IFERROR(INDEX('بنود العقد'!E$3:E$388,C1059), 0), "")</f>
        <v>75.599999999999994</v>
      </c>
      <c r="G1059" s="9">
        <f>IF(C1059&lt;&gt;"", IFERROR(INDEX('بنود العقد'!F$3:F$388,C1059), 0), "")</f>
        <v>426</v>
      </c>
      <c r="H1059" s="18">
        <f t="shared" si="46"/>
        <v>2064</v>
      </c>
      <c r="I1059" s="7">
        <v>300</v>
      </c>
      <c r="J1059" s="18">
        <f t="shared" si="44"/>
        <v>2364</v>
      </c>
      <c r="K1059" s="10">
        <f t="shared" si="43"/>
        <v>22680</v>
      </c>
      <c r="L1059" s="21">
        <f t="shared" si="45"/>
        <v>554.92957746478874</v>
      </c>
    </row>
    <row r="1060" spans="1:12" s="72" customFormat="1" ht="25.95" customHeight="1">
      <c r="A1060" s="12">
        <v>1058</v>
      </c>
      <c r="B1060" s="6">
        <v>18</v>
      </c>
      <c r="C1060" s="6">
        <v>186</v>
      </c>
      <c r="D1060" s="20" t="str">
        <f>IF(C1060&lt;&gt;"", IFERROR(INDEX('بنود العقد'!B$3:B$388,C1060),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75 مم</v>
      </c>
      <c r="E1060" s="12" t="str">
        <f>IF(C1060&lt;&gt;"", IFERROR(INDEX('بنود العقد'!D$3:D$388,C1060), ""), "")</f>
        <v>م.ط</v>
      </c>
      <c r="F1060" s="9">
        <f>IF(C1060&lt;&gt;"", IFERROR(INDEX('بنود العقد'!E$3:E$388,C1060), 0), "")</f>
        <v>91.2</v>
      </c>
      <c r="G1060" s="9">
        <f>IF(C1060&lt;&gt;"", IFERROR(INDEX('بنود العقد'!F$3:F$388,C1060), 0), "")</f>
        <v>934</v>
      </c>
      <c r="H1060" s="18">
        <f t="shared" si="46"/>
        <v>948</v>
      </c>
      <c r="I1060" s="7">
        <v>40</v>
      </c>
      <c r="J1060" s="18">
        <f t="shared" si="44"/>
        <v>988</v>
      </c>
      <c r="K1060" s="10">
        <f t="shared" si="43"/>
        <v>3648</v>
      </c>
      <c r="L1060" s="21">
        <f t="shared" si="45"/>
        <v>105.78158458244111</v>
      </c>
    </row>
    <row r="1061" spans="1:12" s="72" customFormat="1" ht="25.95" customHeight="1">
      <c r="A1061" s="12">
        <v>1059</v>
      </c>
      <c r="B1061" s="6">
        <v>18</v>
      </c>
      <c r="C1061" s="6">
        <v>187</v>
      </c>
      <c r="D1061" s="20" t="str">
        <f>IF(C1061&lt;&gt;"", IFERROR(INDEX('بنود العقد'!B$3:B$388,C1061),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v>
      </c>
      <c r="E1061" s="12" t="str">
        <f>IF(C1061&lt;&gt;"", IFERROR(INDEX('بنود العقد'!D$3:D$388,C1061), ""), "")</f>
        <v>م.ط</v>
      </c>
      <c r="F1061" s="9">
        <f>IF(C1061&lt;&gt;"", IFERROR(INDEX('بنود العقد'!E$3:E$388,C1061), 0), "")</f>
        <v>102</v>
      </c>
      <c r="G1061" s="9">
        <f>IF(C1061&lt;&gt;"", IFERROR(INDEX('بنود العقد'!F$3:F$388,C1061), 0), "")</f>
        <v>961</v>
      </c>
      <c r="H1061" s="18">
        <f t="shared" si="46"/>
        <v>2500</v>
      </c>
      <c r="I1061" s="7">
        <v>500</v>
      </c>
      <c r="J1061" s="18">
        <f t="shared" si="44"/>
        <v>3000</v>
      </c>
      <c r="K1061" s="10">
        <f t="shared" si="43"/>
        <v>51000</v>
      </c>
      <c r="L1061" s="21">
        <f t="shared" si="45"/>
        <v>312.17481789802292</v>
      </c>
    </row>
    <row r="1062" spans="1:12" s="72" customFormat="1" ht="25.95" customHeight="1">
      <c r="A1062" s="12">
        <v>1060</v>
      </c>
      <c r="B1062" s="6">
        <v>18</v>
      </c>
      <c r="C1062" s="6">
        <v>188</v>
      </c>
      <c r="D1062" s="20" t="str">
        <f>IF(C1062&lt;&gt;"", IFERROR(INDEX('بنود العقد'!B$3:B$388,C1062), "⚠"), "")</f>
        <v>صفاية أرضية )FD(، من PVC مع مصفاة معدنية  مطلية بالكروم شاملة سيفون كما هو موصف بالمقاسات التالية:مخرج قطر 75 مم</v>
      </c>
      <c r="E1062" s="12" t="str">
        <f>IF(C1062&lt;&gt;"", IFERROR(INDEX('بنود العقد'!D$3:D$388,C1062), ""), "")</f>
        <v>عدد</v>
      </c>
      <c r="F1062" s="9">
        <f>IF(C1062&lt;&gt;"", IFERROR(INDEX('بنود العقد'!E$3:E$388,C1062), 0), "")</f>
        <v>300</v>
      </c>
      <c r="G1062" s="9">
        <f>IF(C1062&lt;&gt;"", IFERROR(INDEX('بنود العقد'!F$3:F$388,C1062), 0), "")</f>
        <v>161</v>
      </c>
      <c r="H1062" s="18">
        <f t="shared" si="46"/>
        <v>136</v>
      </c>
      <c r="I1062" s="7">
        <v>55</v>
      </c>
      <c r="J1062" s="18">
        <f t="shared" si="44"/>
        <v>191</v>
      </c>
      <c r="K1062" s="10">
        <f t="shared" si="43"/>
        <v>16500</v>
      </c>
      <c r="L1062" s="21">
        <f t="shared" si="45"/>
        <v>118.63354037267079</v>
      </c>
    </row>
    <row r="1063" spans="1:12" s="72" customFormat="1" ht="25.95" customHeight="1">
      <c r="A1063" s="12">
        <v>1061</v>
      </c>
      <c r="B1063" s="6">
        <v>18</v>
      </c>
      <c r="C1063" s="6">
        <v>190</v>
      </c>
      <c r="D1063" s="20" t="str">
        <f>IF(C1063&lt;&gt;"", IFERROR(INDEX('بنود العقد'!B$3:B$388,C1063),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:حوض وجه على رخامة )مرجع 1-LAV ( من نفس نوع الرخام الصناعي كوريان للكاونتر والكاونتر محسوب في بند منفصل</v>
      </c>
      <c r="E1063" s="12" t="str">
        <f>IF(C1063&lt;&gt;"", IFERROR(INDEX('بنود العقد'!D$3:D$388,C1063), ""), "")</f>
        <v>عدد</v>
      </c>
      <c r="F1063" s="9">
        <f>IF(C1063&lt;&gt;"", IFERROR(INDEX('بنود العقد'!E$3:E$388,C1063), 0), "")</f>
        <v>2640</v>
      </c>
      <c r="G1063" s="9">
        <f>IF(C1063&lt;&gt;"", IFERROR(INDEX('بنود العقد'!F$3:F$388,C1063), 0), "")</f>
        <v>68</v>
      </c>
      <c r="H1063" s="18">
        <f t="shared" si="46"/>
        <v>32</v>
      </c>
      <c r="I1063" s="7">
        <v>27</v>
      </c>
      <c r="J1063" s="18">
        <f t="shared" si="44"/>
        <v>59</v>
      </c>
      <c r="K1063" s="10">
        <f t="shared" si="43"/>
        <v>71280</v>
      </c>
      <c r="L1063" s="21">
        <f t="shared" si="45"/>
        <v>86.764705882352942</v>
      </c>
    </row>
    <row r="1064" spans="1:12" s="72" customFormat="1" ht="25.95" customHeight="1">
      <c r="A1064" s="12">
        <v>1062</v>
      </c>
      <c r="B1064" s="6">
        <v>18</v>
      </c>
      <c r="C1064" s="6">
        <v>193</v>
      </c>
      <c r="D1064" s="20" t="str">
        <f>IF(C1064&lt;&gt;"", IFERROR(INDEX('بنود العقد'!B$3:B$388,C1064), "⚠"), "")</f>
        <v>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وجه يركب على الكاونتر )مرجع 3-LAV (</v>
      </c>
      <c r="E1064" s="12" t="str">
        <f>IF(C1064&lt;&gt;"", IFERROR(INDEX('بنود العقد'!D$3:D$388,C1064), ""), "")</f>
        <v>عدد</v>
      </c>
      <c r="F1064" s="9">
        <f>IF(C1064&lt;&gt;"", IFERROR(INDEX('بنود العقد'!E$3:E$388,C1064), 0), "")</f>
        <v>2220</v>
      </c>
      <c r="G1064" s="9">
        <f>IF(C1064&lt;&gt;"", IFERROR(INDEX('بنود العقد'!F$3:F$388,C1064), 0), "")</f>
        <v>92</v>
      </c>
      <c r="H1064" s="18">
        <f t="shared" si="46"/>
        <v>50</v>
      </c>
      <c r="I1064" s="7">
        <v>47</v>
      </c>
      <c r="J1064" s="18">
        <f t="shared" si="44"/>
        <v>97</v>
      </c>
      <c r="K1064" s="10">
        <f t="shared" si="43"/>
        <v>104340</v>
      </c>
      <c r="L1064" s="21">
        <f t="shared" si="45"/>
        <v>105.43478260869566</v>
      </c>
    </row>
    <row r="1065" spans="1:12" s="72" customFormat="1" ht="25.95" customHeight="1">
      <c r="A1065" s="12">
        <v>1063</v>
      </c>
      <c r="B1065" s="6">
        <v>18</v>
      </c>
      <c r="C1065" s="6">
        <v>195</v>
      </c>
      <c r="D1065" s="20" t="str">
        <f>IF(C1065&lt;&gt;"", IFERROR(INDEX('بنود العقد'!B$3:B$388,C1065),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افرنجي ) مرجع 2-WWC (  مثبت على الحائط بخزان  طرد مخفي مع زر دفق من الصلب الذي لا يصدأ - مع غطاء للمرحاض مقاوم للبكتريا من نوع soft closing</v>
      </c>
      <c r="E1065" s="12" t="str">
        <f>IF(C1065&lt;&gt;"", IFERROR(INDEX('بنود العقد'!D$3:D$388,C1065), ""), "")</f>
        <v>عدد</v>
      </c>
      <c r="F1065" s="9">
        <f>IF(C1065&lt;&gt;"", IFERROR(INDEX('بنود العقد'!E$3:E$388,C1065), 0), "")</f>
        <v>2760</v>
      </c>
      <c r="G1065" s="9">
        <f>IF(C1065&lt;&gt;"", IFERROR(INDEX('بنود العقد'!F$3:F$388,C1065), 0), "")</f>
        <v>55</v>
      </c>
      <c r="H1065" s="18">
        <f t="shared" si="46"/>
        <v>30</v>
      </c>
      <c r="I1065" s="7">
        <v>15</v>
      </c>
      <c r="J1065" s="18">
        <f t="shared" si="44"/>
        <v>45</v>
      </c>
      <c r="K1065" s="10">
        <f t="shared" si="43"/>
        <v>41400</v>
      </c>
      <c r="L1065" s="21">
        <f t="shared" si="45"/>
        <v>81.818181818181827</v>
      </c>
    </row>
    <row r="1066" spans="1:12" s="72" customFormat="1" ht="25.95" customHeight="1">
      <c r="A1066" s="12">
        <v>1064</v>
      </c>
      <c r="B1066" s="6">
        <v>18</v>
      </c>
      <c r="C1066" s="6">
        <v>196</v>
      </c>
      <c r="D1066" s="20" t="str">
        <f>IF(C1066&lt;&gt;"", IFERROR(INDEX('بنود العقد'!B$3:B$388,C1066),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شرقي )مرجع EWC( مثبت على الحائط بخزان  طرد مخفي مع زر دفق من الصلب الذي لا يصدأ،</v>
      </c>
      <c r="E1066" s="12" t="str">
        <f>IF(C1066&lt;&gt;"", IFERROR(INDEX('بنود العقد'!D$3:D$388,C1066), ""), "")</f>
        <v>عدد</v>
      </c>
      <c r="F1066" s="9">
        <f>IF(C1066&lt;&gt;"", IFERROR(INDEX('بنود العقد'!E$3:E$388,C1066), 0), "")</f>
        <v>2160</v>
      </c>
      <c r="G1066" s="9">
        <f>IF(C1066&lt;&gt;"", IFERROR(INDEX('بنود العقد'!F$3:F$388,C1066), 0), "")</f>
        <v>23</v>
      </c>
      <c r="H1066" s="18">
        <f t="shared" si="46"/>
        <v>10</v>
      </c>
      <c r="I1066" s="7">
        <v>14</v>
      </c>
      <c r="J1066" s="18">
        <f t="shared" si="44"/>
        <v>24</v>
      </c>
      <c r="K1066" s="10">
        <f t="shared" si="43"/>
        <v>30240</v>
      </c>
      <c r="L1066" s="21">
        <f t="shared" si="45"/>
        <v>104.34782608695652</v>
      </c>
    </row>
    <row r="1067" spans="1:12" s="72" customFormat="1" ht="25.95" customHeight="1">
      <c r="A1067" s="12">
        <v>1065</v>
      </c>
      <c r="B1067" s="6">
        <v>18</v>
      </c>
      <c r="C1067" s="6">
        <v>197</v>
      </c>
      <c r="D1067" s="20" t="str">
        <f>IF(C1067&lt;&gt;"", IFERROR(INDEX('بنود العقد'!B$3:B$388,C1067),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:مقبض رشاش مع الخرطوم وأداة التعليق، مرجع PS</v>
      </c>
      <c r="E1067" s="12" t="str">
        <f>IF(C1067&lt;&gt;"", IFERROR(INDEX('بنود العقد'!D$3:D$388,C1067), ""), "")</f>
        <v>عدد</v>
      </c>
      <c r="F1067" s="9">
        <f>IF(C1067&lt;&gt;"", IFERROR(INDEX('بنود العقد'!E$3:E$388,C1067), 0), "")</f>
        <v>180</v>
      </c>
      <c r="G1067" s="9">
        <f>IF(C1067&lt;&gt;"", IFERROR(INDEX('بنود العقد'!F$3:F$388,C1067), 0), "")</f>
        <v>191</v>
      </c>
      <c r="H1067" s="18">
        <f t="shared" si="46"/>
        <v>82</v>
      </c>
      <c r="I1067" s="7">
        <v>70</v>
      </c>
      <c r="J1067" s="18">
        <f t="shared" si="44"/>
        <v>152</v>
      </c>
      <c r="K1067" s="10">
        <f t="shared" si="43"/>
        <v>12600</v>
      </c>
      <c r="L1067" s="21">
        <f t="shared" si="45"/>
        <v>79.581151832460733</v>
      </c>
    </row>
    <row r="1068" spans="1:12" s="72" customFormat="1" ht="25.95" customHeight="1">
      <c r="A1068" s="12">
        <v>1066</v>
      </c>
      <c r="B1068" s="6">
        <v>18</v>
      </c>
      <c r="C1068" s="6">
        <v>198</v>
      </c>
      <c r="D1068" s="20" t="str">
        <f>IF(C1068&lt;&gt;"", IFERROR(INDEX('بنود العقد'!B$3:B$388,C1068),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:خلاط مياة  يركب على الحوض</v>
      </c>
      <c r="E1068" s="12" t="str">
        <f>IF(C1068&lt;&gt;"", IFERROR(INDEX('بنود العقد'!D$3:D$388,C1068), ""), "")</f>
        <v>عدد</v>
      </c>
      <c r="F1068" s="9">
        <f>IF(C1068&lt;&gt;"", IFERROR(INDEX('بنود العقد'!E$3:E$388,C1068), 0), "")</f>
        <v>1080</v>
      </c>
      <c r="G1068" s="9">
        <f>IF(C1068&lt;&gt;"", IFERROR(INDEX('بنود العقد'!F$3:F$388,C1068), 0), "")</f>
        <v>208</v>
      </c>
      <c r="H1068" s="18">
        <f t="shared" si="46"/>
        <v>117</v>
      </c>
      <c r="I1068" s="7">
        <v>95</v>
      </c>
      <c r="J1068" s="18">
        <f t="shared" si="44"/>
        <v>212</v>
      </c>
      <c r="K1068" s="10">
        <f t="shared" si="43"/>
        <v>102600</v>
      </c>
      <c r="L1068" s="21">
        <f t="shared" si="45"/>
        <v>101.92307692307692</v>
      </c>
    </row>
    <row r="1069" spans="1:12" s="72" customFormat="1" ht="25.95" customHeight="1">
      <c r="A1069" s="12">
        <v>1067</v>
      </c>
      <c r="B1069" s="6">
        <v>18</v>
      </c>
      <c r="C1069" s="6">
        <v>204</v>
      </c>
      <c r="D1069" s="20" t="str">
        <f>IF(C1069&lt;&gt;"", IFERROR(INDEX('بنود العقد'!B$3:B$388,C1069),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77</v>
      </c>
      <c r="E1069" s="12" t="str">
        <f>IF(C1069&lt;&gt;"", IFERROR(INDEX('بنود العقد'!D$3:D$388,C1069), ""), "")</f>
        <v>م.ط</v>
      </c>
      <c r="F1069" s="9">
        <f>IF(C1069&lt;&gt;"", IFERROR(INDEX('بنود العقد'!E$3:E$388,C1069), 0), "")</f>
        <v>288</v>
      </c>
      <c r="G1069" s="9">
        <f>IF(C1069&lt;&gt;"", IFERROR(INDEX('بنود العقد'!F$3:F$388,C1069), 0), "")</f>
        <v>110</v>
      </c>
      <c r="H1069" s="18">
        <f t="shared" si="46"/>
        <v>429</v>
      </c>
      <c r="I1069" s="7">
        <v>30</v>
      </c>
      <c r="J1069" s="18">
        <f t="shared" si="44"/>
        <v>459</v>
      </c>
      <c r="K1069" s="10">
        <f t="shared" si="43"/>
        <v>8640</v>
      </c>
      <c r="L1069" s="21">
        <f t="shared" si="45"/>
        <v>417.27272727272731</v>
      </c>
    </row>
    <row r="1070" spans="1:12" s="72" customFormat="1" ht="25.95" customHeight="1">
      <c r="A1070" s="12">
        <v>1068</v>
      </c>
      <c r="B1070" s="6">
        <v>18</v>
      </c>
      <c r="C1070" s="6">
        <v>206</v>
      </c>
      <c r="D1070" s="20" t="str">
        <f>IF(C1070&lt;&gt;"", IFERROR(INDEX('بنود العقد'!B$3:B$388,C1070),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141</v>
      </c>
      <c r="E1070" s="12" t="str">
        <f>IF(C1070&lt;&gt;"", IFERROR(INDEX('بنود العقد'!D$3:D$388,C1070), ""), "")</f>
        <v>م.ط</v>
      </c>
      <c r="F1070" s="9">
        <f>IF(C1070&lt;&gt;"", IFERROR(INDEX('بنود العقد'!E$3:E$388,C1070), 0), "")</f>
        <v>360</v>
      </c>
      <c r="G1070" s="9">
        <f>IF(C1070&lt;&gt;"", IFERROR(INDEX('بنود العقد'!F$3:F$388,C1070), 0), "")</f>
        <v>200</v>
      </c>
      <c r="H1070" s="18">
        <f t="shared" si="46"/>
        <v>622</v>
      </c>
      <c r="I1070" s="7">
        <v>35</v>
      </c>
      <c r="J1070" s="18">
        <f t="shared" si="44"/>
        <v>657</v>
      </c>
      <c r="K1070" s="10">
        <f t="shared" si="43"/>
        <v>12600</v>
      </c>
      <c r="L1070" s="21">
        <f t="shared" si="45"/>
        <v>328.5</v>
      </c>
    </row>
    <row r="1071" spans="1:12" s="72" customFormat="1" ht="25.95" customHeight="1">
      <c r="A1071" s="12">
        <v>1069</v>
      </c>
      <c r="B1071" s="6">
        <v>18</v>
      </c>
      <c r="C1071" s="6">
        <v>215</v>
      </c>
      <c r="D1071" s="20" t="str">
        <f>IF(C1071&lt;&gt;"", IFERROR(INDEX('بنود العقد'!B$3:B$388,C1071), "⚠"), "")</f>
        <v>توريد و تركيب و اختبار رشاشات آلية اوتوماتيكية كما هو موصف رشاشات من النوع المخفي، ذات فتحة 2/1 بوصة، ومعامل 5.6 =K   ودرجة حرارة تشغيل 68 درجة مئوية</v>
      </c>
      <c r="E1071" s="12" t="str">
        <f>IF(C1071&lt;&gt;"", IFERROR(INDEX('بنود العقد'!D$3:D$388,C1071), ""), "")</f>
        <v>عدد</v>
      </c>
      <c r="F1071" s="9">
        <f>IF(C1071&lt;&gt;"", IFERROR(INDEX('بنود العقد'!E$3:E$388,C1071), 0), "")</f>
        <v>90</v>
      </c>
      <c r="G1071" s="9">
        <f>IF(C1071&lt;&gt;"", IFERROR(INDEX('بنود العقد'!F$3:F$388,C1071), 0), "")</f>
        <v>1000</v>
      </c>
      <c r="H1071" s="18">
        <f t="shared" si="46"/>
        <v>1151</v>
      </c>
      <c r="I1071" s="7">
        <v>900</v>
      </c>
      <c r="J1071" s="18">
        <f t="shared" si="44"/>
        <v>2051</v>
      </c>
      <c r="K1071" s="10">
        <f t="shared" si="43"/>
        <v>81000</v>
      </c>
      <c r="L1071" s="21">
        <f t="shared" si="45"/>
        <v>205.10000000000002</v>
      </c>
    </row>
    <row r="1072" spans="1:12" s="72" customFormat="1" ht="25.95" customHeight="1">
      <c r="A1072" s="12">
        <v>1070</v>
      </c>
      <c r="B1072" s="6">
        <v>18</v>
      </c>
      <c r="C1072" s="6">
        <v>216</v>
      </c>
      <c r="D1072" s="20" t="str">
        <f>IF(C1072&lt;&gt;"", IFERROR(INDEX('بنود العقد'!B$3:B$388,C1072), "⚠"), "")</f>
        <v>توريد و تركيب و اختبار رشاشات آلية اوتوماتيكية كما هو موصف رشاشات عامودية، ذات فتحة 2/1 بوصة، ومعامل 5.6 =K   ودرجة حرارة تشغيل 68 درجة مئوية</v>
      </c>
      <c r="E1072" s="12" t="str">
        <f>IF(C1072&lt;&gt;"", IFERROR(INDEX('بنود العقد'!D$3:D$388,C1072), ""), "")</f>
        <v>عدد</v>
      </c>
      <c r="F1072" s="9">
        <f>IF(C1072&lt;&gt;"", IFERROR(INDEX('بنود العقد'!E$3:E$388,C1072), 0), "")</f>
        <v>90</v>
      </c>
      <c r="G1072" s="9">
        <f>IF(C1072&lt;&gt;"", IFERROR(INDEX('بنود العقد'!F$3:F$388,C1072), 0), "")</f>
        <v>508</v>
      </c>
      <c r="H1072" s="18">
        <f t="shared" si="46"/>
        <v>575</v>
      </c>
      <c r="I1072" s="7">
        <v>90</v>
      </c>
      <c r="J1072" s="18">
        <f t="shared" si="44"/>
        <v>665</v>
      </c>
      <c r="K1072" s="10">
        <f t="shared" si="43"/>
        <v>8100</v>
      </c>
      <c r="L1072" s="21">
        <f t="shared" si="45"/>
        <v>130.90551181102362</v>
      </c>
    </row>
    <row r="1073" spans="1:12" s="72" customFormat="1" ht="25.95" customHeight="1">
      <c r="A1073" s="12">
        <v>1071</v>
      </c>
      <c r="B1073" s="6">
        <v>18</v>
      </c>
      <c r="C1073" s="6">
        <v>219</v>
      </c>
      <c r="D1073" s="20" t="str">
        <f>IF(C1073&lt;&gt;"", IFERROR(INDEX('بنود العقد'!B$3:B$388,C1073), "⚠"), "")</f>
        <v>توريد و تركيب كبائن مكافحة الحريق class II مزوده بمحبس 5.1 بوصة و خرطوم قماشي من مادةمعتمدة و ايضا بها طفاية حريق ABC  سعة 6 كيلو</v>
      </c>
      <c r="E1073" s="12" t="str">
        <f>IF(C1073&lt;&gt;"", IFERROR(INDEX('بنود العقد'!D$3:D$388,C1073), ""), "")</f>
        <v>عدد</v>
      </c>
      <c r="F1073" s="9">
        <f>IF(C1073&lt;&gt;"", IFERROR(INDEX('بنود العقد'!E$3:E$388,C1073), 0), "")</f>
        <v>4800</v>
      </c>
      <c r="G1073" s="9">
        <f>IF(C1073&lt;&gt;"", IFERROR(INDEX('بنود العقد'!F$3:F$388,C1073), 0), "")</f>
        <v>30</v>
      </c>
      <c r="H1073" s="18">
        <f t="shared" si="46"/>
        <v>13</v>
      </c>
      <c r="I1073" s="7">
        <v>10</v>
      </c>
      <c r="J1073" s="18">
        <f t="shared" si="44"/>
        <v>23</v>
      </c>
      <c r="K1073" s="10">
        <f t="shared" si="43"/>
        <v>48000</v>
      </c>
      <c r="L1073" s="21">
        <f t="shared" si="45"/>
        <v>76.666666666666671</v>
      </c>
    </row>
    <row r="1074" spans="1:12" s="72" customFormat="1" ht="25.95" customHeight="1">
      <c r="A1074" s="12">
        <v>1072</v>
      </c>
      <c r="B1074" s="6">
        <v>18</v>
      </c>
      <c r="C1074" s="6">
        <v>230</v>
      </c>
      <c r="D1074" s="20" t="str">
        <f>IF(C1074&lt;&gt;"", IFERROR(INDEX('بنود العقد'!B$3:B$388,C1074),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E1074" s="12" t="str">
        <f>IF(C1074&lt;&gt;"", IFERROR(INDEX('بنود العقد'!D$3:D$388,C1074), ""), "")</f>
        <v>م.ط</v>
      </c>
      <c r="F1074" s="9">
        <f>IF(C1074&lt;&gt;"", IFERROR(INDEX('بنود العقد'!E$3:E$388,C1074), 0), "")</f>
        <v>300</v>
      </c>
      <c r="G1074" s="9">
        <f>IF(C1074&lt;&gt;"", IFERROR(INDEX('بنود العقد'!F$3:F$388,C1074), 0), "")</f>
        <v>7000</v>
      </c>
      <c r="H1074" s="18">
        <f t="shared" si="46"/>
        <v>11918</v>
      </c>
      <c r="I1074" s="7">
        <v>1050</v>
      </c>
      <c r="J1074" s="18">
        <f t="shared" si="44"/>
        <v>12968</v>
      </c>
      <c r="K1074" s="10">
        <f t="shared" si="43"/>
        <v>315000</v>
      </c>
      <c r="L1074" s="21">
        <f t="shared" si="45"/>
        <v>185.25714285714287</v>
      </c>
    </row>
    <row r="1075" spans="1:12" s="72" customFormat="1" ht="25.95" customHeight="1">
      <c r="A1075" s="12">
        <v>1073</v>
      </c>
      <c r="B1075" s="6">
        <v>18</v>
      </c>
      <c r="C1075" s="6">
        <v>231</v>
      </c>
      <c r="D1075" s="20" t="str">
        <f>IF(C1075&lt;&gt;"", IFERROR(INDEX('بنود العقد'!B$3:B$388,C1075), "⚠"), "")</f>
        <v>ناشرة هواء ذات فتحات طولية  للهواء الداخل مصنعة من الألمنيوم المشكل بالبثق ومطلية بمسحوق البولستركاملة، مخمدات صوت ذات أرياش متضادّة ،وصندوق حجمى معزول من الداخل بعازل صوتى وميكانيزم للتحكم فى الهواء من واجهة الناشر وكل قطع الأكسسوار حسب المواصفات والمخططات مع توفير عينات للاعتماد من مهندس المشرف. ثلاثة فتحات / ثقب 25مم عرض</v>
      </c>
      <c r="E1075" s="12" t="str">
        <f>IF(C1075&lt;&gt;"", IFERROR(INDEX('بنود العقد'!D$3:D$388,C1075), ""), "")</f>
        <v>م.ط</v>
      </c>
      <c r="F1075" s="9">
        <f>IF(C1075&lt;&gt;"", IFERROR(INDEX('بنود العقد'!E$3:E$388,C1075), 0), "")</f>
        <v>480</v>
      </c>
      <c r="G1075" s="9">
        <f>IF(C1075&lt;&gt;"", IFERROR(INDEX('بنود العقد'!F$3:F$388,C1075), 0), "")</f>
        <v>1925</v>
      </c>
      <c r="H1075" s="18">
        <f t="shared" si="46"/>
        <v>1100</v>
      </c>
      <c r="I1075" s="7">
        <v>400</v>
      </c>
      <c r="J1075" s="18">
        <f t="shared" si="44"/>
        <v>1500</v>
      </c>
      <c r="K1075" s="10">
        <f t="shared" si="43"/>
        <v>192000</v>
      </c>
      <c r="L1075" s="21">
        <f t="shared" si="45"/>
        <v>77.922077922077932</v>
      </c>
    </row>
    <row r="1076" spans="1:12" s="72" customFormat="1" ht="25.95" customHeight="1">
      <c r="A1076" s="12">
        <v>1074</v>
      </c>
      <c r="B1076" s="6">
        <v>18</v>
      </c>
      <c r="C1076" s="6">
        <v>232</v>
      </c>
      <c r="D1076" s="20" t="str">
        <f>IF(C1076&lt;&gt;"", IFERROR(INDEX('بنود العقد'!B$3:B$388,C1076), "⚠"), "")</f>
        <v>ناشرة هواء ذات فتحات طولية للهواء الراجع مصنعة من الألمنيوم المشكل بالبثق ومطلية بمسحوق البولستركاملة، وكل قطع الأكسسوار حسب المواصفات والمخططات مع توفير عينات للاعتماد من مهندس المشرف. ثلاثة فتحات / ثقب 25مم عرض</v>
      </c>
      <c r="E1076" s="12" t="str">
        <f>IF(C1076&lt;&gt;"", IFERROR(INDEX('بنود العقد'!D$3:D$388,C1076), ""), "")</f>
        <v>م.ط</v>
      </c>
      <c r="F1076" s="9">
        <f>IF(C1076&lt;&gt;"", IFERROR(INDEX('بنود العقد'!E$3:E$388,C1076), 0), "")</f>
        <v>480</v>
      </c>
      <c r="G1076" s="9">
        <f>IF(C1076&lt;&gt;"", IFERROR(INDEX('بنود العقد'!F$3:F$388,C1076), 0), "")</f>
        <v>1925</v>
      </c>
      <c r="H1076" s="18">
        <f t="shared" si="46"/>
        <v>1139</v>
      </c>
      <c r="I1076" s="7">
        <v>450</v>
      </c>
      <c r="J1076" s="18">
        <f t="shared" si="44"/>
        <v>1589</v>
      </c>
      <c r="K1076" s="10">
        <f t="shared" si="43"/>
        <v>216000</v>
      </c>
      <c r="L1076" s="21">
        <f t="shared" si="45"/>
        <v>82.545454545454547</v>
      </c>
    </row>
    <row r="1077" spans="1:12" s="72" customFormat="1" ht="25.95" customHeight="1">
      <c r="A1077" s="12">
        <v>1075</v>
      </c>
      <c r="B1077" s="6">
        <v>18</v>
      </c>
      <c r="C1077" s="6">
        <v>233</v>
      </c>
      <c r="D1077" s="20" t="str">
        <f>IF(C1077&lt;&gt;"", IFERROR(INDEX('بنود العقد'!B$3:B$388,C1077), "⚠"), "")</f>
        <v xml:space="preserve"> جريلات تغذية من الالومينيوم مغطاة ببودرة البوليستر كاملة وجميع الملحقات حسب المخططات..والمواصفات مع توفير عينات للاعتماد من مهندس المشرف 600mm X 600mm</v>
      </c>
      <c r="E1077" s="12" t="str">
        <f>IF(C1077&lt;&gt;"", IFERROR(INDEX('بنود العقد'!D$3:D$388,C1077), ""), "")</f>
        <v>عدد</v>
      </c>
      <c r="F1077" s="9">
        <f>IF(C1077&lt;&gt;"", IFERROR(INDEX('بنود العقد'!E$3:E$388,C1077), 0), "")</f>
        <v>456</v>
      </c>
      <c r="G1077" s="9">
        <f>IF(C1077&lt;&gt;"", IFERROR(INDEX('بنود العقد'!F$3:F$388,C1077), 0), "")</f>
        <v>724</v>
      </c>
      <c r="H1077" s="18">
        <f t="shared" si="46"/>
        <v>411</v>
      </c>
      <c r="I1077" s="7">
        <v>200</v>
      </c>
      <c r="J1077" s="18">
        <f t="shared" si="44"/>
        <v>611</v>
      </c>
      <c r="K1077" s="10">
        <f t="shared" si="43"/>
        <v>91200</v>
      </c>
      <c r="L1077" s="21">
        <f t="shared" si="45"/>
        <v>84.392265193370164</v>
      </c>
    </row>
    <row r="1078" spans="1:12" s="72" customFormat="1" ht="25.95" customHeight="1">
      <c r="A1078" s="12">
        <v>1076</v>
      </c>
      <c r="B1078" s="6">
        <v>18</v>
      </c>
      <c r="C1078" s="6">
        <v>234</v>
      </c>
      <c r="D1078" s="20" t="str">
        <f>IF(C1078&lt;&gt;"", IFERROR(INDEX('بنود العقد'!B$3:B$388,C1078), "⚠"), "")</f>
        <v xml:space="preserve"> جريلات رجوع من الالومينيوم مغطاة ببودرة البوليستر كاملة وجميع الملحقات حسب المخططات.والمواصفات مع توفير عينات للاعتماد من مهندس المشرف 600mm X 600mm</v>
      </c>
      <c r="E1078" s="12" t="str">
        <f>IF(C1078&lt;&gt;"", IFERROR(INDEX('بنود العقد'!D$3:D$388,C1078), ""), "")</f>
        <v>عدد</v>
      </c>
      <c r="F1078" s="9">
        <f>IF(C1078&lt;&gt;"", IFERROR(INDEX('بنود العقد'!E$3:E$388,C1078), 0), "")</f>
        <v>264</v>
      </c>
      <c r="G1078" s="9">
        <f>IF(C1078&lt;&gt;"", IFERROR(INDEX('بنود العقد'!F$3:F$388,C1078), 0), "")</f>
        <v>724</v>
      </c>
      <c r="H1078" s="18">
        <f t="shared" si="46"/>
        <v>237</v>
      </c>
      <c r="I1078" s="7">
        <v>63</v>
      </c>
      <c r="J1078" s="18">
        <f t="shared" si="44"/>
        <v>300</v>
      </c>
      <c r="K1078" s="10">
        <f t="shared" si="43"/>
        <v>16632</v>
      </c>
      <c r="L1078" s="21">
        <f t="shared" si="45"/>
        <v>41.436464088397791</v>
      </c>
    </row>
    <row r="1079" spans="1:12" s="72" customFormat="1" ht="25.95" customHeight="1">
      <c r="A1079" s="12">
        <v>1077</v>
      </c>
      <c r="B1079" s="6">
        <v>18</v>
      </c>
      <c r="C1079" s="6">
        <v>235</v>
      </c>
      <c r="D1079" s="20" t="str">
        <f>IF(C1079&lt;&gt;"", IFERROR(INDEX('بنود العقد'!B$3:B$388,C1079), "⚠"), "")</f>
        <v xml:space="preserve"> جريلات لسحب الهواء من الالمونيوم مغطاة ببودرة البوليستر كاملة بجميع ملحقات التركيب وحسب.المخططات والمواصفات مع توفير عينات للاعتماد من مهندس المشرف 150mm X 150MM</v>
      </c>
      <c r="E1079" s="12" t="str">
        <f>IF(C1079&lt;&gt;"", IFERROR(INDEX('بنود العقد'!D$3:D$388,C1079), ""), "")</f>
        <v>عدد</v>
      </c>
      <c r="F1079" s="9">
        <f>IF(C1079&lt;&gt;"", IFERROR(INDEX('بنود العقد'!E$3:E$388,C1079), 0), "")</f>
        <v>210</v>
      </c>
      <c r="G1079" s="9">
        <f>IF(C1079&lt;&gt;"", IFERROR(INDEX('بنود العقد'!F$3:F$388,C1079), 0), "")</f>
        <v>102</v>
      </c>
      <c r="H1079" s="18">
        <f t="shared" si="46"/>
        <v>140</v>
      </c>
      <c r="I1079" s="7">
        <v>80</v>
      </c>
      <c r="J1079" s="18">
        <f t="shared" si="44"/>
        <v>220</v>
      </c>
      <c r="K1079" s="10">
        <f t="shared" si="43"/>
        <v>16800</v>
      </c>
      <c r="L1079" s="21">
        <f t="shared" si="45"/>
        <v>215.68627450980392</v>
      </c>
    </row>
    <row r="1080" spans="1:12" s="72" customFormat="1" ht="25.95" customHeight="1">
      <c r="A1080" s="12">
        <v>1078</v>
      </c>
      <c r="B1080" s="6">
        <v>18</v>
      </c>
      <c r="C1080" s="6">
        <v>237</v>
      </c>
      <c r="D1080" s="20" t="str">
        <f>IF(C1080&lt;&gt;"", IFERROR(INDEX('بنود العقد'!B$3:B$388,C1080),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200 mm</v>
      </c>
      <c r="E1080" s="12" t="str">
        <f>IF(C1080&lt;&gt;"", IFERROR(INDEX('بنود العقد'!D$3:D$388,C1080), ""), "")</f>
        <v>م.ط</v>
      </c>
      <c r="F1080" s="9">
        <f>IF(C1080&lt;&gt;"", IFERROR(INDEX('بنود العقد'!E$3:E$388,C1080), 0), "")</f>
        <v>54</v>
      </c>
      <c r="G1080" s="9">
        <f>IF(C1080&lt;&gt;"", IFERROR(INDEX('بنود العقد'!F$3:F$388,C1080), 0), "")</f>
        <v>2964</v>
      </c>
      <c r="H1080" s="18">
        <f t="shared" si="46"/>
        <v>444</v>
      </c>
      <c r="I1080" s="7">
        <v>180</v>
      </c>
      <c r="J1080" s="18">
        <f t="shared" si="44"/>
        <v>624</v>
      </c>
      <c r="K1080" s="10">
        <f t="shared" si="43"/>
        <v>9720</v>
      </c>
      <c r="L1080" s="21">
        <f t="shared" si="45"/>
        <v>21.052631578947366</v>
      </c>
    </row>
    <row r="1081" spans="1:12" s="72" customFormat="1" ht="25.95" customHeight="1">
      <c r="A1081" s="12">
        <v>1079</v>
      </c>
      <c r="B1081" s="6">
        <v>18</v>
      </c>
      <c r="C1081" s="6">
        <v>238</v>
      </c>
      <c r="D1081" s="20" t="str">
        <f>IF(C1081&lt;&gt;"", IFERROR(INDEX('بنود العقد'!B$3:B$388,C1081),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250 mm</v>
      </c>
      <c r="E1081" s="12" t="str">
        <f>IF(C1081&lt;&gt;"", IFERROR(INDEX('بنود العقد'!D$3:D$388,C1081), ""), "")</f>
        <v>م.ط</v>
      </c>
      <c r="F1081" s="9">
        <f>IF(C1081&lt;&gt;"", IFERROR(INDEX('بنود العقد'!E$3:E$388,C1081), 0), "")</f>
        <v>66</v>
      </c>
      <c r="G1081" s="9">
        <f>IF(C1081&lt;&gt;"", IFERROR(INDEX('بنود العقد'!F$3:F$388,C1081), 0), "")</f>
        <v>60</v>
      </c>
      <c r="H1081" s="18">
        <f t="shared" si="46"/>
        <v>800</v>
      </c>
      <c r="I1081" s="7">
        <v>30</v>
      </c>
      <c r="J1081" s="18">
        <f t="shared" si="44"/>
        <v>830</v>
      </c>
      <c r="K1081" s="10">
        <f t="shared" si="43"/>
        <v>1980</v>
      </c>
      <c r="L1081" s="21">
        <f t="shared" si="45"/>
        <v>1383.3333333333335</v>
      </c>
    </row>
    <row r="1082" spans="1:12" s="72" customFormat="1" ht="25.95" customHeight="1">
      <c r="A1082" s="12">
        <v>1080</v>
      </c>
      <c r="B1082" s="6">
        <v>18</v>
      </c>
      <c r="C1082" s="6">
        <v>239</v>
      </c>
      <c r="D1082" s="20" t="str">
        <f>IF(C1082&lt;&gt;"", IFERROR(INDEX('بنود العقد'!B$3:B$388,C1082), "⚠"), "")</f>
        <v xml:space="preserve"> توريد و تركيب مراوح سحب الهواء )طرد مركزي فوق السطح ( تشمل عمليات الاختبار و الموازنة : تشمل عمليات التوريد و التركيب و الاختبار و التثبيت مراوح سحب الهواء )طرد مركزي فوق السطح ( سعة 6500 قدم مكعب بالدقيقة</v>
      </c>
      <c r="E1082" s="12" t="str">
        <f>IF(C1082&lt;&gt;"", IFERROR(INDEX('بنود العقد'!D$3:D$388,C1082), ""), "")</f>
        <v>عدد</v>
      </c>
      <c r="F1082" s="9">
        <f>IF(C1082&lt;&gt;"", IFERROR(INDEX('بنود العقد'!E$3:E$388,C1082), 0), "")</f>
        <v>18000</v>
      </c>
      <c r="G1082" s="9">
        <f>IF(C1082&lt;&gt;"", IFERROR(INDEX('بنود العقد'!F$3:F$388,C1082), 0), "")</f>
        <v>1</v>
      </c>
      <c r="H1082" s="18">
        <f t="shared" si="46"/>
        <v>3.6</v>
      </c>
      <c r="I1082" s="7">
        <v>0.4</v>
      </c>
      <c r="J1082" s="18">
        <f t="shared" si="44"/>
        <v>4</v>
      </c>
      <c r="K1082" s="10">
        <f t="shared" si="43"/>
        <v>7200</v>
      </c>
      <c r="L1082" s="21">
        <f t="shared" si="45"/>
        <v>400</v>
      </c>
    </row>
    <row r="1083" spans="1:12" s="72" customFormat="1" ht="25.95" customHeight="1">
      <c r="A1083" s="12">
        <v>1081</v>
      </c>
      <c r="B1083" s="6">
        <v>18</v>
      </c>
      <c r="C1083" s="6">
        <v>248</v>
      </c>
      <c r="D1083" s="20" t="str">
        <f>IF(C1083&lt;&gt;"", IFERROR(INDEX('بنود العقد'!B$3:B$388,C1083),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v>
      </c>
      <c r="E1083" s="12" t="str">
        <f>IF(C1083&lt;&gt;"", IFERROR(INDEX('بنود العقد'!D$3:D$388,C1083), ""), "")</f>
        <v>عدد</v>
      </c>
      <c r="F1083" s="9">
        <f>IF(C1083&lt;&gt;"", IFERROR(INDEX('بنود العقد'!E$3:E$388,C1083), 0), "")</f>
        <v>216</v>
      </c>
      <c r="G1083" s="9">
        <f>IF(C1083&lt;&gt;"", IFERROR(INDEX('بنود العقد'!F$3:F$388,C1083), 0), "")</f>
        <v>282</v>
      </c>
      <c r="H1083" s="18">
        <f t="shared" ref="H1083:H1146" si="47">IFERROR(SUMIFS(I$3:I$1805, B$3:B$1805, "&lt;"&amp;B1083, C$3:C$1805, C1083), 0)</f>
        <v>151</v>
      </c>
      <c r="I1083" s="7">
        <v>150</v>
      </c>
      <c r="J1083" s="18">
        <f t="shared" si="44"/>
        <v>301</v>
      </c>
      <c r="K1083" s="10">
        <f t="shared" si="43"/>
        <v>32400</v>
      </c>
      <c r="L1083" s="21">
        <f t="shared" si="45"/>
        <v>106.73758865248226</v>
      </c>
    </row>
    <row r="1084" spans="1:12" s="72" customFormat="1" ht="25.95" customHeight="1">
      <c r="A1084" s="12">
        <v>1082</v>
      </c>
      <c r="B1084" s="6">
        <v>18</v>
      </c>
      <c r="C1084" s="6">
        <v>249</v>
      </c>
      <c r="D1084" s="20" t="str">
        <f>IF(C1084&lt;&gt;"", IFERROR(INDEX('بنود العقد'!B$3:B$388,C1084),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مقبس ثنائي سقفى، من النوع المؤرض، 15 أمبير، 230 فولت، طور واحد، قطبين، 3 أسلاك.</v>
      </c>
      <c r="E1084" s="12" t="str">
        <f>IF(C1084&lt;&gt;"", IFERROR(INDEX('بنود العقد'!D$3:D$388,C1084), ""), "")</f>
        <v>عدد</v>
      </c>
      <c r="F1084" s="9">
        <f>IF(C1084&lt;&gt;"", IFERROR(INDEX('بنود العقد'!E$3:E$388,C1084), 0), "")</f>
        <v>216</v>
      </c>
      <c r="G1084" s="9">
        <f>IF(C1084&lt;&gt;"", IFERROR(INDEX('بنود العقد'!F$3:F$388,C1084), 0), "")</f>
        <v>126</v>
      </c>
      <c r="H1084" s="18">
        <f t="shared" si="47"/>
        <v>76</v>
      </c>
      <c r="I1084" s="7">
        <v>29</v>
      </c>
      <c r="J1084" s="18">
        <f t="shared" si="44"/>
        <v>105</v>
      </c>
      <c r="K1084" s="10">
        <f t="shared" si="43"/>
        <v>6264</v>
      </c>
      <c r="L1084" s="21">
        <f t="shared" si="45"/>
        <v>83.333333333333343</v>
      </c>
    </row>
    <row r="1085" spans="1:12" s="72" customFormat="1" ht="25.95" customHeight="1">
      <c r="A1085" s="12">
        <v>1083</v>
      </c>
      <c r="B1085" s="6">
        <v>18</v>
      </c>
      <c r="C1085" s="6">
        <v>251</v>
      </c>
      <c r="D1085" s="20" t="str">
        <f>IF(C1085&lt;&gt;"", IFERROR(INDEX('بنود العقد'!B$3:B$388,C1085), "⚠"), "")</f>
        <v xml:space="preserve">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 RESIDUAL CURRENT DEVICE, 30mA TRIPPING( </v>
      </c>
      <c r="E1085" s="12" t="str">
        <f>IF(C1085&lt;&gt;"", IFERROR(INDEX('بنود العقد'!D$3:D$388,C1085), ""), "")</f>
        <v>عدد</v>
      </c>
      <c r="F1085" s="9">
        <f>IF(C1085&lt;&gt;"", IFERROR(INDEX('بنود العقد'!E$3:E$388,C1085), 0), "")</f>
        <v>504</v>
      </c>
      <c r="G1085" s="9">
        <f>IF(C1085&lt;&gt;"", IFERROR(INDEX('بنود العقد'!F$3:F$388,C1085), 0), "")</f>
        <v>50</v>
      </c>
      <c r="H1085" s="18">
        <f t="shared" si="47"/>
        <v>0</v>
      </c>
      <c r="I1085" s="7">
        <v>60</v>
      </c>
      <c r="J1085" s="18">
        <f t="shared" si="44"/>
        <v>60</v>
      </c>
      <c r="K1085" s="10">
        <f t="shared" si="43"/>
        <v>30240</v>
      </c>
      <c r="L1085" s="21">
        <f t="shared" si="45"/>
        <v>120</v>
      </c>
    </row>
    <row r="1086" spans="1:12" s="72" customFormat="1" ht="25.95" customHeight="1">
      <c r="A1086" s="12">
        <v>1084</v>
      </c>
      <c r="B1086" s="6">
        <v>18</v>
      </c>
      <c r="C1086" s="6">
        <v>253</v>
      </c>
      <c r="D1086" s="20" t="str">
        <f>IF(C1086&lt;&gt;"", IFERROR(INDEX('بنود العقد'!B$3:B$388,C1086), "⚠"), "")</f>
        <v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المشرفمخرج  ومؤرض 30 أمبير ، 230 فولت 3 أسلاك ، 1 فاز لمجفف الأيدي</v>
      </c>
      <c r="E1086" s="12" t="str">
        <f>IF(C1086&lt;&gt;"", IFERROR(INDEX('بنود العقد'!D$3:D$388,C1086), ""), "")</f>
        <v>عدد</v>
      </c>
      <c r="F1086" s="9">
        <f>IF(C1086&lt;&gt;"", IFERROR(INDEX('بنود العقد'!E$3:E$388,C1086), 0), "")</f>
        <v>264</v>
      </c>
      <c r="G1086" s="9">
        <f>IF(C1086&lt;&gt;"", IFERROR(INDEX('بنود العقد'!F$3:F$388,C1086), 0), "")</f>
        <v>72</v>
      </c>
      <c r="H1086" s="18">
        <f t="shared" si="47"/>
        <v>61</v>
      </c>
      <c r="I1086" s="7">
        <v>20</v>
      </c>
      <c r="J1086" s="18">
        <f t="shared" si="44"/>
        <v>81</v>
      </c>
      <c r="K1086" s="10">
        <f t="shared" si="43"/>
        <v>5280</v>
      </c>
      <c r="L1086" s="21">
        <f t="shared" si="45"/>
        <v>112.5</v>
      </c>
    </row>
    <row r="1087" spans="1:12" s="72" customFormat="1" ht="25.95" customHeight="1">
      <c r="A1087" s="12">
        <v>1085</v>
      </c>
      <c r="B1087" s="6">
        <v>18</v>
      </c>
      <c r="C1087" s="6">
        <v>254</v>
      </c>
      <c r="D1087" s="20" t="str">
        <f>IF(C1087&lt;&gt;"", IFERROR(INDEX('بنود العقد'!B$3:B$388,C1087),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)A(  )تحتوى على  4 قوى &amp; 4 داتا (</v>
      </c>
      <c r="E1087" s="12" t="str">
        <f>IF(C1087&lt;&gt;"", IFERROR(INDEX('بنود العقد'!D$3:D$388,C1087), ""), "")</f>
        <v>عدد</v>
      </c>
      <c r="F1087" s="9">
        <f>IF(C1087&lt;&gt;"", IFERROR(INDEX('بنود العقد'!E$3:E$388,C1087), 0), "")</f>
        <v>2160</v>
      </c>
      <c r="G1087" s="9">
        <f>IF(C1087&lt;&gt;"", IFERROR(INDEX('بنود العقد'!F$3:F$388,C1087), 0), "")</f>
        <v>286</v>
      </c>
      <c r="H1087" s="18">
        <f t="shared" si="47"/>
        <v>369</v>
      </c>
      <c r="I1087" s="7">
        <v>110</v>
      </c>
      <c r="J1087" s="18">
        <f t="shared" si="44"/>
        <v>479</v>
      </c>
      <c r="K1087" s="10">
        <f t="shared" si="43"/>
        <v>237600</v>
      </c>
      <c r="L1087" s="21">
        <f t="shared" si="45"/>
        <v>167.48251748251747</v>
      </c>
    </row>
    <row r="1088" spans="1:12" s="72" customFormat="1" ht="25.95" customHeight="1">
      <c r="A1088" s="12">
        <v>1086</v>
      </c>
      <c r="B1088" s="6">
        <v>18</v>
      </c>
      <c r="C1088" s="6">
        <v>255</v>
      </c>
      <c r="D1088" s="20" t="str">
        <f>IF(C1088&lt;&gt;"", IFERROR(INDEX('بنود العقد'!B$3:B$388,C1088),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)B(   )تحتوى على 2 قوى &amp; 2 داتا (</v>
      </c>
      <c r="E1088" s="12" t="str">
        <f>IF(C1088&lt;&gt;"", IFERROR(INDEX('بنود العقد'!D$3:D$388,C1088), ""), "")</f>
        <v>عدد</v>
      </c>
      <c r="F1088" s="9">
        <f>IF(C1088&lt;&gt;"", IFERROR(INDEX('بنود العقد'!E$3:E$388,C1088), 0), "")</f>
        <v>1800</v>
      </c>
      <c r="G1088" s="9">
        <f>IF(C1088&lt;&gt;"", IFERROR(INDEX('بنود العقد'!F$3:F$388,C1088), 0), "")</f>
        <v>20</v>
      </c>
      <c r="H1088" s="18">
        <f t="shared" si="47"/>
        <v>379</v>
      </c>
      <c r="I1088" s="7">
        <v>82</v>
      </c>
      <c r="J1088" s="18">
        <f t="shared" si="44"/>
        <v>461</v>
      </c>
      <c r="K1088" s="10">
        <f t="shared" si="43"/>
        <v>147600</v>
      </c>
      <c r="L1088" s="21">
        <f t="shared" si="45"/>
        <v>2305</v>
      </c>
    </row>
    <row r="1089" spans="1:12" s="72" customFormat="1" ht="25.95" customHeight="1">
      <c r="A1089" s="12">
        <v>1087</v>
      </c>
      <c r="B1089" s="6">
        <v>18</v>
      </c>
      <c r="C1089" s="6">
        <v>256</v>
      </c>
      <c r="D1089" s="20" t="str">
        <f>IF(C1089&lt;&gt;"", IFERROR(INDEX('بنود العقد'!B$3:B$388,C1089),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)1FB(   )تحتوى على 1 قوى (</v>
      </c>
      <c r="E1089" s="12" t="str">
        <f>IF(C1089&lt;&gt;"", IFERROR(INDEX('بنود العقد'!D$3:D$388,C1089), ""), "")</f>
        <v>عدد</v>
      </c>
      <c r="F1089" s="9">
        <f>IF(C1089&lt;&gt;"", IFERROR(INDEX('بنود العقد'!E$3:E$388,C1089), 0), "")</f>
        <v>720</v>
      </c>
      <c r="G1089" s="9">
        <f>IF(C1089&lt;&gt;"", IFERROR(INDEX('بنود العقد'!F$3:F$388,C1089), 0), "")</f>
        <v>141</v>
      </c>
      <c r="H1089" s="18">
        <f t="shared" si="47"/>
        <v>100</v>
      </c>
      <c r="I1089" s="7">
        <v>6</v>
      </c>
      <c r="J1089" s="18">
        <f t="shared" si="44"/>
        <v>106</v>
      </c>
      <c r="K1089" s="10">
        <f t="shared" si="43"/>
        <v>4320</v>
      </c>
      <c r="L1089" s="21">
        <f t="shared" si="45"/>
        <v>75.177304964539005</v>
      </c>
    </row>
    <row r="1090" spans="1:12" s="72" customFormat="1" ht="25.95" customHeight="1">
      <c r="A1090" s="12">
        <v>1088</v>
      </c>
      <c r="B1090" s="6">
        <v>18</v>
      </c>
      <c r="C1090" s="6">
        <v>261</v>
      </c>
      <c r="D1090" s="20" t="str">
        <f>IF(C1090&lt;&gt;"", IFERROR(INDEX('بنود العقد'!B$3:B$388,C1090), "⚠"), "")</f>
        <v xml:space="preserve"> توريد وتركيب واختبار والتشغيل التجريبي لمفاتيح فصل على الحمل من النوع عالية التحمل مع ماسورة  التثبيت المعدنية المرنة والمانعة لنفاذ السوائل، وقطع الإكسسوارعلى المقاول المعاينة و فحص الشبكة الحالية و الاستفادة من التمديدات الحالية و دمجها مع التركيبات الجديدة بعد عمل الاختبارات اللازمة و بعدالموافقة من مهندس المشرف  وبالإستطاعات التالية 30 A, 250 V, 2P</v>
      </c>
      <c r="E1090" s="12" t="str">
        <f>IF(C1090&lt;&gt;"", IFERROR(INDEX('بنود العقد'!D$3:D$388,C1090), ""), "")</f>
        <v>عدد</v>
      </c>
      <c r="F1090" s="9">
        <f>IF(C1090&lt;&gt;"", IFERROR(INDEX('بنود العقد'!E$3:E$388,C1090), 0), "")</f>
        <v>384</v>
      </c>
      <c r="G1090" s="9">
        <f>IF(C1090&lt;&gt;"", IFERROR(INDEX('بنود العقد'!F$3:F$388,C1090), 0), "")</f>
        <v>445</v>
      </c>
      <c r="H1090" s="18">
        <f t="shared" si="47"/>
        <v>144</v>
      </c>
      <c r="I1090" s="7">
        <v>256</v>
      </c>
      <c r="J1090" s="18">
        <f t="shared" si="44"/>
        <v>400</v>
      </c>
      <c r="K1090" s="10">
        <f t="shared" si="43"/>
        <v>98304</v>
      </c>
      <c r="L1090" s="21">
        <f t="shared" si="45"/>
        <v>89.887640449438194</v>
      </c>
    </row>
    <row r="1091" spans="1:12" s="72" customFormat="1" ht="25.95" customHeight="1">
      <c r="A1091" s="12">
        <v>1089</v>
      </c>
      <c r="B1091" s="6">
        <v>18</v>
      </c>
      <c r="C1091" s="6">
        <v>263</v>
      </c>
      <c r="D1091" s="20" t="str">
        <f>IF(C1091&lt;&gt;"", IFERROR(INDEX('بنود العقد'!B$3:B$388,C1091),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A1E</v>
      </c>
      <c r="E1091" s="12" t="str">
        <f>IF(C1091&lt;&gt;"", IFERROR(INDEX('بنود العقد'!D$3:D$388,C1091), ""), "")</f>
        <v>عدد</v>
      </c>
      <c r="F1091" s="9">
        <f>IF(C1091&lt;&gt;"", IFERROR(INDEX('بنود العقد'!E$3:E$388,C1091), 0), "")</f>
        <v>660</v>
      </c>
      <c r="G1091" s="9">
        <f>IF(C1091&lt;&gt;"", IFERROR(INDEX('بنود العقد'!F$3:F$388,C1091), 0), "")</f>
        <v>241</v>
      </c>
      <c r="H1091" s="18">
        <f t="shared" si="47"/>
        <v>172</v>
      </c>
      <c r="I1091" s="7">
        <v>20</v>
      </c>
      <c r="J1091" s="18">
        <f t="shared" si="44"/>
        <v>192</v>
      </c>
      <c r="K1091" s="10">
        <f t="shared" si="43"/>
        <v>13200</v>
      </c>
      <c r="L1091" s="21">
        <f t="shared" si="45"/>
        <v>79.668049792531122</v>
      </c>
    </row>
    <row r="1092" spans="1:12" s="72" customFormat="1" ht="25.95" customHeight="1">
      <c r="A1092" s="12">
        <v>1090</v>
      </c>
      <c r="B1092" s="6">
        <v>18</v>
      </c>
      <c r="C1092" s="6">
        <v>264</v>
      </c>
      <c r="D1092" s="20" t="str">
        <f>IF(C1092&lt;&gt;"", IFERROR(INDEX('بنود العقد'!B$3:B$388,C1092),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A2</v>
      </c>
      <c r="E1092" s="12" t="str">
        <f>IF(C1092&lt;&gt;"", IFERROR(INDEX('بنود العقد'!D$3:D$388,C1092), ""), "")</f>
        <v>عدد</v>
      </c>
      <c r="F1092" s="9">
        <f>IF(C1092&lt;&gt;"", IFERROR(INDEX('بنود العقد'!E$3:E$388,C1092), 0), "")</f>
        <v>1044</v>
      </c>
      <c r="G1092" s="9">
        <f>IF(C1092&lt;&gt;"", IFERROR(INDEX('بنود العقد'!F$3:F$388,C1092), 0), "")</f>
        <v>1113</v>
      </c>
      <c r="H1092" s="18">
        <f t="shared" si="47"/>
        <v>946</v>
      </c>
      <c r="I1092" s="7">
        <v>100</v>
      </c>
      <c r="J1092" s="18">
        <f t="shared" si="44"/>
        <v>1046</v>
      </c>
      <c r="K1092" s="10">
        <f t="shared" si="43"/>
        <v>104400</v>
      </c>
      <c r="L1092" s="21">
        <f t="shared" si="45"/>
        <v>93.980233602875103</v>
      </c>
    </row>
    <row r="1093" spans="1:12" s="72" customFormat="1" ht="25.95" customHeight="1">
      <c r="A1093" s="12">
        <v>1091</v>
      </c>
      <c r="B1093" s="6">
        <v>18</v>
      </c>
      <c r="C1093" s="6">
        <v>272</v>
      </c>
      <c r="D1093" s="20" t="str">
        <f>IF(C1093&lt;&gt;"", IFERROR(INDEX('بنود العقد'!B$3:B$388,C1093),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B1</v>
      </c>
      <c r="E1093" s="12" t="str">
        <f>IF(C1093&lt;&gt;"", IFERROR(INDEX('بنود العقد'!D$3:D$388,C1093), ""), "")</f>
        <v>عدد</v>
      </c>
      <c r="F1093" s="9">
        <f>IF(C1093&lt;&gt;"", IFERROR(INDEX('بنود العقد'!E$3:E$388,C1093), 0), "")</f>
        <v>720</v>
      </c>
      <c r="G1093" s="9">
        <f>IF(C1093&lt;&gt;"", IFERROR(INDEX('بنود العقد'!F$3:F$388,C1093), 0), "")</f>
        <v>343</v>
      </c>
      <c r="H1093" s="18">
        <f t="shared" si="47"/>
        <v>65</v>
      </c>
      <c r="I1093" s="7">
        <v>19</v>
      </c>
      <c r="J1093" s="18">
        <f t="shared" si="44"/>
        <v>84</v>
      </c>
      <c r="K1093" s="10">
        <f t="shared" si="43"/>
        <v>13680</v>
      </c>
      <c r="L1093" s="21">
        <f t="shared" si="45"/>
        <v>24.489795918367346</v>
      </c>
    </row>
    <row r="1094" spans="1:12" s="72" customFormat="1" ht="25.95" customHeight="1">
      <c r="A1094" s="12">
        <v>1092</v>
      </c>
      <c r="B1094" s="6">
        <v>18</v>
      </c>
      <c r="C1094" s="6">
        <v>275</v>
      </c>
      <c r="D1094" s="20" t="str">
        <f>IF(C1094&lt;&gt;"", IFERROR(INDEX('بنود العقد'!B$3:B$388,C1094),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v>
      </c>
      <c r="E1094" s="12" t="str">
        <f>IF(C1094&lt;&gt;"", IFERROR(INDEX('بنود العقد'!D$3:D$388,C1094), ""), "")</f>
        <v>عدد</v>
      </c>
      <c r="F1094" s="9">
        <f>IF(C1094&lt;&gt;"", IFERROR(INDEX('بنود العقد'!E$3:E$388,C1094), 0), "")</f>
        <v>420</v>
      </c>
      <c r="G1094" s="9">
        <f>IF(C1094&lt;&gt;"", IFERROR(INDEX('بنود العقد'!F$3:F$388,C1094), 0), "")</f>
        <v>1422</v>
      </c>
      <c r="H1094" s="18">
        <f t="shared" si="47"/>
        <v>1241</v>
      </c>
      <c r="I1094" s="7">
        <v>179</v>
      </c>
      <c r="J1094" s="18">
        <f t="shared" si="44"/>
        <v>1420</v>
      </c>
      <c r="K1094" s="10">
        <f t="shared" si="43"/>
        <v>75180</v>
      </c>
      <c r="L1094" s="21">
        <f t="shared" si="45"/>
        <v>99.859353023909989</v>
      </c>
    </row>
    <row r="1095" spans="1:12" s="72" customFormat="1" ht="25.95" customHeight="1">
      <c r="A1095" s="12">
        <v>1093</v>
      </c>
      <c r="B1095" s="6">
        <v>18</v>
      </c>
      <c r="C1095" s="6">
        <v>276</v>
      </c>
      <c r="D1095" s="20" t="str">
        <f>IF(C1095&lt;&gt;"", IFERROR(INDEX('بنود العقد'!B$3:B$388,C1095),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v>
      </c>
      <c r="E1095" s="12" t="str">
        <f>IF(C1095&lt;&gt;"", IFERROR(INDEX('بنود العقد'!D$3:D$388,C1095), ""), "")</f>
        <v>عدد</v>
      </c>
      <c r="F1095" s="9">
        <f>IF(C1095&lt;&gt;"", IFERROR(INDEX('بنود العقد'!E$3:E$388,C1095), 0), "")</f>
        <v>444</v>
      </c>
      <c r="G1095" s="9">
        <f>IF(C1095&lt;&gt;"", IFERROR(INDEX('بنود العقد'!F$3:F$388,C1095), 0), "")</f>
        <v>1062</v>
      </c>
      <c r="H1095" s="18">
        <f t="shared" si="47"/>
        <v>848</v>
      </c>
      <c r="I1095" s="7">
        <v>52</v>
      </c>
      <c r="J1095" s="18">
        <f t="shared" si="44"/>
        <v>900</v>
      </c>
      <c r="K1095" s="10">
        <f t="shared" si="43"/>
        <v>23088</v>
      </c>
      <c r="L1095" s="21">
        <f t="shared" si="45"/>
        <v>84.745762711864401</v>
      </c>
    </row>
    <row r="1096" spans="1:12" s="72" customFormat="1" ht="25.95" customHeight="1">
      <c r="A1096" s="12">
        <v>1094</v>
      </c>
      <c r="B1096" s="6">
        <v>18</v>
      </c>
      <c r="C1096" s="6">
        <v>277</v>
      </c>
      <c r="D1096" s="20" t="str">
        <f>IF(C1096&lt;&gt;"", IFERROR(INDEX('بنود العقد'!B$3:B$388,C1096),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v>
      </c>
      <c r="E1096" s="12" t="str">
        <f>IF(C1096&lt;&gt;"", IFERROR(INDEX('بنود العقد'!D$3:D$388,C1096), ""), "")</f>
        <v>عدد</v>
      </c>
      <c r="F1096" s="9">
        <f>IF(C1096&lt;&gt;"", IFERROR(INDEX('بنود العقد'!E$3:E$388,C1096), 0), "")</f>
        <v>300</v>
      </c>
      <c r="G1096" s="9">
        <f>IF(C1096&lt;&gt;"", IFERROR(INDEX('بنود العقد'!F$3:F$388,C1096), 0), "")</f>
        <v>284</v>
      </c>
      <c r="H1096" s="18">
        <f t="shared" si="47"/>
        <v>200</v>
      </c>
      <c r="I1096" s="7">
        <v>40</v>
      </c>
      <c r="J1096" s="18">
        <f t="shared" si="44"/>
        <v>240</v>
      </c>
      <c r="K1096" s="10">
        <f t="shared" si="43"/>
        <v>12000</v>
      </c>
      <c r="L1096" s="21">
        <f t="shared" si="45"/>
        <v>84.507042253521121</v>
      </c>
    </row>
    <row r="1097" spans="1:12" s="72" customFormat="1" ht="25.95" customHeight="1">
      <c r="A1097" s="12">
        <v>1095</v>
      </c>
      <c r="B1097" s="6">
        <v>18</v>
      </c>
      <c r="C1097" s="6">
        <v>278</v>
      </c>
      <c r="D1097" s="20" t="str">
        <f>IF(C1097&lt;&gt;"", IFERROR(INDEX('بنود العقد'!B$3:B$388,C1097),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C5</v>
      </c>
      <c r="E1097" s="12" t="str">
        <f>IF(C1097&lt;&gt;"", IFERROR(INDEX('بنود العقد'!D$3:D$388,C1097), ""), "")</f>
        <v>عدد</v>
      </c>
      <c r="F1097" s="9">
        <f>IF(C1097&lt;&gt;"", IFERROR(INDEX('بنود العقد'!E$3:E$388,C1097), 0), "")</f>
        <v>438</v>
      </c>
      <c r="G1097" s="9">
        <f>IF(C1097&lt;&gt;"", IFERROR(INDEX('بنود العقد'!F$3:F$388,C1097), 0), "")</f>
        <v>149</v>
      </c>
      <c r="H1097" s="18">
        <f t="shared" si="47"/>
        <v>104</v>
      </c>
      <c r="I1097" s="7">
        <v>150</v>
      </c>
      <c r="J1097" s="18">
        <f t="shared" si="44"/>
        <v>254</v>
      </c>
      <c r="K1097" s="10">
        <f t="shared" si="43"/>
        <v>65700</v>
      </c>
      <c r="L1097" s="21">
        <f t="shared" si="45"/>
        <v>170.46979865771812</v>
      </c>
    </row>
    <row r="1098" spans="1:12" s="72" customFormat="1" ht="25.95" customHeight="1">
      <c r="A1098" s="12">
        <v>1096</v>
      </c>
      <c r="B1098" s="6">
        <v>18</v>
      </c>
      <c r="C1098" s="6">
        <v>279</v>
      </c>
      <c r="D1098" s="20" t="str">
        <f>IF(C1098&lt;&gt;"", IFERROR(INDEX('بنود العقد'!B$3:B$388,C1098),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C6</v>
      </c>
      <c r="E1098" s="12" t="str">
        <f>IF(C1098&lt;&gt;"", IFERROR(INDEX('بنود العقد'!D$3:D$388,C1098), ""), "")</f>
        <v>عدد</v>
      </c>
      <c r="F1098" s="9">
        <f>IF(C1098&lt;&gt;"", IFERROR(INDEX('بنود العقد'!E$3:E$388,C1098), 0), "")</f>
        <v>288</v>
      </c>
      <c r="G1098" s="9">
        <f>IF(C1098&lt;&gt;"", IFERROR(INDEX('بنود العقد'!F$3:F$388,C1098), 0), "")</f>
        <v>158</v>
      </c>
      <c r="H1098" s="18">
        <f t="shared" si="47"/>
        <v>137</v>
      </c>
      <c r="I1098" s="7">
        <v>20</v>
      </c>
      <c r="J1098" s="18">
        <f t="shared" si="44"/>
        <v>157</v>
      </c>
      <c r="K1098" s="10">
        <f t="shared" si="43"/>
        <v>5760</v>
      </c>
      <c r="L1098" s="21">
        <f t="shared" si="45"/>
        <v>99.367088607594937</v>
      </c>
    </row>
    <row r="1099" spans="1:12" s="72" customFormat="1" ht="25.95" customHeight="1">
      <c r="A1099" s="12">
        <v>1097</v>
      </c>
      <c r="B1099" s="6">
        <v>18</v>
      </c>
      <c r="C1099" s="6">
        <v>280</v>
      </c>
      <c r="D1099" s="20" t="str">
        <f>IF(C1099&lt;&gt;"", IFERROR(INDEX('بنود العقد'!B$3:B$388,C1099),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C7</v>
      </c>
      <c r="E1099" s="12" t="str">
        <f>IF(C1099&lt;&gt;"", IFERROR(INDEX('بنود العقد'!D$3:D$388,C1099), ""), "")</f>
        <v>عدد</v>
      </c>
      <c r="F1099" s="9">
        <f>IF(C1099&lt;&gt;"", IFERROR(INDEX('بنود العقد'!E$3:E$388,C1099), 0), "")</f>
        <v>336</v>
      </c>
      <c r="G1099" s="9">
        <f>IF(C1099&lt;&gt;"", IFERROR(INDEX('بنود العقد'!F$3:F$388,C1099), 0), "")</f>
        <v>27</v>
      </c>
      <c r="H1099" s="18">
        <f t="shared" si="47"/>
        <v>13</v>
      </c>
      <c r="I1099" s="7">
        <v>10</v>
      </c>
      <c r="J1099" s="18">
        <f t="shared" si="44"/>
        <v>23</v>
      </c>
      <c r="K1099" s="10">
        <f t="shared" si="43"/>
        <v>3360</v>
      </c>
      <c r="L1099" s="21">
        <f t="shared" si="45"/>
        <v>85.18518518518519</v>
      </c>
    </row>
    <row r="1100" spans="1:12" s="72" customFormat="1" ht="25.95" customHeight="1">
      <c r="A1100" s="12">
        <v>1098</v>
      </c>
      <c r="B1100" s="6">
        <v>18</v>
      </c>
      <c r="C1100" s="6">
        <v>295</v>
      </c>
      <c r="D1100" s="20" t="str">
        <f>IF(C1100&lt;&gt;"", IFERROR(INDEX('بنود العقد'!B$3:B$388,C1100),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ES-1</v>
      </c>
      <c r="E1100" s="12" t="str">
        <f>IF(C1100&lt;&gt;"", IFERROR(INDEX('بنود العقد'!D$3:D$388,C1100), ""), "")</f>
        <v>عدد</v>
      </c>
      <c r="F1100" s="9">
        <f>IF(C1100&lt;&gt;"", IFERROR(INDEX('بنود العقد'!E$3:E$388,C1100), 0), "")</f>
        <v>360</v>
      </c>
      <c r="G1100" s="9">
        <f>IF(C1100&lt;&gt;"", IFERROR(INDEX('بنود العقد'!F$3:F$388,C1100), 0), "")</f>
        <v>430</v>
      </c>
      <c r="H1100" s="18">
        <f t="shared" si="47"/>
        <v>177</v>
      </c>
      <c r="I1100" s="7">
        <v>120</v>
      </c>
      <c r="J1100" s="18">
        <f t="shared" si="44"/>
        <v>297</v>
      </c>
      <c r="K1100" s="10">
        <f t="shared" si="43"/>
        <v>43200</v>
      </c>
      <c r="L1100" s="21">
        <f t="shared" si="45"/>
        <v>69.069767441860463</v>
      </c>
    </row>
    <row r="1101" spans="1:12" s="72" customFormat="1" ht="25.95" customHeight="1">
      <c r="A1101" s="12">
        <v>1099</v>
      </c>
      <c r="B1101" s="6">
        <v>18</v>
      </c>
      <c r="C1101" s="6">
        <v>298</v>
      </c>
      <c r="D1101" s="20" t="str">
        <f>IF(C1101&lt;&gt;"", IFERROR(INDEX('بنود العقد'!B$3:B$388,C1101),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P1</v>
      </c>
      <c r="E1101" s="12" t="str">
        <f>IF(C1101&lt;&gt;"", IFERROR(INDEX('بنود العقد'!D$3:D$388,C1101), ""), "")</f>
        <v>عدد</v>
      </c>
      <c r="F1101" s="9">
        <f>IF(C1101&lt;&gt;"", IFERROR(INDEX('بنود العقد'!E$3:E$388,C1101), 0), "")</f>
        <v>420</v>
      </c>
      <c r="G1101" s="9">
        <f>IF(C1101&lt;&gt;"", IFERROR(INDEX('بنود العقد'!F$3:F$388,C1101), 0), "")</f>
        <v>75</v>
      </c>
      <c r="H1101" s="18">
        <f t="shared" si="47"/>
        <v>62</v>
      </c>
      <c r="I1101" s="7">
        <v>18</v>
      </c>
      <c r="J1101" s="18">
        <f t="shared" si="44"/>
        <v>80</v>
      </c>
      <c r="K1101" s="10">
        <f t="shared" si="43"/>
        <v>7560</v>
      </c>
      <c r="L1101" s="21">
        <f t="shared" si="45"/>
        <v>106.66666666666667</v>
      </c>
    </row>
    <row r="1102" spans="1:12" s="72" customFormat="1" ht="25.95" customHeight="1">
      <c r="A1102" s="12">
        <v>1100</v>
      </c>
      <c r="B1102" s="6">
        <v>18</v>
      </c>
      <c r="C1102" s="6">
        <v>299</v>
      </c>
      <c r="D1102" s="20" t="str">
        <f>IF(C1102&lt;&gt;"", IFERROR(INDEX('بنود العقد'!B$3:B$388,C1102),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T1</v>
      </c>
      <c r="E1102" s="12" t="str">
        <f>IF(C1102&lt;&gt;"", IFERROR(INDEX('بنود العقد'!D$3:D$388,C1102), ""), "")</f>
        <v>عدد</v>
      </c>
      <c r="F1102" s="9">
        <f>IF(C1102&lt;&gt;"", IFERROR(INDEX('بنود العقد'!E$3:E$388,C1102), 0), "")</f>
        <v>744</v>
      </c>
      <c r="G1102" s="9">
        <f>IF(C1102&lt;&gt;"", IFERROR(INDEX('بنود العقد'!F$3:F$388,C1102), 0), "")</f>
        <v>1146</v>
      </c>
      <c r="H1102" s="18">
        <f t="shared" si="47"/>
        <v>619</v>
      </c>
      <c r="I1102" s="7">
        <v>114</v>
      </c>
      <c r="J1102" s="18">
        <f t="shared" si="44"/>
        <v>733</v>
      </c>
      <c r="K1102" s="10">
        <f t="shared" si="43"/>
        <v>84816</v>
      </c>
      <c r="L1102" s="21">
        <f t="shared" si="45"/>
        <v>63.961605584642236</v>
      </c>
    </row>
    <row r="1103" spans="1:12" s="72" customFormat="1" ht="25.95" customHeight="1">
      <c r="A1103" s="12">
        <v>1101</v>
      </c>
      <c r="B1103" s="6">
        <v>18</v>
      </c>
      <c r="C1103" s="6">
        <v>309</v>
      </c>
      <c r="D1103" s="20" t="str">
        <f>IF(C1103&lt;&gt;"", IFERROR(INDEX('بنود العقد'!B$3:B$388,C1103), "⚠"), "")</f>
        <v xml:space="preserve"> كاشف انذار دخان من النوع المعنون طبقا للمخططات  ومواصفات المشروع</v>
      </c>
      <c r="E1103" s="12" t="str">
        <f>IF(C1103&lt;&gt;"", IFERROR(INDEX('بنود العقد'!D$3:D$388,C1103), ""), "")</f>
        <v>عدد</v>
      </c>
      <c r="F1103" s="9">
        <f>IF(C1103&lt;&gt;"", IFERROR(INDEX('بنود العقد'!E$3:E$388,C1103), 0), "")</f>
        <v>276</v>
      </c>
      <c r="G1103" s="9">
        <f>IF(C1103&lt;&gt;"", IFERROR(INDEX('بنود العقد'!F$3:F$388,C1103), 0), "")</f>
        <v>715</v>
      </c>
      <c r="H1103" s="18">
        <f t="shared" si="47"/>
        <v>455</v>
      </c>
      <c r="I1103" s="7">
        <v>250</v>
      </c>
      <c r="J1103" s="18">
        <f t="shared" si="44"/>
        <v>705</v>
      </c>
      <c r="K1103" s="10">
        <f t="shared" si="43"/>
        <v>69000</v>
      </c>
      <c r="L1103" s="21">
        <f t="shared" si="45"/>
        <v>98.6013986013986</v>
      </c>
    </row>
    <row r="1104" spans="1:12" s="72" customFormat="1" ht="25.95" customHeight="1">
      <c r="A1104" s="12">
        <v>1102</v>
      </c>
      <c r="B1104" s="6">
        <v>18</v>
      </c>
      <c r="C1104" s="6">
        <v>311</v>
      </c>
      <c r="D1104" s="20" t="str">
        <f>IF(C1104&lt;&gt;"", IFERROR(INDEX('بنود العقد'!B$3:B$388,C1104), "⚠"), "")</f>
        <v xml:space="preserve"> وحدة إنذار حريق يدوية من النوع المعنون طبقا للمخططات  ومواصفات المشروع</v>
      </c>
      <c r="E1104" s="12" t="str">
        <f>IF(C1104&lt;&gt;"", IFERROR(INDEX('بنود العقد'!D$3:D$388,C1104), ""), "")</f>
        <v>عدد</v>
      </c>
      <c r="F1104" s="9">
        <f>IF(C1104&lt;&gt;"", IFERROR(INDEX('بنود العقد'!E$3:E$388,C1104), 0), "")</f>
        <v>384</v>
      </c>
      <c r="G1104" s="9">
        <f>IF(C1104&lt;&gt;"", IFERROR(INDEX('بنود العقد'!F$3:F$388,C1104), 0), "")</f>
        <v>54</v>
      </c>
      <c r="H1104" s="18">
        <f t="shared" si="47"/>
        <v>17</v>
      </c>
      <c r="I1104" s="7">
        <v>20</v>
      </c>
      <c r="J1104" s="18">
        <f t="shared" si="44"/>
        <v>37</v>
      </c>
      <c r="K1104" s="10">
        <f t="shared" si="43"/>
        <v>7680</v>
      </c>
      <c r="L1104" s="21">
        <f t="shared" si="45"/>
        <v>68.518518518518519</v>
      </c>
    </row>
    <row r="1105" spans="1:12" s="72" customFormat="1" ht="25.95" customHeight="1">
      <c r="A1105" s="12">
        <v>1103</v>
      </c>
      <c r="B1105" s="6">
        <v>18</v>
      </c>
      <c r="C1105" s="6">
        <v>313</v>
      </c>
      <c r="D1105" s="20" t="str">
        <f>IF(C1105&lt;&gt;"", IFERROR(INDEX('بنود العقد'!B$3:B$388,C1105), "⚠"), "")</f>
        <v>وحدة تحكم  )Control module( من النوع المعنون طبقا للمخططات  ومواصفات المشروع</v>
      </c>
      <c r="E1105" s="12" t="str">
        <f>IF(C1105&lt;&gt;"", IFERROR(INDEX('بنود العقد'!D$3:D$388,C1105), ""), "")</f>
        <v>عدد</v>
      </c>
      <c r="F1105" s="9">
        <f>IF(C1105&lt;&gt;"", IFERROR(INDEX('بنود العقد'!E$3:E$388,C1105), 0), "")</f>
        <v>420</v>
      </c>
      <c r="G1105" s="9">
        <f>IF(C1105&lt;&gt;"", IFERROR(INDEX('بنود العقد'!F$3:F$388,C1105), 0), "")</f>
        <v>69</v>
      </c>
      <c r="H1105" s="18">
        <f t="shared" si="47"/>
        <v>65</v>
      </c>
      <c r="I1105" s="7">
        <v>109</v>
      </c>
      <c r="J1105" s="18">
        <f t="shared" si="44"/>
        <v>174</v>
      </c>
      <c r="K1105" s="10">
        <f t="shared" si="43"/>
        <v>45780</v>
      </c>
      <c r="L1105" s="21">
        <f t="shared" si="45"/>
        <v>252.17391304347828</v>
      </c>
    </row>
    <row r="1106" spans="1:12" s="72" customFormat="1" ht="25.95" customHeight="1">
      <c r="A1106" s="12">
        <v>1104</v>
      </c>
      <c r="B1106" s="6">
        <v>18</v>
      </c>
      <c r="C1106" s="6">
        <v>314</v>
      </c>
      <c r="D1106" s="20" t="str">
        <f>IF(C1106&lt;&gt;"", IFERROR(INDEX('بنود العقد'!B$3:B$388,C1106), "⚠"), "")</f>
        <v>وحدة جرس إنذار حريق داخلى طبقا للمخططات  ومواصفات المشروع</v>
      </c>
      <c r="E1106" s="12" t="str">
        <f>IF(C1106&lt;&gt;"", IFERROR(INDEX('بنود العقد'!D$3:D$388,C1106), ""), "")</f>
        <v>عدد</v>
      </c>
      <c r="F1106" s="9">
        <f>IF(C1106&lt;&gt;"", IFERROR(INDEX('بنود العقد'!E$3:E$388,C1106), 0), "")</f>
        <v>576</v>
      </c>
      <c r="G1106" s="9">
        <f>IF(C1106&lt;&gt;"", IFERROR(INDEX('بنود العقد'!F$3:F$388,C1106), 0), "")</f>
        <v>24</v>
      </c>
      <c r="H1106" s="18">
        <f t="shared" si="47"/>
        <v>15</v>
      </c>
      <c r="I1106" s="7">
        <v>20</v>
      </c>
      <c r="J1106" s="18">
        <f t="shared" si="44"/>
        <v>35</v>
      </c>
      <c r="K1106" s="10">
        <f t="shared" si="43"/>
        <v>11520</v>
      </c>
      <c r="L1106" s="21">
        <f t="shared" si="45"/>
        <v>145.83333333333331</v>
      </c>
    </row>
    <row r="1107" spans="1:12" s="72" customFormat="1" ht="25.95" customHeight="1">
      <c r="A1107" s="12">
        <v>1105</v>
      </c>
      <c r="B1107" s="6">
        <v>18</v>
      </c>
      <c r="C1107" s="6">
        <v>316</v>
      </c>
      <c r="D1107" s="20" t="str">
        <f>IF(C1107&lt;&gt;"", IFERROR(INDEX('بنود العقد'!B$3:B$388,C1107), "⚠"), "")</f>
        <v>وحدات لاسلكية لتوفير خدمة شبكة المعلومات )Wireless Access Points(</v>
      </c>
      <c r="E1107" s="12" t="str">
        <f>IF(C1107&lt;&gt;"", IFERROR(INDEX('بنود العقد'!D$3:D$388,C1107), ""), "")</f>
        <v>عدد</v>
      </c>
      <c r="F1107" s="9">
        <f>IF(C1107&lt;&gt;"", IFERROR(INDEX('بنود العقد'!E$3:E$388,C1107), 0), "")</f>
        <v>1080</v>
      </c>
      <c r="G1107" s="9">
        <f>IF(C1107&lt;&gt;"", IFERROR(INDEX('بنود العقد'!F$3:F$388,C1107), 0), "")</f>
        <v>181</v>
      </c>
      <c r="H1107" s="18">
        <f t="shared" si="47"/>
        <v>76</v>
      </c>
      <c r="I1107" s="7">
        <v>70</v>
      </c>
      <c r="J1107" s="18">
        <f t="shared" si="44"/>
        <v>146</v>
      </c>
      <c r="K1107" s="10">
        <f t="shared" si="43"/>
        <v>75600</v>
      </c>
      <c r="L1107" s="21">
        <f t="shared" si="45"/>
        <v>80.662983425414367</v>
      </c>
    </row>
    <row r="1108" spans="1:12" s="72" customFormat="1" ht="25.95" customHeight="1">
      <c r="A1108" s="12">
        <v>1106</v>
      </c>
      <c r="B1108" s="6">
        <v>18</v>
      </c>
      <c r="C1108" s="6">
        <v>317</v>
      </c>
      <c r="D1108" s="20" t="str">
        <f>IF(C1108&lt;&gt;"", IFERROR(INDEX('بنود العقد'!B$3:B$388,C1108), "⚠"), "")</f>
        <v>عن طريق مقاول متخصص ذو خبرة كبيرة في هذا المجال ويقدم للاعتماد من إدارة الـ IT بالوزارة و يربط النظام مع الانظمة المعنية بالتحكم و الموازنة و يشمل البند جميع الوصلات و الكابلات و غيرها من المتطلبات الخاصة بنهو النظام كاملا توريد وتركيب واختبارنقاط كاميرا مراقبة داخلية سقفية و جميع ما يلزم من توصيلات و تركيبات و خلافة  لنهو النظام .</v>
      </c>
      <c r="E1108" s="12" t="str">
        <f>IF(C1108&lt;&gt;"", IFERROR(INDEX('بنود العقد'!D$3:D$388,C1108), ""), "")</f>
        <v>عدد</v>
      </c>
      <c r="F1108" s="9">
        <f>IF(C1108&lt;&gt;"", IFERROR(INDEX('بنود العقد'!E$3:E$388,C1108), 0), "")</f>
        <v>2640</v>
      </c>
      <c r="G1108" s="9">
        <f>IF(C1108&lt;&gt;"", IFERROR(INDEX('بنود العقد'!F$3:F$388,C1108), 0), "")</f>
        <v>258</v>
      </c>
      <c r="H1108" s="18">
        <f t="shared" si="47"/>
        <v>193</v>
      </c>
      <c r="I1108" s="7">
        <v>25</v>
      </c>
      <c r="J1108" s="18">
        <f t="shared" si="44"/>
        <v>218</v>
      </c>
      <c r="K1108" s="10">
        <f t="shared" si="43"/>
        <v>66000</v>
      </c>
      <c r="L1108" s="21">
        <f t="shared" si="45"/>
        <v>84.496124031007753</v>
      </c>
    </row>
    <row r="1109" spans="1:12" s="72" customFormat="1" ht="25.95" customHeight="1">
      <c r="A1109" s="12">
        <v>1107</v>
      </c>
      <c r="B1109" s="6">
        <v>18</v>
      </c>
      <c r="C1109" s="6">
        <v>318</v>
      </c>
      <c r="D1109" s="20" t="str">
        <f>IF(C1109&lt;&gt;"", IFERROR(INDEX('بنود العقد'!B$3:B$388,C1109), "⚠"), "")</f>
        <v>توريد وتركيب واختبار نظام التحكم فى الدخول بروتوكول IP  مع البرامج الخاصة بنظام التحكم بتقنية dual RFID integration ، مع المواسير والكابلات وكل الملحقات لضمان عمل النظام على الوجه الاكمل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لوحة التحكم الرئيسية فى الابواب )IASC( ذات دارة خرج  )poE - ( IP</v>
      </c>
      <c r="E1109" s="12" t="str">
        <f>IF(C1109&lt;&gt;"", IFERROR(INDEX('بنود العقد'!D$3:D$388,C1109), ""), "")</f>
        <v>عدد</v>
      </c>
      <c r="F1109" s="9">
        <f>IF(C1109&lt;&gt;"", IFERROR(INDEX('بنود العقد'!E$3:E$388,C1109), 0), "")</f>
        <v>2904</v>
      </c>
      <c r="G1109" s="9">
        <f>IF(C1109&lt;&gt;"", IFERROR(INDEX('بنود العقد'!F$3:F$388,C1109), 0), "")</f>
        <v>120</v>
      </c>
      <c r="H1109" s="18">
        <f t="shared" si="47"/>
        <v>0</v>
      </c>
      <c r="I1109" s="7">
        <v>12</v>
      </c>
      <c r="J1109" s="18">
        <f t="shared" si="44"/>
        <v>12</v>
      </c>
      <c r="K1109" s="10">
        <f t="shared" si="43"/>
        <v>34848</v>
      </c>
      <c r="L1109" s="21">
        <f t="shared" si="45"/>
        <v>10</v>
      </c>
    </row>
    <row r="1110" spans="1:12" s="72" customFormat="1" ht="25.95" customHeight="1">
      <c r="A1110" s="12">
        <v>1108</v>
      </c>
      <c r="B1110" s="6">
        <v>18</v>
      </c>
      <c r="C1110" s="6">
        <v>320</v>
      </c>
      <c r="D1110" s="20" t="str">
        <f>IF(C1110&lt;&gt;"", IFERROR(INDEX('بنود العقد'!B$3:B$388,C1110), "⚠"),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بطاقات تعريف ذكية</v>
      </c>
      <c r="E1110" s="12" t="str">
        <f>IF(C1110&lt;&gt;"", IFERROR(INDEX('بنود العقد'!D$3:D$388,C1110), ""), "")</f>
        <v>عدد</v>
      </c>
      <c r="F1110" s="9">
        <f>IF(C1110&lt;&gt;"", IFERROR(INDEX('بنود العقد'!E$3:E$388,C1110), 0), "")</f>
        <v>72</v>
      </c>
      <c r="G1110" s="9">
        <f>IF(C1110&lt;&gt;"", IFERROR(INDEX('بنود العقد'!F$3:F$388,C1110), 0), "")</f>
        <v>500</v>
      </c>
      <c r="H1110" s="18">
        <f t="shared" si="47"/>
        <v>0</v>
      </c>
      <c r="I1110" s="7">
        <v>8</v>
      </c>
      <c r="J1110" s="18">
        <f t="shared" si="44"/>
        <v>8</v>
      </c>
      <c r="K1110" s="10">
        <f t="shared" si="43"/>
        <v>576</v>
      </c>
      <c r="L1110" s="21">
        <f t="shared" si="45"/>
        <v>1.6</v>
      </c>
    </row>
    <row r="1111" spans="1:12" s="72" customFormat="1" ht="25.95" customHeight="1">
      <c r="A1111" s="12">
        <v>1109</v>
      </c>
      <c r="B1111" s="6">
        <v>18</v>
      </c>
      <c r="C1111" s="6">
        <v>322</v>
      </c>
      <c r="D1111" s="20" t="str">
        <f>IF(C1111&lt;&gt;"", IFERROR(INDEX('بنود العقد'!B$3:B$388,C1111), "⚠"),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قفل كهربائى لبابين      locks( door magnetic )Electro</v>
      </c>
      <c r="E1111" s="12" t="str">
        <f>IF(C1111&lt;&gt;"", IFERROR(INDEX('بنود العقد'!D$3:D$388,C1111), ""), "")</f>
        <v>عدد</v>
      </c>
      <c r="F1111" s="9">
        <f>IF(C1111&lt;&gt;"", IFERROR(INDEX('بنود العقد'!E$3:E$388,C1111), 0), "")</f>
        <v>1380</v>
      </c>
      <c r="G1111" s="9">
        <f>IF(C1111&lt;&gt;"", IFERROR(INDEX('بنود العقد'!F$3:F$388,C1111), 0), "")</f>
        <v>95</v>
      </c>
      <c r="H1111" s="18">
        <f t="shared" si="47"/>
        <v>0</v>
      </c>
      <c r="I1111" s="7">
        <v>8</v>
      </c>
      <c r="J1111" s="18">
        <f t="shared" si="44"/>
        <v>8</v>
      </c>
      <c r="K1111" s="10">
        <f t="shared" si="43"/>
        <v>11040</v>
      </c>
      <c r="L1111" s="21">
        <f t="shared" si="45"/>
        <v>8.4210526315789469</v>
      </c>
    </row>
    <row r="1112" spans="1:12" s="72" customFormat="1" ht="25.95" customHeight="1">
      <c r="A1112" s="12">
        <v>1110</v>
      </c>
      <c r="B1112" s="6">
        <v>18</v>
      </c>
      <c r="C1112" s="6">
        <v>323</v>
      </c>
      <c r="D1112" s="20" t="str">
        <f>IF(C1112&lt;&gt;"", IFERROR(INDEX('بنود العقد'!B$3:B$388,C1112), "⚠"),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زر خروج من النوع button( )Push</v>
      </c>
      <c r="E1112" s="12" t="str">
        <f>IF(C1112&lt;&gt;"", IFERROR(INDEX('بنود العقد'!D$3:D$388,C1112), ""), "")</f>
        <v>عدد</v>
      </c>
      <c r="F1112" s="9">
        <f>IF(C1112&lt;&gt;"", IFERROR(INDEX('بنود العقد'!E$3:E$388,C1112), 0), "")</f>
        <v>606</v>
      </c>
      <c r="G1112" s="9">
        <f>IF(C1112&lt;&gt;"", IFERROR(INDEX('بنود العقد'!F$3:F$388,C1112), 0), "")</f>
        <v>218</v>
      </c>
      <c r="H1112" s="18">
        <f t="shared" si="47"/>
        <v>0</v>
      </c>
      <c r="I1112" s="7">
        <v>9</v>
      </c>
      <c r="J1112" s="18">
        <f t="shared" si="44"/>
        <v>9</v>
      </c>
      <c r="K1112" s="10">
        <f t="shared" si="43"/>
        <v>5454</v>
      </c>
      <c r="L1112" s="21">
        <f t="shared" si="45"/>
        <v>4.1284403669724776</v>
      </c>
    </row>
    <row r="1113" spans="1:12" s="72" customFormat="1" ht="25.95" customHeight="1">
      <c r="A1113" s="12">
        <v>1111</v>
      </c>
      <c r="B1113" s="6">
        <v>18</v>
      </c>
      <c r="C1113" s="6">
        <v>324</v>
      </c>
      <c r="D1113" s="20" t="str">
        <f>IF(C1113&lt;&gt;"", IFERROR(INDEX('بنود العقد'!B$3:B$388,C1113), "⚠"), "")</f>
        <v xml:space="preserve">توريد وتركيب وإختبار نظام النداء الصوتي العام يتضمن كافة الكابالت و المواسير و العلب و النهايات مع كامل اكسسوارات التركيب الالزمة وتشغيل تجهيزات الصوت و تركيب المعدات الرئيسية بغرفة التحكم حسب المخططات و المواصفات وتعليمات الشركة المصنعة مشتمال على كل ما يلزم التمام العمل
و ربطه مع نظام الحريق و ادارة المبنى و يتكون من االتي -:
سماعة سقفية 6 وات
</v>
      </c>
      <c r="E1113" s="12" t="str">
        <f>IF(C1113&lt;&gt;"", IFERROR(INDEX('بنود العقد'!D$3:D$388,C1113), ""), "")</f>
        <v>عدد</v>
      </c>
      <c r="F1113" s="9">
        <f>IF(C1113&lt;&gt;"", IFERROR(INDEX('بنود العقد'!E$3:E$388,C1113), 0), "")</f>
        <v>420</v>
      </c>
      <c r="G1113" s="9">
        <f>IF(C1113&lt;&gt;"", IFERROR(INDEX('بنود العقد'!F$3:F$388,C1113), 0), "")</f>
        <v>252</v>
      </c>
      <c r="H1113" s="18">
        <f t="shared" si="47"/>
        <v>56</v>
      </c>
      <c r="I1113" s="7">
        <v>70</v>
      </c>
      <c r="J1113" s="18">
        <f t="shared" si="44"/>
        <v>126</v>
      </c>
      <c r="K1113" s="10">
        <f t="shared" si="43"/>
        <v>29400</v>
      </c>
      <c r="L1113" s="21">
        <f t="shared" si="45"/>
        <v>50</v>
      </c>
    </row>
    <row r="1114" spans="1:12" s="72" customFormat="1" ht="25.95" customHeight="1">
      <c r="A1114" s="12">
        <v>1112</v>
      </c>
      <c r="B1114" s="6">
        <v>18</v>
      </c>
      <c r="C1114" s="6">
        <v>327</v>
      </c>
      <c r="D1114" s="20" t="str">
        <f>IF(C1114&lt;&gt;"", IFERROR(INDEX('بنود العقد'!B$3:B$388,C1114), "⚠"), "")</f>
        <v xml:space="preserve">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فردي حائطي مزود بعدد واحد مأخذ RJ-45
</v>
      </c>
      <c r="E1114" s="12" t="str">
        <f>IF(C1114&lt;&gt;"", IFERROR(INDEX('بنود العقد'!D$3:D$388,C1114), ""), "")</f>
        <v>عدد</v>
      </c>
      <c r="F1114" s="9">
        <f>IF(C1114&lt;&gt;"", IFERROR(INDEX('بنود العقد'!E$3:E$388,C1114), 0), "")</f>
        <v>432</v>
      </c>
      <c r="G1114" s="9">
        <f>IF(C1114&lt;&gt;"", IFERROR(INDEX('بنود العقد'!F$3:F$388,C1114), 0), "")</f>
        <v>206</v>
      </c>
      <c r="H1114" s="18">
        <f t="shared" si="47"/>
        <v>118</v>
      </c>
      <c r="I1114" s="7">
        <v>120</v>
      </c>
      <c r="J1114" s="18">
        <f t="shared" si="44"/>
        <v>238</v>
      </c>
      <c r="K1114" s="10">
        <f t="shared" si="43"/>
        <v>51840</v>
      </c>
      <c r="L1114" s="21">
        <f t="shared" si="45"/>
        <v>115.53398058252426</v>
      </c>
    </row>
    <row r="1115" spans="1:12" s="72" customFormat="1" ht="25.95" customHeight="1">
      <c r="A1115" s="12">
        <v>1113</v>
      </c>
      <c r="B1115" s="6">
        <v>18</v>
      </c>
      <c r="C1115" s="6">
        <v>328</v>
      </c>
      <c r="D1115" s="20" t="str">
        <f>IF(C1115&lt;&gt;"", IFERROR(INDEX('بنود العقد'!B$3:B$388,C1115), "⚠"), "")</f>
        <v>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HDMI مع الكوابل اللازمة</v>
      </c>
      <c r="E1115" s="12" t="str">
        <f>IF(C1115&lt;&gt;"", IFERROR(INDEX('بنود العقد'!D$3:D$388,C1115), ""), "")</f>
        <v>عدد</v>
      </c>
      <c r="F1115" s="9">
        <f>IF(C1115&lt;&gt;"", IFERROR(INDEX('بنود العقد'!E$3:E$388,C1115), 0), "")</f>
        <v>540</v>
      </c>
      <c r="G1115" s="9">
        <f>IF(C1115&lt;&gt;"", IFERROR(INDEX('بنود العقد'!F$3:F$388,C1115), 0), "")</f>
        <v>33</v>
      </c>
      <c r="H1115" s="18">
        <f t="shared" si="47"/>
        <v>0</v>
      </c>
      <c r="I1115" s="7">
        <v>20</v>
      </c>
      <c r="J1115" s="18">
        <f t="shared" si="44"/>
        <v>20</v>
      </c>
      <c r="K1115" s="10">
        <f t="shared" si="43"/>
        <v>10800</v>
      </c>
      <c r="L1115" s="21">
        <f t="shared" si="45"/>
        <v>60.606060606060609</v>
      </c>
    </row>
    <row r="1116" spans="1:12" s="72" customFormat="1" ht="25.95" customHeight="1">
      <c r="A1116" s="12">
        <v>1114</v>
      </c>
      <c r="B1116" s="6">
        <v>18</v>
      </c>
      <c r="C1116" s="6">
        <v>330</v>
      </c>
      <c r="D1116" s="20" t="str">
        <f>IF(C1116&lt;&gt;"", IFERROR(INDEX('بنود العقد'!B$3:B$388,C1116), "⚠"), "")</f>
        <v>خزانة تجهيزات 42 U مقاس 2000×1000×800 ملم من أجود األنواع العالمية مع جميع االكسسوارات الالزمة من قاطع رئيسي 32( أمبير) وموزعات و مراوح و منظمات مسير الكوابل و كل
ما يلزم التمام العمل وحسب مواصفات وتعليمات إدارة الـ IT بالوزارة.</v>
      </c>
      <c r="E1116" s="12" t="str">
        <f>IF(C1116&lt;&gt;"", IFERROR(INDEX('بنود العقد'!D$3:D$388,C1116), ""), "")</f>
        <v>عدد</v>
      </c>
      <c r="F1116" s="9">
        <f>IF(C1116&lt;&gt;"", IFERROR(INDEX('بنود العقد'!E$3:E$388,C1116), 0), "")</f>
        <v>66000</v>
      </c>
      <c r="G1116" s="9">
        <f>IF(C1116&lt;&gt;"", IFERROR(INDEX('بنود العقد'!F$3:F$388,C1116), 0), "")</f>
        <v>12</v>
      </c>
      <c r="H1116" s="18">
        <f t="shared" si="47"/>
        <v>7</v>
      </c>
      <c r="I1116" s="7">
        <v>2</v>
      </c>
      <c r="J1116" s="18">
        <f t="shared" si="44"/>
        <v>9</v>
      </c>
      <c r="K1116" s="10">
        <f t="shared" si="43"/>
        <v>132000</v>
      </c>
      <c r="L1116" s="21">
        <f t="shared" si="45"/>
        <v>75</v>
      </c>
    </row>
    <row r="1117" spans="1:12" s="72" customFormat="1" ht="25.95" customHeight="1">
      <c r="A1117" s="12">
        <v>1115</v>
      </c>
      <c r="B1117" s="6">
        <v>18</v>
      </c>
      <c r="C1117" s="6">
        <v>331</v>
      </c>
      <c r="D1117" s="20" t="str">
        <f>IF(C1117&lt;&gt;"", IFERROR(INDEX('بنود العقد'!B$3:B$388,C1117), "⚠"), "")</f>
        <v>لوحة توزيع رئيسية لنظام كابالت األلياف الضوئية Panel Patch Optical مزودة بعدد )12( موصل
من النوع Multimode</v>
      </c>
      <c r="E1117" s="12" t="str">
        <f>IF(C1117&lt;&gt;"", IFERROR(INDEX('بنود العقد'!D$3:D$388,C1117), ""), "")</f>
        <v>عدد</v>
      </c>
      <c r="F1117" s="9">
        <f>IF(C1117&lt;&gt;"", IFERROR(INDEX('بنود العقد'!E$3:E$388,C1117), 0), "")</f>
        <v>2640</v>
      </c>
      <c r="G1117" s="9">
        <f>IF(C1117&lt;&gt;"", IFERROR(INDEX('بنود العقد'!F$3:F$388,C1117), 0), "")</f>
        <v>12</v>
      </c>
      <c r="H1117" s="18">
        <f t="shared" si="47"/>
        <v>0</v>
      </c>
      <c r="I1117" s="7">
        <v>4</v>
      </c>
      <c r="J1117" s="18">
        <f t="shared" si="44"/>
        <v>4</v>
      </c>
      <c r="K1117" s="10">
        <f t="shared" si="43"/>
        <v>10560</v>
      </c>
      <c r="L1117" s="21">
        <f t="shared" si="45"/>
        <v>33.333333333333329</v>
      </c>
    </row>
    <row r="1118" spans="1:12" s="72" customFormat="1" ht="25.95" customHeight="1">
      <c r="A1118" s="12">
        <v>1116</v>
      </c>
      <c r="B1118" s="6">
        <v>18</v>
      </c>
      <c r="C1118" s="6">
        <v>332</v>
      </c>
      <c r="D1118" s="20" t="str">
        <f>IF(C1118&lt;&gt;"", IFERROR(INDEX('بنود العقد'!B$3:B$388,C1118), "⚠"), "")</f>
        <v>لوحات توزيع كابالت نحاسية Panel Patch a 6 CAT مع الوصالت لعدد 24 مخرج</v>
      </c>
      <c r="E1118" s="12" t="str">
        <f>IF(C1118&lt;&gt;"", IFERROR(INDEX('بنود العقد'!D$3:D$388,C1118), ""), "")</f>
        <v>عدد</v>
      </c>
      <c r="F1118" s="9">
        <f>IF(C1118&lt;&gt;"", IFERROR(INDEX('بنود العقد'!E$3:E$388,C1118), 0), "")</f>
        <v>2400</v>
      </c>
      <c r="G1118" s="9">
        <f>IF(C1118&lt;&gt;"", IFERROR(INDEX('بنود العقد'!F$3:F$388,C1118), 0), "")</f>
        <v>55</v>
      </c>
      <c r="H1118" s="18">
        <f t="shared" si="47"/>
        <v>34</v>
      </c>
      <c r="I1118" s="7">
        <v>30</v>
      </c>
      <c r="J1118" s="18">
        <f t="shared" si="44"/>
        <v>64</v>
      </c>
      <c r="K1118" s="10">
        <f t="shared" si="43"/>
        <v>72000</v>
      </c>
      <c r="L1118" s="21">
        <f t="shared" si="45"/>
        <v>116.36363636363636</v>
      </c>
    </row>
    <row r="1119" spans="1:12" s="72" customFormat="1" ht="25.95" customHeight="1">
      <c r="A1119" s="12">
        <v>1117</v>
      </c>
      <c r="B1119" s="6">
        <v>18</v>
      </c>
      <c r="C1119" s="6">
        <v>334</v>
      </c>
      <c r="D1119" s="20" t="str">
        <f>IF(C1119&lt;&gt;"", IFERROR(INDEX('بنود العقد'!B$3:B$388,C1119), "⚠"), "")</f>
        <v xml:space="preserve">فك و تقطيع وتنزيل و ترحيل مواسير شبكة الصرف و التغذية القائمة و البند يشمل فك القطع والترحيل خارج الموقع وتسليم جميع مكونات شبكة الصرف و التغذية للجهة مالكة المشروع </v>
      </c>
      <c r="E1119" s="12" t="str">
        <f>IF(C1119&lt;&gt;"", IFERROR(INDEX('بنود العقد'!D$3:D$388,C1119), ""), "")</f>
        <v>م.ط</v>
      </c>
      <c r="F1119" s="9">
        <f>IF(C1119&lt;&gt;"", IFERROR(INDEX('بنود العقد'!E$3:E$388,C1119), 0), "")</f>
        <v>16.523</v>
      </c>
      <c r="G1119" s="9">
        <f>IF(C1119&lt;&gt;"", IFERROR(INDEX('بنود العقد'!F$3:F$388,C1119), 0), "")</f>
        <v>0</v>
      </c>
      <c r="H1119" s="18">
        <f t="shared" si="47"/>
        <v>3371</v>
      </c>
      <c r="I1119" s="7">
        <v>1000</v>
      </c>
      <c r="J1119" s="18">
        <f t="shared" si="44"/>
        <v>4371</v>
      </c>
      <c r="K1119" s="10">
        <f t="shared" si="43"/>
        <v>16523</v>
      </c>
      <c r="L1119" s="21" t="str">
        <f t="shared" si="45"/>
        <v/>
      </c>
    </row>
    <row r="1120" spans="1:12" s="72" customFormat="1" ht="25.95" customHeight="1">
      <c r="A1120" s="12">
        <v>1118</v>
      </c>
      <c r="B1120" s="6">
        <v>18</v>
      </c>
      <c r="C1120" s="6">
        <v>340</v>
      </c>
      <c r="D1120" s="20" t="str">
        <f>IF(C1120&lt;&gt;"", IFERROR(INDEX('بنود العقد'!B$3:B$388,C1120), "⚠"), "")</f>
        <v>ازالة وتكسير وترحيل ارضيات الخرسانة</v>
      </c>
      <c r="E1120" s="12" t="str">
        <f>IF(C1120&lt;&gt;"", IFERROR(INDEX('بنود العقد'!D$3:D$388,C1120), ""), "")</f>
        <v>م²</v>
      </c>
      <c r="F1120" s="9">
        <f>IF(C1120&lt;&gt;"", IFERROR(INDEX('بنود العقد'!E$3:E$388,C1120), 0), "")</f>
        <v>69.42</v>
      </c>
      <c r="G1120" s="9">
        <f>IF(C1120&lt;&gt;"", IFERROR(INDEX('بنود العقد'!F$3:F$388,C1120), 0), "")</f>
        <v>0</v>
      </c>
      <c r="H1120" s="18">
        <f t="shared" si="47"/>
        <v>2000</v>
      </c>
      <c r="I1120" s="7">
        <v>900</v>
      </c>
      <c r="J1120" s="18">
        <f t="shared" si="44"/>
        <v>2900</v>
      </c>
      <c r="K1120" s="10">
        <f t="shared" si="43"/>
        <v>62478</v>
      </c>
      <c r="L1120" s="21" t="str">
        <f t="shared" si="45"/>
        <v/>
      </c>
    </row>
    <row r="1121" spans="1:12" s="72" customFormat="1" ht="25.95" customHeight="1">
      <c r="A1121" s="12">
        <v>1119</v>
      </c>
      <c r="B1121" s="6">
        <v>18</v>
      </c>
      <c r="C1121" s="6">
        <v>343</v>
      </c>
      <c r="D1121" s="20" t="str">
        <f>IF(C1121&lt;&gt;"", IFERROR(INDEX('بنود العقد'!B$3:B$388,C1121), "⚠"), "")</f>
        <v xml:space="preserve">فك و إزالة  مجاري الهواء من الصفائح المعدنية المجلفنة شامل الاكواع و التفريعات و التحويله و العامة وحاملة التعليق و الترحيل إلى مستودعات الجهة مالكة المشروع بمدينة الرياض  </v>
      </c>
      <c r="E1121" s="12" t="str">
        <f>IF(C1121&lt;&gt;"", IFERROR(INDEX('بنود العقد'!D$3:D$388,C1121), ""), "")</f>
        <v>م.ط</v>
      </c>
      <c r="F1121" s="9">
        <f>IF(C1121&lt;&gt;"", IFERROR(INDEX('بنود العقد'!E$3:E$388,C1121), 0), "")</f>
        <v>106</v>
      </c>
      <c r="G1121" s="9">
        <f>IF(C1121&lt;&gt;"", IFERROR(INDEX('بنود العقد'!F$3:F$388,C1121), 0), "")</f>
        <v>0</v>
      </c>
      <c r="H1121" s="18">
        <f t="shared" si="47"/>
        <v>11114.42</v>
      </c>
      <c r="I1121" s="7">
        <v>800</v>
      </c>
      <c r="J1121" s="18">
        <f t="shared" si="44"/>
        <v>11914.42</v>
      </c>
      <c r="K1121" s="10">
        <f t="shared" si="43"/>
        <v>84800</v>
      </c>
      <c r="L1121" s="21" t="str">
        <f t="shared" si="45"/>
        <v/>
      </c>
    </row>
    <row r="1122" spans="1:12" s="72" customFormat="1" ht="25.95" customHeight="1">
      <c r="A1122" s="12">
        <v>1120</v>
      </c>
      <c r="B1122" s="6">
        <v>18</v>
      </c>
      <c r="C1122" s="6">
        <v>348</v>
      </c>
      <c r="D1122" s="20" t="str">
        <f>IF(C1122&lt;&gt;"", IFERROR(INDEX('بنود العقد'!B$3:B$388,C1122), "⚠"), "")</f>
        <v>توريد وتركيب برادات مياة حسب العينة المعتمدة ويتم التركيب طبقاً للمخططات والمواصفات الفنية وبحسب توجيهات واعتماد المهندس المشرف.</v>
      </c>
      <c r="E1122" s="12" t="str">
        <f>IF(C1122&lt;&gt;"", IFERROR(INDEX('بنود العقد'!D$3:D$388,C1122), ""), "")</f>
        <v>عدد</v>
      </c>
      <c r="F1122" s="9">
        <f>IF(C1122&lt;&gt;"", IFERROR(INDEX('بنود العقد'!E$3:E$388,C1122), 0), "")</f>
        <v>12600</v>
      </c>
      <c r="G1122" s="9">
        <f>IF(C1122&lt;&gt;"", IFERROR(INDEX('بنود العقد'!F$3:F$388,C1122), 0), "")</f>
        <v>0</v>
      </c>
      <c r="H1122" s="18">
        <f t="shared" si="47"/>
        <v>12</v>
      </c>
      <c r="I1122" s="7">
        <v>9</v>
      </c>
      <c r="J1122" s="18">
        <f t="shared" si="44"/>
        <v>21</v>
      </c>
      <c r="K1122" s="10">
        <f t="shared" si="43"/>
        <v>113400</v>
      </c>
      <c r="L1122" s="21" t="str">
        <f t="shared" si="45"/>
        <v/>
      </c>
    </row>
    <row r="1123" spans="1:12" s="72" customFormat="1" ht="25.95" customHeight="1">
      <c r="A1123" s="12">
        <v>1121</v>
      </c>
      <c r="B1123" s="6">
        <v>18</v>
      </c>
      <c r="C1123" s="6">
        <v>362</v>
      </c>
      <c r="D1123" s="20" t="str">
        <f>IF(C1123&lt;&gt;"", IFERROR(INDEX('بنود العقد'!B$3:B$388,C1123), "⚠"), "")</f>
        <v>01-MT 02&amp; MT رخام مون ستون غراي رمادي فاتح و رمادي غامق 
مقاس  1200× 300 مم لمنطقة القهوة و المدخل سماكة 30مم .</v>
      </c>
      <c r="E1123" s="12" t="str">
        <f>IF(C1123&lt;&gt;"", IFERROR(INDEX('بنود العقد'!D$3:D$388,C1123), ""), "")</f>
        <v>م²</v>
      </c>
      <c r="F1123" s="9">
        <f>IF(C1123&lt;&gt;"", IFERROR(INDEX('بنود العقد'!E$3:E$388,C1123), 0), "")</f>
        <v>609</v>
      </c>
      <c r="G1123" s="9">
        <f>IF(C1123&lt;&gt;"", IFERROR(INDEX('بنود العقد'!F$3:F$388,C1123), 0), "")</f>
        <v>0</v>
      </c>
      <c r="H1123" s="18">
        <f t="shared" si="47"/>
        <v>344</v>
      </c>
      <c r="I1123" s="7">
        <v>200</v>
      </c>
      <c r="J1123" s="18">
        <f t="shared" si="44"/>
        <v>544</v>
      </c>
      <c r="K1123" s="10">
        <f t="shared" si="43"/>
        <v>121800</v>
      </c>
      <c r="L1123" s="21" t="str">
        <f t="shared" si="45"/>
        <v/>
      </c>
    </row>
    <row r="1124" spans="1:12" s="72" customFormat="1" ht="25.95" customHeight="1">
      <c r="A1124" s="12">
        <v>1122</v>
      </c>
      <c r="B1124" s="6">
        <v>18</v>
      </c>
      <c r="C1124" s="6">
        <v>370</v>
      </c>
      <c r="D1124" s="20" t="str">
        <f>IF(C1124&lt;&gt;"", IFERROR(INDEX('بنود العقد'!B$3:B$388,C1124), "⚠"), "")</f>
        <v xml:space="preserve">توريد وتركيب جدار خشبى مقاوم للحريق </v>
      </c>
      <c r="E1124" s="12" t="str">
        <f>IF(C1124&lt;&gt;"", IFERROR(INDEX('بنود العقد'!D$3:D$388,C1124), ""), "")</f>
        <v>م²</v>
      </c>
      <c r="F1124" s="9">
        <f>IF(C1124&lt;&gt;"", IFERROR(INDEX('بنود العقد'!E$3:E$388,C1124), 0), "")</f>
        <v>2634.65</v>
      </c>
      <c r="G1124" s="9">
        <f>IF(C1124&lt;&gt;"", IFERROR(INDEX('بنود العقد'!F$3:F$388,C1124), 0), "")</f>
        <v>0</v>
      </c>
      <c r="H1124" s="18">
        <f t="shared" si="47"/>
        <v>0</v>
      </c>
      <c r="I1124" s="7">
        <v>115</v>
      </c>
      <c r="J1124" s="18">
        <f t="shared" si="44"/>
        <v>115</v>
      </c>
      <c r="K1124" s="10">
        <f t="shared" si="43"/>
        <v>302984.75</v>
      </c>
      <c r="L1124" s="21" t="str">
        <f t="shared" si="45"/>
        <v/>
      </c>
    </row>
    <row r="1125" spans="1:12" s="72" customFormat="1" ht="25.95" customHeight="1">
      <c r="A1125" s="12">
        <v>1123</v>
      </c>
      <c r="B1125" s="6">
        <v>18</v>
      </c>
      <c r="C1125" s="6">
        <v>371</v>
      </c>
      <c r="D1125" s="20" t="str">
        <f>IF(C1125&lt;&gt;"", IFERROR(INDEX('بنود العقد'!B$3:B$388,C1125), "⚠"), "")</f>
        <v xml:space="preserve">توريد وتركيب باب خشبى مقاوم للحريق </v>
      </c>
      <c r="E1125" s="12" t="str">
        <f>IF(C1125&lt;&gt;"", IFERROR(INDEX('بنود العقد'!D$3:D$388,C1125), ""), "")</f>
        <v>عدد</v>
      </c>
      <c r="F1125" s="9">
        <f>IF(C1125&lt;&gt;"", IFERROR(INDEX('بنود العقد'!E$3:E$388,C1125), 0), "")</f>
        <v>9368.5499999999993</v>
      </c>
      <c r="G1125" s="9">
        <f>IF(C1125&lt;&gt;"", IFERROR(INDEX('بنود العقد'!F$3:F$388,C1125), 0), "")</f>
        <v>0</v>
      </c>
      <c r="H1125" s="18">
        <f t="shared" si="47"/>
        <v>0</v>
      </c>
      <c r="I1125" s="7">
        <v>9</v>
      </c>
      <c r="J1125" s="18">
        <f t="shared" si="44"/>
        <v>9</v>
      </c>
      <c r="K1125" s="10">
        <f t="shared" si="43"/>
        <v>84316.95</v>
      </c>
      <c r="L1125" s="21" t="str">
        <f t="shared" si="45"/>
        <v/>
      </c>
    </row>
    <row r="1126" spans="1:12" s="72" customFormat="1" ht="25.95" customHeight="1">
      <c r="A1126" s="12">
        <v>1124</v>
      </c>
      <c r="B1126" s="6">
        <v>18</v>
      </c>
      <c r="C1126" s="6">
        <v>372</v>
      </c>
      <c r="D1126" s="20" t="str">
        <f>IF(C1126&lt;&gt;"", IFERROR(INDEX('بنود العقد'!B$3:B$388,C1126), "⚠"), "")</f>
        <v>توريد وتركيب بورسلان للمبنى PW-01(A)-SUTILEGRIS PULIDO</v>
      </c>
      <c r="E1126" s="12" t="str">
        <f>IF(C1126&lt;&gt;"", IFERROR(INDEX('بنود العقد'!D$3:D$388,C1126), ""), "")</f>
        <v>م²</v>
      </c>
      <c r="F1126" s="9">
        <f>IF(C1126&lt;&gt;"", IFERROR(INDEX('بنود العقد'!E$3:E$388,C1126), 0), "")</f>
        <v>186.63</v>
      </c>
      <c r="G1126" s="9">
        <f>IF(C1126&lt;&gt;"", IFERROR(INDEX('بنود العقد'!F$3:F$388,C1126), 0), "")</f>
        <v>0</v>
      </c>
      <c r="H1126" s="18">
        <f t="shared" si="47"/>
        <v>0</v>
      </c>
      <c r="I1126" s="7">
        <v>600</v>
      </c>
      <c r="J1126" s="18">
        <f t="shared" si="44"/>
        <v>600</v>
      </c>
      <c r="K1126" s="10">
        <f t="shared" si="43"/>
        <v>111978</v>
      </c>
      <c r="L1126" s="21" t="str">
        <f t="shared" si="45"/>
        <v/>
      </c>
    </row>
    <row r="1127" spans="1:12" s="72" customFormat="1" ht="25.95" customHeight="1">
      <c r="A1127" s="12">
        <v>1125</v>
      </c>
      <c r="B1127" s="6">
        <v>18</v>
      </c>
      <c r="C1127" s="6">
        <v>373</v>
      </c>
      <c r="D1127" s="20" t="str">
        <f>IF(C1127&lt;&gt;"", IFERROR(INDEX('بنود العقد'!B$3:B$388,C1127), "⚠"), "")</f>
        <v>توريد وتركيب بورسلان للمبنى PW-02-A(VANGLISH PULIDO)</v>
      </c>
      <c r="E1127" s="12" t="str">
        <f>IF(C1127&lt;&gt;"", IFERROR(INDEX('بنود العقد'!D$3:D$388,C1127), ""), "")</f>
        <v>م²</v>
      </c>
      <c r="F1127" s="9">
        <f>IF(C1127&lt;&gt;"", IFERROR(INDEX('بنود العقد'!E$3:E$388,C1127), 0), "")</f>
        <v>186.63</v>
      </c>
      <c r="G1127" s="9">
        <f>IF(C1127&lt;&gt;"", IFERROR(INDEX('بنود العقد'!F$3:F$388,C1127), 0), "")</f>
        <v>0</v>
      </c>
      <c r="H1127" s="18">
        <f t="shared" si="47"/>
        <v>0</v>
      </c>
      <c r="I1127" s="7">
        <v>800</v>
      </c>
      <c r="J1127" s="18">
        <f t="shared" si="44"/>
        <v>800</v>
      </c>
      <c r="K1127" s="10">
        <f t="shared" si="43"/>
        <v>149304</v>
      </c>
      <c r="L1127" s="21" t="str">
        <f t="shared" si="45"/>
        <v/>
      </c>
    </row>
    <row r="1128" spans="1:12" s="72" customFormat="1" ht="25.95" customHeight="1">
      <c r="A1128" s="12">
        <v>1126</v>
      </c>
      <c r="B1128" s="6">
        <v>18</v>
      </c>
      <c r="C1128" s="6">
        <v>374</v>
      </c>
      <c r="D1128" s="20" t="str">
        <f>IF(C1128&lt;&gt;"", IFERROR(INDEX('بنود العقد'!B$3:B$388,C1128), "⚠"), "")</f>
        <v>توريد وتركيب بورسلان للمبنى PW-03-B(ATLANTIDA)</v>
      </c>
      <c r="E1128" s="12" t="str">
        <f>IF(C1128&lt;&gt;"", IFERROR(INDEX('بنود العقد'!D$3:D$388,C1128), ""), "")</f>
        <v>م²</v>
      </c>
      <c r="F1128" s="9">
        <f>IF(C1128&lt;&gt;"", IFERROR(INDEX('بنود العقد'!E$3:E$388,C1128), 0), "")</f>
        <v>232.88</v>
      </c>
      <c r="G1128" s="9">
        <f>IF(C1128&lt;&gt;"", IFERROR(INDEX('بنود العقد'!F$3:F$388,C1128), 0), "")</f>
        <v>0</v>
      </c>
      <c r="H1128" s="18">
        <f t="shared" si="47"/>
        <v>0</v>
      </c>
      <c r="I1128" s="7">
        <v>650</v>
      </c>
      <c r="J1128" s="18">
        <f t="shared" si="44"/>
        <v>650</v>
      </c>
      <c r="K1128" s="10">
        <f t="shared" si="43"/>
        <v>151372</v>
      </c>
      <c r="L1128" s="21" t="str">
        <f t="shared" si="45"/>
        <v/>
      </c>
    </row>
    <row r="1129" spans="1:12" s="72" customFormat="1" ht="25.95" customHeight="1">
      <c r="A1129" s="12">
        <v>1127</v>
      </c>
      <c r="B1129" s="6">
        <v>18</v>
      </c>
      <c r="C1129" s="6">
        <v>375</v>
      </c>
      <c r="D1129" s="20" t="str">
        <f>IF(C1129&lt;&gt;"", IFERROR(INDEX('بنود العقد'!B$3:B$388,C1129), "⚠"), "")</f>
        <v xml:space="preserve">توريد وتركيب  SHOWER SET </v>
      </c>
      <c r="E1129" s="12" t="str">
        <f>IF(C1129&lt;&gt;"", IFERROR(INDEX('بنود العقد'!D$3:D$388,C1129), ""), "")</f>
        <v>عدد</v>
      </c>
      <c r="F1129" s="9">
        <f>IF(C1129&lt;&gt;"", IFERROR(INDEX('بنود العقد'!E$3:E$388,C1129), 0), "")</f>
        <v>2080.8000000000002</v>
      </c>
      <c r="G1129" s="9">
        <f>IF(C1129&lt;&gt;"", IFERROR(INDEX('بنود العقد'!F$3:F$388,C1129), 0), "")</f>
        <v>0</v>
      </c>
      <c r="H1129" s="18">
        <f t="shared" si="47"/>
        <v>0</v>
      </c>
      <c r="I1129" s="7">
        <v>15</v>
      </c>
      <c r="J1129" s="18">
        <f t="shared" si="44"/>
        <v>15</v>
      </c>
      <c r="K1129" s="10">
        <f t="shared" si="43"/>
        <v>31212.000000000004</v>
      </c>
      <c r="L1129" s="21" t="str">
        <f t="shared" si="45"/>
        <v/>
      </c>
    </row>
    <row r="1130" spans="1:12" s="72" customFormat="1" ht="25.95" customHeight="1">
      <c r="A1130" s="12">
        <v>1128</v>
      </c>
      <c r="B1130" s="6">
        <v>18</v>
      </c>
      <c r="C1130" s="6">
        <v>378</v>
      </c>
      <c r="D1130" s="20" t="str">
        <f>IF(C1130&lt;&gt;"", IFERROR(INDEX('بنود العقد'!B$3:B$388,C1130), "⚠"), "")</f>
        <v xml:space="preserve">بالمتر المسطح توريد وتركيب قماش ستائر(Roller Blind)والسعر يشمل التوريد والتركيب </v>
      </c>
      <c r="E1130" s="12" t="str">
        <f>IF(C1130&lt;&gt;"", IFERROR(INDEX('بنود العقد'!D$3:D$388,C1130), ""), "")</f>
        <v>م²</v>
      </c>
      <c r="F1130" s="9">
        <f>IF(C1130&lt;&gt;"", IFERROR(INDEX('بنود العقد'!E$3:E$388,C1130), 0), "")</f>
        <v>77.099999999999994</v>
      </c>
      <c r="G1130" s="9">
        <f>IF(C1130&lt;&gt;"", IFERROR(INDEX('بنود العقد'!F$3:F$388,C1130), 0), "")</f>
        <v>0</v>
      </c>
      <c r="H1130" s="18">
        <f t="shared" si="47"/>
        <v>0</v>
      </c>
      <c r="I1130" s="7">
        <v>1000</v>
      </c>
      <c r="J1130" s="18">
        <f t="shared" si="44"/>
        <v>1000</v>
      </c>
      <c r="K1130" s="10">
        <f t="shared" si="43"/>
        <v>77100</v>
      </c>
      <c r="L1130" s="21" t="str">
        <f t="shared" si="45"/>
        <v/>
      </c>
    </row>
    <row r="1131" spans="1:12" s="72" customFormat="1" ht="25.95" customHeight="1">
      <c r="A1131" s="12">
        <v>1129</v>
      </c>
      <c r="B1131" s="6">
        <v>18</v>
      </c>
      <c r="C1131" s="6">
        <v>379</v>
      </c>
      <c r="D1131" s="20" t="str">
        <f>IF(C1131&lt;&gt;"", IFERROR(INDEX('بنود العقد'!B$3:B$388,C1131), "⚠"), "")</f>
        <v xml:space="preserve">بالعدد توريد موتور سومفي فرنسي والسعر يشعمل التوريد والتركيب </v>
      </c>
      <c r="E1131" s="12" t="str">
        <f>IF(C1131&lt;&gt;"", IFERROR(INDEX('بنود العقد'!D$3:D$388,C1131), ""), "")</f>
        <v>عدد</v>
      </c>
      <c r="F1131" s="9">
        <f>IF(C1131&lt;&gt;"", IFERROR(INDEX('بنود العقد'!E$3:E$388,C1131), 0), "")</f>
        <v>1409.26</v>
      </c>
      <c r="G1131" s="9">
        <f>IF(C1131&lt;&gt;"", IFERROR(INDEX('بنود العقد'!F$3:F$388,C1131), 0), "")</f>
        <v>0</v>
      </c>
      <c r="H1131" s="18">
        <f t="shared" si="47"/>
        <v>0</v>
      </c>
      <c r="I1131" s="7">
        <v>22</v>
      </c>
      <c r="J1131" s="18">
        <f t="shared" si="44"/>
        <v>22</v>
      </c>
      <c r="K1131" s="10">
        <f t="shared" si="43"/>
        <v>31003.72</v>
      </c>
      <c r="L1131" s="21" t="str">
        <f t="shared" si="45"/>
        <v/>
      </c>
    </row>
    <row r="1132" spans="1:12" s="72" customFormat="1" ht="25.95" customHeight="1">
      <c r="A1132" s="12">
        <v>1130</v>
      </c>
      <c r="B1132" s="6">
        <v>18</v>
      </c>
      <c r="C1132" s="6">
        <v>380</v>
      </c>
      <c r="D1132" s="20" t="str">
        <f>IF(C1132&lt;&gt;"", IFERROR(INDEX('بنود العقد'!B$3:B$388,C1132), "⚠"), "")</f>
        <v xml:space="preserve">بالعدد توريدریموت سومفي  5قناه والسعر يشعمل التوريد والتركيب </v>
      </c>
      <c r="E1132" s="12" t="str">
        <f>IF(C1132&lt;&gt;"", IFERROR(INDEX('بنود العقد'!D$3:D$388,C1132), ""), "")</f>
        <v>عدد</v>
      </c>
      <c r="F1132" s="9">
        <f>IF(C1132&lt;&gt;"", IFERROR(INDEX('بنود العقد'!E$3:E$388,C1132), 0), "")</f>
        <v>338.83</v>
      </c>
      <c r="G1132" s="9">
        <f>IF(C1132&lt;&gt;"", IFERROR(INDEX('بنود العقد'!F$3:F$388,C1132), 0), "")</f>
        <v>0</v>
      </c>
      <c r="H1132" s="18">
        <f t="shared" si="47"/>
        <v>0</v>
      </c>
      <c r="I1132" s="7">
        <v>10</v>
      </c>
      <c r="J1132" s="18">
        <f t="shared" si="44"/>
        <v>10</v>
      </c>
      <c r="K1132" s="10">
        <f t="shared" si="43"/>
        <v>3388.2999999999997</v>
      </c>
      <c r="L1132" s="21" t="str">
        <f t="shared" si="45"/>
        <v/>
      </c>
    </row>
    <row r="1133" spans="1:12" s="72" customFormat="1" ht="25.95" customHeight="1">
      <c r="A1133" s="12">
        <v>1131</v>
      </c>
      <c r="B1133" s="6">
        <v>18</v>
      </c>
      <c r="C1133" s="6">
        <v>381</v>
      </c>
      <c r="D1133" s="20" t="str">
        <f>IF(C1133&lt;&gt;"", IFERROR(INDEX('بنود العقد'!B$3:B$388,C1133), "⚠"), "")</f>
        <v xml:space="preserve">بالعدد توريدریموت سومفي  1قناه والسعر يشعمل التوريد والتركيب  </v>
      </c>
      <c r="E1133" s="12" t="str">
        <f>IF(C1133&lt;&gt;"", IFERROR(INDEX('بنود العقد'!D$3:D$388,C1133), ""), "")</f>
        <v>عدد</v>
      </c>
      <c r="F1133" s="9">
        <f>IF(C1133&lt;&gt;"", IFERROR(INDEX('بنود العقد'!E$3:E$388,C1133), 0), "")</f>
        <v>298.98</v>
      </c>
      <c r="G1133" s="9">
        <f>IF(C1133&lt;&gt;"", IFERROR(INDEX('بنود العقد'!F$3:F$388,C1133), 0), "")</f>
        <v>0</v>
      </c>
      <c r="H1133" s="18">
        <f t="shared" si="47"/>
        <v>0</v>
      </c>
      <c r="I1133" s="7">
        <v>10</v>
      </c>
      <c r="J1133" s="18">
        <f t="shared" si="44"/>
        <v>10</v>
      </c>
      <c r="K1133" s="10">
        <f t="shared" si="43"/>
        <v>2989.8</v>
      </c>
      <c r="L1133" s="21" t="str">
        <f t="shared" si="45"/>
        <v/>
      </c>
    </row>
    <row r="1134" spans="1:12" s="72" customFormat="1" ht="25.95" customHeight="1">
      <c r="A1134" s="12">
        <v>1132</v>
      </c>
      <c r="B1134" s="6">
        <v>18</v>
      </c>
      <c r="C1134" s="6">
        <v>382</v>
      </c>
      <c r="D1134" s="20" t="str">
        <f>IF(C1134&lt;&gt;"", IFERROR(INDEX('بنود العقد'!B$3:B$388,C1134), "⚠"), "")</f>
        <v xml:space="preserve">توريد وتركيب كوريان للمطابخ للدور الثالث </v>
      </c>
      <c r="E1134" s="12" t="str">
        <f>IF(C1134&lt;&gt;"", IFERROR(INDEX('بنود العقد'!D$3:D$388,C1134), ""), "")</f>
        <v>عدد</v>
      </c>
      <c r="F1134" s="9">
        <f>IF(C1134&lt;&gt;"", IFERROR(INDEX('بنود العقد'!E$3:E$388,C1134), 0), "")</f>
        <v>9000</v>
      </c>
      <c r="G1134" s="9">
        <f>IF(C1134&lt;&gt;"", IFERROR(INDEX('بنود العقد'!F$3:F$388,C1134), 0), "")</f>
        <v>0</v>
      </c>
      <c r="H1134" s="18">
        <f t="shared" si="47"/>
        <v>0</v>
      </c>
      <c r="I1134" s="7">
        <v>3</v>
      </c>
      <c r="J1134" s="18">
        <f t="shared" si="44"/>
        <v>3</v>
      </c>
      <c r="K1134" s="10">
        <f t="shared" si="43"/>
        <v>27000</v>
      </c>
      <c r="L1134" s="21" t="str">
        <f t="shared" si="45"/>
        <v/>
      </c>
    </row>
    <row r="1135" spans="1:12" s="72" customFormat="1" ht="25.95" customHeight="1">
      <c r="A1135" s="12">
        <v>1133</v>
      </c>
      <c r="B1135" s="6">
        <v>18</v>
      </c>
      <c r="C1135" s="6">
        <v>383</v>
      </c>
      <c r="D1135" s="20" t="str">
        <f>IF(C1135&lt;&gt;"", IFERROR(INDEX('بنود العقد'!B$3:B$388,C1135), "⚠"), "")</f>
        <v xml:space="preserve">توريد وتركيب رخام بيترا جراى للمينى سماكة 20 مم </v>
      </c>
      <c r="E1135" s="12" t="str">
        <f>IF(C1135&lt;&gt;"", IFERROR(INDEX('بنود العقد'!D$3:D$388,C1135), ""), "")</f>
        <v>عدد</v>
      </c>
      <c r="F1135" s="9">
        <f>IF(C1135&lt;&gt;"", IFERROR(INDEX('بنود العقد'!E$3:E$388,C1135), 0), "")</f>
        <v>6600</v>
      </c>
      <c r="G1135" s="9">
        <f>IF(C1135&lt;&gt;"", IFERROR(INDEX('بنود العقد'!F$3:F$388,C1135), 0), "")</f>
        <v>0</v>
      </c>
      <c r="H1135" s="18">
        <f t="shared" si="47"/>
        <v>0</v>
      </c>
      <c r="I1135" s="7">
        <v>6</v>
      </c>
      <c r="J1135" s="18">
        <f t="shared" si="44"/>
        <v>6</v>
      </c>
      <c r="K1135" s="10">
        <f t="shared" si="43"/>
        <v>39600</v>
      </c>
      <c r="L1135" s="21" t="str">
        <f t="shared" si="45"/>
        <v/>
      </c>
    </row>
    <row r="1136" spans="1:12" s="72" customFormat="1" ht="25.95" customHeight="1">
      <c r="A1136" s="12">
        <v>1134</v>
      </c>
      <c r="B1136" s="6">
        <v>18</v>
      </c>
      <c r="C1136" s="6">
        <v>384</v>
      </c>
      <c r="D1136" s="20" t="str">
        <f>IF(C1136&lt;&gt;"", IFERROR(INDEX('بنود العقد'!B$3:B$388,C1136), "⚠"), "")</f>
        <v>توريد وتركيب واختبار كابل 4*10 مم2 مع عزل حرارى بلاستيك PVC/PVC</v>
      </c>
      <c r="E1136" s="12" t="str">
        <f>IF(C1136&lt;&gt;"", IFERROR(INDEX('بنود العقد'!D$3:D$388,C1136), ""), "")</f>
        <v>م.ط</v>
      </c>
      <c r="F1136" s="9">
        <f>IF(C1136&lt;&gt;"", IFERROR(INDEX('بنود العقد'!E$3:E$388,C1136), 0), "")</f>
        <v>55.37</v>
      </c>
      <c r="G1136" s="9">
        <f>IF(C1136&lt;&gt;"", IFERROR(INDEX('بنود العقد'!F$3:F$388,C1136), 0), "")</f>
        <v>0</v>
      </c>
      <c r="H1136" s="18">
        <f t="shared" si="47"/>
        <v>0</v>
      </c>
      <c r="I1136" s="7">
        <v>600</v>
      </c>
      <c r="J1136" s="18">
        <f t="shared" si="44"/>
        <v>600</v>
      </c>
      <c r="K1136" s="10">
        <f t="shared" si="43"/>
        <v>33222</v>
      </c>
      <c r="L1136" s="21" t="str">
        <f t="shared" si="45"/>
        <v/>
      </c>
    </row>
    <row r="1137" spans="1:12" s="72" customFormat="1" ht="25.95" customHeight="1">
      <c r="A1137" s="12">
        <v>1135</v>
      </c>
      <c r="B1137" s="6">
        <v>19</v>
      </c>
      <c r="C1137" s="6">
        <v>34</v>
      </c>
      <c r="D1137" s="20" t="str">
        <f>IF(C1137&lt;&gt;"", IFERROR(INDEX('بنود العقد'!B$3:B$388,C1137),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صناعية بلون رمادي بيج لمنطقة معالي الوزير   حسب الرسومات والمناظير وتعليمات المهندس المشرف.Code: WDP8</v>
      </c>
      <c r="E1137" s="12" t="str">
        <f>IF(C1137&lt;&gt;"", IFERROR(INDEX('بنود العقد'!D$3:D$388,C1137), ""), "")</f>
        <v>م2</v>
      </c>
      <c r="F1137" s="9">
        <f>IF(C1137&lt;&gt;"", IFERROR(INDEX('بنود العقد'!E$3:E$388,C1137), 0), "")</f>
        <v>870</v>
      </c>
      <c r="G1137" s="9">
        <f>IF(C1137&lt;&gt;"", IFERROR(INDEX('بنود العقد'!F$3:F$388,C1137), 0), "")</f>
        <v>758</v>
      </c>
      <c r="H1137" s="18">
        <f t="shared" si="47"/>
        <v>1455</v>
      </c>
      <c r="I1137" s="7">
        <v>200</v>
      </c>
      <c r="J1137" s="18">
        <f t="shared" si="44"/>
        <v>1655</v>
      </c>
      <c r="K1137" s="10">
        <f t="shared" si="43"/>
        <v>174000</v>
      </c>
      <c r="L1137" s="21">
        <f t="shared" si="45"/>
        <v>218.33773087071239</v>
      </c>
    </row>
    <row r="1138" spans="1:12" s="72" customFormat="1" ht="25.95" customHeight="1">
      <c r="A1138" s="12">
        <v>1136</v>
      </c>
      <c r="B1138" s="6">
        <v>19</v>
      </c>
      <c r="C1138" s="6">
        <v>46</v>
      </c>
      <c r="D1138" s="20" t="str">
        <f>IF(C1138&lt;&gt;"", IFERROR(INDEX('بنود العقد'!B$3:B$388,C1138), "⚠"), "")</f>
        <v>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المشرف.Ref drawing: 07-MRA-DD-(as per floor number)-AR-801 بعرض 1000 مم وارتفاع 2700 مم  GD01باب ضلفة واحدة  نموذج</v>
      </c>
      <c r="E1138" s="12" t="str">
        <f>IF(C1138&lt;&gt;"", IFERROR(INDEX('بنود العقد'!D$3:D$388,C1138), ""), "")</f>
        <v>عدد</v>
      </c>
      <c r="F1138" s="9">
        <f>IF(C1138&lt;&gt;"", IFERROR(INDEX('بنود العقد'!E$3:E$388,C1138), 0), "")</f>
        <v>2580</v>
      </c>
      <c r="G1138" s="9">
        <f>IF(C1138&lt;&gt;"", IFERROR(INDEX('بنود العقد'!F$3:F$388,C1138), 0), "")</f>
        <v>238</v>
      </c>
      <c r="H1138" s="18">
        <f t="shared" si="47"/>
        <v>196</v>
      </c>
      <c r="I1138" s="7">
        <v>30</v>
      </c>
      <c r="J1138" s="18">
        <f t="shared" si="44"/>
        <v>226</v>
      </c>
      <c r="K1138" s="10">
        <f t="shared" si="43"/>
        <v>77400</v>
      </c>
      <c r="L1138" s="21">
        <f t="shared" si="45"/>
        <v>94.9579831932773</v>
      </c>
    </row>
    <row r="1139" spans="1:12" s="72" customFormat="1" ht="25.95" customHeight="1">
      <c r="A1139" s="12">
        <v>1137</v>
      </c>
      <c r="B1139" s="6">
        <v>19</v>
      </c>
      <c r="C1139" s="6">
        <v>47</v>
      </c>
      <c r="D1139" s="20" t="str">
        <f>IF(C1139&lt;&gt;"", IFERROR(INDEX('بنود العقد'!B$3:B$388,C1139), "⚠"), "")</f>
        <v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2600 مم  GD02باب ضلفتين  نموذج </v>
      </c>
      <c r="E1139" s="12" t="str">
        <f>IF(C1139&lt;&gt;"", IFERROR(INDEX('بنود العقد'!D$3:D$388,C1139), ""), "")</f>
        <v>عدد</v>
      </c>
      <c r="F1139" s="9">
        <f>IF(C1139&lt;&gt;"", IFERROR(INDEX('بنود العقد'!E$3:E$388,C1139), 0), "")</f>
        <v>4020</v>
      </c>
      <c r="G1139" s="9">
        <f>IF(C1139&lt;&gt;"", IFERROR(INDEX('بنود العقد'!F$3:F$388,C1139), 0), "")</f>
        <v>37</v>
      </c>
      <c r="H1139" s="18">
        <f t="shared" si="47"/>
        <v>30</v>
      </c>
      <c r="I1139" s="7">
        <v>4</v>
      </c>
      <c r="J1139" s="18">
        <f t="shared" si="44"/>
        <v>34</v>
      </c>
      <c r="K1139" s="10">
        <f t="shared" si="43"/>
        <v>16080</v>
      </c>
      <c r="L1139" s="21">
        <f t="shared" si="45"/>
        <v>91.891891891891902</v>
      </c>
    </row>
    <row r="1140" spans="1:12" s="72" customFormat="1" ht="25.95" customHeight="1">
      <c r="A1140" s="12">
        <v>1138</v>
      </c>
      <c r="B1140" s="6">
        <v>19</v>
      </c>
      <c r="C1140" s="6">
        <v>48</v>
      </c>
      <c r="D1140" s="20" t="str">
        <f>IF(C1140&lt;&gt;"", IFERROR(INDEX('بنود العقد'!B$3:B$388,C1140), "⚠"), "")</f>
        <v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2100 مم  GD03باب ضلفتين  نموذج </v>
      </c>
      <c r="E1140" s="12" t="str">
        <f>IF(C1140&lt;&gt;"", IFERROR(INDEX('بنود العقد'!D$3:D$388,C1140), ""), "")</f>
        <v>عدد</v>
      </c>
      <c r="F1140" s="9">
        <f>IF(C1140&lt;&gt;"", IFERROR(INDEX('بنود العقد'!E$3:E$388,C1140), 0), "")</f>
        <v>3600</v>
      </c>
      <c r="G1140" s="9">
        <f>IF(C1140&lt;&gt;"", IFERROR(INDEX('بنود العقد'!F$3:F$388,C1140), 0), "")</f>
        <v>5</v>
      </c>
      <c r="H1140" s="18">
        <f t="shared" si="47"/>
        <v>4</v>
      </c>
      <c r="I1140" s="7">
        <v>2</v>
      </c>
      <c r="J1140" s="18">
        <f t="shared" si="44"/>
        <v>6</v>
      </c>
      <c r="K1140" s="10">
        <f t="shared" si="43"/>
        <v>7200</v>
      </c>
      <c r="L1140" s="21">
        <f t="shared" si="45"/>
        <v>120</v>
      </c>
    </row>
    <row r="1141" spans="1:12" s="72" customFormat="1" ht="25.95" customHeight="1">
      <c r="A1141" s="12">
        <v>1139</v>
      </c>
      <c r="B1141" s="6">
        <v>19</v>
      </c>
      <c r="C1141" s="6">
        <v>49</v>
      </c>
      <c r="D1141" s="20" t="str">
        <f>IF(C1141&lt;&gt;"", IFERROR(INDEX('بنود العقد'!B$3:B$388,C1141),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2000 مم وارتفاع 2200 مم  WD07باب مروحة ضلفتين  نموذج </v>
      </c>
      <c r="E1141" s="12" t="str">
        <f>IF(C1141&lt;&gt;"", IFERROR(INDEX('بنود العقد'!D$3:D$388,C1141), ""), "")</f>
        <v>عدد</v>
      </c>
      <c r="F1141" s="9">
        <f>IF(C1141&lt;&gt;"", IFERROR(INDEX('بنود العقد'!E$3:E$388,C1141), 0), "")</f>
        <v>5280</v>
      </c>
      <c r="G1141" s="9">
        <f>IF(C1141&lt;&gt;"", IFERROR(INDEX('بنود العقد'!F$3:F$388,C1141), 0), "")</f>
        <v>13</v>
      </c>
      <c r="H1141" s="18">
        <f t="shared" si="47"/>
        <v>12</v>
      </c>
      <c r="I1141" s="7">
        <v>6</v>
      </c>
      <c r="J1141" s="18">
        <f t="shared" si="44"/>
        <v>18</v>
      </c>
      <c r="K1141" s="10">
        <f t="shared" si="43"/>
        <v>31680</v>
      </c>
      <c r="L1141" s="21">
        <f t="shared" si="45"/>
        <v>138.46153846153845</v>
      </c>
    </row>
    <row r="1142" spans="1:12" s="72" customFormat="1" ht="25.95" customHeight="1">
      <c r="A1142" s="12">
        <v>1140</v>
      </c>
      <c r="B1142" s="6">
        <v>19</v>
      </c>
      <c r="C1142" s="6">
        <v>50</v>
      </c>
      <c r="D1142" s="20" t="str">
        <f>IF(C1142&lt;&gt;"", IFERROR(INDEX('بنود العقد'!B$3:B$388,C1142),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بعرض1000 مم وارتفاع 2200 مم  WD06باب مروحة ضلفة واحدة  نموذج </v>
      </c>
      <c r="E1142" s="12" t="str">
        <f>IF(C1142&lt;&gt;"", IFERROR(INDEX('بنود العقد'!D$3:D$388,C1142), ""), "")</f>
        <v>عدد</v>
      </c>
      <c r="F1142" s="9">
        <f>IF(C1142&lt;&gt;"", IFERROR(INDEX('بنود العقد'!E$3:E$388,C1142), 0), "")</f>
        <v>2400</v>
      </c>
      <c r="G1142" s="9">
        <f>IF(C1142&lt;&gt;"", IFERROR(INDEX('بنود العقد'!F$3:F$388,C1142), 0), "")</f>
        <v>13</v>
      </c>
      <c r="H1142" s="18">
        <f t="shared" si="47"/>
        <v>9</v>
      </c>
      <c r="I1142" s="7">
        <v>3</v>
      </c>
      <c r="J1142" s="18">
        <f t="shared" si="44"/>
        <v>12</v>
      </c>
      <c r="K1142" s="10">
        <f t="shared" si="43"/>
        <v>7200</v>
      </c>
      <c r="L1142" s="21">
        <f t="shared" si="45"/>
        <v>92.307692307692307</v>
      </c>
    </row>
    <row r="1143" spans="1:12" s="72" customFormat="1" ht="25.95" customHeight="1">
      <c r="A1143" s="12">
        <v>1141</v>
      </c>
      <c r="B1143" s="6">
        <v>19</v>
      </c>
      <c r="C1143" s="6">
        <v>51</v>
      </c>
      <c r="D1143" s="20" t="str">
        <f>IF(C1143&lt;&gt;"", IFERROR(INDEX('بنود العقد'!B$3:B$388,C1143),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WD05باب مروحة ضلفة واحدة  نموذج </v>
      </c>
      <c r="E1143" s="12" t="str">
        <f>IF(C1143&lt;&gt;"", IFERROR(INDEX('بنود العقد'!D$3:D$388,C1143), ""), "")</f>
        <v>عدد</v>
      </c>
      <c r="F1143" s="9">
        <f>IF(C1143&lt;&gt;"", IFERROR(INDEX('بنود العقد'!E$3:E$388,C1143), 0), "")</f>
        <v>2400</v>
      </c>
      <c r="G1143" s="9">
        <f>IF(C1143&lt;&gt;"", IFERROR(INDEX('بنود العقد'!F$3:F$388,C1143), 0), "")</f>
        <v>47</v>
      </c>
      <c r="H1143" s="18">
        <f t="shared" si="47"/>
        <v>24</v>
      </c>
      <c r="I1143" s="7">
        <v>16</v>
      </c>
      <c r="J1143" s="18">
        <f t="shared" si="44"/>
        <v>40</v>
      </c>
      <c r="K1143" s="10">
        <f t="shared" si="43"/>
        <v>38400</v>
      </c>
      <c r="L1143" s="21">
        <f t="shared" si="45"/>
        <v>85.106382978723403</v>
      </c>
    </row>
    <row r="1144" spans="1:12" s="72" customFormat="1" ht="25.95" customHeight="1">
      <c r="A1144" s="12">
        <v>1142</v>
      </c>
      <c r="B1144" s="6">
        <v>19</v>
      </c>
      <c r="C1144" s="6">
        <v>52</v>
      </c>
      <c r="D1144" s="20" t="str">
        <f>IF(C1144&lt;&gt;"", IFERROR(INDEX('بنود العقد'!B$3:B$388,C1144),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800 مم وارتفاع 2200 مم  WD04باب مروحة ضلفة واحدة  نموذج </v>
      </c>
      <c r="E1144" s="12" t="str">
        <f>IF(C1144&lt;&gt;"", IFERROR(INDEX('بنود العقد'!D$3:D$388,C1144), ""), "")</f>
        <v>عدد</v>
      </c>
      <c r="F1144" s="9">
        <f>IF(C1144&lt;&gt;"", IFERROR(INDEX('بنود العقد'!E$3:E$388,C1144), 0), "")</f>
        <v>2400</v>
      </c>
      <c r="G1144" s="9">
        <f>IF(C1144&lt;&gt;"", IFERROR(INDEX('بنود العقد'!F$3:F$388,C1144), 0), "")</f>
        <v>48</v>
      </c>
      <c r="H1144" s="18">
        <f t="shared" si="47"/>
        <v>35</v>
      </c>
      <c r="I1144" s="7">
        <v>13</v>
      </c>
      <c r="J1144" s="18">
        <f t="shared" si="44"/>
        <v>48</v>
      </c>
      <c r="K1144" s="10">
        <f t="shared" si="43"/>
        <v>31200</v>
      </c>
      <c r="L1144" s="21">
        <f t="shared" si="45"/>
        <v>100</v>
      </c>
    </row>
    <row r="1145" spans="1:12" s="72" customFormat="1" ht="25.95" customHeight="1">
      <c r="A1145" s="12">
        <v>1143</v>
      </c>
      <c r="B1145" s="6">
        <v>19</v>
      </c>
      <c r="C1145" s="6">
        <v>55</v>
      </c>
      <c r="D1145" s="20" t="str">
        <f>IF(C1145&lt;&gt;"", IFERROR(INDEX('بنود العقد'!B$3:B$388,C1145), "⚠"), "")</f>
        <v xml:space="preserve">توريد وتركيب باب من قطاعات الخشب شبه المصمت بسمك 44مم مكون من قواطيع خشب داخليه بحشو خفيف mdfوالمطلي بدهان رمادي على هيئة الأسطح الاسمنتية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WD01باب مروحة ضلفة واحدة  نموذج </v>
      </c>
      <c r="E1145" s="12" t="str">
        <f>IF(C1145&lt;&gt;"", IFERROR(INDEX('بنود العقد'!D$3:D$388,C1145), ""), "")</f>
        <v>عدد</v>
      </c>
      <c r="F1145" s="9">
        <f>IF(C1145&lt;&gt;"", IFERROR(INDEX('بنود العقد'!E$3:E$388,C1145), 0), "")</f>
        <v>2400</v>
      </c>
      <c r="G1145" s="9">
        <f>IF(C1145&lt;&gt;"", IFERROR(INDEX('بنود العقد'!F$3:F$388,C1145), 0), "")</f>
        <v>14</v>
      </c>
      <c r="H1145" s="18">
        <f t="shared" si="47"/>
        <v>8</v>
      </c>
      <c r="I1145" s="7">
        <v>5</v>
      </c>
      <c r="J1145" s="18">
        <f t="shared" si="44"/>
        <v>13</v>
      </c>
      <c r="K1145" s="10">
        <f t="shared" si="43"/>
        <v>12000</v>
      </c>
      <c r="L1145" s="21">
        <f t="shared" si="45"/>
        <v>92.857142857142861</v>
      </c>
    </row>
    <row r="1146" spans="1:12" s="72" customFormat="1" ht="25.95" customHeight="1">
      <c r="A1146" s="12">
        <v>1144</v>
      </c>
      <c r="B1146" s="6">
        <v>19</v>
      </c>
      <c r="C1146" s="6">
        <v>56</v>
      </c>
      <c r="D1146" s="20" t="str">
        <f>IF(C1146&lt;&gt;"", IFERROR(INDEX('بنود العقد'!B$3:B$388,C1146), "⚠"), "")</f>
        <v xml:space="preserve">توريد وتركيب باب من قطاعات الخشب شبه المصمت بسمك 44مم مكون من قواطيع خشب داخليه بحشو  mdfوالمطلي بدهان رمادي بيج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بعرض900 مم وارتفاع 2200 مم  WD03باب مروحة ضلفة واحدة  نموذج </v>
      </c>
      <c r="E1146" s="12" t="str">
        <f>IF(C1146&lt;&gt;"", IFERROR(INDEX('بنود العقد'!D$3:D$388,C1146), ""), "")</f>
        <v>عدد</v>
      </c>
      <c r="F1146" s="9">
        <f>IF(C1146&lt;&gt;"", IFERROR(INDEX('بنود العقد'!E$3:E$388,C1146), 0), "")</f>
        <v>2400</v>
      </c>
      <c r="G1146" s="9">
        <f>IF(C1146&lt;&gt;"", IFERROR(INDEX('بنود العقد'!F$3:F$388,C1146), 0), "")</f>
        <v>32</v>
      </c>
      <c r="H1146" s="18">
        <f t="shared" si="47"/>
        <v>23</v>
      </c>
      <c r="I1146" s="7">
        <v>17</v>
      </c>
      <c r="J1146" s="18">
        <f t="shared" si="44"/>
        <v>40</v>
      </c>
      <c r="K1146" s="10">
        <f t="shared" si="43"/>
        <v>40800</v>
      </c>
      <c r="L1146" s="21">
        <f t="shared" si="45"/>
        <v>125</v>
      </c>
    </row>
    <row r="1147" spans="1:12" s="72" customFormat="1" ht="25.95" customHeight="1">
      <c r="A1147" s="12">
        <v>1145</v>
      </c>
      <c r="B1147" s="6">
        <v>19</v>
      </c>
      <c r="C1147" s="6">
        <v>65</v>
      </c>
      <c r="D1147" s="20" t="str">
        <f>IF(C1147&lt;&gt;"", IFERROR(INDEX('بنود العقد'!B$3:B$388,C1147), "⚠"),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باب مروحة ضلفة واحدة  نموذج 14WD  بعرض 900 مم وارتفاع 2400 مم )VIP Zone(</v>
      </c>
      <c r="E1147" s="12" t="str">
        <f>IF(C1147&lt;&gt;"", IFERROR(INDEX('بنود العقد'!D$3:D$388,C1147), ""), "")</f>
        <v>عدد</v>
      </c>
      <c r="F1147" s="9">
        <f>IF(C1147&lt;&gt;"", IFERROR(INDEX('بنود العقد'!E$3:E$388,C1147), 0), "")</f>
        <v>6420</v>
      </c>
      <c r="G1147" s="9">
        <f>IF(C1147&lt;&gt;"", IFERROR(INDEX('بنود العقد'!F$3:F$388,C1147), 0), "")</f>
        <v>4</v>
      </c>
      <c r="H1147" s="18">
        <f t="shared" ref="H1147:H1210" si="48">IFERROR(SUMIFS(I$3:I$1805, B$3:B$1805, "&lt;"&amp;B1147, C$3:C$1805, C1147), 0)</f>
        <v>3</v>
      </c>
      <c r="I1147" s="7">
        <v>1</v>
      </c>
      <c r="J1147" s="18">
        <f t="shared" si="44"/>
        <v>4</v>
      </c>
      <c r="K1147" s="10">
        <f t="shared" si="43"/>
        <v>6420</v>
      </c>
      <c r="L1147" s="21">
        <f t="shared" si="45"/>
        <v>100</v>
      </c>
    </row>
    <row r="1148" spans="1:12" s="72" customFormat="1" ht="25.95" customHeight="1">
      <c r="A1148" s="12">
        <v>1146</v>
      </c>
      <c r="B1148" s="6">
        <v>19</v>
      </c>
      <c r="C1148" s="6">
        <v>66</v>
      </c>
      <c r="D1148" s="20" t="str">
        <f>IF(C1148&lt;&gt;"", IFERROR(INDEX('بنود العقد'!B$3:B$388,C1148), "⚠"),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E1148" s="12" t="str">
        <f>IF(C1148&lt;&gt;"", IFERROR(INDEX('بنود العقد'!D$3:D$388,C1148), ""), "")</f>
        <v>م²</v>
      </c>
      <c r="F1148" s="9">
        <f>IF(C1148&lt;&gt;"", IFERROR(INDEX('بنود العقد'!E$3:E$388,C1148), 0), "")</f>
        <v>900</v>
      </c>
      <c r="G1148" s="9">
        <f>IF(C1148&lt;&gt;"", IFERROR(INDEX('بنود العقد'!F$3:F$388,C1148), 0), "")</f>
        <v>4000</v>
      </c>
      <c r="H1148" s="18">
        <f t="shared" si="48"/>
        <v>4000</v>
      </c>
      <c r="I1148" s="7">
        <v>200</v>
      </c>
      <c r="J1148" s="18">
        <f t="shared" si="44"/>
        <v>4200</v>
      </c>
      <c r="K1148" s="10">
        <f t="shared" si="43"/>
        <v>180000</v>
      </c>
      <c r="L1148" s="21">
        <f t="shared" si="45"/>
        <v>105</v>
      </c>
    </row>
    <row r="1149" spans="1:12" s="72" customFormat="1" ht="25.95" customHeight="1">
      <c r="A1149" s="12">
        <v>1147</v>
      </c>
      <c r="B1149" s="6">
        <v>19</v>
      </c>
      <c r="C1149" s="6">
        <v>67</v>
      </c>
      <c r="D1149" s="20" t="str">
        <f>IF(C1149&lt;&gt;"", IFERROR(INDEX('بنود العقد'!B$3:B$388,C1149), "⚠"), "")</f>
        <v xml:space="preserve">توريد وتركيب باب من قطاعات الحديد  بسمك 45 مم مقاوم للحريق 90 دقيقة،  مع طبقة من الصاج سماكة 2مم من الجهتين على اطار معدنى مجوف والسعر يشمل التكسية الخشبية بقشرة الجوز لضلفة الباب والإطار من جهة واحدة..ويشمل التوريد والتركيب والتثبيت  والمفصلات والمقابض   والدفاش والاكسسوارت من اجود الانواع  وكل مايلزم لانهاء العمل على اكمل وجه ة حسب المخططات وتعليمات االمهندس المشرف. Ref. drawing: 07-MRA-DD-(as per floor number)-AR-804 ضلفة واحدة عرض1000مم وإرتفاع 2200مم SD01 باب نموذج </v>
      </c>
      <c r="E1149" s="12" t="str">
        <f>IF(C1149&lt;&gt;"", IFERROR(INDEX('بنود العقد'!D$3:D$388,C1149), ""), "")</f>
        <v>م²</v>
      </c>
      <c r="F1149" s="9">
        <f>IF(C1149&lt;&gt;"", IFERROR(INDEX('بنود العقد'!E$3:E$388,C1149), 0), "")</f>
        <v>3000</v>
      </c>
      <c r="G1149" s="9">
        <f>IF(C1149&lt;&gt;"", IFERROR(INDEX('بنود العقد'!F$3:F$388,C1149), 0), "")</f>
        <v>58</v>
      </c>
      <c r="H1149" s="18">
        <f t="shared" si="48"/>
        <v>13</v>
      </c>
      <c r="I1149" s="7">
        <v>15</v>
      </c>
      <c r="J1149" s="18">
        <f t="shared" si="44"/>
        <v>28</v>
      </c>
      <c r="K1149" s="10">
        <f t="shared" si="43"/>
        <v>45000</v>
      </c>
      <c r="L1149" s="21">
        <f t="shared" si="45"/>
        <v>48.275862068965516</v>
      </c>
    </row>
    <row r="1150" spans="1:12" s="72" customFormat="1" ht="25.95" customHeight="1">
      <c r="A1150" s="12">
        <v>1148</v>
      </c>
      <c r="B1150" s="6">
        <v>19</v>
      </c>
      <c r="C1150" s="6">
        <v>68</v>
      </c>
      <c r="D1150" s="20" t="str">
        <f>IF(C1150&lt;&gt;"", IFERROR(INDEX('بنود العقد'!B$3:B$388,C1150), "⚠"), "")</f>
        <v>توريد وتركيب باب من قطاعات الحديد  بسمك 45 مم مقاوم للحريق 90 دقيقة،  مع طبقة من الصاج سماكة 2مم من الجهتين على اطار معدنى مجوف والسعر يشمل التكسية الخشبية بقشرة الجوز لضلفة الباب والإطار من جهة واحدة..ويشمل التوريد والتركيب والتثبيت  والمفصلات والمقابض   والدفاش والاكسسوارت من اجود الانواع  وكل مايلزم لانهاء العمل على اكمل وجه ة حسب المخططات وتعليمات االمهندس المشرف. Ref. drawing: 07-MRA-DD-(as per floor number)-AR-804 ضلفة واحدة عرض1100مم وإرتفاع 2200مم SD02 باب نموذج</v>
      </c>
      <c r="E1150" s="12" t="str">
        <f>IF(C1150&lt;&gt;"", IFERROR(INDEX('بنود العقد'!D$3:D$388,C1150), ""), "")</f>
        <v>عدد</v>
      </c>
      <c r="F1150" s="9">
        <f>IF(C1150&lt;&gt;"", IFERROR(INDEX('بنود العقد'!E$3:E$388,C1150), 0), "")</f>
        <v>3000</v>
      </c>
      <c r="G1150" s="9">
        <f>IF(C1150&lt;&gt;"", IFERROR(INDEX('بنود العقد'!F$3:F$388,C1150), 0), "")</f>
        <v>1</v>
      </c>
      <c r="H1150" s="18">
        <f t="shared" si="48"/>
        <v>1</v>
      </c>
      <c r="I1150" s="7">
        <v>5</v>
      </c>
      <c r="J1150" s="18">
        <f t="shared" si="44"/>
        <v>6</v>
      </c>
      <c r="K1150" s="10">
        <f t="shared" si="43"/>
        <v>15000</v>
      </c>
      <c r="L1150" s="21">
        <f t="shared" si="45"/>
        <v>600</v>
      </c>
    </row>
    <row r="1151" spans="1:12" s="72" customFormat="1" ht="25.95" customHeight="1">
      <c r="A1151" s="12">
        <v>1149</v>
      </c>
      <c r="B1151" s="6">
        <v>19</v>
      </c>
      <c r="C1151" s="6">
        <v>69</v>
      </c>
      <c r="D1151" s="20" t="str">
        <f>IF(C1151&lt;&gt;"", IFERROR(INDEX('بنود العقد'!B$3:B$388,C1151), "⚠"), "")</f>
        <v>تجديد وترميم الأبواب الحديدية وتشمل الأعمال ما يلي: ــ  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ضلفتين عرض2000مم</v>
      </c>
      <c r="E1151" s="12" t="str">
        <f>IF(C1151&lt;&gt;"", IFERROR(INDEX('بنود العقد'!D$3:D$388,C1151), ""), "")</f>
        <v>عدد</v>
      </c>
      <c r="F1151" s="9">
        <f>IF(C1151&lt;&gt;"", IFERROR(INDEX('بنود العقد'!E$3:E$388,C1151), 0), "")</f>
        <v>540</v>
      </c>
      <c r="G1151" s="9">
        <f>IF(C1151&lt;&gt;"", IFERROR(INDEX('بنود العقد'!F$3:F$388,C1151), 0), "")</f>
        <v>46</v>
      </c>
      <c r="H1151" s="18">
        <f t="shared" si="48"/>
        <v>8</v>
      </c>
      <c r="I1151" s="7">
        <v>32</v>
      </c>
      <c r="J1151" s="18">
        <f t="shared" si="44"/>
        <v>40</v>
      </c>
      <c r="K1151" s="10">
        <f t="shared" si="43"/>
        <v>17280</v>
      </c>
      <c r="L1151" s="21">
        <f t="shared" si="45"/>
        <v>86.956521739130437</v>
      </c>
    </row>
    <row r="1152" spans="1:12" s="72" customFormat="1" ht="25.95" customHeight="1">
      <c r="A1152" s="12">
        <v>1150</v>
      </c>
      <c r="B1152" s="6">
        <v>19</v>
      </c>
      <c r="C1152" s="6">
        <v>70</v>
      </c>
      <c r="D1152" s="20" t="str">
        <f>IF(C1152&lt;&gt;"", IFERROR(INDEX('بنود العقد'!B$3:B$388,C1152), "⚠"), "")</f>
        <v>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ضلفة واحدة عرض1000مم</v>
      </c>
      <c r="E1152" s="12" t="str">
        <f>IF(C1152&lt;&gt;"", IFERROR(INDEX('بنود العقد'!D$3:D$388,C1152), ""), "")</f>
        <v>عدد</v>
      </c>
      <c r="F1152" s="9">
        <f>IF(C1152&lt;&gt;"", IFERROR(INDEX('بنود العقد'!E$3:E$388,C1152), 0), "")</f>
        <v>360</v>
      </c>
      <c r="G1152" s="9">
        <f>IF(C1152&lt;&gt;"", IFERROR(INDEX('بنود العقد'!F$3:F$388,C1152), 0), "")</f>
        <v>52</v>
      </c>
      <c r="H1152" s="18">
        <f t="shared" si="48"/>
        <v>8</v>
      </c>
      <c r="I1152" s="7">
        <v>38</v>
      </c>
      <c r="J1152" s="18">
        <f t="shared" si="44"/>
        <v>46</v>
      </c>
      <c r="K1152" s="10">
        <f t="shared" si="43"/>
        <v>13680</v>
      </c>
      <c r="L1152" s="21">
        <f t="shared" si="45"/>
        <v>88.461538461538453</v>
      </c>
    </row>
    <row r="1153" spans="1:12" s="72" customFormat="1" ht="25.95" customHeight="1">
      <c r="A1153" s="12">
        <v>1151</v>
      </c>
      <c r="B1153" s="6">
        <v>19</v>
      </c>
      <c r="C1153" s="6">
        <v>71</v>
      </c>
      <c r="D1153" s="20" t="str">
        <f>IF(C1153&lt;&gt;"", IFERROR(INDEX('بنود العقد'!B$3:B$388,C1153), "⚠"), "")</f>
        <v>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ضلفة واحدة عرض800مم</v>
      </c>
      <c r="E1153" s="12" t="str">
        <f>IF(C1153&lt;&gt;"", IFERROR(INDEX('بنود العقد'!D$3:D$388,C1153), ""), "")</f>
        <v>عدد</v>
      </c>
      <c r="F1153" s="9">
        <f>IF(C1153&lt;&gt;"", IFERROR(INDEX('بنود العقد'!E$3:E$388,C1153), 0), "")</f>
        <v>360</v>
      </c>
      <c r="G1153" s="9">
        <f>IF(C1153&lt;&gt;"", IFERROR(INDEX('بنود العقد'!F$3:F$388,C1153), 0), "")</f>
        <v>23</v>
      </c>
      <c r="H1153" s="18">
        <f t="shared" si="48"/>
        <v>6</v>
      </c>
      <c r="I1153" s="7">
        <v>14</v>
      </c>
      <c r="J1153" s="18">
        <f t="shared" si="44"/>
        <v>20</v>
      </c>
      <c r="K1153" s="10">
        <f t="shared" si="43"/>
        <v>5040</v>
      </c>
      <c r="L1153" s="21">
        <f t="shared" si="45"/>
        <v>86.956521739130437</v>
      </c>
    </row>
    <row r="1154" spans="1:12" s="72" customFormat="1" ht="25.95" customHeight="1">
      <c r="A1154" s="12">
        <v>1152</v>
      </c>
      <c r="B1154" s="6">
        <v>19</v>
      </c>
      <c r="C1154" s="6">
        <v>77</v>
      </c>
      <c r="D1154" s="20" t="str">
        <f>IF(C1154&lt;&gt;"", IFERROR(INDEX('بنود العقد'!B$3:B$388,C1154), "⚠"), "")</f>
        <v>600×600مم توريد وتركيب اسقف اصطناعية  والسعر يشمل نظام التعليق من الحديد المجفلن مع جميع الاكسسوارات وكل مايلزم حسب المواصفات والمخططات وتعليمات الشركة المصنعة .</v>
      </c>
      <c r="E1154" s="12" t="str">
        <f>IF(C1154&lt;&gt;"", IFERROR(INDEX('بنود العقد'!D$3:D$388,C1154), ""), "")</f>
        <v>م²</v>
      </c>
      <c r="F1154" s="9">
        <f>IF(C1154&lt;&gt;"", IFERROR(INDEX('بنود العقد'!E$3:E$388,C1154), 0), "")</f>
        <v>150</v>
      </c>
      <c r="G1154" s="9">
        <f>IF(C1154&lt;&gt;"", IFERROR(INDEX('بنود العقد'!F$3:F$388,C1154), 0), "")</f>
        <v>3323</v>
      </c>
      <c r="H1154" s="18">
        <f t="shared" si="48"/>
        <v>2803</v>
      </c>
      <c r="I1154" s="7">
        <v>100</v>
      </c>
      <c r="J1154" s="18">
        <f t="shared" si="44"/>
        <v>2903</v>
      </c>
      <c r="K1154" s="10">
        <f t="shared" si="43"/>
        <v>15000</v>
      </c>
      <c r="L1154" s="21">
        <f t="shared" si="45"/>
        <v>87.360818537466145</v>
      </c>
    </row>
    <row r="1155" spans="1:12" s="72" customFormat="1" ht="25.95" customHeight="1">
      <c r="A1155" s="12">
        <v>1153</v>
      </c>
      <c r="B1155" s="6">
        <v>19</v>
      </c>
      <c r="C1155" s="6">
        <v>85</v>
      </c>
      <c r="D1155" s="20" t="str">
        <f>IF(C1155&lt;&gt;"", IFERROR(INDEX('بنود العقد'!B$3:B$388,C1155), "⚠"), "")</f>
        <v xml:space="preserve"> جدران بورسلان (PW-03(type A&amp;B  مقاس 600×300×12مم فرز ثاني بالمقاسات والالوان المطلوبة لدورات المياة العامة  طبقاً للمخططات والمواصفات.</v>
      </c>
      <c r="E1155" s="12" t="str">
        <f>IF(C1155&lt;&gt;"", IFERROR(INDEX('بنود العقد'!D$3:D$388,C1155), ""), "")</f>
        <v>م²</v>
      </c>
      <c r="F1155" s="9">
        <f>IF(C1155&lt;&gt;"", IFERROR(INDEX('بنود العقد'!E$3:E$388,C1155), 0), "")</f>
        <v>96</v>
      </c>
      <c r="G1155" s="9">
        <f>IF(C1155&lt;&gt;"", IFERROR(INDEX('بنود العقد'!F$3:F$388,C1155), 0), "")</f>
        <v>2648</v>
      </c>
      <c r="H1155" s="18">
        <f t="shared" si="48"/>
        <v>2160</v>
      </c>
      <c r="I1155" s="7">
        <v>50</v>
      </c>
      <c r="J1155" s="18">
        <f t="shared" si="44"/>
        <v>2210</v>
      </c>
      <c r="K1155" s="10">
        <f t="shared" si="43"/>
        <v>4800</v>
      </c>
      <c r="L1155" s="21">
        <f t="shared" si="45"/>
        <v>83.459214501510573</v>
      </c>
    </row>
    <row r="1156" spans="1:12" s="72" customFormat="1" ht="25.95" customHeight="1">
      <c r="A1156" s="12">
        <v>1154</v>
      </c>
      <c r="B1156" s="6">
        <v>19</v>
      </c>
      <c r="C1156" s="6">
        <v>86</v>
      </c>
      <c r="D1156" s="20" t="str">
        <f>IF(C1156&lt;&gt;"", IFERROR(INDEX('بنود العقد'!B$3:B$388,C1156), "⚠"), "")</f>
        <v xml:space="preserve"> وزرة من بورسلان بسماكة 12مم  100*600 مم والسعر يشمل التثبيت  بالغراء والشطف وكل ما يلزم لانهاء العمل حسب الاصول الفنية وتعليمات المهندس المشرف.Ref. Drawings: 07-MRA-DD-(as per floor number)-AR-300</v>
      </c>
      <c r="E1156" s="12" t="str">
        <f>IF(C1156&lt;&gt;"", IFERROR(INDEX('بنود العقد'!D$3:D$388,C1156), ""), "")</f>
        <v>م.ط</v>
      </c>
      <c r="F1156" s="9">
        <f>IF(C1156&lt;&gt;"", IFERROR(INDEX('بنود العقد'!E$3:E$388,C1156), 0), "")</f>
        <v>120</v>
      </c>
      <c r="G1156" s="9">
        <f>IF(C1156&lt;&gt;"", IFERROR(INDEX('بنود العقد'!F$3:F$388,C1156), 0), "")</f>
        <v>567</v>
      </c>
      <c r="H1156" s="18">
        <f t="shared" si="48"/>
        <v>244</v>
      </c>
      <c r="I1156" s="7">
        <v>40</v>
      </c>
      <c r="J1156" s="18">
        <f t="shared" si="44"/>
        <v>284</v>
      </c>
      <c r="K1156" s="10">
        <f t="shared" si="43"/>
        <v>4800</v>
      </c>
      <c r="L1156" s="21">
        <f t="shared" si="45"/>
        <v>50.088183421516753</v>
      </c>
    </row>
    <row r="1157" spans="1:12" s="72" customFormat="1" ht="25.95" customHeight="1">
      <c r="A1157" s="12">
        <v>1155</v>
      </c>
      <c r="B1157" s="6">
        <v>19</v>
      </c>
      <c r="C1157" s="6">
        <v>95</v>
      </c>
      <c r="D1157" s="20" t="str">
        <f>IF(C1157&lt;&gt;"", IFERROR(INDEX('بنود العقد'!B$3:B$388,C1157), "⚠"), "")</f>
        <v>معالجة وتنظيف وصقل وجلاء بلاط رخام الأرضيات والدرج مع بودرة الرخام المستخدم والتلميع 4 أوجه وملو الفواصل بمادة مقاومة للرطوبة والبكتيريا  والسعر يشمل جميع المواد والأعمال اللازمة لإتمام العمل المطلوب طبقا للمخططات والمواصفات الفنية وبحسب توجيهات واعتماد المهندس المشرف. رخام الأرضيات في المداخل و الممرات الرئيسية وبسطات الدرج.</v>
      </c>
      <c r="E1157" s="12" t="str">
        <f>IF(C1157&lt;&gt;"", IFERROR(INDEX('بنود العقد'!D$3:D$388,C1157), ""), "")</f>
        <v>م²</v>
      </c>
      <c r="F1157" s="9">
        <f>IF(C1157&lt;&gt;"", IFERROR(INDEX('بنود العقد'!E$3:E$388,C1157), 0), "")</f>
        <v>42</v>
      </c>
      <c r="G1157" s="9">
        <f>IF(C1157&lt;&gt;"", IFERROR(INDEX('بنود العقد'!F$3:F$388,C1157), 0), "")</f>
        <v>4800</v>
      </c>
      <c r="H1157" s="18">
        <f t="shared" si="48"/>
        <v>2240</v>
      </c>
      <c r="I1157" s="7">
        <v>500</v>
      </c>
      <c r="J1157" s="18">
        <f t="shared" si="44"/>
        <v>2740</v>
      </c>
      <c r="K1157" s="10">
        <f t="shared" si="43"/>
        <v>21000</v>
      </c>
      <c r="L1157" s="21">
        <f t="shared" si="45"/>
        <v>57.083333333333329</v>
      </c>
    </row>
    <row r="1158" spans="1:12" s="72" customFormat="1" ht="25.95" customHeight="1">
      <c r="A1158" s="12">
        <v>1156</v>
      </c>
      <c r="B1158" s="6">
        <v>19</v>
      </c>
      <c r="C1158" s="6">
        <v>99</v>
      </c>
      <c r="D1158" s="20" t="str">
        <f>IF(C1158&lt;&gt;"", IFERROR(INDEX('بنود العقد'!B$3:B$388,C1158), "⚠"), "")</f>
        <v>رخام أخضر داكن مثبت على قواطع السيمنت خلف مكاتب السكرتاريا وفي المدخل الرئيسي في منطقة معالي الوزير.</v>
      </c>
      <c r="E1158" s="12" t="str">
        <f>IF(C1158&lt;&gt;"", IFERROR(INDEX('بنود العقد'!D$3:D$388,C1158), ""), "")</f>
        <v>م²</v>
      </c>
      <c r="F1158" s="9">
        <f>IF(C1158&lt;&gt;"", IFERROR(INDEX('بنود العقد'!E$3:E$388,C1158), 0), "")</f>
        <v>300</v>
      </c>
      <c r="G1158" s="9">
        <f>IF(C1158&lt;&gt;"", IFERROR(INDEX('بنود العقد'!F$3:F$388,C1158), 0), "")</f>
        <v>43</v>
      </c>
      <c r="H1158" s="18">
        <f t="shared" si="48"/>
        <v>21</v>
      </c>
      <c r="I1158" s="7">
        <v>4</v>
      </c>
      <c r="J1158" s="18">
        <f t="shared" si="44"/>
        <v>25</v>
      </c>
      <c r="K1158" s="10">
        <f t="shared" si="43"/>
        <v>1200</v>
      </c>
      <c r="L1158" s="21">
        <f t="shared" si="45"/>
        <v>58.139534883720934</v>
      </c>
    </row>
    <row r="1159" spans="1:12" s="72" customFormat="1" ht="25.95" customHeight="1">
      <c r="A1159" s="12">
        <v>1157</v>
      </c>
      <c r="B1159" s="6">
        <v>19</v>
      </c>
      <c r="C1159" s="6">
        <v>100</v>
      </c>
      <c r="D1159" s="20" t="str">
        <f>IF(C1159&lt;&gt;"", IFERROR(INDEX('بنود العقد'!B$3:B$388,C1159), "⚠"), "")</f>
        <v>رخام  الحوائط والأعمدة والكمر والوزرات لمدخل كبار الشخصيات ومدخل الموظفين وعلى المصاعد وفي الممرات الرئيسية والوجهات الداخلية للفناء الوسطي.</v>
      </c>
      <c r="E1159" s="12" t="str">
        <f>IF(C1159&lt;&gt;"", IFERROR(INDEX('بنود العقد'!D$3:D$388,C1159), ""), "")</f>
        <v>م²</v>
      </c>
      <c r="F1159" s="9">
        <f>IF(C1159&lt;&gt;"", IFERROR(INDEX('بنود العقد'!E$3:E$388,C1159), 0), "")</f>
        <v>60</v>
      </c>
      <c r="G1159" s="9">
        <f>IF(C1159&lt;&gt;"", IFERROR(INDEX('بنود العقد'!F$3:F$388,C1159), 0), "")</f>
        <v>6000</v>
      </c>
      <c r="H1159" s="18">
        <f t="shared" si="48"/>
        <v>739</v>
      </c>
      <c r="I1159" s="7">
        <v>600</v>
      </c>
      <c r="J1159" s="18">
        <f t="shared" si="44"/>
        <v>1339</v>
      </c>
      <c r="K1159" s="10">
        <f t="shared" si="43"/>
        <v>36000</v>
      </c>
      <c r="L1159" s="21">
        <f t="shared" si="45"/>
        <v>22.316666666666666</v>
      </c>
    </row>
    <row r="1160" spans="1:12" s="72" customFormat="1" ht="25.95" customHeight="1">
      <c r="A1160" s="12">
        <v>1158</v>
      </c>
      <c r="B1160" s="6">
        <v>19</v>
      </c>
      <c r="C1160" s="6">
        <v>101</v>
      </c>
      <c r="D1160" s="20" t="str">
        <f>IF(C1160&lt;&gt;"", IFERROR(INDEX('بنود العقد'!B$3:B$388,C1160), "⚠"), "")</f>
        <v>توريد وتركيب وزرة من الرخام  رمادي فاتح تندر غراي بسماكة 20مم 100*1000 مم والسعر يشمل التثبيت  بالغراء والشطف وكل ما يلزم لانهاء العمل حسب الاصول الفنية وتعليمات المهندس المشرف.</v>
      </c>
      <c r="E1160" s="12" t="str">
        <f>IF(C1160&lt;&gt;"", IFERROR(INDEX('بنود العقد'!D$3:D$388,C1160), ""), "")</f>
        <v>م.ط</v>
      </c>
      <c r="F1160" s="9">
        <f>IF(C1160&lt;&gt;"", IFERROR(INDEX('بنود العقد'!E$3:E$388,C1160), 0), "")</f>
        <v>90</v>
      </c>
      <c r="G1160" s="9">
        <f>IF(C1160&lt;&gt;"", IFERROR(INDEX('بنود العقد'!F$3:F$388,C1160), 0), "")</f>
        <v>400</v>
      </c>
      <c r="H1160" s="18">
        <f t="shared" si="48"/>
        <v>414</v>
      </c>
      <c r="I1160" s="7">
        <v>300</v>
      </c>
      <c r="J1160" s="18">
        <f t="shared" si="44"/>
        <v>714</v>
      </c>
      <c r="K1160" s="10">
        <f t="shared" si="43"/>
        <v>27000</v>
      </c>
      <c r="L1160" s="21">
        <f t="shared" si="45"/>
        <v>178.5</v>
      </c>
    </row>
    <row r="1161" spans="1:12" s="72" customFormat="1" ht="25.95" customHeight="1">
      <c r="A1161" s="12">
        <v>1159</v>
      </c>
      <c r="B1161" s="6">
        <v>19</v>
      </c>
      <c r="C1161" s="6">
        <v>105</v>
      </c>
      <c r="D1161" s="20" t="str">
        <f>IF(C1161&lt;&gt;"", IFERROR(INDEX('بنود العقد'!B$3:B$388,C1161), "⚠"), "")</f>
        <v>بلاط - سجاد 02-CT مقاس 500× 500 مم لون أزرق فاتح لمحطة العمل وغرفة الاجتماعات</v>
      </c>
      <c r="E1161" s="12" t="str">
        <f>IF(C1161&lt;&gt;"", IFERROR(INDEX('بنود العقد'!D$3:D$388,C1161), ""), "")</f>
        <v>م²</v>
      </c>
      <c r="F1161" s="9">
        <f>IF(C1161&lt;&gt;"", IFERROR(INDEX('بنود العقد'!E$3:E$388,C1161), 0), "")</f>
        <v>156</v>
      </c>
      <c r="G1161" s="9">
        <f>IF(C1161&lt;&gt;"", IFERROR(INDEX('بنود العقد'!F$3:F$388,C1161), 0), "")</f>
        <v>6705</v>
      </c>
      <c r="H1161" s="18">
        <f t="shared" si="48"/>
        <v>5454</v>
      </c>
      <c r="I1161" s="7">
        <v>200</v>
      </c>
      <c r="J1161" s="18">
        <f t="shared" si="44"/>
        <v>5654</v>
      </c>
      <c r="K1161" s="10">
        <f t="shared" si="43"/>
        <v>31200</v>
      </c>
      <c r="L1161" s="21">
        <f t="shared" si="45"/>
        <v>84.32513049962715</v>
      </c>
    </row>
    <row r="1162" spans="1:12" s="72" customFormat="1" ht="25.95" customHeight="1">
      <c r="A1162" s="12">
        <v>1160</v>
      </c>
      <c r="B1162" s="6">
        <v>19</v>
      </c>
      <c r="C1162" s="6">
        <v>110</v>
      </c>
      <c r="D1162" s="20" t="str">
        <f>IF(C1162&lt;&gt;"", IFERROR(INDEX('بنود العقد'!B$3:B$388,C1162), "⚠"), "")</f>
        <v>بلاط - سجاد 01-CR مقاس 500×500 مم لمكتب الرئيس ونائب الرئيس والصالة والسكرتارية وغرفة الاجتماعات الكبيرة.</v>
      </c>
      <c r="E1162" s="12" t="str">
        <f>IF(C1162&lt;&gt;"", IFERROR(INDEX('بنود العقد'!D$3:D$388,C1162), ""), "")</f>
        <v>م²</v>
      </c>
      <c r="F1162" s="9">
        <f>IF(C1162&lt;&gt;"", IFERROR(INDEX('بنود العقد'!E$3:E$388,C1162), 0), "")</f>
        <v>156</v>
      </c>
      <c r="G1162" s="9">
        <f>IF(C1162&lt;&gt;"", IFERROR(INDEX('بنود العقد'!F$3:F$388,C1162), 0), "")</f>
        <v>2140</v>
      </c>
      <c r="H1162" s="18">
        <f t="shared" si="48"/>
        <v>1829</v>
      </c>
      <c r="I1162" s="7">
        <v>250</v>
      </c>
      <c r="J1162" s="18">
        <f t="shared" si="44"/>
        <v>2079</v>
      </c>
      <c r="K1162" s="10">
        <f t="shared" si="43"/>
        <v>39000</v>
      </c>
      <c r="L1162" s="21">
        <f t="shared" si="45"/>
        <v>97.149532710280369</v>
      </c>
    </row>
    <row r="1163" spans="1:12" s="72" customFormat="1" ht="25.95" customHeight="1">
      <c r="A1163" s="12">
        <v>1161</v>
      </c>
      <c r="B1163" s="6">
        <v>19</v>
      </c>
      <c r="C1163" s="6">
        <v>111</v>
      </c>
      <c r="D1163" s="20" t="str">
        <f>IF(C1163&lt;&gt;"", IFERROR(INDEX('بنود العقد'!B$3:B$388,C1163), "⚠"), "")</f>
        <v>بلاط - سجاد 02-CR مقاس 500×500 مم لمكتب الرئيس ونائب الرئيس على شكل مثلثات لون بيج، رمادي فاتح ورمادي غامق.</v>
      </c>
      <c r="E1163" s="12" t="str">
        <f>IF(C1163&lt;&gt;"", IFERROR(INDEX('بنود العقد'!D$3:D$388,C1163), ""), "")</f>
        <v>م²</v>
      </c>
      <c r="F1163" s="9">
        <f>IF(C1163&lt;&gt;"", IFERROR(INDEX('بنود العقد'!E$3:E$388,C1163), 0), "")</f>
        <v>156</v>
      </c>
      <c r="G1163" s="9">
        <f>IF(C1163&lt;&gt;"", IFERROR(INDEX('بنود العقد'!F$3:F$388,C1163), 0), "")</f>
        <v>303</v>
      </c>
      <c r="H1163" s="18">
        <f t="shared" si="48"/>
        <v>231</v>
      </c>
      <c r="I1163" s="7">
        <v>20</v>
      </c>
      <c r="J1163" s="18">
        <f t="shared" si="44"/>
        <v>251</v>
      </c>
      <c r="K1163" s="10">
        <f t="shared" si="43"/>
        <v>3120</v>
      </c>
      <c r="L1163" s="21">
        <f t="shared" si="45"/>
        <v>82.838283828382842</v>
      </c>
    </row>
    <row r="1164" spans="1:12" s="72" customFormat="1" ht="25.95" customHeight="1">
      <c r="A1164" s="12">
        <v>1162</v>
      </c>
      <c r="B1164" s="6">
        <v>19</v>
      </c>
      <c r="C1164" s="6">
        <v>112</v>
      </c>
      <c r="D1164" s="20" t="str">
        <f>IF(C1164&lt;&gt;"", IFERROR(INDEX('بنود العقد'!B$3:B$388,C1164), "⚠"), "")</f>
        <v>300-Ref drawing: 07-MRA-DD-(as per floor number)-ARبلاط - سجاد 03-CR مقاس 500×500 مم للمدير العام ومنطقة السكرتارية</v>
      </c>
      <c r="E1164" s="12" t="str">
        <f>IF(C1164&lt;&gt;"", IFERROR(INDEX('بنود العقد'!D$3:D$388,C1164), ""), "")</f>
        <v>م²</v>
      </c>
      <c r="F1164" s="9">
        <f>IF(C1164&lt;&gt;"", IFERROR(INDEX('بنود العقد'!E$3:E$388,C1164), 0), "")</f>
        <v>156</v>
      </c>
      <c r="G1164" s="9">
        <f>IF(C1164&lt;&gt;"", IFERROR(INDEX('بنود العقد'!F$3:F$388,C1164), 0), "")</f>
        <v>1550</v>
      </c>
      <c r="H1164" s="18">
        <f t="shared" si="48"/>
        <v>1300</v>
      </c>
      <c r="I1164" s="7">
        <v>150</v>
      </c>
      <c r="J1164" s="18">
        <f t="shared" si="44"/>
        <v>1450</v>
      </c>
      <c r="K1164" s="10">
        <f t="shared" si="43"/>
        <v>23400</v>
      </c>
      <c r="L1164" s="21">
        <f t="shared" si="45"/>
        <v>93.548387096774192</v>
      </c>
    </row>
    <row r="1165" spans="1:12" s="72" customFormat="1" ht="25.95" customHeight="1">
      <c r="A1165" s="12">
        <v>1163</v>
      </c>
      <c r="B1165" s="6">
        <v>19</v>
      </c>
      <c r="C1165" s="6">
        <v>125</v>
      </c>
      <c r="D1165" s="20" t="str">
        <f>IF(C1165&lt;&gt;"", IFERROR(INDEX('بنود العقد'!B$3:B$388,C1165), "⚠"), "")</f>
        <v>دهان بلون رمادي بيج على الألواح الجبسية والألواح الاسمنتية 100-WPF</v>
      </c>
      <c r="E1165" s="12" t="str">
        <f>IF(C1165&lt;&gt;"", IFERROR(INDEX('بنود العقد'!D$3:D$388,C1165), ""), "")</f>
        <v>م²</v>
      </c>
      <c r="F1165" s="9">
        <f>IF(C1165&lt;&gt;"", IFERROR(INDEX('بنود العقد'!E$3:E$388,C1165), 0), "")</f>
        <v>25.2</v>
      </c>
      <c r="G1165" s="9">
        <f>IF(C1165&lt;&gt;"", IFERROR(INDEX('بنود العقد'!F$3:F$388,C1165), 0), "")</f>
        <v>12700</v>
      </c>
      <c r="H1165" s="18">
        <f t="shared" si="48"/>
        <v>10420.083999999999</v>
      </c>
      <c r="I1165" s="7">
        <v>1500</v>
      </c>
      <c r="J1165" s="18">
        <f t="shared" si="44"/>
        <v>11920.083999999999</v>
      </c>
      <c r="K1165" s="10">
        <f t="shared" si="43"/>
        <v>37800</v>
      </c>
      <c r="L1165" s="21">
        <f t="shared" si="45"/>
        <v>93.858929133858254</v>
      </c>
    </row>
    <row r="1166" spans="1:12" s="72" customFormat="1" ht="25.95" customHeight="1">
      <c r="A1166" s="12">
        <v>1164</v>
      </c>
      <c r="B1166" s="6">
        <v>19</v>
      </c>
      <c r="C1166" s="6">
        <v>133</v>
      </c>
      <c r="D1166" s="20" t="str">
        <f>IF(C1166&lt;&gt;"", IFERROR(INDEX('بنود العقد'!B$3:B$388,C1166),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ابيض</v>
      </c>
      <c r="E1166" s="12" t="str">
        <f>IF(C1166&lt;&gt;"", IFERROR(INDEX('بنود العقد'!D$3:D$388,C1166), ""), "")</f>
        <v>م²</v>
      </c>
      <c r="F1166" s="9">
        <f>IF(C1166&lt;&gt;"", IFERROR(INDEX('بنود العقد'!E$3:E$388,C1166), 0), "")</f>
        <v>24</v>
      </c>
      <c r="G1166" s="9">
        <f>IF(C1166&lt;&gt;"", IFERROR(INDEX('بنود العقد'!F$3:F$388,C1166), 0), "")</f>
        <v>25559</v>
      </c>
      <c r="H1166" s="18">
        <f t="shared" si="48"/>
        <v>21859.004000000001</v>
      </c>
      <c r="I1166" s="7">
        <v>3200</v>
      </c>
      <c r="J1166" s="18">
        <f t="shared" si="44"/>
        <v>25059.004000000001</v>
      </c>
      <c r="K1166" s="10">
        <f t="shared" si="43"/>
        <v>76800</v>
      </c>
      <c r="L1166" s="21">
        <f t="shared" si="45"/>
        <v>98.043757580500028</v>
      </c>
    </row>
    <row r="1167" spans="1:12" s="72" customFormat="1" ht="25.95" customHeight="1">
      <c r="A1167" s="12">
        <v>1165</v>
      </c>
      <c r="B1167" s="6">
        <v>19</v>
      </c>
      <c r="C1167" s="6">
        <v>137</v>
      </c>
      <c r="D1167" s="20" t="str">
        <f>IF(C1167&lt;&gt;"", IFERROR(INDEX('بنود العقد'!B$3:B$388,C1167), "⚠"), "")</f>
        <v>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 دهان  بلون اسود</v>
      </c>
      <c r="E1167" s="12" t="str">
        <f>IF(C1167&lt;&gt;"", IFERROR(INDEX('بنود العقد'!D$3:D$388,C1167), ""), "")</f>
        <v>م²</v>
      </c>
      <c r="F1167" s="9">
        <f>IF(C1167&lt;&gt;"", IFERROR(INDEX('بنود العقد'!E$3:E$388,C1167), 0), "")</f>
        <v>30</v>
      </c>
      <c r="G1167" s="9">
        <f>IF(C1167&lt;&gt;"", IFERROR(INDEX('بنود العقد'!F$3:F$388,C1167), 0), "")</f>
        <v>9442</v>
      </c>
      <c r="H1167" s="18">
        <f t="shared" si="48"/>
        <v>9920</v>
      </c>
      <c r="I1167" s="7">
        <v>900</v>
      </c>
      <c r="J1167" s="18">
        <f t="shared" si="44"/>
        <v>10820</v>
      </c>
      <c r="K1167" s="10">
        <f t="shared" si="43"/>
        <v>27000</v>
      </c>
      <c r="L1167" s="21">
        <f t="shared" si="45"/>
        <v>114.59436560050837</v>
      </c>
    </row>
    <row r="1168" spans="1:12" s="72" customFormat="1" ht="25.95" customHeight="1">
      <c r="A1168" s="12">
        <v>1166</v>
      </c>
      <c r="B1168" s="6">
        <v>19</v>
      </c>
      <c r="C1168" s="6">
        <v>141</v>
      </c>
      <c r="D1168" s="20" t="str">
        <f>IF(C1168&lt;&gt;"", IFERROR(INDEX('بنود العقد'!B$3:B$388,C1168), "⚠"), "")</f>
        <v>جهاز تجفيف للأيدي كهربائي</v>
      </c>
      <c r="E1168" s="12" t="str">
        <f>IF(C1168&lt;&gt;"", IFERROR(INDEX('بنود العقد'!D$3:D$388,C1168), ""), "")</f>
        <v>عدد</v>
      </c>
      <c r="F1168" s="9">
        <f>IF(C1168&lt;&gt;"", IFERROR(INDEX('بنود العقد'!E$3:E$388,C1168), 0), "")</f>
        <v>990</v>
      </c>
      <c r="G1168" s="9">
        <f>IF(C1168&lt;&gt;"", IFERROR(INDEX('بنود العقد'!F$3:F$388,C1168), 0), "")</f>
        <v>47</v>
      </c>
      <c r="H1168" s="18">
        <f t="shared" si="48"/>
        <v>60</v>
      </c>
      <c r="I1168" s="7">
        <v>25</v>
      </c>
      <c r="J1168" s="18">
        <f t="shared" si="44"/>
        <v>85</v>
      </c>
      <c r="K1168" s="10">
        <f t="shared" si="43"/>
        <v>24750</v>
      </c>
      <c r="L1168" s="21">
        <f t="shared" si="45"/>
        <v>180.85106382978725</v>
      </c>
    </row>
    <row r="1169" spans="1:12" s="72" customFormat="1" ht="25.95" customHeight="1">
      <c r="A1169" s="12">
        <v>1167</v>
      </c>
      <c r="B1169" s="6">
        <v>19</v>
      </c>
      <c r="C1169" s="6">
        <v>143</v>
      </c>
      <c r="D1169" s="20" t="str">
        <f>IF(C1169&lt;&gt;"", IFERROR(INDEX('بنود العقد'!B$3:B$388,C1169), "⚠"), "")</f>
        <v>موزع صابون سائل</v>
      </c>
      <c r="E1169" s="12" t="str">
        <f>IF(C1169&lt;&gt;"", IFERROR(INDEX('بنود العقد'!D$3:D$388,C1169), ""), "")</f>
        <v>عدد</v>
      </c>
      <c r="F1169" s="9">
        <f>IF(C1169&lt;&gt;"", IFERROR(INDEX('بنود العقد'!E$3:E$388,C1169), 0), "")</f>
        <v>192</v>
      </c>
      <c r="G1169" s="9">
        <f>IF(C1169&lt;&gt;"", IFERROR(INDEX('بنود العقد'!F$3:F$388,C1169), 0), "")</f>
        <v>115</v>
      </c>
      <c r="H1169" s="18">
        <f t="shared" si="48"/>
        <v>61</v>
      </c>
      <c r="I1169" s="7">
        <v>50</v>
      </c>
      <c r="J1169" s="18">
        <f t="shared" si="44"/>
        <v>111</v>
      </c>
      <c r="K1169" s="10">
        <f t="shared" si="43"/>
        <v>9600</v>
      </c>
      <c r="L1169" s="21">
        <f t="shared" si="45"/>
        <v>96.521739130434781</v>
      </c>
    </row>
    <row r="1170" spans="1:12" s="72" customFormat="1" ht="25.95" customHeight="1">
      <c r="A1170" s="12">
        <v>1168</v>
      </c>
      <c r="B1170" s="6">
        <v>19</v>
      </c>
      <c r="C1170" s="6">
        <v>144</v>
      </c>
      <c r="D1170" s="20" t="str">
        <f>IF(C1170&lt;&gt;"", IFERROR(INDEX('بنود العقد'!B$3:B$388,C1170), "⚠"), "")</f>
        <v>حاملة لفة ورق توليت</v>
      </c>
      <c r="E1170" s="12" t="str">
        <f>IF(C1170&lt;&gt;"", IFERROR(INDEX('بنود العقد'!D$3:D$388,C1170), ""), "")</f>
        <v>عدد</v>
      </c>
      <c r="F1170" s="9">
        <f>IF(C1170&lt;&gt;"", IFERROR(INDEX('بنود العقد'!E$3:E$388,C1170), 0), "")</f>
        <v>192</v>
      </c>
      <c r="G1170" s="9">
        <f>IF(C1170&lt;&gt;"", IFERROR(INDEX('بنود العقد'!F$3:F$388,C1170), 0), "")</f>
        <v>138</v>
      </c>
      <c r="H1170" s="18">
        <f t="shared" si="48"/>
        <v>66</v>
      </c>
      <c r="I1170" s="7">
        <v>45</v>
      </c>
      <c r="J1170" s="18">
        <f t="shared" si="44"/>
        <v>111</v>
      </c>
      <c r="K1170" s="10">
        <f t="shared" si="43"/>
        <v>8640</v>
      </c>
      <c r="L1170" s="21">
        <f t="shared" si="45"/>
        <v>80.434782608695656</v>
      </c>
    </row>
    <row r="1171" spans="1:12" s="72" customFormat="1" ht="25.95" customHeight="1">
      <c r="A1171" s="12">
        <v>1169</v>
      </c>
      <c r="B1171" s="6">
        <v>19</v>
      </c>
      <c r="C1171" s="6">
        <v>145</v>
      </c>
      <c r="D1171" s="20" t="str">
        <f>IF(C1171&lt;&gt;"", IFERROR(INDEX('بنود العقد'!B$3:B$388,C1171), "⚠"), "")</f>
        <v>مقابض لذوي الاحتياجات الخاصة  مكونه من مقبض خلفي 900 مم</v>
      </c>
      <c r="E1171" s="12" t="str">
        <f>IF(C1171&lt;&gt;"", IFERROR(INDEX('بنود العقد'!D$3:D$388,C1171), ""), "")</f>
        <v>عدد</v>
      </c>
      <c r="F1171" s="9">
        <f>IF(C1171&lt;&gt;"", IFERROR(INDEX('بنود العقد'!E$3:E$388,C1171), 0), "")</f>
        <v>720</v>
      </c>
      <c r="G1171" s="9">
        <f>IF(C1171&lt;&gt;"", IFERROR(INDEX('بنود العقد'!F$3:F$388,C1171), 0), "")</f>
        <v>23</v>
      </c>
      <c r="H1171" s="18">
        <f t="shared" si="48"/>
        <v>14</v>
      </c>
      <c r="I1171" s="7">
        <v>5</v>
      </c>
      <c r="J1171" s="18">
        <f t="shared" si="44"/>
        <v>19</v>
      </c>
      <c r="K1171" s="10">
        <f t="shared" si="43"/>
        <v>3600</v>
      </c>
      <c r="L1171" s="21">
        <f t="shared" si="45"/>
        <v>82.608695652173907</v>
      </c>
    </row>
    <row r="1172" spans="1:12" s="72" customFormat="1" ht="25.95" customHeight="1">
      <c r="A1172" s="12">
        <v>1170</v>
      </c>
      <c r="B1172" s="6">
        <v>19</v>
      </c>
      <c r="C1172" s="6">
        <v>146</v>
      </c>
      <c r="D1172" s="20" t="str">
        <f>IF(C1172&lt;&gt;"", IFERROR(INDEX('بنود العقد'!B$3:B$388,C1172), "⚠"), "")</f>
        <v>مقابض لذوي الاحتياجات الخاصة   مكونه من مقبض جانبي1100 مم</v>
      </c>
      <c r="E1172" s="12" t="str">
        <f>IF(C1172&lt;&gt;"", IFERROR(INDEX('بنود العقد'!D$3:D$388,C1172), ""), "")</f>
        <v>عدد</v>
      </c>
      <c r="F1172" s="9">
        <f>IF(C1172&lt;&gt;"", IFERROR(INDEX('بنود العقد'!E$3:E$388,C1172), 0), "")</f>
        <v>840</v>
      </c>
      <c r="G1172" s="9">
        <f>IF(C1172&lt;&gt;"", IFERROR(INDEX('بنود العقد'!F$3:F$388,C1172), 0), "")</f>
        <v>23</v>
      </c>
      <c r="H1172" s="18">
        <f t="shared" si="48"/>
        <v>14</v>
      </c>
      <c r="I1172" s="7">
        <v>5</v>
      </c>
      <c r="J1172" s="18">
        <f t="shared" si="44"/>
        <v>19</v>
      </c>
      <c r="K1172" s="10">
        <f t="shared" si="43"/>
        <v>4200</v>
      </c>
      <c r="L1172" s="21">
        <f t="shared" si="45"/>
        <v>82.608695652173907</v>
      </c>
    </row>
    <row r="1173" spans="1:12" s="72" customFormat="1" ht="25.95" customHeight="1">
      <c r="A1173" s="12">
        <v>1171</v>
      </c>
      <c r="B1173" s="6">
        <v>19</v>
      </c>
      <c r="C1173" s="6">
        <v>147</v>
      </c>
      <c r="D1173" s="20" t="str">
        <f>IF(C1173&lt;&gt;"", IFERROR(INDEX('بنود العقد'!B$3:B$388,C1173), "⚠"), "")</f>
        <v>طقم اكسسوارات لمكتب معالي الوزير شاملة اكسسوارات حوض المغسلة، ماسورة تعليق المناشف وحوامل المناشف، فرشاة الحمام، حامل ورق التواليت</v>
      </c>
      <c r="E1173" s="12" t="str">
        <f>IF(C1173&lt;&gt;"", IFERROR(INDEX('بنود العقد'!D$3:D$388,C1173), ""), "")</f>
        <v>عدد</v>
      </c>
      <c r="F1173" s="9">
        <f>IF(C1173&lt;&gt;"", IFERROR(INDEX('بنود العقد'!E$3:E$388,C1173), 0), "")</f>
        <v>9000</v>
      </c>
      <c r="G1173" s="9">
        <f>IF(C1173&lt;&gt;"", IFERROR(INDEX('بنود العقد'!F$3:F$388,C1173), 0), "")</f>
        <v>1</v>
      </c>
      <c r="H1173" s="18">
        <f t="shared" si="48"/>
        <v>0</v>
      </c>
      <c r="I1173" s="7">
        <v>1</v>
      </c>
      <c r="J1173" s="18">
        <f t="shared" si="44"/>
        <v>1</v>
      </c>
      <c r="K1173" s="10">
        <f t="shared" si="43"/>
        <v>9000</v>
      </c>
      <c r="L1173" s="21">
        <f t="shared" si="45"/>
        <v>100</v>
      </c>
    </row>
    <row r="1174" spans="1:12" s="72" customFormat="1" ht="25.95" customHeight="1">
      <c r="A1174" s="12">
        <v>1172</v>
      </c>
      <c r="B1174" s="6">
        <v>19</v>
      </c>
      <c r="C1174" s="6">
        <v>151</v>
      </c>
      <c r="D1174" s="20" t="str">
        <f>IF(C1174&lt;&gt;"", IFERROR(INDEX('بنود العقد'!B$3:B$388,C1174), "⚠"), "")</f>
        <v>توريد وتركيب مرآة وجه 6 مم ترُكّب بارزة عن الجدار مع شطف على كل الجهات طبقا للمواصفات وبحسب تعليمات المهندس المشرف. مقاس 1200 × 800 مم</v>
      </c>
      <c r="E1174" s="12" t="str">
        <f>IF(C1174&lt;&gt;"", IFERROR(INDEX('بنود العقد'!D$3:D$388,C1174), ""), "")</f>
        <v>عدد</v>
      </c>
      <c r="F1174" s="9">
        <f>IF(C1174&lt;&gt;"", IFERROR(INDEX('بنود العقد'!E$3:E$388,C1174), 0), "")</f>
        <v>1200</v>
      </c>
      <c r="G1174" s="9">
        <f>IF(C1174&lt;&gt;"", IFERROR(INDEX('بنود العقد'!F$3:F$388,C1174), 0), "")</f>
        <v>75</v>
      </c>
      <c r="H1174" s="18">
        <f t="shared" si="48"/>
        <v>52</v>
      </c>
      <c r="I1174" s="7">
        <v>18</v>
      </c>
      <c r="J1174" s="18">
        <f t="shared" si="44"/>
        <v>70</v>
      </c>
      <c r="K1174" s="10">
        <f t="shared" si="43"/>
        <v>21600</v>
      </c>
      <c r="L1174" s="21">
        <f t="shared" si="45"/>
        <v>93.333333333333329</v>
      </c>
    </row>
    <row r="1175" spans="1:12" s="72" customFormat="1" ht="25.95" customHeight="1">
      <c r="A1175" s="12">
        <v>1173</v>
      </c>
      <c r="B1175" s="6">
        <v>19</v>
      </c>
      <c r="C1175" s="6">
        <v>152</v>
      </c>
      <c r="D1175" s="20" t="str">
        <f>IF(C1175&lt;&gt;"", IFERROR(INDEX('بنود العقد'!B$3:B$388,C1175), "⚠"), "")</f>
        <v>توريد وتركيب مرآة وجه 6 مم ترُكّب بارزة عن الجدار مع شطف على كل الجهات طبقا للمواصفات وبحسب تعليمات المهندس المشرف. مقاس 1200 × 700 مم</v>
      </c>
      <c r="E1175" s="12" t="str">
        <f>IF(C1175&lt;&gt;"", IFERROR(INDEX('بنود العقد'!D$3:D$388,C1175), ""), "")</f>
        <v>عدد</v>
      </c>
      <c r="F1175" s="9">
        <f>IF(C1175&lt;&gt;"", IFERROR(INDEX('بنود العقد'!E$3:E$388,C1175), 0), "")</f>
        <v>1200</v>
      </c>
      <c r="G1175" s="9">
        <f>IF(C1175&lt;&gt;"", IFERROR(INDEX('بنود العقد'!F$3:F$388,C1175), 0), "")</f>
        <v>92</v>
      </c>
      <c r="H1175" s="18">
        <f t="shared" si="48"/>
        <v>76</v>
      </c>
      <c r="I1175" s="7">
        <v>15</v>
      </c>
      <c r="J1175" s="18">
        <f t="shared" si="44"/>
        <v>91</v>
      </c>
      <c r="K1175" s="10">
        <f t="shared" si="43"/>
        <v>18000</v>
      </c>
      <c r="L1175" s="21">
        <f t="shared" si="45"/>
        <v>98.91304347826086</v>
      </c>
    </row>
    <row r="1176" spans="1:12" s="72" customFormat="1" ht="25.95" customHeight="1">
      <c r="A1176" s="12">
        <v>1174</v>
      </c>
      <c r="B1176" s="6">
        <v>19</v>
      </c>
      <c r="C1176" s="6">
        <v>153</v>
      </c>
      <c r="D1176" s="20" t="str">
        <f>IF(C1176&lt;&gt;"", IFERROR(INDEX('بنود العقد'!B$3:B$388,C1176),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1250طول × عرض600 مم </v>
      </c>
      <c r="E1176" s="12" t="str">
        <f>IF(C1176&lt;&gt;"", IFERROR(INDEX('بنود العقد'!D$3:D$388,C1176), ""), "")</f>
        <v>عدد</v>
      </c>
      <c r="F1176" s="9">
        <f>IF(C1176&lt;&gt;"", IFERROR(INDEX('بنود العقد'!E$3:E$388,C1176), 0), "")</f>
        <v>1800</v>
      </c>
      <c r="G1176" s="9">
        <f>IF(C1176&lt;&gt;"", IFERROR(INDEX('بنود العقد'!F$3:F$388,C1176), 0), "")</f>
        <v>32</v>
      </c>
      <c r="H1176" s="18">
        <f t="shared" si="48"/>
        <v>18</v>
      </c>
      <c r="I1176" s="7">
        <v>4</v>
      </c>
      <c r="J1176" s="18">
        <f t="shared" si="44"/>
        <v>22</v>
      </c>
      <c r="K1176" s="10">
        <f t="shared" si="43"/>
        <v>7200</v>
      </c>
      <c r="L1176" s="21">
        <f t="shared" si="45"/>
        <v>68.75</v>
      </c>
    </row>
    <row r="1177" spans="1:12" s="72" customFormat="1" ht="25.95" customHeight="1">
      <c r="A1177" s="12">
        <v>1175</v>
      </c>
      <c r="B1177" s="6">
        <v>19</v>
      </c>
      <c r="C1177" s="6">
        <v>154</v>
      </c>
      <c r="D1177" s="20" t="str">
        <f>IF(C1177&lt;&gt;"", IFERROR(INDEX('بنود العقد'!B$3:B$388,C1177),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1200طول × عرض600 مم </v>
      </c>
      <c r="E1177" s="12" t="str">
        <f>IF(C1177&lt;&gt;"", IFERROR(INDEX('بنود العقد'!D$3:D$388,C1177), ""), "")</f>
        <v>عدد</v>
      </c>
      <c r="F1177" s="9">
        <f>IF(C1177&lt;&gt;"", IFERROR(INDEX('بنود العقد'!E$3:E$388,C1177), 0), "")</f>
        <v>1800</v>
      </c>
      <c r="G1177" s="9">
        <f>IF(C1177&lt;&gt;"", IFERROR(INDEX('بنود العقد'!F$3:F$388,C1177), 0), "")</f>
        <v>20</v>
      </c>
      <c r="H1177" s="18">
        <f t="shared" si="48"/>
        <v>12</v>
      </c>
      <c r="I1177" s="7">
        <v>2</v>
      </c>
      <c r="J1177" s="18">
        <f t="shared" si="44"/>
        <v>14</v>
      </c>
      <c r="K1177" s="10">
        <f t="shared" si="43"/>
        <v>3600</v>
      </c>
      <c r="L1177" s="21">
        <f t="shared" si="45"/>
        <v>70</v>
      </c>
    </row>
    <row r="1178" spans="1:12" s="72" customFormat="1" ht="25.95" customHeight="1">
      <c r="A1178" s="12">
        <v>1176</v>
      </c>
      <c r="B1178" s="6">
        <v>19</v>
      </c>
      <c r="C1178" s="6">
        <v>155</v>
      </c>
      <c r="D1178" s="20" t="str">
        <f>IF(C1178&lt;&gt;"", IFERROR(INDEX('بنود العقد'!B$3:B$388,C1178),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مقاس: 1000طولRef drawing: 07-MRA-DD-(as per floor number)-AR-700 to 703 عرض600 مم × </v>
      </c>
      <c r="E1178" s="12" t="str">
        <f>IF(C1178&lt;&gt;"", IFERROR(INDEX('بنود العقد'!D$3:D$388,C1178), ""), "")</f>
        <v>عدد</v>
      </c>
      <c r="F1178" s="9">
        <f>IF(C1178&lt;&gt;"", IFERROR(INDEX('بنود العقد'!E$3:E$388,C1178), 0), "")</f>
        <v>1200</v>
      </c>
      <c r="G1178" s="9">
        <f>IF(C1178&lt;&gt;"", IFERROR(INDEX('بنود العقد'!F$3:F$388,C1178), 0), "")</f>
        <v>22</v>
      </c>
      <c r="H1178" s="18">
        <f t="shared" si="48"/>
        <v>22</v>
      </c>
      <c r="I1178" s="7">
        <v>6</v>
      </c>
      <c r="J1178" s="18">
        <f t="shared" si="44"/>
        <v>28</v>
      </c>
      <c r="K1178" s="10">
        <f t="shared" si="43"/>
        <v>7200</v>
      </c>
      <c r="L1178" s="21">
        <f t="shared" si="45"/>
        <v>127.27272727272727</v>
      </c>
    </row>
    <row r="1179" spans="1:12" s="72" customFormat="1" ht="25.95" customHeight="1">
      <c r="A1179" s="12">
        <v>1177</v>
      </c>
      <c r="B1179" s="6">
        <v>19</v>
      </c>
      <c r="C1179" s="6">
        <v>156</v>
      </c>
      <c r="D1179" s="20" t="str">
        <f>IF(C1179&lt;&gt;"", IFERROR(INDEX('بنود العقد'!B$3:B$388,C1179),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المشرف.Ref drawing: 07-MRA-DD-(as per floor number)-AR-700 to 703 مقاس: 3800طول × عرض600 مم </v>
      </c>
      <c r="E1179" s="12" t="str">
        <f>IF(C1179&lt;&gt;"", IFERROR(INDEX('بنود العقد'!D$3:D$388,C1179), ""), "")</f>
        <v>عدد</v>
      </c>
      <c r="F1179" s="9">
        <f>IF(C1179&lt;&gt;"", IFERROR(INDEX('بنود العقد'!E$3:E$388,C1179), 0), "")</f>
        <v>6000</v>
      </c>
      <c r="G1179" s="9">
        <f>IF(C1179&lt;&gt;"", IFERROR(INDEX('بنود العقد'!F$3:F$388,C1179), 0), "")</f>
        <v>23</v>
      </c>
      <c r="H1179" s="18">
        <f t="shared" si="48"/>
        <v>20</v>
      </c>
      <c r="I1179" s="7">
        <v>3</v>
      </c>
      <c r="J1179" s="18">
        <f t="shared" si="44"/>
        <v>23</v>
      </c>
      <c r="K1179" s="10">
        <f t="shared" si="43"/>
        <v>18000</v>
      </c>
      <c r="L1179" s="21">
        <f t="shared" si="45"/>
        <v>100</v>
      </c>
    </row>
    <row r="1180" spans="1:12" s="72" customFormat="1" ht="25.95" customHeight="1">
      <c r="A1180" s="12">
        <v>1178</v>
      </c>
      <c r="B1180" s="6">
        <v>19</v>
      </c>
      <c r="C1180" s="6">
        <v>175</v>
      </c>
      <c r="D1180" s="20" t="str">
        <f>IF(C1180&lt;&gt;"", IFERROR(INDEX('بنود العقد'!B$3:B$388,C1180), "⚠"), "")</f>
        <v>قواطع الحمامات مكونة من ألواح الفينوليك المضغوط ارتفاع 2 متر ذو المقاومة الشديدة للماء مع طبقة ميلامين بلون رمادي غامق مقاومة للخدش وسهلة التنظيف ، سمك الألواح هو  19 ملم ،. قواطع الحمامات تشمل إكسسوارات عالية الجودة ) مفصلات ذاتية الإغلاق وقفل ( والأبواب والاكسسوارات والعلاقات من الستانلس ستيل brushed finish وكل ما يلزم لانهاء العمل حسب الأصول الفنية والمواصفلت وتعليمات المهندس المشرف .</v>
      </c>
      <c r="E1180" s="12" t="str">
        <f>IF(C1180&lt;&gt;"", IFERROR(INDEX('بنود العقد'!D$3:D$388,C1180), ""), "")</f>
        <v>م²</v>
      </c>
      <c r="F1180" s="9">
        <f>IF(C1180&lt;&gt;"", IFERROR(INDEX('بنود العقد'!E$3:E$388,C1180), 0), "")</f>
        <v>780</v>
      </c>
      <c r="G1180" s="9">
        <f>IF(C1180&lt;&gt;"", IFERROR(INDEX('بنود العقد'!F$3:F$388,C1180), 0), "")</f>
        <v>611</v>
      </c>
      <c r="H1180" s="18">
        <f t="shared" si="48"/>
        <v>446</v>
      </c>
      <c r="I1180" s="7">
        <v>10</v>
      </c>
      <c r="J1180" s="18">
        <f t="shared" si="44"/>
        <v>456</v>
      </c>
      <c r="K1180" s="10">
        <f t="shared" si="43"/>
        <v>7800</v>
      </c>
      <c r="L1180" s="21">
        <f t="shared" si="45"/>
        <v>74.631751227495911</v>
      </c>
    </row>
    <row r="1181" spans="1:12" s="72" customFormat="1" ht="25.95" customHeight="1">
      <c r="A1181" s="12">
        <v>1179</v>
      </c>
      <c r="B1181" s="6">
        <v>19</v>
      </c>
      <c r="C1181" s="6">
        <v>185</v>
      </c>
      <c r="D1181" s="20" t="str">
        <f>IF(C1181&lt;&gt;"", IFERROR(INDEX('بنود العقد'!B$3:B$388,C1181),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v>
      </c>
      <c r="E1181" s="12" t="str">
        <f>IF(C1181&lt;&gt;"", IFERROR(INDEX('بنود العقد'!D$3:D$388,C1181), ""), "")</f>
        <v>م.ط</v>
      </c>
      <c r="F1181" s="9">
        <f>IF(C1181&lt;&gt;"", IFERROR(INDEX('بنود العقد'!E$3:E$388,C1181), 0), "")</f>
        <v>75.599999999999994</v>
      </c>
      <c r="G1181" s="9">
        <f>IF(C1181&lt;&gt;"", IFERROR(INDEX('بنود العقد'!F$3:F$388,C1181), 0), "")</f>
        <v>426</v>
      </c>
      <c r="H1181" s="18">
        <f t="shared" si="48"/>
        <v>2364</v>
      </c>
      <c r="I1181" s="7">
        <v>60</v>
      </c>
      <c r="J1181" s="18">
        <f t="shared" si="44"/>
        <v>2424</v>
      </c>
      <c r="K1181" s="10">
        <f t="shared" si="43"/>
        <v>4536</v>
      </c>
      <c r="L1181" s="21">
        <f t="shared" si="45"/>
        <v>569.0140845070423</v>
      </c>
    </row>
    <row r="1182" spans="1:12" s="72" customFormat="1" ht="25.95" customHeight="1">
      <c r="A1182" s="12">
        <v>1180</v>
      </c>
      <c r="B1182" s="6">
        <v>19</v>
      </c>
      <c r="C1182" s="6">
        <v>187</v>
      </c>
      <c r="D1182" s="20" t="str">
        <f>IF(C1182&lt;&gt;"", IFERROR(INDEX('بنود العقد'!B$3:B$388,C1182),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v>
      </c>
      <c r="E1182" s="12" t="str">
        <f>IF(C1182&lt;&gt;"", IFERROR(INDEX('بنود العقد'!D$3:D$388,C1182), ""), "")</f>
        <v>م.ط</v>
      </c>
      <c r="F1182" s="9">
        <f>IF(C1182&lt;&gt;"", IFERROR(INDEX('بنود العقد'!E$3:E$388,C1182), 0), "")</f>
        <v>102</v>
      </c>
      <c r="G1182" s="9">
        <f>IF(C1182&lt;&gt;"", IFERROR(INDEX('بنود العقد'!F$3:F$388,C1182), 0), "")</f>
        <v>961</v>
      </c>
      <c r="H1182" s="18">
        <f t="shared" si="48"/>
        <v>3000</v>
      </c>
      <c r="I1182" s="7">
        <v>250</v>
      </c>
      <c r="J1182" s="18">
        <f t="shared" si="44"/>
        <v>3250</v>
      </c>
      <c r="K1182" s="10">
        <f t="shared" si="43"/>
        <v>25500</v>
      </c>
      <c r="L1182" s="21">
        <f t="shared" si="45"/>
        <v>338.18938605619149</v>
      </c>
    </row>
    <row r="1183" spans="1:12" s="72" customFormat="1" ht="25.95" customHeight="1">
      <c r="A1183" s="12">
        <v>1181</v>
      </c>
      <c r="B1183" s="6">
        <v>19</v>
      </c>
      <c r="C1183" s="6">
        <v>188</v>
      </c>
      <c r="D1183" s="20" t="str">
        <f>IF(C1183&lt;&gt;"", IFERROR(INDEX('بنود العقد'!B$3:B$388,C1183), "⚠"), "")</f>
        <v>صفاية أرضية )FD(، من PVC مع مصفاة معدنية  مطلية بالكروم شاملة سيفون كما هو موصف بالمقاسات التالية:مخرج قطر 75 مم</v>
      </c>
      <c r="E1183" s="12" t="str">
        <f>IF(C1183&lt;&gt;"", IFERROR(INDEX('بنود العقد'!D$3:D$388,C1183), ""), "")</f>
        <v>عدد</v>
      </c>
      <c r="F1183" s="9">
        <f>IF(C1183&lt;&gt;"", IFERROR(INDEX('بنود العقد'!E$3:E$388,C1183), 0), "")</f>
        <v>300</v>
      </c>
      <c r="G1183" s="9">
        <f>IF(C1183&lt;&gt;"", IFERROR(INDEX('بنود العقد'!F$3:F$388,C1183), 0), "")</f>
        <v>161</v>
      </c>
      <c r="H1183" s="18">
        <f t="shared" si="48"/>
        <v>191</v>
      </c>
      <c r="I1183" s="7">
        <v>20</v>
      </c>
      <c r="J1183" s="18">
        <f t="shared" si="44"/>
        <v>211</v>
      </c>
      <c r="K1183" s="10">
        <f t="shared" si="43"/>
        <v>6000</v>
      </c>
      <c r="L1183" s="21">
        <f t="shared" si="45"/>
        <v>131.05590062111801</v>
      </c>
    </row>
    <row r="1184" spans="1:12" s="72" customFormat="1" ht="25.95" customHeight="1">
      <c r="A1184" s="12">
        <v>1182</v>
      </c>
      <c r="B1184" s="6">
        <v>19</v>
      </c>
      <c r="C1184" s="6">
        <v>189</v>
      </c>
      <c r="D1184" s="20" t="str">
        <f>IF(C1184&lt;&gt;"", IFERROR(INDEX('بنود العقد'!B$3:B$388,C1184), "⚠"), "")</f>
        <v>صفاية أرضية )FD(، من PVC مع مصفاة معدنية  مطلية بالكروم شاملة سيفون كما هو موصف بالمقاسات التالية:صفاية' طولية أرضية )SD(،مع مصفاة  معدنية مطلية بالكروم شاملة سيفون مخرج قطر 50 مم</v>
      </c>
      <c r="E1184" s="12" t="str">
        <f>IF(C1184&lt;&gt;"", IFERROR(INDEX('بنود العقد'!D$3:D$388,C1184), ""), "")</f>
        <v>عدد</v>
      </c>
      <c r="F1184" s="9">
        <f>IF(C1184&lt;&gt;"", IFERROR(INDEX('بنود العقد'!E$3:E$388,C1184), 0), "")</f>
        <v>300</v>
      </c>
      <c r="G1184" s="9">
        <f>IF(C1184&lt;&gt;"", IFERROR(INDEX('بنود العقد'!F$3:F$388,C1184), 0), "")</f>
        <v>20</v>
      </c>
      <c r="H1184" s="18">
        <f t="shared" si="48"/>
        <v>7</v>
      </c>
      <c r="I1184" s="7">
        <v>6</v>
      </c>
      <c r="J1184" s="18">
        <f t="shared" si="44"/>
        <v>13</v>
      </c>
      <c r="K1184" s="10">
        <f t="shared" si="43"/>
        <v>1800</v>
      </c>
      <c r="L1184" s="21">
        <f t="shared" si="45"/>
        <v>65</v>
      </c>
    </row>
    <row r="1185" spans="1:12" s="72" customFormat="1" ht="25.95" customHeight="1">
      <c r="A1185" s="12">
        <v>1183</v>
      </c>
      <c r="B1185" s="6">
        <v>19</v>
      </c>
      <c r="C1185" s="6">
        <v>190</v>
      </c>
      <c r="D1185" s="20" t="str">
        <f>IF(C1185&lt;&gt;"", IFERROR(INDEX('بنود العقد'!B$3:B$388,C1185),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:حوض وجه على رخامة )مرجع 1-LAV ( من نفس نوع الرخام الصناعي كوريان للكاونتر والكاونتر محسوب في بند منفصل</v>
      </c>
      <c r="E1185" s="12" t="str">
        <f>IF(C1185&lt;&gt;"", IFERROR(INDEX('بنود العقد'!D$3:D$388,C1185), ""), "")</f>
        <v>عدد</v>
      </c>
      <c r="F1185" s="9">
        <f>IF(C1185&lt;&gt;"", IFERROR(INDEX('بنود العقد'!E$3:E$388,C1185), 0), "")</f>
        <v>2640</v>
      </c>
      <c r="G1185" s="9">
        <f>IF(C1185&lt;&gt;"", IFERROR(INDEX('بنود العقد'!F$3:F$388,C1185), 0), "")</f>
        <v>68</v>
      </c>
      <c r="H1185" s="18">
        <f t="shared" si="48"/>
        <v>59</v>
      </c>
      <c r="I1185" s="7">
        <v>10</v>
      </c>
      <c r="J1185" s="18">
        <f t="shared" si="44"/>
        <v>69</v>
      </c>
      <c r="K1185" s="10">
        <f t="shared" si="43"/>
        <v>26400</v>
      </c>
      <c r="L1185" s="21">
        <f t="shared" si="45"/>
        <v>101.47058823529412</v>
      </c>
    </row>
    <row r="1186" spans="1:12" s="72" customFormat="1" ht="25.95" customHeight="1">
      <c r="A1186" s="12">
        <v>1184</v>
      </c>
      <c r="B1186" s="6">
        <v>19</v>
      </c>
      <c r="C1186" s="6">
        <v>192</v>
      </c>
      <c r="D1186" s="20" t="str">
        <f>IF(C1186&lt;&gt;"", IFERROR(INDEX('بنود العقد'!B$3:B$388,C1186), "⚠"), "")</f>
        <v>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غسيل أواني للمطبخ بعين واحدة )مرجع 1-KS</v>
      </c>
      <c r="E1186" s="12" t="str">
        <f>IF(C1186&lt;&gt;"", IFERROR(INDEX('بنود العقد'!D$3:D$388,C1186), ""), "")</f>
        <v>عدد</v>
      </c>
      <c r="F1186" s="9">
        <f>IF(C1186&lt;&gt;"", IFERROR(INDEX('بنود العقد'!E$3:E$388,C1186), 0), "")</f>
        <v>3000</v>
      </c>
      <c r="G1186" s="9">
        <f>IF(C1186&lt;&gt;"", IFERROR(INDEX('بنود العقد'!F$3:F$388,C1186), 0), "")</f>
        <v>16</v>
      </c>
      <c r="H1186" s="18">
        <f t="shared" si="48"/>
        <v>3</v>
      </c>
      <c r="I1186" s="7">
        <v>8</v>
      </c>
      <c r="J1186" s="18">
        <f t="shared" si="44"/>
        <v>11</v>
      </c>
      <c r="K1186" s="10">
        <f t="shared" si="43"/>
        <v>24000</v>
      </c>
      <c r="L1186" s="21">
        <f t="shared" si="45"/>
        <v>68.75</v>
      </c>
    </row>
    <row r="1187" spans="1:12" s="72" customFormat="1" ht="25.95" customHeight="1">
      <c r="A1187" s="12">
        <v>1185</v>
      </c>
      <c r="B1187" s="6">
        <v>19</v>
      </c>
      <c r="C1187" s="6">
        <v>193</v>
      </c>
      <c r="D1187" s="20" t="str">
        <f>IF(C1187&lt;&gt;"", IFERROR(INDEX('بنود العقد'!B$3:B$388,C1187), "⚠"), "")</f>
        <v>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وجه يركب على الكاونتر )مرجع 3-LAV (</v>
      </c>
      <c r="E1187" s="12" t="str">
        <f>IF(C1187&lt;&gt;"", IFERROR(INDEX('بنود العقد'!D$3:D$388,C1187), ""), "")</f>
        <v>عدد</v>
      </c>
      <c r="F1187" s="9">
        <f>IF(C1187&lt;&gt;"", IFERROR(INDEX('بنود العقد'!E$3:E$388,C1187), 0), "")</f>
        <v>2220</v>
      </c>
      <c r="G1187" s="9">
        <f>IF(C1187&lt;&gt;"", IFERROR(INDEX('بنود العقد'!F$3:F$388,C1187), 0), "")</f>
        <v>92</v>
      </c>
      <c r="H1187" s="18">
        <f t="shared" si="48"/>
        <v>97</v>
      </c>
      <c r="I1187" s="7">
        <v>12</v>
      </c>
      <c r="J1187" s="18">
        <f t="shared" si="44"/>
        <v>109</v>
      </c>
      <c r="K1187" s="10">
        <f t="shared" si="43"/>
        <v>26640</v>
      </c>
      <c r="L1187" s="21">
        <f t="shared" si="45"/>
        <v>118.4782608695652</v>
      </c>
    </row>
    <row r="1188" spans="1:12" s="72" customFormat="1" ht="25.95" customHeight="1">
      <c r="A1188" s="12">
        <v>1186</v>
      </c>
      <c r="B1188" s="6">
        <v>19</v>
      </c>
      <c r="C1188" s="6">
        <v>195</v>
      </c>
      <c r="D1188" s="20" t="str">
        <f>IF(C1188&lt;&gt;"", IFERROR(INDEX('بنود العقد'!B$3:B$388,C1188),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افرنجي ) مرجع 2-WWC (  مثبت على الحائط بخزان  طرد مخفي مع زر دفق من الصلب الذي لا يصدأ - مع غطاء للمرحاض مقاوم للبكتريا من نوع soft closing</v>
      </c>
      <c r="E1188" s="12" t="str">
        <f>IF(C1188&lt;&gt;"", IFERROR(INDEX('بنود العقد'!D$3:D$388,C1188), ""), "")</f>
        <v>عدد</v>
      </c>
      <c r="F1188" s="9">
        <f>IF(C1188&lt;&gt;"", IFERROR(INDEX('بنود العقد'!E$3:E$388,C1188), 0), "")</f>
        <v>2760</v>
      </c>
      <c r="G1188" s="9">
        <f>IF(C1188&lt;&gt;"", IFERROR(INDEX('بنود العقد'!F$3:F$388,C1188), 0), "")</f>
        <v>55</v>
      </c>
      <c r="H1188" s="18">
        <f t="shared" si="48"/>
        <v>45</v>
      </c>
      <c r="I1188" s="7">
        <v>6</v>
      </c>
      <c r="J1188" s="18">
        <f t="shared" si="44"/>
        <v>51</v>
      </c>
      <c r="K1188" s="10">
        <f t="shared" si="43"/>
        <v>16560</v>
      </c>
      <c r="L1188" s="21">
        <f t="shared" si="45"/>
        <v>92.72727272727272</v>
      </c>
    </row>
    <row r="1189" spans="1:12" s="72" customFormat="1" ht="25.95" customHeight="1">
      <c r="A1189" s="12">
        <v>1187</v>
      </c>
      <c r="B1189" s="6">
        <v>19</v>
      </c>
      <c r="C1189" s="6">
        <v>196</v>
      </c>
      <c r="D1189" s="20" t="str">
        <f>IF(C1189&lt;&gt;"", IFERROR(INDEX('بنود العقد'!B$3:B$388,C1189),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شرقي )مرجع EWC( مثبت على الحائط بخزان  طرد مخفي مع زر دفق من الصلب الذي لا يصدأ،</v>
      </c>
      <c r="E1189" s="12" t="str">
        <f>IF(C1189&lt;&gt;"", IFERROR(INDEX('بنود العقد'!D$3:D$388,C1189), ""), "")</f>
        <v>عدد</v>
      </c>
      <c r="F1189" s="9">
        <f>IF(C1189&lt;&gt;"", IFERROR(INDEX('بنود العقد'!E$3:E$388,C1189), 0), "")</f>
        <v>2160</v>
      </c>
      <c r="G1189" s="9">
        <f>IF(C1189&lt;&gt;"", IFERROR(INDEX('بنود العقد'!F$3:F$388,C1189), 0), "")</f>
        <v>23</v>
      </c>
      <c r="H1189" s="18">
        <f t="shared" si="48"/>
        <v>24</v>
      </c>
      <c r="I1189" s="7">
        <v>3</v>
      </c>
      <c r="J1189" s="18">
        <f t="shared" si="44"/>
        <v>27</v>
      </c>
      <c r="K1189" s="10">
        <f t="shared" si="43"/>
        <v>6480</v>
      </c>
      <c r="L1189" s="21">
        <f t="shared" si="45"/>
        <v>117.39130434782609</v>
      </c>
    </row>
    <row r="1190" spans="1:12" s="72" customFormat="1" ht="25.95" customHeight="1">
      <c r="A1190" s="12">
        <v>1188</v>
      </c>
      <c r="B1190" s="6">
        <v>19</v>
      </c>
      <c r="C1190" s="6">
        <v>197</v>
      </c>
      <c r="D1190" s="20" t="str">
        <f>IF(C1190&lt;&gt;"", IFERROR(INDEX('بنود العقد'!B$3:B$388,C1190),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:مقبض رشاش مع الخرطوم وأداة التعليق، مرجع PS</v>
      </c>
      <c r="E1190" s="12" t="str">
        <f>IF(C1190&lt;&gt;"", IFERROR(INDEX('بنود العقد'!D$3:D$388,C1190), ""), "")</f>
        <v>عدد</v>
      </c>
      <c r="F1190" s="9">
        <f>IF(C1190&lt;&gt;"", IFERROR(INDEX('بنود العقد'!E$3:E$388,C1190), 0), "")</f>
        <v>180</v>
      </c>
      <c r="G1190" s="9">
        <f>IF(C1190&lt;&gt;"", IFERROR(INDEX('بنود العقد'!F$3:F$388,C1190), 0), "")</f>
        <v>191</v>
      </c>
      <c r="H1190" s="18">
        <f t="shared" si="48"/>
        <v>152</v>
      </c>
      <c r="I1190" s="7">
        <v>22</v>
      </c>
      <c r="J1190" s="18">
        <f t="shared" si="44"/>
        <v>174</v>
      </c>
      <c r="K1190" s="10">
        <f t="shared" si="43"/>
        <v>3960</v>
      </c>
      <c r="L1190" s="21">
        <f t="shared" si="45"/>
        <v>91.099476439790578</v>
      </c>
    </row>
    <row r="1191" spans="1:12" s="72" customFormat="1" ht="25.95" customHeight="1">
      <c r="A1191" s="12">
        <v>1189</v>
      </c>
      <c r="B1191" s="6">
        <v>19</v>
      </c>
      <c r="C1191" s="6">
        <v>198</v>
      </c>
      <c r="D1191" s="20" t="str">
        <f>IF(C1191&lt;&gt;"", IFERROR(INDEX('بنود العقد'!B$3:B$388,C1191),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:خلاط مياة  يركب على الحوض</v>
      </c>
      <c r="E1191" s="12" t="str">
        <f>IF(C1191&lt;&gt;"", IFERROR(INDEX('بنود العقد'!D$3:D$388,C1191), ""), "")</f>
        <v>عدد</v>
      </c>
      <c r="F1191" s="9">
        <f>IF(C1191&lt;&gt;"", IFERROR(INDEX('بنود العقد'!E$3:E$388,C1191), 0), "")</f>
        <v>1080</v>
      </c>
      <c r="G1191" s="9">
        <f>IF(C1191&lt;&gt;"", IFERROR(INDEX('بنود العقد'!F$3:F$388,C1191), 0), "")</f>
        <v>208</v>
      </c>
      <c r="H1191" s="18">
        <f t="shared" si="48"/>
        <v>212</v>
      </c>
      <c r="I1191" s="7">
        <v>30</v>
      </c>
      <c r="J1191" s="18">
        <f t="shared" si="44"/>
        <v>242</v>
      </c>
      <c r="K1191" s="10">
        <f t="shared" si="43"/>
        <v>32400</v>
      </c>
      <c r="L1191" s="21">
        <f t="shared" si="45"/>
        <v>116.34615384615385</v>
      </c>
    </row>
    <row r="1192" spans="1:12" s="72" customFormat="1" ht="25.95" customHeight="1">
      <c r="A1192" s="12">
        <v>1190</v>
      </c>
      <c r="B1192" s="6">
        <v>19</v>
      </c>
      <c r="C1192" s="6">
        <v>199</v>
      </c>
      <c r="D1192" s="20" t="str">
        <f>IF(C1192&lt;&gt;"", IFERROR(INDEX('بنود العقد'!B$3:B$388,C1192),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E1192" s="12" t="str">
        <f>IF(C1192&lt;&gt;"", IFERROR(INDEX('بنود العقد'!D$3:D$388,C1192), ""), "")</f>
        <v>م.ط</v>
      </c>
      <c r="F1192" s="9">
        <f>IF(C1192&lt;&gt;"", IFERROR(INDEX('بنود العقد'!E$3:E$388,C1192), 0), "")</f>
        <v>108</v>
      </c>
      <c r="G1192" s="9">
        <f>IF(C1192&lt;&gt;"", IFERROR(INDEX('بنود العقد'!F$3:F$388,C1192), 0), "")</f>
        <v>3900</v>
      </c>
      <c r="H1192" s="18">
        <f t="shared" si="48"/>
        <v>8667</v>
      </c>
      <c r="I1192" s="7">
        <v>60</v>
      </c>
      <c r="J1192" s="18">
        <f t="shared" si="44"/>
        <v>8727</v>
      </c>
      <c r="K1192" s="10">
        <f t="shared" si="43"/>
        <v>6480</v>
      </c>
      <c r="L1192" s="21">
        <f t="shared" si="45"/>
        <v>223.76923076923077</v>
      </c>
    </row>
    <row r="1193" spans="1:12" s="72" customFormat="1" ht="25.95" customHeight="1">
      <c r="A1193" s="12">
        <v>1191</v>
      </c>
      <c r="B1193" s="6">
        <v>19</v>
      </c>
      <c r="C1193" s="6">
        <v>200</v>
      </c>
      <c r="D1193" s="20" t="str">
        <f>IF(C1193&lt;&gt;"", IFERROR(INDEX('بنود العقد'!B$3:B$388,C1193),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28</v>
      </c>
      <c r="E1193" s="12" t="str">
        <f>IF(C1193&lt;&gt;"", IFERROR(INDEX('بنود العقد'!D$3:D$388,C1193), ""), "")</f>
        <v>م.ط</v>
      </c>
      <c r="F1193" s="9">
        <f>IF(C1193&lt;&gt;"", IFERROR(INDEX('بنود العقد'!E$3:E$388,C1193), 0), "")</f>
        <v>138</v>
      </c>
      <c r="G1193" s="9">
        <f>IF(C1193&lt;&gt;"", IFERROR(INDEX('بنود العقد'!F$3:F$388,C1193), 0), "")</f>
        <v>323</v>
      </c>
      <c r="H1193" s="18">
        <f t="shared" si="48"/>
        <v>682</v>
      </c>
      <c r="I1193" s="7">
        <v>20</v>
      </c>
      <c r="J1193" s="18">
        <f t="shared" si="44"/>
        <v>702</v>
      </c>
      <c r="K1193" s="10">
        <f t="shared" si="43"/>
        <v>2760</v>
      </c>
      <c r="L1193" s="21">
        <f t="shared" si="45"/>
        <v>217.33746130030957</v>
      </c>
    </row>
    <row r="1194" spans="1:12" s="72" customFormat="1" ht="25.95" customHeight="1">
      <c r="A1194" s="12">
        <v>1192</v>
      </c>
      <c r="B1194" s="6">
        <v>19</v>
      </c>
      <c r="C1194" s="6">
        <v>201</v>
      </c>
      <c r="D1194" s="20" t="str">
        <f>IF(C1194&lt;&gt;"", IFERROR(INDEX('بنود العقد'!B$3:B$388,C1194),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33</v>
      </c>
      <c r="E1194" s="12" t="str">
        <f>IF(C1194&lt;&gt;"", IFERROR(INDEX('بنود العقد'!D$3:D$388,C1194), ""), "")</f>
        <v>م.ط</v>
      </c>
      <c r="F1194" s="9">
        <f>IF(C1194&lt;&gt;"", IFERROR(INDEX('بنود العقد'!E$3:E$388,C1194), 0), "")</f>
        <v>192</v>
      </c>
      <c r="G1194" s="9">
        <f>IF(C1194&lt;&gt;"", IFERROR(INDEX('بنود العقد'!F$3:F$388,C1194), 0), "")</f>
        <v>660</v>
      </c>
      <c r="H1194" s="18">
        <f t="shared" si="48"/>
        <v>1545</v>
      </c>
      <c r="I1194" s="7">
        <v>90</v>
      </c>
      <c r="J1194" s="18">
        <f t="shared" si="44"/>
        <v>1635</v>
      </c>
      <c r="K1194" s="10">
        <f t="shared" si="43"/>
        <v>17280</v>
      </c>
      <c r="L1194" s="21">
        <f t="shared" si="45"/>
        <v>247.72727272727272</v>
      </c>
    </row>
    <row r="1195" spans="1:12" s="72" customFormat="1" ht="25.95" customHeight="1">
      <c r="A1195" s="12">
        <v>1193</v>
      </c>
      <c r="B1195" s="6">
        <v>19</v>
      </c>
      <c r="C1195" s="6">
        <v>202</v>
      </c>
      <c r="D1195" s="20" t="str">
        <f>IF(C1195&lt;&gt;"", IFERROR(INDEX('بنود العقد'!B$3:B$388,C1195),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40</v>
      </c>
      <c r="E1195" s="12" t="str">
        <f>IF(C1195&lt;&gt;"", IFERROR(INDEX('بنود العقد'!D$3:D$388,C1195), ""), "")</f>
        <v>م.ط</v>
      </c>
      <c r="F1195" s="9">
        <f>IF(C1195&lt;&gt;"", IFERROR(INDEX('بنود العقد'!E$3:E$388,C1195), 0), "")</f>
        <v>222</v>
      </c>
      <c r="G1195" s="9">
        <f>IF(C1195&lt;&gt;"", IFERROR(INDEX('بنود العقد'!F$3:F$388,C1195), 0), "")</f>
        <v>600</v>
      </c>
      <c r="H1195" s="18">
        <f t="shared" si="48"/>
        <v>915</v>
      </c>
      <c r="I1195" s="7">
        <v>30</v>
      </c>
      <c r="J1195" s="18">
        <f t="shared" si="44"/>
        <v>945</v>
      </c>
      <c r="K1195" s="10">
        <f t="shared" si="43"/>
        <v>6660</v>
      </c>
      <c r="L1195" s="21">
        <f t="shared" si="45"/>
        <v>157.5</v>
      </c>
    </row>
    <row r="1196" spans="1:12" s="72" customFormat="1" ht="25.95" customHeight="1">
      <c r="A1196" s="12">
        <v>1194</v>
      </c>
      <c r="B1196" s="6">
        <v>19</v>
      </c>
      <c r="C1196" s="6">
        <v>204</v>
      </c>
      <c r="D1196" s="20" t="str">
        <f>IF(C1196&lt;&gt;"", IFERROR(INDEX('بنود العقد'!B$3:B$388,C1196),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77</v>
      </c>
      <c r="E1196" s="12" t="str">
        <f>IF(C1196&lt;&gt;"", IFERROR(INDEX('بنود العقد'!D$3:D$388,C1196), ""), "")</f>
        <v>م.ط</v>
      </c>
      <c r="F1196" s="9">
        <f>IF(C1196&lt;&gt;"", IFERROR(INDEX('بنود العقد'!E$3:E$388,C1196), 0), "")</f>
        <v>288</v>
      </c>
      <c r="G1196" s="9">
        <f>IF(C1196&lt;&gt;"", IFERROR(INDEX('بنود العقد'!F$3:F$388,C1196), 0), "")</f>
        <v>110</v>
      </c>
      <c r="H1196" s="18">
        <f t="shared" si="48"/>
        <v>459</v>
      </c>
      <c r="I1196" s="7">
        <v>10</v>
      </c>
      <c r="J1196" s="18">
        <f t="shared" si="44"/>
        <v>469</v>
      </c>
      <c r="K1196" s="10">
        <f t="shared" si="43"/>
        <v>2880</v>
      </c>
      <c r="L1196" s="21">
        <f t="shared" si="45"/>
        <v>426.36363636363637</v>
      </c>
    </row>
    <row r="1197" spans="1:12" s="72" customFormat="1" ht="25.95" customHeight="1">
      <c r="A1197" s="12">
        <v>1195</v>
      </c>
      <c r="B1197" s="6">
        <v>19</v>
      </c>
      <c r="C1197" s="6">
        <v>206</v>
      </c>
      <c r="D1197" s="20" t="str">
        <f>IF(C1197&lt;&gt;"", IFERROR(INDEX('بنود العقد'!B$3:B$388,C1197),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141</v>
      </c>
      <c r="E1197" s="12" t="str">
        <f>IF(C1197&lt;&gt;"", IFERROR(INDEX('بنود العقد'!D$3:D$388,C1197), ""), "")</f>
        <v>م.ط</v>
      </c>
      <c r="F1197" s="9">
        <f>IF(C1197&lt;&gt;"", IFERROR(INDEX('بنود العقد'!E$3:E$388,C1197), 0), "")</f>
        <v>360</v>
      </c>
      <c r="G1197" s="9">
        <f>IF(C1197&lt;&gt;"", IFERROR(INDEX('بنود العقد'!F$3:F$388,C1197), 0), "")</f>
        <v>200</v>
      </c>
      <c r="H1197" s="18">
        <f t="shared" si="48"/>
        <v>657</v>
      </c>
      <c r="I1197" s="7">
        <v>5</v>
      </c>
      <c r="J1197" s="18">
        <f t="shared" si="44"/>
        <v>662</v>
      </c>
      <c r="K1197" s="10">
        <f t="shared" si="43"/>
        <v>1800</v>
      </c>
      <c r="L1197" s="21">
        <f t="shared" si="45"/>
        <v>331</v>
      </c>
    </row>
    <row r="1198" spans="1:12" s="72" customFormat="1" ht="25.95" customHeight="1">
      <c r="A1198" s="12">
        <v>1196</v>
      </c>
      <c r="B1198" s="6">
        <v>19</v>
      </c>
      <c r="C1198" s="6">
        <v>215</v>
      </c>
      <c r="D1198" s="20" t="str">
        <f>IF(C1198&lt;&gt;"", IFERROR(INDEX('بنود العقد'!B$3:B$388,C1198), "⚠"), "")</f>
        <v>توريد و تركيب و اختبار رشاشات آلية اوتوماتيكية كما هو موصف رشاشات من النوع المخفي، ذات فتحة 2/1 بوصة، ومعامل 5.6 =K   ودرجة حرارة تشغيل 68 درجة مئوية</v>
      </c>
      <c r="E1198" s="12" t="str">
        <f>IF(C1198&lt;&gt;"", IFERROR(INDEX('بنود العقد'!D$3:D$388,C1198), ""), "")</f>
        <v>عدد</v>
      </c>
      <c r="F1198" s="9">
        <f>IF(C1198&lt;&gt;"", IFERROR(INDEX('بنود العقد'!E$3:E$388,C1198), 0), "")</f>
        <v>90</v>
      </c>
      <c r="G1198" s="9">
        <f>IF(C1198&lt;&gt;"", IFERROR(INDEX('بنود العقد'!F$3:F$388,C1198), 0), "")</f>
        <v>1000</v>
      </c>
      <c r="H1198" s="18">
        <f t="shared" si="48"/>
        <v>2051</v>
      </c>
      <c r="I1198" s="7">
        <v>60</v>
      </c>
      <c r="J1198" s="18">
        <f t="shared" si="44"/>
        <v>2111</v>
      </c>
      <c r="K1198" s="10">
        <f t="shared" si="43"/>
        <v>5400</v>
      </c>
      <c r="L1198" s="21">
        <f t="shared" si="45"/>
        <v>211.10000000000002</v>
      </c>
    </row>
    <row r="1199" spans="1:12" s="72" customFormat="1" ht="25.95" customHeight="1">
      <c r="A1199" s="12">
        <v>1197</v>
      </c>
      <c r="B1199" s="6">
        <v>19</v>
      </c>
      <c r="C1199" s="6">
        <v>216</v>
      </c>
      <c r="D1199" s="20" t="str">
        <f>IF(C1199&lt;&gt;"", IFERROR(INDEX('بنود العقد'!B$3:B$388,C1199), "⚠"), "")</f>
        <v>توريد و تركيب و اختبار رشاشات آلية اوتوماتيكية كما هو موصف رشاشات عامودية، ذات فتحة 2/1 بوصة، ومعامل 5.6 =K   ودرجة حرارة تشغيل 68 درجة مئوية</v>
      </c>
      <c r="E1199" s="12" t="str">
        <f>IF(C1199&lt;&gt;"", IFERROR(INDEX('بنود العقد'!D$3:D$388,C1199), ""), "")</f>
        <v>عدد</v>
      </c>
      <c r="F1199" s="9">
        <f>IF(C1199&lt;&gt;"", IFERROR(INDEX('بنود العقد'!E$3:E$388,C1199), 0), "")</f>
        <v>90</v>
      </c>
      <c r="G1199" s="9">
        <f>IF(C1199&lt;&gt;"", IFERROR(INDEX('بنود العقد'!F$3:F$388,C1199), 0), "")</f>
        <v>508</v>
      </c>
      <c r="H1199" s="18">
        <f t="shared" si="48"/>
        <v>665</v>
      </c>
      <c r="I1199" s="7">
        <v>20</v>
      </c>
      <c r="J1199" s="18">
        <f t="shared" si="44"/>
        <v>685</v>
      </c>
      <c r="K1199" s="10">
        <f t="shared" si="43"/>
        <v>1800</v>
      </c>
      <c r="L1199" s="21">
        <f t="shared" si="45"/>
        <v>134.84251968503938</v>
      </c>
    </row>
    <row r="1200" spans="1:12" s="72" customFormat="1" ht="25.95" customHeight="1">
      <c r="A1200" s="12">
        <v>1198</v>
      </c>
      <c r="B1200" s="6">
        <v>19</v>
      </c>
      <c r="C1200" s="6">
        <v>218</v>
      </c>
      <c r="D1200" s="20" t="str">
        <f>IF(C1200&lt;&gt;"", IFERROR(INDEX('بنود العقد'!B$3:B$388,C1200), "⚠"), "")</f>
        <v>توريد و تركيب نظام  غازي200FM لغرف الكهرباء و السنترال و ما يتطلبه النظام من تعديلاتمعمارية على ان يتم تقديمها للاعتماد من قبل مهندس المشرف  ،  مرجع 3-FE</v>
      </c>
      <c r="E1200" s="12" t="str">
        <f>IF(C1200&lt;&gt;"", IFERROR(INDEX('بنود العقد'!D$3:D$388,C1200), ""), "")</f>
        <v>عدد</v>
      </c>
      <c r="F1200" s="9">
        <f>IF(C1200&lt;&gt;"", IFERROR(INDEX('بنود العقد'!E$3:E$388,C1200), 0), "")</f>
        <v>54000</v>
      </c>
      <c r="G1200" s="9">
        <f>IF(C1200&lt;&gt;"", IFERROR(INDEX('بنود العقد'!F$3:F$388,C1200), 0), "")</f>
        <v>36</v>
      </c>
      <c r="H1200" s="18">
        <f t="shared" si="48"/>
        <v>8.4</v>
      </c>
      <c r="I1200" s="7">
        <v>4.5999999999999996</v>
      </c>
      <c r="J1200" s="18">
        <f t="shared" si="44"/>
        <v>13</v>
      </c>
      <c r="K1200" s="10">
        <f t="shared" si="43"/>
        <v>248399.99999999997</v>
      </c>
      <c r="L1200" s="21">
        <f t="shared" si="45"/>
        <v>36.111111111111107</v>
      </c>
    </row>
    <row r="1201" spans="1:12" s="72" customFormat="1" ht="25.95" customHeight="1">
      <c r="A1201" s="12">
        <v>1199</v>
      </c>
      <c r="B1201" s="6">
        <v>19</v>
      </c>
      <c r="C1201" s="6">
        <v>219</v>
      </c>
      <c r="D1201" s="20" t="str">
        <f>IF(C1201&lt;&gt;"", IFERROR(INDEX('بنود العقد'!B$3:B$388,C1201), "⚠"), "")</f>
        <v>توريد و تركيب كبائن مكافحة الحريق class II مزوده بمحبس 5.1 بوصة و خرطوم قماشي من مادةمعتمدة و ايضا بها طفاية حريق ABC  سعة 6 كيلو</v>
      </c>
      <c r="E1201" s="12" t="str">
        <f>IF(C1201&lt;&gt;"", IFERROR(INDEX('بنود العقد'!D$3:D$388,C1201), ""), "")</f>
        <v>عدد</v>
      </c>
      <c r="F1201" s="9">
        <f>IF(C1201&lt;&gt;"", IFERROR(INDEX('بنود العقد'!E$3:E$388,C1201), 0), "")</f>
        <v>4800</v>
      </c>
      <c r="G1201" s="9">
        <f>IF(C1201&lt;&gt;"", IFERROR(INDEX('بنود العقد'!F$3:F$388,C1201), 0), "")</f>
        <v>30</v>
      </c>
      <c r="H1201" s="18">
        <f t="shared" si="48"/>
        <v>23</v>
      </c>
      <c r="I1201" s="7">
        <v>16</v>
      </c>
      <c r="J1201" s="18">
        <f t="shared" si="44"/>
        <v>39</v>
      </c>
      <c r="K1201" s="10">
        <f t="shared" si="43"/>
        <v>76800</v>
      </c>
      <c r="L1201" s="21">
        <f t="shared" si="45"/>
        <v>130</v>
      </c>
    </row>
    <row r="1202" spans="1:12" s="72" customFormat="1" ht="25.95" customHeight="1">
      <c r="A1202" s="12">
        <v>1200</v>
      </c>
      <c r="B1202" s="6">
        <v>19</v>
      </c>
      <c r="C1202" s="6">
        <v>221</v>
      </c>
      <c r="D1202" s="20" t="str">
        <f>IF(C1202&lt;&gt;"", IFERROR(INDEX('بنود العقد'!B$3:B$388,C1202),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01-VAV ، اجمالي الهواء 0-250 ) ق/د( استطاعة التخزين 5.1 )ك/و(</v>
      </c>
      <c r="E1202" s="12" t="str">
        <f>IF(C1202&lt;&gt;"", IFERROR(INDEX('بنود العقد'!D$3:D$388,C1202), ""), "")</f>
        <v>عدد</v>
      </c>
      <c r="F1202" s="9">
        <f>IF(C1202&lt;&gt;"", IFERROR(INDEX('بنود العقد'!E$3:E$388,C1202), 0), "")</f>
        <v>6600</v>
      </c>
      <c r="G1202" s="9">
        <f>IF(C1202&lt;&gt;"", IFERROR(INDEX('بنود العقد'!F$3:F$388,C1202), 0), "")</f>
        <v>9</v>
      </c>
      <c r="H1202" s="18">
        <f t="shared" si="48"/>
        <v>73</v>
      </c>
      <c r="I1202" s="7">
        <v>3</v>
      </c>
      <c r="J1202" s="18">
        <f t="shared" si="44"/>
        <v>76</v>
      </c>
      <c r="K1202" s="10">
        <f t="shared" si="43"/>
        <v>19800</v>
      </c>
      <c r="L1202" s="21">
        <f t="shared" si="45"/>
        <v>844.44444444444446</v>
      </c>
    </row>
    <row r="1203" spans="1:12" s="72" customFormat="1" ht="25.95" customHeight="1">
      <c r="A1203" s="12">
        <v>1201</v>
      </c>
      <c r="B1203" s="6">
        <v>19</v>
      </c>
      <c r="C1203" s="6">
        <v>222</v>
      </c>
      <c r="D1203" s="20" t="str">
        <f>IF(C1203&lt;&gt;"", IFERROR(INDEX('بنود العقد'!B$3:B$388,C1203),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02-VAV ، اجمالي الهواء 0-500 ) ق/د( استطاعة التخزين 2 )ك/و(</v>
      </c>
      <c r="E1203" s="12" t="str">
        <f>IF(C1203&lt;&gt;"", IFERROR(INDEX('بنود العقد'!D$3:D$388,C1203), ""), "")</f>
        <v>عدد</v>
      </c>
      <c r="F1203" s="9">
        <f>IF(C1203&lt;&gt;"", IFERROR(INDEX('بنود العقد'!E$3:E$388,C1203), 0), "")</f>
        <v>6960</v>
      </c>
      <c r="G1203" s="9">
        <f>IF(C1203&lt;&gt;"", IFERROR(INDEX('بنود العقد'!F$3:F$388,C1203), 0), "")</f>
        <v>127</v>
      </c>
      <c r="H1203" s="18">
        <f t="shared" si="48"/>
        <v>98</v>
      </c>
      <c r="I1203" s="7">
        <v>4</v>
      </c>
      <c r="J1203" s="18">
        <f t="shared" si="44"/>
        <v>102</v>
      </c>
      <c r="K1203" s="10">
        <f t="shared" si="43"/>
        <v>27840</v>
      </c>
      <c r="L1203" s="21">
        <f t="shared" si="45"/>
        <v>80.314960629921259</v>
      </c>
    </row>
    <row r="1204" spans="1:12" s="72" customFormat="1" ht="25.95" customHeight="1">
      <c r="A1204" s="12">
        <v>1202</v>
      </c>
      <c r="B1204" s="6">
        <v>19</v>
      </c>
      <c r="C1204" s="6">
        <v>223</v>
      </c>
      <c r="D1204" s="20" t="str">
        <f>IF(C1204&lt;&gt;"", IFERROR(INDEX('بنود العقد'!B$3:B$388,C1204), "⚠"), "")</f>
        <v xml:space="preserve">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03-VAV ، اجمالي الهواء 0-750 ) ق/د( استطاعة التخزين 3 )ك/و( </v>
      </c>
      <c r="E1204" s="12" t="str">
        <f>IF(C1204&lt;&gt;"", IFERROR(INDEX('بنود العقد'!D$3:D$388,C1204), ""), "")</f>
        <v>عدد</v>
      </c>
      <c r="F1204" s="9">
        <f>IF(C1204&lt;&gt;"", IFERROR(INDEX('بنود العقد'!E$3:E$388,C1204), 0), "")</f>
        <v>7200</v>
      </c>
      <c r="G1204" s="9">
        <f>IF(C1204&lt;&gt;"", IFERROR(INDEX('بنود العقد'!F$3:F$388,C1204), 0), "")</f>
        <v>51</v>
      </c>
      <c r="H1204" s="18">
        <f t="shared" si="48"/>
        <v>78</v>
      </c>
      <c r="I1204" s="7">
        <v>4</v>
      </c>
      <c r="J1204" s="18">
        <f t="shared" si="44"/>
        <v>82</v>
      </c>
      <c r="K1204" s="10">
        <f t="shared" si="43"/>
        <v>28800</v>
      </c>
      <c r="L1204" s="21">
        <f t="shared" si="45"/>
        <v>160.78431372549019</v>
      </c>
    </row>
    <row r="1205" spans="1:12" s="72" customFormat="1" ht="25.95" customHeight="1">
      <c r="A1205" s="12">
        <v>1203</v>
      </c>
      <c r="B1205" s="6">
        <v>19</v>
      </c>
      <c r="C1205" s="6">
        <v>224</v>
      </c>
      <c r="D1205" s="20" t="str">
        <f>IF(C1205&lt;&gt;"", IFERROR(INDEX('بنود العقد'!B$3:B$388,C1205),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04-VAV ، اجمالي الهواء 0-1000 ) ق/د( استطاعة التخزين 5.3 )ك/و(</v>
      </c>
      <c r="E1205" s="12" t="str">
        <f>IF(C1205&lt;&gt;"", IFERROR(INDEX('بنود العقد'!D$3:D$388,C1205), ""), "")</f>
        <v>عدد</v>
      </c>
      <c r="F1205" s="9">
        <f>IF(C1205&lt;&gt;"", IFERROR(INDEX('بنود العقد'!E$3:E$388,C1205), 0), "")</f>
        <v>7200</v>
      </c>
      <c r="G1205" s="9">
        <f>IF(C1205&lt;&gt;"", IFERROR(INDEX('بنود العقد'!F$3:F$388,C1205), 0), "")</f>
        <v>24</v>
      </c>
      <c r="H1205" s="18">
        <f t="shared" si="48"/>
        <v>36</v>
      </c>
      <c r="I1205" s="7">
        <v>1</v>
      </c>
      <c r="J1205" s="18">
        <f t="shared" si="44"/>
        <v>37</v>
      </c>
      <c r="K1205" s="10">
        <f t="shared" si="43"/>
        <v>7200</v>
      </c>
      <c r="L1205" s="21">
        <f t="shared" si="45"/>
        <v>154.16666666666669</v>
      </c>
    </row>
    <row r="1206" spans="1:12" s="72" customFormat="1" ht="25.95" customHeight="1">
      <c r="A1206" s="12">
        <v>1204</v>
      </c>
      <c r="B1206" s="6">
        <v>19</v>
      </c>
      <c r="C1206" s="6">
        <v>225</v>
      </c>
      <c r="D1206" s="20" t="str">
        <f>IF(C1206&lt;&gt;"", IFERROR(INDEX('بنود العقد'!B$3:B$388,C1206),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05-VAV ، اجمالي الهواء 0-1500 ) ق/د( استطاعة التخزين 5.3 )ك/و(</v>
      </c>
      <c r="E1206" s="12" t="str">
        <f>IF(C1206&lt;&gt;"", IFERROR(INDEX('بنود العقد'!D$3:D$388,C1206), ""), "")</f>
        <v>عدد</v>
      </c>
      <c r="F1206" s="9">
        <f>IF(C1206&lt;&gt;"", IFERROR(INDEX('بنود العقد'!E$3:E$388,C1206), 0), "")</f>
        <v>9000</v>
      </c>
      <c r="G1206" s="9">
        <f>IF(C1206&lt;&gt;"", IFERROR(INDEX('بنود العقد'!F$3:F$388,C1206), 0), "")</f>
        <v>44</v>
      </c>
      <c r="H1206" s="18">
        <f t="shared" si="48"/>
        <v>44</v>
      </c>
      <c r="I1206" s="7">
        <v>2</v>
      </c>
      <c r="J1206" s="18">
        <f t="shared" si="44"/>
        <v>46</v>
      </c>
      <c r="K1206" s="10">
        <f t="shared" si="43"/>
        <v>18000</v>
      </c>
      <c r="L1206" s="21">
        <f t="shared" si="45"/>
        <v>104.54545454545455</v>
      </c>
    </row>
    <row r="1207" spans="1:12" s="72" customFormat="1" ht="25.95" customHeight="1">
      <c r="A1207" s="12">
        <v>1205</v>
      </c>
      <c r="B1207" s="6">
        <v>19</v>
      </c>
      <c r="C1207" s="6">
        <v>226</v>
      </c>
      <c r="D1207" s="20" t="str">
        <f>IF(C1207&lt;&gt;"", IFERROR(INDEX('بنود العقد'!B$3:B$388,C1207),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06-VAV ، اجمالي الهواء 0-2000 ) ق/د( استطاعة التخزين 6.3 )ك/و(</v>
      </c>
      <c r="E1207" s="12" t="str">
        <f>IF(C1207&lt;&gt;"", IFERROR(INDEX('بنود العقد'!D$3:D$388,C1207), ""), "")</f>
        <v>عدد</v>
      </c>
      <c r="F1207" s="9">
        <f>IF(C1207&lt;&gt;"", IFERROR(INDEX('بنود العقد'!E$3:E$388,C1207), 0), "")</f>
        <v>10200</v>
      </c>
      <c r="G1207" s="9">
        <f>IF(C1207&lt;&gt;"", IFERROR(INDEX('بنود العقد'!F$3:F$388,C1207), 0), "")</f>
        <v>49</v>
      </c>
      <c r="H1207" s="18">
        <f t="shared" si="48"/>
        <v>30</v>
      </c>
      <c r="I1207" s="7">
        <v>1</v>
      </c>
      <c r="J1207" s="18">
        <f t="shared" si="44"/>
        <v>31</v>
      </c>
      <c r="K1207" s="10">
        <f t="shared" si="43"/>
        <v>10200</v>
      </c>
      <c r="L1207" s="21">
        <f t="shared" si="45"/>
        <v>63.265306122448983</v>
      </c>
    </row>
    <row r="1208" spans="1:12" s="72" customFormat="1" ht="25.95" customHeight="1">
      <c r="A1208" s="12">
        <v>1206</v>
      </c>
      <c r="B1208" s="6">
        <v>19</v>
      </c>
      <c r="C1208" s="6">
        <v>227</v>
      </c>
      <c r="D1208" s="20" t="str">
        <f>IF(C1208&lt;&gt;"", IFERROR(INDEX('بنود العقد'!B$3:B$388,C1208),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07-VAV ، اجمالي الهواء 0-2500 ) ق/د( استطاعة التخزين 7.3 )ك/و(</v>
      </c>
      <c r="E1208" s="12" t="str">
        <f>IF(C1208&lt;&gt;"", IFERROR(INDEX('بنود العقد'!D$3:D$388,C1208), ""), "")</f>
        <v>عدد</v>
      </c>
      <c r="F1208" s="9">
        <f>IF(C1208&lt;&gt;"", IFERROR(INDEX('بنود العقد'!E$3:E$388,C1208), 0), "")</f>
        <v>10800</v>
      </c>
      <c r="G1208" s="9">
        <f>IF(C1208&lt;&gt;"", IFERROR(INDEX('بنود العقد'!F$3:F$388,C1208), 0), "")</f>
        <v>24</v>
      </c>
      <c r="H1208" s="18">
        <f t="shared" si="48"/>
        <v>20</v>
      </c>
      <c r="I1208" s="7">
        <v>2</v>
      </c>
      <c r="J1208" s="18">
        <f t="shared" si="44"/>
        <v>22</v>
      </c>
      <c r="K1208" s="10">
        <f t="shared" si="43"/>
        <v>21600</v>
      </c>
      <c r="L1208" s="21">
        <f t="shared" si="45"/>
        <v>91.666666666666657</v>
      </c>
    </row>
    <row r="1209" spans="1:12" s="72" customFormat="1" ht="25.95" customHeight="1">
      <c r="A1209" s="12">
        <v>1207</v>
      </c>
      <c r="B1209" s="6">
        <v>19</v>
      </c>
      <c r="C1209" s="6">
        <v>231</v>
      </c>
      <c r="D1209" s="20" t="str">
        <f>IF(C1209&lt;&gt;"", IFERROR(INDEX('بنود العقد'!B$3:B$388,C1209), "⚠"), "")</f>
        <v>ناشرة هواء ذات فتحات طولية  للهواء الداخل مصنعة من الألمنيوم المشكل بالبثق ومطلية بمسحوق البولستركاملة، مخمدات صوت ذات أرياش متضادّة ،وصندوق حجمى معزول من الداخل بعازل صوتى وميكانيزم للتحكم فى الهواء من واجهة الناشر وكل قطع الأكسسوار حسب المواصفات والمخططات مع توفير عينات للاعتماد من مهندس المشرف. ثلاثة فتحات / ثقب 25مم عرض</v>
      </c>
      <c r="E1209" s="12" t="str">
        <f>IF(C1209&lt;&gt;"", IFERROR(INDEX('بنود العقد'!D$3:D$388,C1209), ""), "")</f>
        <v>م.ط</v>
      </c>
      <c r="F1209" s="9">
        <f>IF(C1209&lt;&gt;"", IFERROR(INDEX('بنود العقد'!E$3:E$388,C1209), 0), "")</f>
        <v>480</v>
      </c>
      <c r="G1209" s="9">
        <f>IF(C1209&lt;&gt;"", IFERROR(INDEX('بنود العقد'!F$3:F$388,C1209), 0), "")</f>
        <v>1925</v>
      </c>
      <c r="H1209" s="18">
        <f t="shared" si="48"/>
        <v>1500</v>
      </c>
      <c r="I1209" s="7">
        <v>30</v>
      </c>
      <c r="J1209" s="18">
        <f t="shared" si="44"/>
        <v>1530</v>
      </c>
      <c r="K1209" s="10">
        <f t="shared" si="43"/>
        <v>14400</v>
      </c>
      <c r="L1209" s="21">
        <f t="shared" si="45"/>
        <v>79.48051948051949</v>
      </c>
    </row>
    <row r="1210" spans="1:12" s="72" customFormat="1" ht="25.95" customHeight="1">
      <c r="A1210" s="12">
        <v>1208</v>
      </c>
      <c r="B1210" s="6">
        <v>19</v>
      </c>
      <c r="C1210" s="6">
        <v>232</v>
      </c>
      <c r="D1210" s="20" t="str">
        <f>IF(C1210&lt;&gt;"", IFERROR(INDEX('بنود العقد'!B$3:B$388,C1210), "⚠"), "")</f>
        <v>ناشرة هواء ذات فتحات طولية للهواء الراجع مصنعة من الألمنيوم المشكل بالبثق ومطلية بمسحوق البولستركاملة، وكل قطع الأكسسوار حسب المواصفات والمخططات مع توفير عينات للاعتماد من مهندس المشرف. ثلاثة فتحات / ثقب 25مم عرض</v>
      </c>
      <c r="E1210" s="12" t="str">
        <f>IF(C1210&lt;&gt;"", IFERROR(INDEX('بنود العقد'!D$3:D$388,C1210), ""), "")</f>
        <v>م.ط</v>
      </c>
      <c r="F1210" s="9">
        <f>IF(C1210&lt;&gt;"", IFERROR(INDEX('بنود العقد'!E$3:E$388,C1210), 0), "")</f>
        <v>480</v>
      </c>
      <c r="G1210" s="9">
        <f>IF(C1210&lt;&gt;"", IFERROR(INDEX('بنود العقد'!F$3:F$388,C1210), 0), "")</f>
        <v>1925</v>
      </c>
      <c r="H1210" s="18">
        <f t="shared" si="48"/>
        <v>1589</v>
      </c>
      <c r="I1210" s="7">
        <v>30</v>
      </c>
      <c r="J1210" s="18">
        <f t="shared" si="44"/>
        <v>1619</v>
      </c>
      <c r="K1210" s="10">
        <f t="shared" si="43"/>
        <v>14400</v>
      </c>
      <c r="L1210" s="21">
        <f t="shared" si="45"/>
        <v>84.103896103896105</v>
      </c>
    </row>
    <row r="1211" spans="1:12" s="72" customFormat="1" ht="25.95" customHeight="1">
      <c r="A1211" s="12">
        <v>1209</v>
      </c>
      <c r="B1211" s="6">
        <v>19</v>
      </c>
      <c r="C1211" s="6">
        <v>233</v>
      </c>
      <c r="D1211" s="20" t="str">
        <f>IF(C1211&lt;&gt;"", IFERROR(INDEX('بنود العقد'!B$3:B$388,C1211), "⚠"), "")</f>
        <v xml:space="preserve"> جريلات تغذية من الالومينيوم مغطاة ببودرة البوليستر كاملة وجميع الملحقات حسب المخططات..والمواصفات مع توفير عينات للاعتماد من مهندس المشرف 600mm X 600mm</v>
      </c>
      <c r="E1211" s="12" t="str">
        <f>IF(C1211&lt;&gt;"", IFERROR(INDEX('بنود العقد'!D$3:D$388,C1211), ""), "")</f>
        <v>عدد</v>
      </c>
      <c r="F1211" s="9">
        <f>IF(C1211&lt;&gt;"", IFERROR(INDEX('بنود العقد'!E$3:E$388,C1211), 0), "")</f>
        <v>456</v>
      </c>
      <c r="G1211" s="9">
        <f>IF(C1211&lt;&gt;"", IFERROR(INDEX('بنود العقد'!F$3:F$388,C1211), 0), "")</f>
        <v>724</v>
      </c>
      <c r="H1211" s="18">
        <f t="shared" ref="H1211:H1274" si="49">IFERROR(SUMIFS(I$3:I$1805, B$3:B$1805, "&lt;"&amp;B1211, C$3:C$1805, C1211), 0)</f>
        <v>611</v>
      </c>
      <c r="I1211" s="7">
        <v>20</v>
      </c>
      <c r="J1211" s="18">
        <f t="shared" si="44"/>
        <v>631</v>
      </c>
      <c r="K1211" s="10">
        <f t="shared" si="43"/>
        <v>9120</v>
      </c>
      <c r="L1211" s="21">
        <f t="shared" si="45"/>
        <v>87.154696132596683</v>
      </c>
    </row>
    <row r="1212" spans="1:12" s="72" customFormat="1" ht="25.95" customHeight="1">
      <c r="A1212" s="12">
        <v>1210</v>
      </c>
      <c r="B1212" s="6">
        <v>19</v>
      </c>
      <c r="C1212" s="6">
        <v>234</v>
      </c>
      <c r="D1212" s="20" t="str">
        <f>IF(C1212&lt;&gt;"", IFERROR(INDEX('بنود العقد'!B$3:B$388,C1212), "⚠"), "")</f>
        <v xml:space="preserve"> جريلات رجوع من الالومينيوم مغطاة ببودرة البوليستر كاملة وجميع الملحقات حسب المخططات.والمواصفات مع توفير عينات للاعتماد من مهندس المشرف 600mm X 600mm</v>
      </c>
      <c r="E1212" s="12" t="str">
        <f>IF(C1212&lt;&gt;"", IFERROR(INDEX('بنود العقد'!D$3:D$388,C1212), ""), "")</f>
        <v>عدد</v>
      </c>
      <c r="F1212" s="9">
        <f>IF(C1212&lt;&gt;"", IFERROR(INDEX('بنود العقد'!E$3:E$388,C1212), 0), "")</f>
        <v>264</v>
      </c>
      <c r="G1212" s="9">
        <f>IF(C1212&lt;&gt;"", IFERROR(INDEX('بنود العقد'!F$3:F$388,C1212), 0), "")</f>
        <v>724</v>
      </c>
      <c r="H1212" s="18">
        <f t="shared" si="49"/>
        <v>300</v>
      </c>
      <c r="I1212" s="7">
        <v>20</v>
      </c>
      <c r="J1212" s="18">
        <f t="shared" si="44"/>
        <v>320</v>
      </c>
      <c r="K1212" s="10">
        <f t="shared" si="43"/>
        <v>5280</v>
      </c>
      <c r="L1212" s="21">
        <f t="shared" si="45"/>
        <v>44.19889502762431</v>
      </c>
    </row>
    <row r="1213" spans="1:12" s="72" customFormat="1" ht="25.95" customHeight="1">
      <c r="A1213" s="12">
        <v>1211</v>
      </c>
      <c r="B1213" s="6">
        <v>19</v>
      </c>
      <c r="C1213" s="6">
        <v>235</v>
      </c>
      <c r="D1213" s="20" t="str">
        <f>IF(C1213&lt;&gt;"", IFERROR(INDEX('بنود العقد'!B$3:B$388,C1213), "⚠"), "")</f>
        <v xml:space="preserve"> جريلات لسحب الهواء من الالمونيوم مغطاة ببودرة البوليستر كاملة بجميع ملحقات التركيب وحسب.المخططات والمواصفات مع توفير عينات للاعتماد من مهندس المشرف 150mm X 150MM</v>
      </c>
      <c r="E1213" s="12" t="str">
        <f>IF(C1213&lt;&gt;"", IFERROR(INDEX('بنود العقد'!D$3:D$388,C1213), ""), "")</f>
        <v>عدد</v>
      </c>
      <c r="F1213" s="9">
        <f>IF(C1213&lt;&gt;"", IFERROR(INDEX('بنود العقد'!E$3:E$388,C1213), 0), "")</f>
        <v>210</v>
      </c>
      <c r="G1213" s="9">
        <f>IF(C1213&lt;&gt;"", IFERROR(INDEX('بنود العقد'!F$3:F$388,C1213), 0), "")</f>
        <v>102</v>
      </c>
      <c r="H1213" s="18">
        <f t="shared" si="49"/>
        <v>220</v>
      </c>
      <c r="I1213" s="7">
        <v>15</v>
      </c>
      <c r="J1213" s="18">
        <f t="shared" si="44"/>
        <v>235</v>
      </c>
      <c r="K1213" s="10">
        <f t="shared" si="43"/>
        <v>3150</v>
      </c>
      <c r="L1213" s="21">
        <f t="shared" si="45"/>
        <v>230.39215686274508</v>
      </c>
    </row>
    <row r="1214" spans="1:12" s="72" customFormat="1" ht="25.95" customHeight="1">
      <c r="A1214" s="12">
        <v>1212</v>
      </c>
      <c r="B1214" s="6">
        <v>19</v>
      </c>
      <c r="C1214" s="6">
        <v>237</v>
      </c>
      <c r="D1214" s="20" t="str">
        <f>IF(C1214&lt;&gt;"", IFERROR(INDEX('بنود العقد'!B$3:B$388,C1214),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200 mm</v>
      </c>
      <c r="E1214" s="12" t="str">
        <f>IF(C1214&lt;&gt;"", IFERROR(INDEX('بنود العقد'!D$3:D$388,C1214), ""), "")</f>
        <v>م.ط</v>
      </c>
      <c r="F1214" s="9">
        <f>IF(C1214&lt;&gt;"", IFERROR(INDEX('بنود العقد'!E$3:E$388,C1214), 0), "")</f>
        <v>54</v>
      </c>
      <c r="G1214" s="9">
        <f>IF(C1214&lt;&gt;"", IFERROR(INDEX('بنود العقد'!F$3:F$388,C1214), 0), "")</f>
        <v>2964</v>
      </c>
      <c r="H1214" s="18">
        <f t="shared" si="49"/>
        <v>624</v>
      </c>
      <c r="I1214" s="7">
        <v>30</v>
      </c>
      <c r="J1214" s="18">
        <f t="shared" si="44"/>
        <v>654</v>
      </c>
      <c r="K1214" s="10">
        <f t="shared" si="43"/>
        <v>1620</v>
      </c>
      <c r="L1214" s="21">
        <f t="shared" si="45"/>
        <v>22.064777327935222</v>
      </c>
    </row>
    <row r="1215" spans="1:12" s="72" customFormat="1" ht="25.95" customHeight="1">
      <c r="A1215" s="12">
        <v>1213</v>
      </c>
      <c r="B1215" s="6">
        <v>19</v>
      </c>
      <c r="C1215" s="6">
        <v>244</v>
      </c>
      <c r="D1215" s="20" t="str">
        <f>IF(C1215&lt;&gt;"", IFERROR(INDEX('بنود العقد'!B$3:B$388,C1215),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اللازمة.PP-1,  200 A ,MCCB</v>
      </c>
      <c r="E1215" s="12" t="str">
        <f>IF(C1215&lt;&gt;"", IFERROR(INDEX('بنود العقد'!D$3:D$388,C1215), ""), "")</f>
        <v>عدد</v>
      </c>
      <c r="F1215" s="9">
        <f>IF(C1215&lt;&gt;"", IFERROR(INDEX('بنود العقد'!E$3:E$388,C1215), 0), "")</f>
        <v>9600</v>
      </c>
      <c r="G1215" s="9">
        <f>IF(C1215&lt;&gt;"", IFERROR(INDEX('بنود العقد'!F$3:F$388,C1215), 0), "")</f>
        <v>6</v>
      </c>
      <c r="H1215" s="18">
        <f t="shared" si="49"/>
        <v>6</v>
      </c>
      <c r="I1215" s="7">
        <v>6</v>
      </c>
      <c r="J1215" s="18">
        <f t="shared" si="44"/>
        <v>12</v>
      </c>
      <c r="K1215" s="10">
        <f t="shared" si="43"/>
        <v>57600</v>
      </c>
      <c r="L1215" s="21">
        <f t="shared" si="45"/>
        <v>200</v>
      </c>
    </row>
    <row r="1216" spans="1:12" s="72" customFormat="1" ht="25.95" customHeight="1">
      <c r="A1216" s="12">
        <v>1214</v>
      </c>
      <c r="B1216" s="6">
        <v>19</v>
      </c>
      <c r="C1216" s="6">
        <v>245</v>
      </c>
      <c r="D1216" s="20" t="str">
        <f>IF(C1216&lt;&gt;"", IFERROR(INDEX('بنود العقد'!B$3:B$388,C1216),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 PP-2, 200 A , MCCB</v>
      </c>
      <c r="E1216" s="12" t="str">
        <f>IF(C1216&lt;&gt;"", IFERROR(INDEX('بنود العقد'!D$3:D$388,C1216), ""), "")</f>
        <v>عدد</v>
      </c>
      <c r="F1216" s="9">
        <f>IF(C1216&lt;&gt;"", IFERROR(INDEX('بنود العقد'!E$3:E$388,C1216), 0), "")</f>
        <v>9600</v>
      </c>
      <c r="G1216" s="9">
        <f>IF(C1216&lt;&gt;"", IFERROR(INDEX('بنود العقد'!F$3:F$388,C1216), 0), "")</f>
        <v>6</v>
      </c>
      <c r="H1216" s="18">
        <f t="shared" si="49"/>
        <v>6</v>
      </c>
      <c r="I1216" s="7">
        <v>3</v>
      </c>
      <c r="J1216" s="18">
        <f t="shared" si="44"/>
        <v>9</v>
      </c>
      <c r="K1216" s="10">
        <f t="shared" si="43"/>
        <v>28800</v>
      </c>
      <c r="L1216" s="21">
        <f t="shared" si="45"/>
        <v>150</v>
      </c>
    </row>
    <row r="1217" spans="1:12" s="72" customFormat="1" ht="25.95" customHeight="1">
      <c r="A1217" s="12">
        <v>1215</v>
      </c>
      <c r="B1217" s="6">
        <v>19</v>
      </c>
      <c r="C1217" s="6">
        <v>246</v>
      </c>
      <c r="D1217" s="20" t="str">
        <f>IF(C1217&lt;&gt;"", IFERROR(INDEX('بنود العقد'!B$3:B$388,C1217),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 PP-3, 200 A , MCCB</v>
      </c>
      <c r="E1217" s="12" t="str">
        <f>IF(C1217&lt;&gt;"", IFERROR(INDEX('بنود العقد'!D$3:D$388,C1217), ""), "")</f>
        <v>عدد</v>
      </c>
      <c r="F1217" s="9">
        <f>IF(C1217&lt;&gt;"", IFERROR(INDEX('بنود العقد'!E$3:E$388,C1217), 0), "")</f>
        <v>9600</v>
      </c>
      <c r="G1217" s="9">
        <f>IF(C1217&lt;&gt;"", IFERROR(INDEX('بنود العقد'!F$3:F$388,C1217), 0), "")</f>
        <v>6</v>
      </c>
      <c r="H1217" s="18">
        <f t="shared" si="49"/>
        <v>8</v>
      </c>
      <c r="I1217" s="7">
        <v>3</v>
      </c>
      <c r="J1217" s="18">
        <f t="shared" si="44"/>
        <v>11</v>
      </c>
      <c r="K1217" s="10">
        <f t="shared" si="43"/>
        <v>28800</v>
      </c>
      <c r="L1217" s="21">
        <f t="shared" si="45"/>
        <v>183.33333333333331</v>
      </c>
    </row>
    <row r="1218" spans="1:12" s="72" customFormat="1" ht="25.95" customHeight="1">
      <c r="A1218" s="12">
        <v>1216</v>
      </c>
      <c r="B1218" s="6">
        <v>19</v>
      </c>
      <c r="C1218" s="6">
        <v>247</v>
      </c>
      <c r="D1218" s="20" t="str">
        <f>IF(C1218&lt;&gt;"", IFERROR(INDEX('بنود العقد'!B$3:B$388,C1218),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اللازمة.PP-4, 200 A , MCCB</v>
      </c>
      <c r="E1218" s="12" t="str">
        <f>IF(C1218&lt;&gt;"", IFERROR(INDEX('بنود العقد'!D$3:D$388,C1218), ""), "")</f>
        <v>عدد</v>
      </c>
      <c r="F1218" s="9">
        <f>IF(C1218&lt;&gt;"", IFERROR(INDEX('بنود العقد'!E$3:E$388,C1218), 0), "")</f>
        <v>9600</v>
      </c>
      <c r="G1218" s="9">
        <f>IF(C1218&lt;&gt;"", IFERROR(INDEX('بنود العقد'!F$3:F$388,C1218), 0), "")</f>
        <v>6</v>
      </c>
      <c r="H1218" s="18">
        <f t="shared" si="49"/>
        <v>8</v>
      </c>
      <c r="I1218" s="7">
        <v>4</v>
      </c>
      <c r="J1218" s="18">
        <f t="shared" si="44"/>
        <v>12</v>
      </c>
      <c r="K1218" s="10">
        <f t="shared" si="43"/>
        <v>38400</v>
      </c>
      <c r="L1218" s="21">
        <f t="shared" si="45"/>
        <v>200</v>
      </c>
    </row>
    <row r="1219" spans="1:12" s="72" customFormat="1" ht="25.95" customHeight="1">
      <c r="A1219" s="12">
        <v>1217</v>
      </c>
      <c r="B1219" s="6">
        <v>19</v>
      </c>
      <c r="C1219" s="6">
        <v>248</v>
      </c>
      <c r="D1219" s="20" t="str">
        <f>IF(C1219&lt;&gt;"", IFERROR(INDEX('بنود العقد'!B$3:B$388,C1219),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v>
      </c>
      <c r="E1219" s="12" t="str">
        <f>IF(C1219&lt;&gt;"", IFERROR(INDEX('بنود العقد'!D$3:D$388,C1219), ""), "")</f>
        <v>عدد</v>
      </c>
      <c r="F1219" s="9">
        <f>IF(C1219&lt;&gt;"", IFERROR(INDEX('بنود العقد'!E$3:E$388,C1219), 0), "")</f>
        <v>216</v>
      </c>
      <c r="G1219" s="9">
        <f>IF(C1219&lt;&gt;"", IFERROR(INDEX('بنود العقد'!F$3:F$388,C1219), 0), "")</f>
        <v>282</v>
      </c>
      <c r="H1219" s="18">
        <f t="shared" si="49"/>
        <v>301</v>
      </c>
      <c r="I1219" s="7">
        <v>30</v>
      </c>
      <c r="J1219" s="18">
        <f t="shared" si="44"/>
        <v>331</v>
      </c>
      <c r="K1219" s="10">
        <f t="shared" si="43"/>
        <v>6480</v>
      </c>
      <c r="L1219" s="21">
        <f t="shared" si="45"/>
        <v>117.37588652482269</v>
      </c>
    </row>
    <row r="1220" spans="1:12" s="72" customFormat="1" ht="25.95" customHeight="1">
      <c r="A1220" s="12">
        <v>1218</v>
      </c>
      <c r="B1220" s="6">
        <v>19</v>
      </c>
      <c r="C1220" s="6">
        <v>249</v>
      </c>
      <c r="D1220" s="20" t="str">
        <f>IF(C1220&lt;&gt;"", IFERROR(INDEX('بنود العقد'!B$3:B$388,C1220),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مقبس ثنائي سقفى، من النوع المؤرض، 15 أمبير، 230 فولت، طور واحد، قطبين، 3 أسلاك.</v>
      </c>
      <c r="E1220" s="12" t="str">
        <f>IF(C1220&lt;&gt;"", IFERROR(INDEX('بنود العقد'!D$3:D$388,C1220), ""), "")</f>
        <v>عدد</v>
      </c>
      <c r="F1220" s="9">
        <f>IF(C1220&lt;&gt;"", IFERROR(INDEX('بنود العقد'!E$3:E$388,C1220), 0), "")</f>
        <v>216</v>
      </c>
      <c r="G1220" s="9">
        <f>IF(C1220&lt;&gt;"", IFERROR(INDEX('بنود العقد'!F$3:F$388,C1220), 0), "")</f>
        <v>126</v>
      </c>
      <c r="H1220" s="18">
        <f t="shared" si="49"/>
        <v>105</v>
      </c>
      <c r="I1220" s="7">
        <v>20</v>
      </c>
      <c r="J1220" s="18">
        <f t="shared" si="44"/>
        <v>125</v>
      </c>
      <c r="K1220" s="10">
        <f t="shared" si="43"/>
        <v>4320</v>
      </c>
      <c r="L1220" s="21">
        <f t="shared" si="45"/>
        <v>99.206349206349216</v>
      </c>
    </row>
    <row r="1221" spans="1:12" s="72" customFormat="1" ht="25.95" customHeight="1">
      <c r="A1221" s="12">
        <v>1219</v>
      </c>
      <c r="B1221" s="6">
        <v>19</v>
      </c>
      <c r="C1221" s="6">
        <v>251</v>
      </c>
      <c r="D1221" s="20" t="str">
        <f>IF(C1221&lt;&gt;"", IFERROR(INDEX('بنود العقد'!B$3:B$388,C1221), "⚠"), "")</f>
        <v xml:space="preserve">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 RESIDUAL CURRENT DEVICE, 30mA TRIPPING( </v>
      </c>
      <c r="E1221" s="12" t="str">
        <f>IF(C1221&lt;&gt;"", IFERROR(INDEX('بنود العقد'!D$3:D$388,C1221), ""), "")</f>
        <v>عدد</v>
      </c>
      <c r="F1221" s="9">
        <f>IF(C1221&lt;&gt;"", IFERROR(INDEX('بنود العقد'!E$3:E$388,C1221), 0), "")</f>
        <v>504</v>
      </c>
      <c r="G1221" s="9">
        <f>IF(C1221&lt;&gt;"", IFERROR(INDEX('بنود العقد'!F$3:F$388,C1221), 0), "")</f>
        <v>50</v>
      </c>
      <c r="H1221" s="18">
        <f t="shared" si="49"/>
        <v>60</v>
      </c>
      <c r="I1221" s="7">
        <v>15</v>
      </c>
      <c r="J1221" s="18">
        <f t="shared" si="44"/>
        <v>75</v>
      </c>
      <c r="K1221" s="10">
        <f t="shared" si="43"/>
        <v>7560</v>
      </c>
      <c r="L1221" s="21">
        <f t="shared" si="45"/>
        <v>150</v>
      </c>
    </row>
    <row r="1222" spans="1:12" s="72" customFormat="1" ht="25.95" customHeight="1">
      <c r="A1222" s="12">
        <v>1220</v>
      </c>
      <c r="B1222" s="6">
        <v>19</v>
      </c>
      <c r="C1222" s="6">
        <v>253</v>
      </c>
      <c r="D1222" s="20" t="str">
        <f>IF(C1222&lt;&gt;"", IFERROR(INDEX('بنود العقد'!B$3:B$388,C1222), "⚠"), "")</f>
        <v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المشرفمخرج  ومؤرض 30 أمبير ، 230 فولت 3 أسلاك ، 1 فاز لمجفف الأيدي</v>
      </c>
      <c r="E1222" s="12" t="str">
        <f>IF(C1222&lt;&gt;"", IFERROR(INDEX('بنود العقد'!D$3:D$388,C1222), ""), "")</f>
        <v>عدد</v>
      </c>
      <c r="F1222" s="9">
        <f>IF(C1222&lt;&gt;"", IFERROR(INDEX('بنود العقد'!E$3:E$388,C1222), 0), "")</f>
        <v>264</v>
      </c>
      <c r="G1222" s="9">
        <f>IF(C1222&lt;&gt;"", IFERROR(INDEX('بنود العقد'!F$3:F$388,C1222), 0), "")</f>
        <v>72</v>
      </c>
      <c r="H1222" s="18">
        <f t="shared" si="49"/>
        <v>81</v>
      </c>
      <c r="I1222" s="7">
        <v>18</v>
      </c>
      <c r="J1222" s="18">
        <f t="shared" si="44"/>
        <v>99</v>
      </c>
      <c r="K1222" s="10">
        <f t="shared" si="43"/>
        <v>4752</v>
      </c>
      <c r="L1222" s="21">
        <f t="shared" si="45"/>
        <v>137.5</v>
      </c>
    </row>
    <row r="1223" spans="1:12" s="72" customFormat="1" ht="25.95" customHeight="1">
      <c r="A1223" s="12">
        <v>1221</v>
      </c>
      <c r="B1223" s="6">
        <v>19</v>
      </c>
      <c r="C1223" s="6">
        <v>254</v>
      </c>
      <c r="D1223" s="20" t="str">
        <f>IF(C1223&lt;&gt;"", IFERROR(INDEX('بنود العقد'!B$3:B$388,C1223),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)A(  )تحتوى على  4 قوى &amp; 4 داتا (</v>
      </c>
      <c r="E1223" s="12" t="str">
        <f>IF(C1223&lt;&gt;"", IFERROR(INDEX('بنود العقد'!D$3:D$388,C1223), ""), "")</f>
        <v>عدد</v>
      </c>
      <c r="F1223" s="9">
        <f>IF(C1223&lt;&gt;"", IFERROR(INDEX('بنود العقد'!E$3:E$388,C1223), 0), "")</f>
        <v>2160</v>
      </c>
      <c r="G1223" s="9">
        <f>IF(C1223&lt;&gt;"", IFERROR(INDEX('بنود العقد'!F$3:F$388,C1223), 0), "")</f>
        <v>286</v>
      </c>
      <c r="H1223" s="18">
        <f t="shared" si="49"/>
        <v>479</v>
      </c>
      <c r="I1223" s="7">
        <v>15</v>
      </c>
      <c r="J1223" s="18">
        <f t="shared" si="44"/>
        <v>494</v>
      </c>
      <c r="K1223" s="10">
        <f t="shared" si="43"/>
        <v>32400</v>
      </c>
      <c r="L1223" s="21">
        <f t="shared" si="45"/>
        <v>172.72727272727272</v>
      </c>
    </row>
    <row r="1224" spans="1:12" s="72" customFormat="1" ht="25.95" customHeight="1">
      <c r="A1224" s="12">
        <v>1222</v>
      </c>
      <c r="B1224" s="6">
        <v>19</v>
      </c>
      <c r="C1224" s="6">
        <v>255</v>
      </c>
      <c r="D1224" s="20" t="str">
        <f>IF(C1224&lt;&gt;"", IFERROR(INDEX('بنود العقد'!B$3:B$388,C1224),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)B(   )تحتوى على 2 قوى &amp; 2 داتا (</v>
      </c>
      <c r="E1224" s="12" t="str">
        <f>IF(C1224&lt;&gt;"", IFERROR(INDEX('بنود العقد'!D$3:D$388,C1224), ""), "")</f>
        <v>عدد</v>
      </c>
      <c r="F1224" s="9">
        <f>IF(C1224&lt;&gt;"", IFERROR(INDEX('بنود العقد'!E$3:E$388,C1224), 0), "")</f>
        <v>1800</v>
      </c>
      <c r="G1224" s="9">
        <f>IF(C1224&lt;&gt;"", IFERROR(INDEX('بنود العقد'!F$3:F$388,C1224), 0), "")</f>
        <v>20</v>
      </c>
      <c r="H1224" s="18">
        <f t="shared" si="49"/>
        <v>461</v>
      </c>
      <c r="I1224" s="7">
        <v>10</v>
      </c>
      <c r="J1224" s="18">
        <f t="shared" si="44"/>
        <v>471</v>
      </c>
      <c r="K1224" s="10">
        <f t="shared" si="43"/>
        <v>18000</v>
      </c>
      <c r="L1224" s="21">
        <f t="shared" si="45"/>
        <v>2355</v>
      </c>
    </row>
    <row r="1225" spans="1:12" s="72" customFormat="1" ht="25.95" customHeight="1">
      <c r="A1225" s="12">
        <v>1223</v>
      </c>
      <c r="B1225" s="6">
        <v>19</v>
      </c>
      <c r="C1225" s="6">
        <v>256</v>
      </c>
      <c r="D1225" s="20" t="str">
        <f>IF(C1225&lt;&gt;"", IFERROR(INDEX('بنود العقد'!B$3:B$388,C1225),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)1FB(   )تحتوى على 1 قوى (</v>
      </c>
      <c r="E1225" s="12" t="str">
        <f>IF(C1225&lt;&gt;"", IFERROR(INDEX('بنود العقد'!D$3:D$388,C1225), ""), "")</f>
        <v>عدد</v>
      </c>
      <c r="F1225" s="9">
        <f>IF(C1225&lt;&gt;"", IFERROR(INDEX('بنود العقد'!E$3:E$388,C1225), 0), "")</f>
        <v>720</v>
      </c>
      <c r="G1225" s="9">
        <f>IF(C1225&lt;&gt;"", IFERROR(INDEX('بنود العقد'!F$3:F$388,C1225), 0), "")</f>
        <v>141</v>
      </c>
      <c r="H1225" s="18">
        <f t="shared" si="49"/>
        <v>106</v>
      </c>
      <c r="I1225" s="7">
        <v>5</v>
      </c>
      <c r="J1225" s="18">
        <f t="shared" si="44"/>
        <v>111</v>
      </c>
      <c r="K1225" s="10">
        <f t="shared" si="43"/>
        <v>3600</v>
      </c>
      <c r="L1225" s="21">
        <f t="shared" si="45"/>
        <v>78.723404255319153</v>
      </c>
    </row>
    <row r="1226" spans="1:12" s="72" customFormat="1" ht="25.95" customHeight="1">
      <c r="A1226" s="12">
        <v>1224</v>
      </c>
      <c r="B1226" s="6">
        <v>19</v>
      </c>
      <c r="C1226" s="6">
        <v>261</v>
      </c>
      <c r="D1226" s="20" t="str">
        <f>IF(C1226&lt;&gt;"", IFERROR(INDEX('بنود العقد'!B$3:B$388,C1226), "⚠"), "")</f>
        <v xml:space="preserve"> توريد وتركيب واختبار والتشغيل التجريبي لمفاتيح فصل على الحمل من النوع عالية التحمل مع ماسورة  التثبيت المعدنية المرنة والمانعة لنفاذ السوائل، وقطع الإكسسوارعلى المقاول المعاينة و فحص الشبكة الحالية و الاستفادة من التمديدات الحالية و دمجها مع التركيبات الجديدة بعد عمل الاختبارات اللازمة و بعدالموافقة من مهندس المشرف  وبالإستطاعات التالية 30 A, 250 V, 2P</v>
      </c>
      <c r="E1226" s="12" t="str">
        <f>IF(C1226&lt;&gt;"", IFERROR(INDEX('بنود العقد'!D$3:D$388,C1226), ""), "")</f>
        <v>عدد</v>
      </c>
      <c r="F1226" s="9">
        <f>IF(C1226&lt;&gt;"", IFERROR(INDEX('بنود العقد'!E$3:E$388,C1226), 0), "")</f>
        <v>384</v>
      </c>
      <c r="G1226" s="9">
        <f>IF(C1226&lt;&gt;"", IFERROR(INDEX('بنود العقد'!F$3:F$388,C1226), 0), "")</f>
        <v>445</v>
      </c>
      <c r="H1226" s="18">
        <f t="shared" si="49"/>
        <v>400</v>
      </c>
      <c r="I1226" s="7">
        <v>70</v>
      </c>
      <c r="J1226" s="18">
        <f t="shared" si="44"/>
        <v>470</v>
      </c>
      <c r="K1226" s="10">
        <f t="shared" si="43"/>
        <v>26880</v>
      </c>
      <c r="L1226" s="21">
        <f t="shared" si="45"/>
        <v>105.61797752808988</v>
      </c>
    </row>
    <row r="1227" spans="1:12" s="72" customFormat="1" ht="25.95" customHeight="1">
      <c r="A1227" s="12">
        <v>1225</v>
      </c>
      <c r="B1227" s="6">
        <v>19</v>
      </c>
      <c r="C1227" s="6">
        <v>263</v>
      </c>
      <c r="D1227" s="20" t="str">
        <f>IF(C1227&lt;&gt;"", IFERROR(INDEX('بنود العقد'!B$3:B$388,C1227),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A1E</v>
      </c>
      <c r="E1227" s="12" t="str">
        <f>IF(C1227&lt;&gt;"", IFERROR(INDEX('بنود العقد'!D$3:D$388,C1227), ""), "")</f>
        <v>عدد</v>
      </c>
      <c r="F1227" s="9">
        <f>IF(C1227&lt;&gt;"", IFERROR(INDEX('بنود العقد'!E$3:E$388,C1227), 0), "")</f>
        <v>660</v>
      </c>
      <c r="G1227" s="9">
        <f>IF(C1227&lt;&gt;"", IFERROR(INDEX('بنود العقد'!F$3:F$388,C1227), 0), "")</f>
        <v>241</v>
      </c>
      <c r="H1227" s="18">
        <f t="shared" si="49"/>
        <v>192</v>
      </c>
      <c r="I1227" s="7">
        <v>10</v>
      </c>
      <c r="J1227" s="18">
        <f t="shared" si="44"/>
        <v>202</v>
      </c>
      <c r="K1227" s="10">
        <f t="shared" si="43"/>
        <v>6600</v>
      </c>
      <c r="L1227" s="21">
        <f t="shared" si="45"/>
        <v>83.817427385892117</v>
      </c>
    </row>
    <row r="1228" spans="1:12" s="72" customFormat="1" ht="25.95" customHeight="1">
      <c r="A1228" s="12">
        <v>1226</v>
      </c>
      <c r="B1228" s="6">
        <v>19</v>
      </c>
      <c r="C1228" s="6">
        <v>270</v>
      </c>
      <c r="D1228" s="20" t="str">
        <f>IF(C1228&lt;&gt;"", IFERROR(INDEX('بنود العقد'!B$3:B$388,C1228),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A8</v>
      </c>
      <c r="E1228" s="12" t="str">
        <f>IF(C1228&lt;&gt;"", IFERROR(INDEX('بنود العقد'!D$3:D$388,C1228), ""), "")</f>
        <v>عدد</v>
      </c>
      <c r="F1228" s="9">
        <f>IF(C1228&lt;&gt;"", IFERROR(INDEX('بنود العقد'!E$3:E$388,C1228), 0), "")</f>
        <v>1044</v>
      </c>
      <c r="G1228" s="9">
        <f>IF(C1228&lt;&gt;"", IFERROR(INDEX('بنود العقد'!F$3:F$388,C1228), 0), "")</f>
        <v>12</v>
      </c>
      <c r="H1228" s="18">
        <f t="shared" si="49"/>
        <v>6</v>
      </c>
      <c r="I1228" s="7">
        <v>4</v>
      </c>
      <c r="J1228" s="18">
        <f t="shared" si="44"/>
        <v>10</v>
      </c>
      <c r="K1228" s="10">
        <f t="shared" si="43"/>
        <v>4176</v>
      </c>
      <c r="L1228" s="21">
        <f t="shared" si="45"/>
        <v>83.333333333333343</v>
      </c>
    </row>
    <row r="1229" spans="1:12" s="72" customFormat="1" ht="25.95" customHeight="1">
      <c r="A1229" s="12">
        <v>1227</v>
      </c>
      <c r="B1229" s="6">
        <v>19</v>
      </c>
      <c r="C1229" s="6">
        <v>272</v>
      </c>
      <c r="D1229" s="20" t="str">
        <f>IF(C1229&lt;&gt;"", IFERROR(INDEX('بنود العقد'!B$3:B$388,C1229),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B1</v>
      </c>
      <c r="E1229" s="12" t="str">
        <f>IF(C1229&lt;&gt;"", IFERROR(INDEX('بنود العقد'!D$3:D$388,C1229), ""), "")</f>
        <v>عدد</v>
      </c>
      <c r="F1229" s="9">
        <f>IF(C1229&lt;&gt;"", IFERROR(INDEX('بنود العقد'!E$3:E$388,C1229), 0), "")</f>
        <v>720</v>
      </c>
      <c r="G1229" s="9">
        <f>IF(C1229&lt;&gt;"", IFERROR(INDEX('بنود العقد'!F$3:F$388,C1229), 0), "")</f>
        <v>343</v>
      </c>
      <c r="H1229" s="18">
        <f t="shared" si="49"/>
        <v>84</v>
      </c>
      <c r="I1229" s="7">
        <v>3</v>
      </c>
      <c r="J1229" s="18">
        <f t="shared" si="44"/>
        <v>87</v>
      </c>
      <c r="K1229" s="10">
        <f t="shared" si="43"/>
        <v>2160</v>
      </c>
      <c r="L1229" s="21">
        <f t="shared" si="45"/>
        <v>25.364431486880466</v>
      </c>
    </row>
    <row r="1230" spans="1:12" s="72" customFormat="1" ht="25.95" customHeight="1">
      <c r="A1230" s="12">
        <v>1228</v>
      </c>
      <c r="B1230" s="6">
        <v>19</v>
      </c>
      <c r="C1230" s="6">
        <v>274</v>
      </c>
      <c r="D1230" s="20" t="str">
        <f>IF(C1230&lt;&gt;"", IFERROR(INDEX('بنود العقد'!B$3:B$388,C1230),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C1</v>
      </c>
      <c r="E1230" s="12" t="str">
        <f>IF(C1230&lt;&gt;"", IFERROR(INDEX('بنود العقد'!D$3:D$388,C1230), ""), "")</f>
        <v>عدد</v>
      </c>
      <c r="F1230" s="9">
        <f>IF(C1230&lt;&gt;"", IFERROR(INDEX('بنود العقد'!E$3:E$388,C1230), 0), "")</f>
        <v>1128</v>
      </c>
      <c r="G1230" s="9">
        <f>IF(C1230&lt;&gt;"", IFERROR(INDEX('بنود العقد'!F$3:F$388,C1230), 0), "")</f>
        <v>172</v>
      </c>
      <c r="H1230" s="18">
        <f t="shared" si="49"/>
        <v>135</v>
      </c>
      <c r="I1230" s="7">
        <v>10</v>
      </c>
      <c r="J1230" s="18">
        <f t="shared" si="44"/>
        <v>145</v>
      </c>
      <c r="K1230" s="10">
        <f t="shared" si="43"/>
        <v>11280</v>
      </c>
      <c r="L1230" s="21">
        <f t="shared" si="45"/>
        <v>84.302325581395351</v>
      </c>
    </row>
    <row r="1231" spans="1:12" s="72" customFormat="1" ht="25.95" customHeight="1">
      <c r="A1231" s="12">
        <v>1229</v>
      </c>
      <c r="B1231" s="6">
        <v>19</v>
      </c>
      <c r="C1231" s="6">
        <v>275</v>
      </c>
      <c r="D1231" s="20" t="str">
        <f>IF(C1231&lt;&gt;"", IFERROR(INDEX('بنود العقد'!B$3:B$388,C1231),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v>
      </c>
      <c r="E1231" s="12" t="str">
        <f>IF(C1231&lt;&gt;"", IFERROR(INDEX('بنود العقد'!D$3:D$388,C1231), ""), "")</f>
        <v>عدد</v>
      </c>
      <c r="F1231" s="9">
        <f>IF(C1231&lt;&gt;"", IFERROR(INDEX('بنود العقد'!E$3:E$388,C1231), 0), "")</f>
        <v>420</v>
      </c>
      <c r="G1231" s="9">
        <f>IF(C1231&lt;&gt;"", IFERROR(INDEX('بنود العقد'!F$3:F$388,C1231), 0), "")</f>
        <v>1422</v>
      </c>
      <c r="H1231" s="18">
        <f t="shared" si="49"/>
        <v>1420</v>
      </c>
      <c r="I1231" s="7">
        <v>50</v>
      </c>
      <c r="J1231" s="18">
        <f t="shared" si="44"/>
        <v>1470</v>
      </c>
      <c r="K1231" s="10">
        <f t="shared" si="43"/>
        <v>21000</v>
      </c>
      <c r="L1231" s="21">
        <f t="shared" si="45"/>
        <v>103.37552742616035</v>
      </c>
    </row>
    <row r="1232" spans="1:12" s="72" customFormat="1" ht="25.95" customHeight="1">
      <c r="A1232" s="12">
        <v>1230</v>
      </c>
      <c r="B1232" s="6">
        <v>19</v>
      </c>
      <c r="C1232" s="6">
        <v>276</v>
      </c>
      <c r="D1232" s="20" t="str">
        <f>IF(C1232&lt;&gt;"", IFERROR(INDEX('بنود العقد'!B$3:B$388,C1232),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v>
      </c>
      <c r="E1232" s="12" t="str">
        <f>IF(C1232&lt;&gt;"", IFERROR(INDEX('بنود العقد'!D$3:D$388,C1232), ""), "")</f>
        <v>عدد</v>
      </c>
      <c r="F1232" s="9">
        <f>IF(C1232&lt;&gt;"", IFERROR(INDEX('بنود العقد'!E$3:E$388,C1232), 0), "")</f>
        <v>444</v>
      </c>
      <c r="G1232" s="9">
        <f>IF(C1232&lt;&gt;"", IFERROR(INDEX('بنود العقد'!F$3:F$388,C1232), 0), "")</f>
        <v>1062</v>
      </c>
      <c r="H1232" s="18">
        <f t="shared" si="49"/>
        <v>900</v>
      </c>
      <c r="I1232" s="7">
        <v>10</v>
      </c>
      <c r="J1232" s="18">
        <f t="shared" si="44"/>
        <v>910</v>
      </c>
      <c r="K1232" s="10">
        <f t="shared" si="43"/>
        <v>4440</v>
      </c>
      <c r="L1232" s="21">
        <f t="shared" si="45"/>
        <v>85.687382297551778</v>
      </c>
    </row>
    <row r="1233" spans="1:12" s="72" customFormat="1" ht="25.95" customHeight="1">
      <c r="A1233" s="12">
        <v>1231</v>
      </c>
      <c r="B1233" s="6">
        <v>19</v>
      </c>
      <c r="C1233" s="6">
        <v>277</v>
      </c>
      <c r="D1233" s="20" t="str">
        <f>IF(C1233&lt;&gt;"", IFERROR(INDEX('بنود العقد'!B$3:B$388,C1233),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v>
      </c>
      <c r="E1233" s="12" t="str">
        <f>IF(C1233&lt;&gt;"", IFERROR(INDEX('بنود العقد'!D$3:D$388,C1233), ""), "")</f>
        <v>عدد</v>
      </c>
      <c r="F1233" s="9">
        <f>IF(C1233&lt;&gt;"", IFERROR(INDEX('بنود العقد'!E$3:E$388,C1233), 0), "")</f>
        <v>300</v>
      </c>
      <c r="G1233" s="9">
        <f>IF(C1233&lt;&gt;"", IFERROR(INDEX('بنود العقد'!F$3:F$388,C1233), 0), "")</f>
        <v>284</v>
      </c>
      <c r="H1233" s="18">
        <f t="shared" si="49"/>
        <v>240</v>
      </c>
      <c r="I1233" s="7">
        <v>10</v>
      </c>
      <c r="J1233" s="18">
        <f t="shared" si="44"/>
        <v>250</v>
      </c>
      <c r="K1233" s="10">
        <f t="shared" si="43"/>
        <v>3000</v>
      </c>
      <c r="L1233" s="21">
        <f t="shared" si="45"/>
        <v>88.028169014084511</v>
      </c>
    </row>
    <row r="1234" spans="1:12" s="72" customFormat="1" ht="25.95" customHeight="1">
      <c r="A1234" s="12">
        <v>1232</v>
      </c>
      <c r="B1234" s="6">
        <v>19</v>
      </c>
      <c r="C1234" s="6">
        <v>278</v>
      </c>
      <c r="D1234" s="20" t="str">
        <f>IF(C1234&lt;&gt;"", IFERROR(INDEX('بنود العقد'!B$3:B$388,C1234),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C5</v>
      </c>
      <c r="E1234" s="12" t="str">
        <f>IF(C1234&lt;&gt;"", IFERROR(INDEX('بنود العقد'!D$3:D$388,C1234), ""), "")</f>
        <v>عدد</v>
      </c>
      <c r="F1234" s="9">
        <f>IF(C1234&lt;&gt;"", IFERROR(INDEX('بنود العقد'!E$3:E$388,C1234), 0), "")</f>
        <v>438</v>
      </c>
      <c r="G1234" s="9">
        <f>IF(C1234&lt;&gt;"", IFERROR(INDEX('بنود العقد'!F$3:F$388,C1234), 0), "")</f>
        <v>149</v>
      </c>
      <c r="H1234" s="18">
        <f t="shared" si="49"/>
        <v>254</v>
      </c>
      <c r="I1234" s="7">
        <v>10</v>
      </c>
      <c r="J1234" s="18">
        <f t="shared" si="44"/>
        <v>264</v>
      </c>
      <c r="K1234" s="10">
        <f t="shared" si="43"/>
        <v>4380</v>
      </c>
      <c r="L1234" s="21">
        <f t="shared" si="45"/>
        <v>177.18120805369128</v>
      </c>
    </row>
    <row r="1235" spans="1:12" s="72" customFormat="1" ht="25.95" customHeight="1">
      <c r="A1235" s="12">
        <v>1233</v>
      </c>
      <c r="B1235" s="6">
        <v>19</v>
      </c>
      <c r="C1235" s="6">
        <v>279</v>
      </c>
      <c r="D1235" s="20" t="str">
        <f>IF(C1235&lt;&gt;"", IFERROR(INDEX('بنود العقد'!B$3:B$388,C1235),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C6</v>
      </c>
      <c r="E1235" s="12" t="str">
        <f>IF(C1235&lt;&gt;"", IFERROR(INDEX('بنود العقد'!D$3:D$388,C1235), ""), "")</f>
        <v>عدد</v>
      </c>
      <c r="F1235" s="9">
        <f>IF(C1235&lt;&gt;"", IFERROR(INDEX('بنود العقد'!E$3:E$388,C1235), 0), "")</f>
        <v>288</v>
      </c>
      <c r="G1235" s="9">
        <f>IF(C1235&lt;&gt;"", IFERROR(INDEX('بنود العقد'!F$3:F$388,C1235), 0), "")</f>
        <v>158</v>
      </c>
      <c r="H1235" s="18">
        <f t="shared" si="49"/>
        <v>157</v>
      </c>
      <c r="I1235" s="7">
        <v>7</v>
      </c>
      <c r="J1235" s="18">
        <f t="shared" si="44"/>
        <v>164</v>
      </c>
      <c r="K1235" s="10">
        <f t="shared" si="43"/>
        <v>2016</v>
      </c>
      <c r="L1235" s="21">
        <f t="shared" si="45"/>
        <v>103.79746835443038</v>
      </c>
    </row>
    <row r="1236" spans="1:12" s="72" customFormat="1" ht="25.95" customHeight="1">
      <c r="A1236" s="12">
        <v>1234</v>
      </c>
      <c r="B1236" s="6">
        <v>19</v>
      </c>
      <c r="C1236" s="6">
        <v>280</v>
      </c>
      <c r="D1236" s="20" t="str">
        <f>IF(C1236&lt;&gt;"", IFERROR(INDEX('بنود العقد'!B$3:B$388,C1236),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C7</v>
      </c>
      <c r="E1236" s="12" t="str">
        <f>IF(C1236&lt;&gt;"", IFERROR(INDEX('بنود العقد'!D$3:D$388,C1236), ""), "")</f>
        <v>عدد</v>
      </c>
      <c r="F1236" s="9">
        <f>IF(C1236&lt;&gt;"", IFERROR(INDEX('بنود العقد'!E$3:E$388,C1236), 0), "")</f>
        <v>336</v>
      </c>
      <c r="G1236" s="9">
        <f>IF(C1236&lt;&gt;"", IFERROR(INDEX('بنود العقد'!F$3:F$388,C1236), 0), "")</f>
        <v>27</v>
      </c>
      <c r="H1236" s="18">
        <f t="shared" si="49"/>
        <v>23</v>
      </c>
      <c r="I1236" s="7">
        <v>5</v>
      </c>
      <c r="J1236" s="18">
        <f t="shared" si="44"/>
        <v>28</v>
      </c>
      <c r="K1236" s="10">
        <f t="shared" si="43"/>
        <v>1680</v>
      </c>
      <c r="L1236" s="21">
        <f t="shared" si="45"/>
        <v>103.7037037037037</v>
      </c>
    </row>
    <row r="1237" spans="1:12" s="72" customFormat="1" ht="25.95" customHeight="1">
      <c r="A1237" s="12">
        <v>1235</v>
      </c>
      <c r="B1237" s="6">
        <v>19</v>
      </c>
      <c r="C1237" s="6">
        <v>291</v>
      </c>
      <c r="D1237" s="20" t="str">
        <f>IF(C1237&lt;&gt;"", IFERROR(INDEX('بنود العقد'!B$3:B$388,C1237),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LB4</v>
      </c>
      <c r="E1237" s="12" t="str">
        <f>IF(C1237&lt;&gt;"", IFERROR(INDEX('بنود العقد'!D$3:D$388,C1237), ""), "")</f>
        <v>عدد</v>
      </c>
      <c r="F1237" s="9">
        <f>IF(C1237&lt;&gt;"", IFERROR(INDEX('بنود العقد'!E$3:E$388,C1237), 0), "")</f>
        <v>1104</v>
      </c>
      <c r="G1237" s="9">
        <f>IF(C1237&lt;&gt;"", IFERROR(INDEX('بنود العقد'!F$3:F$388,C1237), 0), "")</f>
        <v>132</v>
      </c>
      <c r="H1237" s="18">
        <f t="shared" si="49"/>
        <v>93</v>
      </c>
      <c r="I1237" s="7">
        <v>20</v>
      </c>
      <c r="J1237" s="18">
        <f t="shared" si="44"/>
        <v>113</v>
      </c>
      <c r="K1237" s="10">
        <f t="shared" si="43"/>
        <v>22080</v>
      </c>
      <c r="L1237" s="21">
        <f t="shared" si="45"/>
        <v>85.606060606060609</v>
      </c>
    </row>
    <row r="1238" spans="1:12" s="72" customFormat="1" ht="25.95" customHeight="1">
      <c r="A1238" s="12">
        <v>1236</v>
      </c>
      <c r="B1238" s="6">
        <v>19</v>
      </c>
      <c r="C1238" s="6">
        <v>295</v>
      </c>
      <c r="D1238" s="20" t="str">
        <f>IF(C1238&lt;&gt;"", IFERROR(INDEX('بنود العقد'!B$3:B$388,C1238),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ES-1</v>
      </c>
      <c r="E1238" s="12" t="str">
        <f>IF(C1238&lt;&gt;"", IFERROR(INDEX('بنود العقد'!D$3:D$388,C1238), ""), "")</f>
        <v>عدد</v>
      </c>
      <c r="F1238" s="9">
        <f>IF(C1238&lt;&gt;"", IFERROR(INDEX('بنود العقد'!E$3:E$388,C1238), 0), "")</f>
        <v>360</v>
      </c>
      <c r="G1238" s="9">
        <f>IF(C1238&lt;&gt;"", IFERROR(INDEX('بنود العقد'!F$3:F$388,C1238), 0), "")</f>
        <v>430</v>
      </c>
      <c r="H1238" s="18">
        <f t="shared" si="49"/>
        <v>297</v>
      </c>
      <c r="I1238" s="7">
        <v>15</v>
      </c>
      <c r="J1238" s="18">
        <f t="shared" si="44"/>
        <v>312</v>
      </c>
      <c r="K1238" s="10">
        <f t="shared" si="43"/>
        <v>5400</v>
      </c>
      <c r="L1238" s="21">
        <f t="shared" si="45"/>
        <v>72.558139534883722</v>
      </c>
    </row>
    <row r="1239" spans="1:12" s="72" customFormat="1" ht="25.95" customHeight="1">
      <c r="A1239" s="12">
        <v>1237</v>
      </c>
      <c r="B1239" s="6">
        <v>19</v>
      </c>
      <c r="C1239" s="6">
        <v>298</v>
      </c>
      <c r="D1239" s="20" t="str">
        <f>IF(C1239&lt;&gt;"", IFERROR(INDEX('بنود العقد'!B$3:B$388,C1239),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P1</v>
      </c>
      <c r="E1239" s="12" t="str">
        <f>IF(C1239&lt;&gt;"", IFERROR(INDEX('بنود العقد'!D$3:D$388,C1239), ""), "")</f>
        <v>عدد</v>
      </c>
      <c r="F1239" s="9">
        <f>IF(C1239&lt;&gt;"", IFERROR(INDEX('بنود العقد'!E$3:E$388,C1239), 0), "")</f>
        <v>420</v>
      </c>
      <c r="G1239" s="9">
        <f>IF(C1239&lt;&gt;"", IFERROR(INDEX('بنود العقد'!F$3:F$388,C1239), 0), "")</f>
        <v>75</v>
      </c>
      <c r="H1239" s="18">
        <f t="shared" si="49"/>
        <v>80</v>
      </c>
      <c r="I1239" s="7">
        <v>20</v>
      </c>
      <c r="J1239" s="18">
        <f t="shared" si="44"/>
        <v>100</v>
      </c>
      <c r="K1239" s="10">
        <f t="shared" si="43"/>
        <v>8400</v>
      </c>
      <c r="L1239" s="21">
        <f t="shared" si="45"/>
        <v>133.33333333333331</v>
      </c>
    </row>
    <row r="1240" spans="1:12" s="72" customFormat="1" ht="25.95" customHeight="1">
      <c r="A1240" s="12">
        <v>1238</v>
      </c>
      <c r="B1240" s="6">
        <v>19</v>
      </c>
      <c r="C1240" s="6">
        <v>299</v>
      </c>
      <c r="D1240" s="20" t="str">
        <f>IF(C1240&lt;&gt;"", IFERROR(INDEX('بنود العقد'!B$3:B$388,C1240),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T1</v>
      </c>
      <c r="E1240" s="12" t="str">
        <f>IF(C1240&lt;&gt;"", IFERROR(INDEX('بنود العقد'!D$3:D$388,C1240), ""), "")</f>
        <v>عدد</v>
      </c>
      <c r="F1240" s="9">
        <f>IF(C1240&lt;&gt;"", IFERROR(INDEX('بنود العقد'!E$3:E$388,C1240), 0), "")</f>
        <v>744</v>
      </c>
      <c r="G1240" s="9">
        <f>IF(C1240&lt;&gt;"", IFERROR(INDEX('بنود العقد'!F$3:F$388,C1240), 0), "")</f>
        <v>1146</v>
      </c>
      <c r="H1240" s="18">
        <f t="shared" si="49"/>
        <v>733</v>
      </c>
      <c r="I1240" s="7">
        <v>40</v>
      </c>
      <c r="J1240" s="18">
        <f t="shared" si="44"/>
        <v>773</v>
      </c>
      <c r="K1240" s="10">
        <f t="shared" si="43"/>
        <v>29760</v>
      </c>
      <c r="L1240" s="21">
        <f t="shared" si="45"/>
        <v>67.452006980802793</v>
      </c>
    </row>
    <row r="1241" spans="1:12" s="72" customFormat="1" ht="25.95" customHeight="1">
      <c r="A1241" s="12">
        <v>1239</v>
      </c>
      <c r="B1241" s="6">
        <v>19</v>
      </c>
      <c r="C1241" s="6">
        <v>300</v>
      </c>
      <c r="D1241" s="20" t="str">
        <f>IF(C1241&lt;&gt;"", IFERROR(INDEX('بنود العقد'!B$3:B$388,C1241),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CH-1</v>
      </c>
      <c r="E1241" s="12" t="str">
        <f>IF(C1241&lt;&gt;"", IFERROR(INDEX('بنود العقد'!D$3:D$388,C1241), ""), "")</f>
        <v>عدد</v>
      </c>
      <c r="F1241" s="9">
        <f>IF(C1241&lt;&gt;"", IFERROR(INDEX('بنود العقد'!E$3:E$388,C1241), 0), "")</f>
        <v>14400</v>
      </c>
      <c r="G1241" s="9">
        <f>IF(C1241&lt;&gt;"", IFERROR(INDEX('بنود العقد'!F$3:F$388,C1241), 0), "")</f>
        <v>4</v>
      </c>
      <c r="H1241" s="18">
        <f t="shared" si="49"/>
        <v>2</v>
      </c>
      <c r="I1241" s="7">
        <v>1</v>
      </c>
      <c r="J1241" s="18">
        <f t="shared" si="44"/>
        <v>3</v>
      </c>
      <c r="K1241" s="10">
        <f t="shared" si="43"/>
        <v>14400</v>
      </c>
      <c r="L1241" s="21">
        <f t="shared" si="45"/>
        <v>75</v>
      </c>
    </row>
    <row r="1242" spans="1:12" s="72" customFormat="1" ht="25.95" customHeight="1">
      <c r="A1242" s="12">
        <v>1240</v>
      </c>
      <c r="B1242" s="6">
        <v>19</v>
      </c>
      <c r="C1242" s="6">
        <v>301</v>
      </c>
      <c r="D1242" s="20" t="str">
        <f>IF(C1242&lt;&gt;"", IFERROR(INDEX('بنود العقد'!B$3:B$388,C1242),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CH-2</v>
      </c>
      <c r="E1242" s="12" t="str">
        <f>IF(C1242&lt;&gt;"", IFERROR(INDEX('بنود العقد'!D$3:D$388,C1242), ""), "")</f>
        <v>عدد</v>
      </c>
      <c r="F1242" s="9">
        <f>IF(C1242&lt;&gt;"", IFERROR(INDEX('بنود العقد'!E$3:E$388,C1242), 0), "")</f>
        <v>4200</v>
      </c>
      <c r="G1242" s="9">
        <f>IF(C1242&lt;&gt;"", IFERROR(INDEX('بنود العقد'!F$3:F$388,C1242), 0), "")</f>
        <v>6</v>
      </c>
      <c r="H1242" s="18">
        <f t="shared" si="49"/>
        <v>3</v>
      </c>
      <c r="I1242" s="7">
        <v>2</v>
      </c>
      <c r="J1242" s="18">
        <f t="shared" si="44"/>
        <v>5</v>
      </c>
      <c r="K1242" s="10">
        <f t="shared" si="43"/>
        <v>8400</v>
      </c>
      <c r="L1242" s="21">
        <f t="shared" si="45"/>
        <v>83.333333333333343</v>
      </c>
    </row>
    <row r="1243" spans="1:12" s="72" customFormat="1" ht="25.95" customHeight="1">
      <c r="A1243" s="12">
        <v>1241</v>
      </c>
      <c r="B1243" s="6">
        <v>19</v>
      </c>
      <c r="C1243" s="6">
        <v>302</v>
      </c>
      <c r="D1243" s="20" t="str">
        <f>IF(C1243&lt;&gt;"", IFERROR(INDEX('بنود العقد'!B$3:B$388,C1243),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CH-3</v>
      </c>
      <c r="E1243" s="12" t="str">
        <f>IF(C1243&lt;&gt;"", IFERROR(INDEX('بنود العقد'!D$3:D$388,C1243), ""), "")</f>
        <v>عدد</v>
      </c>
      <c r="F1243" s="9">
        <f>IF(C1243&lt;&gt;"", IFERROR(INDEX('بنود العقد'!E$3:E$388,C1243), 0), "")</f>
        <v>18000</v>
      </c>
      <c r="G1243" s="9">
        <f>IF(C1243&lt;&gt;"", IFERROR(INDEX('بنود العقد'!F$3:F$388,C1243), 0), "")</f>
        <v>3</v>
      </c>
      <c r="H1243" s="18">
        <f t="shared" si="49"/>
        <v>0</v>
      </c>
      <c r="I1243" s="7">
        <v>1</v>
      </c>
      <c r="J1243" s="18">
        <f t="shared" si="44"/>
        <v>1</v>
      </c>
      <c r="K1243" s="10">
        <f t="shared" si="43"/>
        <v>18000</v>
      </c>
      <c r="L1243" s="21">
        <f t="shared" ref="L1243:L1453" si="50">IF(AND(J1243&lt;&gt;"",G1243&lt;&gt;"",G1243&gt;0), J1243/G1243*100, "")</f>
        <v>33.333333333333329</v>
      </c>
    </row>
    <row r="1244" spans="1:12" s="72" customFormat="1" ht="25.95" customHeight="1">
      <c r="A1244" s="12">
        <v>1242</v>
      </c>
      <c r="B1244" s="6">
        <v>19</v>
      </c>
      <c r="C1244" s="6">
        <v>303</v>
      </c>
      <c r="D1244" s="20" t="str">
        <f>IF(C1244&lt;&gt;"", IFERROR(INDEX('بنود العقد'!B$3:B$388,C1244),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مفتاح أحادي ، أحادي الكباّس، 10 أمبير</v>
      </c>
      <c r="E1244" s="12" t="str">
        <f>IF(C1244&lt;&gt;"", IFERROR(INDEX('بنود العقد'!D$3:D$388,C1244), ""), "")</f>
        <v>عدد</v>
      </c>
      <c r="F1244" s="9">
        <f>IF(C1244&lt;&gt;"", IFERROR(INDEX('بنود العقد'!E$3:E$388,C1244), 0), "")</f>
        <v>216</v>
      </c>
      <c r="G1244" s="9">
        <f>IF(C1244&lt;&gt;"", IFERROR(INDEX('بنود العقد'!F$3:F$388,C1244), 0), "")</f>
        <v>226</v>
      </c>
      <c r="H1244" s="18">
        <f t="shared" si="49"/>
        <v>100</v>
      </c>
      <c r="I1244" s="7">
        <v>50</v>
      </c>
      <c r="J1244" s="18">
        <f t="shared" si="44"/>
        <v>150</v>
      </c>
      <c r="K1244" s="10">
        <f t="shared" si="43"/>
        <v>10800</v>
      </c>
      <c r="L1244" s="21">
        <f t="shared" si="50"/>
        <v>66.371681415929203</v>
      </c>
    </row>
    <row r="1245" spans="1:12" s="72" customFormat="1" ht="25.95" customHeight="1">
      <c r="A1245" s="12">
        <v>1243</v>
      </c>
      <c r="B1245" s="6">
        <v>19</v>
      </c>
      <c r="C1245" s="6">
        <v>304</v>
      </c>
      <c r="D1245" s="20" t="str">
        <f>IF(C1245&lt;&gt;"", IFERROR(INDEX('بنود العقد'!B$3:B$388,C1245),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أحادي ، ثنائي الكباّس، 10 أمبير</v>
      </c>
      <c r="E1245" s="12" t="str">
        <f>IF(C1245&lt;&gt;"", IFERROR(INDEX('بنود العقد'!D$3:D$388,C1245), ""), "")</f>
        <v>عدد</v>
      </c>
      <c r="F1245" s="9">
        <f>IF(C1245&lt;&gt;"", IFERROR(INDEX('بنود العقد'!E$3:E$388,C1245), 0), "")</f>
        <v>216</v>
      </c>
      <c r="G1245" s="9">
        <f>IF(C1245&lt;&gt;"", IFERROR(INDEX('بنود العقد'!F$3:F$388,C1245), 0), "")</f>
        <v>490</v>
      </c>
      <c r="H1245" s="18">
        <f t="shared" si="49"/>
        <v>228</v>
      </c>
      <c r="I1245" s="7">
        <v>50</v>
      </c>
      <c r="J1245" s="18">
        <f t="shared" si="44"/>
        <v>278</v>
      </c>
      <c r="K1245" s="10">
        <f t="shared" ref="K1245:K1453" si="51">IF(AND(I1245&lt;&gt;"",F1245&lt;&gt;""), I1245*F1245, "")</f>
        <v>10800</v>
      </c>
      <c r="L1245" s="21">
        <f t="shared" si="50"/>
        <v>56.734693877551024</v>
      </c>
    </row>
    <row r="1246" spans="1:12" s="72" customFormat="1" ht="25.95" customHeight="1">
      <c r="A1246" s="12">
        <v>1244</v>
      </c>
      <c r="B1246" s="6">
        <v>19</v>
      </c>
      <c r="C1246" s="6">
        <v>307</v>
      </c>
      <c r="D1246" s="20" t="str">
        <f>IF(C1246&lt;&gt;"", IFERROR(INDEX('بنود العقد'!B$3:B$388,C1246), "⚠"), "")</f>
        <v xml:space="preserve"> توريد وتركيب وتوصيل وتجريب مفاتيح ذات أضواء دليلية وتشمل الماسورة والأسلاك حسب المبيّن على.المخططات و ذلك لسخانات المياه  وحسب المواصفات 20 Amp., 230 V, 1PH</v>
      </c>
      <c r="E1246" s="12" t="str">
        <f>IF(C1246&lt;&gt;"", IFERROR(INDEX('بنود العقد'!D$3:D$388,C1246), ""), "")</f>
        <v>عدد</v>
      </c>
      <c r="F1246" s="9">
        <f>IF(C1246&lt;&gt;"", IFERROR(INDEX('بنود العقد'!E$3:E$388,C1246), 0), "")</f>
        <v>300</v>
      </c>
      <c r="G1246" s="9">
        <f>IF(C1246&lt;&gt;"", IFERROR(INDEX('بنود العقد'!F$3:F$388,C1246), 0), "")</f>
        <v>77</v>
      </c>
      <c r="H1246" s="18">
        <f t="shared" si="49"/>
        <v>40</v>
      </c>
      <c r="I1246" s="7">
        <v>30</v>
      </c>
      <c r="J1246" s="18">
        <f t="shared" si="44"/>
        <v>70</v>
      </c>
      <c r="K1246" s="10">
        <f t="shared" si="51"/>
        <v>9000</v>
      </c>
      <c r="L1246" s="21">
        <f t="shared" si="50"/>
        <v>90.909090909090907</v>
      </c>
    </row>
    <row r="1247" spans="1:12" s="72" customFormat="1" ht="25.95" customHeight="1">
      <c r="A1247" s="12">
        <v>1245</v>
      </c>
      <c r="B1247" s="6">
        <v>19</v>
      </c>
      <c r="C1247" s="6">
        <v>309</v>
      </c>
      <c r="D1247" s="20" t="str">
        <f>IF(C1247&lt;&gt;"", IFERROR(INDEX('بنود العقد'!B$3:B$388,C1247), "⚠"), "")</f>
        <v xml:space="preserve"> كاشف انذار دخان من النوع المعنون طبقا للمخططات  ومواصفات المشروع</v>
      </c>
      <c r="E1247" s="12" t="str">
        <f>IF(C1247&lt;&gt;"", IFERROR(INDEX('بنود العقد'!D$3:D$388,C1247), ""), "")</f>
        <v>عدد</v>
      </c>
      <c r="F1247" s="9">
        <f>IF(C1247&lt;&gt;"", IFERROR(INDEX('بنود العقد'!E$3:E$388,C1247), 0), "")</f>
        <v>276</v>
      </c>
      <c r="G1247" s="9">
        <f>IF(C1247&lt;&gt;"", IFERROR(INDEX('بنود العقد'!F$3:F$388,C1247), 0), "")</f>
        <v>715</v>
      </c>
      <c r="H1247" s="18">
        <f t="shared" si="49"/>
        <v>705</v>
      </c>
      <c r="I1247" s="7">
        <v>100</v>
      </c>
      <c r="J1247" s="18">
        <f t="shared" si="44"/>
        <v>805</v>
      </c>
      <c r="K1247" s="10">
        <f t="shared" si="51"/>
        <v>27600</v>
      </c>
      <c r="L1247" s="21">
        <f t="shared" si="50"/>
        <v>112.58741258741259</v>
      </c>
    </row>
    <row r="1248" spans="1:12" s="72" customFormat="1" ht="25.95" customHeight="1">
      <c r="A1248" s="12">
        <v>1246</v>
      </c>
      <c r="B1248" s="6">
        <v>19</v>
      </c>
      <c r="C1248" s="6">
        <v>311</v>
      </c>
      <c r="D1248" s="20" t="str">
        <f>IF(C1248&lt;&gt;"", IFERROR(INDEX('بنود العقد'!B$3:B$388,C1248), "⚠"), "")</f>
        <v xml:space="preserve"> وحدة إنذار حريق يدوية من النوع المعنون طبقا للمخططات  ومواصفات المشروع</v>
      </c>
      <c r="E1248" s="12" t="str">
        <f>IF(C1248&lt;&gt;"", IFERROR(INDEX('بنود العقد'!D$3:D$388,C1248), ""), "")</f>
        <v>عدد</v>
      </c>
      <c r="F1248" s="9">
        <f>IF(C1248&lt;&gt;"", IFERROR(INDEX('بنود العقد'!E$3:E$388,C1248), 0), "")</f>
        <v>384</v>
      </c>
      <c r="G1248" s="9">
        <f>IF(C1248&lt;&gt;"", IFERROR(INDEX('بنود العقد'!F$3:F$388,C1248), 0), "")</f>
        <v>54</v>
      </c>
      <c r="H1248" s="18">
        <f t="shared" si="49"/>
        <v>37</v>
      </c>
      <c r="I1248" s="7">
        <v>6</v>
      </c>
      <c r="J1248" s="18">
        <f t="shared" si="44"/>
        <v>43</v>
      </c>
      <c r="K1248" s="10">
        <f t="shared" si="51"/>
        <v>2304</v>
      </c>
      <c r="L1248" s="21">
        <f t="shared" si="50"/>
        <v>79.629629629629633</v>
      </c>
    </row>
    <row r="1249" spans="1:12" s="72" customFormat="1" ht="25.95" customHeight="1">
      <c r="A1249" s="12">
        <v>1247</v>
      </c>
      <c r="B1249" s="6">
        <v>19</v>
      </c>
      <c r="C1249" s="6">
        <v>313</v>
      </c>
      <c r="D1249" s="20" t="str">
        <f>IF(C1249&lt;&gt;"", IFERROR(INDEX('بنود العقد'!B$3:B$388,C1249), "⚠"), "")</f>
        <v>وحدة تحكم  )Control module( من النوع المعنون طبقا للمخططات  ومواصفات المشروع</v>
      </c>
      <c r="E1249" s="12" t="str">
        <f>IF(C1249&lt;&gt;"", IFERROR(INDEX('بنود العقد'!D$3:D$388,C1249), ""), "")</f>
        <v>عدد</v>
      </c>
      <c r="F1249" s="9">
        <f>IF(C1249&lt;&gt;"", IFERROR(INDEX('بنود العقد'!E$3:E$388,C1249), 0), "")</f>
        <v>420</v>
      </c>
      <c r="G1249" s="9">
        <f>IF(C1249&lt;&gt;"", IFERROR(INDEX('بنود العقد'!F$3:F$388,C1249), 0), "")</f>
        <v>69</v>
      </c>
      <c r="H1249" s="18">
        <f t="shared" si="49"/>
        <v>174</v>
      </c>
      <c r="I1249" s="7">
        <v>30</v>
      </c>
      <c r="J1249" s="18">
        <f t="shared" ref="J1249:J1453" si="52">IF(I1249&lt;&gt;"", H1249+I1249, 0)</f>
        <v>204</v>
      </c>
      <c r="K1249" s="10">
        <f t="shared" si="51"/>
        <v>12600</v>
      </c>
      <c r="L1249" s="21">
        <f t="shared" si="50"/>
        <v>295.65217391304344</v>
      </c>
    </row>
    <row r="1250" spans="1:12" s="72" customFormat="1" ht="25.95" customHeight="1">
      <c r="A1250" s="12">
        <v>1248</v>
      </c>
      <c r="B1250" s="6">
        <v>19</v>
      </c>
      <c r="C1250" s="6">
        <v>317</v>
      </c>
      <c r="D1250" s="20" t="str">
        <f>IF(C1250&lt;&gt;"", IFERROR(INDEX('بنود العقد'!B$3:B$388,C1250), "⚠"), "")</f>
        <v>عن طريق مقاول متخصص ذو خبرة كبيرة في هذا المجال ويقدم للاعتماد من إدارة الـ IT بالوزارة و يربط النظام مع الانظمة المعنية بالتحكم و الموازنة و يشمل البند جميع الوصلات و الكابلات و غيرها من المتطلبات الخاصة بنهو النظام كاملا توريد وتركيب واختبارنقاط كاميرا مراقبة داخلية سقفية و جميع ما يلزم من توصيلات و تركيبات و خلافة  لنهو النظام .</v>
      </c>
      <c r="E1250" s="12" t="str">
        <f>IF(C1250&lt;&gt;"", IFERROR(INDEX('بنود العقد'!D$3:D$388,C1250), ""), "")</f>
        <v>عدد</v>
      </c>
      <c r="F1250" s="9">
        <f>IF(C1250&lt;&gt;"", IFERROR(INDEX('بنود العقد'!E$3:E$388,C1250), 0), "")</f>
        <v>2640</v>
      </c>
      <c r="G1250" s="9">
        <f>IF(C1250&lt;&gt;"", IFERROR(INDEX('بنود العقد'!F$3:F$388,C1250), 0), "")</f>
        <v>258</v>
      </c>
      <c r="H1250" s="18">
        <f t="shared" si="49"/>
        <v>218</v>
      </c>
      <c r="I1250" s="7">
        <v>10</v>
      </c>
      <c r="J1250" s="18">
        <f t="shared" si="52"/>
        <v>228</v>
      </c>
      <c r="K1250" s="10">
        <f t="shared" si="51"/>
        <v>26400</v>
      </c>
      <c r="L1250" s="21">
        <f t="shared" si="50"/>
        <v>88.372093023255815</v>
      </c>
    </row>
    <row r="1251" spans="1:12" s="72" customFormat="1" ht="25.95" customHeight="1">
      <c r="A1251" s="12">
        <v>1249</v>
      </c>
      <c r="B1251" s="6">
        <v>19</v>
      </c>
      <c r="C1251" s="6">
        <v>323</v>
      </c>
      <c r="D1251" s="20" t="str">
        <f>IF(C1251&lt;&gt;"", IFERROR(INDEX('بنود العقد'!B$3:B$388,C1251), "⚠"),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زر خروج من النوع button( )Push</v>
      </c>
      <c r="E1251" s="12" t="str">
        <f>IF(C1251&lt;&gt;"", IFERROR(INDEX('بنود العقد'!D$3:D$388,C1251), ""), "")</f>
        <v>عدد</v>
      </c>
      <c r="F1251" s="9">
        <f>IF(C1251&lt;&gt;"", IFERROR(INDEX('بنود العقد'!E$3:E$388,C1251), 0), "")</f>
        <v>606</v>
      </c>
      <c r="G1251" s="9">
        <f>IF(C1251&lt;&gt;"", IFERROR(INDEX('بنود العقد'!F$3:F$388,C1251), 0), "")</f>
        <v>218</v>
      </c>
      <c r="H1251" s="18">
        <f t="shared" si="49"/>
        <v>9</v>
      </c>
      <c r="I1251" s="7">
        <v>4</v>
      </c>
      <c r="J1251" s="18">
        <f t="shared" si="52"/>
        <v>13</v>
      </c>
      <c r="K1251" s="10">
        <f t="shared" si="51"/>
        <v>2424</v>
      </c>
      <c r="L1251" s="21">
        <f t="shared" si="50"/>
        <v>5.9633027522935782</v>
      </c>
    </row>
    <row r="1252" spans="1:12" s="72" customFormat="1" ht="25.95" customHeight="1">
      <c r="A1252" s="12">
        <v>1250</v>
      </c>
      <c r="B1252" s="6">
        <v>19</v>
      </c>
      <c r="C1252" s="6">
        <v>324</v>
      </c>
      <c r="D1252" s="20" t="str">
        <f>IF(C1252&lt;&gt;"", IFERROR(INDEX('بنود العقد'!B$3:B$388,C1252), "⚠"), "")</f>
        <v xml:space="preserve">توريد وتركيب وإختبار نظام النداء الصوتي العام يتضمن كافة الكابالت و المواسير و العلب و النهايات مع كامل اكسسوارات التركيب الالزمة وتشغيل تجهيزات الصوت و تركيب المعدات الرئيسية بغرفة التحكم حسب المخططات و المواصفات وتعليمات الشركة المصنعة مشتمال على كل ما يلزم التمام العمل
و ربطه مع نظام الحريق و ادارة المبنى و يتكون من االتي -:
سماعة سقفية 6 وات
</v>
      </c>
      <c r="E1252" s="12" t="str">
        <f>IF(C1252&lt;&gt;"", IFERROR(INDEX('بنود العقد'!D$3:D$388,C1252), ""), "")</f>
        <v>عدد</v>
      </c>
      <c r="F1252" s="9">
        <f>IF(C1252&lt;&gt;"", IFERROR(INDEX('بنود العقد'!E$3:E$388,C1252), 0), "")</f>
        <v>420</v>
      </c>
      <c r="G1252" s="9">
        <f>IF(C1252&lt;&gt;"", IFERROR(INDEX('بنود العقد'!F$3:F$388,C1252), 0), "")</f>
        <v>252</v>
      </c>
      <c r="H1252" s="18">
        <f t="shared" si="49"/>
        <v>126</v>
      </c>
      <c r="I1252" s="7">
        <v>20</v>
      </c>
      <c r="J1252" s="18">
        <f t="shared" si="52"/>
        <v>146</v>
      </c>
      <c r="K1252" s="10">
        <f t="shared" si="51"/>
        <v>8400</v>
      </c>
      <c r="L1252" s="21">
        <f t="shared" si="50"/>
        <v>57.936507936507944</v>
      </c>
    </row>
    <row r="1253" spans="1:12" s="72" customFormat="1" ht="25.95" customHeight="1">
      <c r="A1253" s="12">
        <v>1251</v>
      </c>
      <c r="B1253" s="6">
        <v>19</v>
      </c>
      <c r="C1253" s="6">
        <v>327</v>
      </c>
      <c r="D1253" s="20" t="str">
        <f>IF(C1253&lt;&gt;"", IFERROR(INDEX('بنود العقد'!B$3:B$388,C1253), "⚠"), "")</f>
        <v xml:space="preserve">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فردي حائطي مزود بعدد واحد مأخذ RJ-45
</v>
      </c>
      <c r="E1253" s="12" t="str">
        <f>IF(C1253&lt;&gt;"", IFERROR(INDEX('بنود العقد'!D$3:D$388,C1253), ""), "")</f>
        <v>عدد</v>
      </c>
      <c r="F1253" s="9">
        <f>IF(C1253&lt;&gt;"", IFERROR(INDEX('بنود العقد'!E$3:E$388,C1253), 0), "")</f>
        <v>432</v>
      </c>
      <c r="G1253" s="9">
        <f>IF(C1253&lt;&gt;"", IFERROR(INDEX('بنود العقد'!F$3:F$388,C1253), 0), "")</f>
        <v>206</v>
      </c>
      <c r="H1253" s="18">
        <f t="shared" si="49"/>
        <v>238</v>
      </c>
      <c r="I1253" s="7">
        <v>40</v>
      </c>
      <c r="J1253" s="18">
        <f t="shared" si="52"/>
        <v>278</v>
      </c>
      <c r="K1253" s="10">
        <f t="shared" si="51"/>
        <v>17280</v>
      </c>
      <c r="L1253" s="21">
        <f t="shared" si="50"/>
        <v>134.95145631067962</v>
      </c>
    </row>
    <row r="1254" spans="1:12" s="72" customFormat="1" ht="25.95" customHeight="1">
      <c r="A1254" s="12">
        <v>1252</v>
      </c>
      <c r="B1254" s="6">
        <v>19</v>
      </c>
      <c r="C1254" s="6">
        <v>328</v>
      </c>
      <c r="D1254" s="20" t="str">
        <f>IF(C1254&lt;&gt;"", IFERROR(INDEX('بنود العقد'!B$3:B$388,C1254), "⚠"), "")</f>
        <v>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HDMI مع الكوابل اللازمة</v>
      </c>
      <c r="E1254" s="12" t="str">
        <f>IF(C1254&lt;&gt;"", IFERROR(INDEX('بنود العقد'!D$3:D$388,C1254), ""), "")</f>
        <v>عدد</v>
      </c>
      <c r="F1254" s="9">
        <f>IF(C1254&lt;&gt;"", IFERROR(INDEX('بنود العقد'!E$3:E$388,C1254), 0), "")</f>
        <v>540</v>
      </c>
      <c r="G1254" s="9">
        <f>IF(C1254&lt;&gt;"", IFERROR(INDEX('بنود العقد'!F$3:F$388,C1254), 0), "")</f>
        <v>33</v>
      </c>
      <c r="H1254" s="18">
        <f t="shared" si="49"/>
        <v>20</v>
      </c>
      <c r="I1254" s="7">
        <v>25</v>
      </c>
      <c r="J1254" s="18">
        <f t="shared" si="52"/>
        <v>45</v>
      </c>
      <c r="K1254" s="10">
        <f t="shared" si="51"/>
        <v>13500</v>
      </c>
      <c r="L1254" s="21">
        <f t="shared" si="50"/>
        <v>136.36363636363635</v>
      </c>
    </row>
    <row r="1255" spans="1:12" s="72" customFormat="1" ht="25.95" customHeight="1">
      <c r="A1255" s="12">
        <v>1253</v>
      </c>
      <c r="B1255" s="6">
        <v>19</v>
      </c>
      <c r="C1255" s="6">
        <v>330</v>
      </c>
      <c r="D1255" s="20" t="str">
        <f>IF(C1255&lt;&gt;"", IFERROR(INDEX('بنود العقد'!B$3:B$388,C1255), "⚠"), "")</f>
        <v>خزانة تجهيزات 42 U مقاس 2000×1000×800 ملم من أجود األنواع العالمية مع جميع االكسسوارات الالزمة من قاطع رئيسي 32( أمبير) وموزعات و مراوح و منظمات مسير الكوابل و كل
ما يلزم التمام العمل وحسب مواصفات وتعليمات إدارة الـ IT بالوزارة.</v>
      </c>
      <c r="E1255" s="12" t="str">
        <f>IF(C1255&lt;&gt;"", IFERROR(INDEX('بنود العقد'!D$3:D$388,C1255), ""), "")</f>
        <v>عدد</v>
      </c>
      <c r="F1255" s="9">
        <f>IF(C1255&lt;&gt;"", IFERROR(INDEX('بنود العقد'!E$3:E$388,C1255), 0), "")</f>
        <v>66000</v>
      </c>
      <c r="G1255" s="9">
        <f>IF(C1255&lt;&gt;"", IFERROR(INDEX('بنود العقد'!F$3:F$388,C1255), 0), "")</f>
        <v>12</v>
      </c>
      <c r="H1255" s="18">
        <f t="shared" si="49"/>
        <v>9</v>
      </c>
      <c r="I1255" s="7">
        <v>2</v>
      </c>
      <c r="J1255" s="18">
        <f t="shared" si="52"/>
        <v>11</v>
      </c>
      <c r="K1255" s="10">
        <f t="shared" si="51"/>
        <v>132000</v>
      </c>
      <c r="L1255" s="21">
        <f t="shared" si="50"/>
        <v>91.666666666666657</v>
      </c>
    </row>
    <row r="1256" spans="1:12" s="72" customFormat="1" ht="25.95" customHeight="1">
      <c r="A1256" s="12">
        <v>1254</v>
      </c>
      <c r="B1256" s="6">
        <v>19</v>
      </c>
      <c r="C1256" s="6">
        <v>331</v>
      </c>
      <c r="D1256" s="20" t="str">
        <f>IF(C1256&lt;&gt;"", IFERROR(INDEX('بنود العقد'!B$3:B$388,C1256), "⚠"), "")</f>
        <v>لوحة توزيع رئيسية لنظام كابالت األلياف الضوئية Panel Patch Optical مزودة بعدد )12( موصل
من النوع Multimode</v>
      </c>
      <c r="E1256" s="12" t="str">
        <f>IF(C1256&lt;&gt;"", IFERROR(INDEX('بنود العقد'!D$3:D$388,C1256), ""), "")</f>
        <v>عدد</v>
      </c>
      <c r="F1256" s="9">
        <f>IF(C1256&lt;&gt;"", IFERROR(INDEX('بنود العقد'!E$3:E$388,C1256), 0), "")</f>
        <v>2640</v>
      </c>
      <c r="G1256" s="9">
        <f>IF(C1256&lt;&gt;"", IFERROR(INDEX('بنود العقد'!F$3:F$388,C1256), 0), "")</f>
        <v>12</v>
      </c>
      <c r="H1256" s="18">
        <f t="shared" si="49"/>
        <v>4</v>
      </c>
      <c r="I1256" s="7">
        <v>6</v>
      </c>
      <c r="J1256" s="18">
        <f t="shared" si="52"/>
        <v>10</v>
      </c>
      <c r="K1256" s="10">
        <f t="shared" si="51"/>
        <v>15840</v>
      </c>
      <c r="L1256" s="21">
        <f t="shared" si="50"/>
        <v>83.333333333333343</v>
      </c>
    </row>
    <row r="1257" spans="1:12" s="72" customFormat="1" ht="25.95" customHeight="1">
      <c r="A1257" s="12">
        <v>1255</v>
      </c>
      <c r="B1257" s="6">
        <v>19</v>
      </c>
      <c r="C1257" s="6">
        <v>332</v>
      </c>
      <c r="D1257" s="20" t="str">
        <f>IF(C1257&lt;&gt;"", IFERROR(INDEX('بنود العقد'!B$3:B$388,C1257), "⚠"), "")</f>
        <v>لوحات توزيع كابالت نحاسية Panel Patch a 6 CAT مع الوصالت لعدد 24 مخرج</v>
      </c>
      <c r="E1257" s="12" t="str">
        <f>IF(C1257&lt;&gt;"", IFERROR(INDEX('بنود العقد'!D$3:D$388,C1257), ""), "")</f>
        <v>عدد</v>
      </c>
      <c r="F1257" s="9">
        <f>IF(C1257&lt;&gt;"", IFERROR(INDEX('بنود العقد'!E$3:E$388,C1257), 0), "")</f>
        <v>2400</v>
      </c>
      <c r="G1257" s="9">
        <f>IF(C1257&lt;&gt;"", IFERROR(INDEX('بنود العقد'!F$3:F$388,C1257), 0), "")</f>
        <v>55</v>
      </c>
      <c r="H1257" s="18">
        <f t="shared" si="49"/>
        <v>64</v>
      </c>
      <c r="I1257" s="7">
        <v>8</v>
      </c>
      <c r="J1257" s="18">
        <f t="shared" si="52"/>
        <v>72</v>
      </c>
      <c r="K1257" s="10">
        <f t="shared" si="51"/>
        <v>19200</v>
      </c>
      <c r="L1257" s="21">
        <f t="shared" si="50"/>
        <v>130.90909090909091</v>
      </c>
    </row>
    <row r="1258" spans="1:12" s="72" customFormat="1" ht="25.95" customHeight="1">
      <c r="A1258" s="12">
        <v>1256</v>
      </c>
      <c r="B1258" s="6">
        <v>19</v>
      </c>
      <c r="C1258" s="6">
        <v>333</v>
      </c>
      <c r="D1258" s="20" t="str">
        <f>IF(C1258&lt;&gt;"", IFERROR(INDEX('بنود العقد'!B$3:B$388,C1258), "⚠"), "")</f>
        <v xml:space="preserve">توريد وتركيب وتوصيل جميع تمديدات كابالت األلياف الضوئية ( الفايبر) من نوع 12core - multimode من الموزعات الفرعية بكبائن األدوارإلى الموزع الرئيسى بغرفة الداتا الرئيسية وذلك حسب المواصفات القياسية والبند يشمل كافة وسائل وإكسسوارات التركيب والتثبيت و على المقاول تقديم
الحسابات لالعتمادها من قبل المهندس المشرف
</v>
      </c>
      <c r="E1258" s="12" t="str">
        <f>IF(C1258&lt;&gt;"", IFERROR(INDEX('بنود العقد'!D$3:D$388,C1258), ""), "")</f>
        <v>عدد</v>
      </c>
      <c r="F1258" s="9">
        <f>IF(C1258&lt;&gt;"", IFERROR(INDEX('بنود العقد'!E$3:E$388,C1258), 0), "")</f>
        <v>14400</v>
      </c>
      <c r="G1258" s="9">
        <f>IF(C1258&lt;&gt;"", IFERROR(INDEX('بنود العقد'!F$3:F$388,C1258), 0), "")</f>
        <v>6</v>
      </c>
      <c r="H1258" s="18">
        <f t="shared" si="49"/>
        <v>0</v>
      </c>
      <c r="I1258" s="7">
        <v>8</v>
      </c>
      <c r="J1258" s="18">
        <f t="shared" si="52"/>
        <v>8</v>
      </c>
      <c r="K1258" s="10">
        <f t="shared" si="51"/>
        <v>115200</v>
      </c>
      <c r="L1258" s="21">
        <f t="shared" si="50"/>
        <v>133.33333333333331</v>
      </c>
    </row>
    <row r="1259" spans="1:12" s="72" customFormat="1" ht="25.95" customHeight="1">
      <c r="A1259" s="12">
        <v>1257</v>
      </c>
      <c r="B1259" s="6">
        <v>19</v>
      </c>
      <c r="C1259" s="6">
        <v>350</v>
      </c>
      <c r="D1259" s="20" t="str">
        <f>IF(C1259&lt;&gt;"", IFERROR(INDEX('بنود العقد'!B$3:B$388,C1259), "⚠"), "")</f>
        <v xml:space="preserve">توريد وتركيب  
سماعة معلقة 6 وات لون اسود مع الكابلات والتمديدات  حسب المخططات   والبند يشمل جميع التمديدات المواسير للسماعات قطر 3/4  بوصة من الEMT  وسحب الاسلاك  الخاصة بنظام الصوت. </v>
      </c>
      <c r="E1259" s="12" t="str">
        <f>IF(C1259&lt;&gt;"", IFERROR(INDEX('بنود العقد'!D$3:D$388,C1259), ""), "")</f>
        <v>عدد</v>
      </c>
      <c r="F1259" s="9">
        <f>IF(C1259&lt;&gt;"", IFERROR(INDEX('بنود العقد'!E$3:E$388,C1259), 0), "")</f>
        <v>1380</v>
      </c>
      <c r="G1259" s="9">
        <f>IF(C1259&lt;&gt;"", IFERROR(INDEX('بنود العقد'!F$3:F$388,C1259), 0), "")</f>
        <v>0</v>
      </c>
      <c r="H1259" s="18">
        <f t="shared" si="49"/>
        <v>16</v>
      </c>
      <c r="I1259" s="7">
        <v>100</v>
      </c>
      <c r="J1259" s="18">
        <f t="shared" si="52"/>
        <v>116</v>
      </c>
      <c r="K1259" s="10">
        <f t="shared" si="51"/>
        <v>138000</v>
      </c>
      <c r="L1259" s="21" t="str">
        <f t="shared" si="50"/>
        <v/>
      </c>
    </row>
    <row r="1260" spans="1:12" s="72" customFormat="1" ht="25.95" customHeight="1">
      <c r="A1260" s="12">
        <v>1258</v>
      </c>
      <c r="B1260" s="6">
        <v>19</v>
      </c>
      <c r="C1260" s="6">
        <v>351</v>
      </c>
      <c r="D1260" s="20" t="str">
        <f>IF(C1260&lt;&gt;"", IFERROR(INDEX('بنود العقد'!B$3:B$388,C1260), "⚠"), "")</f>
        <v>توريد وتركيب وفرد دهان ايبوكسي لزوم الدربزينات بالفناء الوسطي و البهو الداخلي بين الادوار و المدخل ويتم التركيب طبقاً للمخططات والمواصفات الفنية و المواد المعتمدة  .</v>
      </c>
      <c r="E1260" s="12" t="str">
        <f>IF(C1260&lt;&gt;"", IFERROR(INDEX('بنود العقد'!D$3:D$388,C1260), ""), "")</f>
        <v>م.ط</v>
      </c>
      <c r="F1260" s="9">
        <f>IF(C1260&lt;&gt;"", IFERROR(INDEX('بنود العقد'!E$3:E$388,C1260), 0), "")</f>
        <v>45</v>
      </c>
      <c r="G1260" s="9">
        <f>IF(C1260&lt;&gt;"", IFERROR(INDEX('بنود العقد'!F$3:F$388,C1260), 0), "")</f>
        <v>0</v>
      </c>
      <c r="H1260" s="18">
        <f t="shared" si="49"/>
        <v>234</v>
      </c>
      <c r="I1260" s="7">
        <v>550</v>
      </c>
      <c r="J1260" s="18">
        <f t="shared" si="52"/>
        <v>784</v>
      </c>
      <c r="K1260" s="10">
        <f t="shared" si="51"/>
        <v>24750</v>
      </c>
      <c r="L1260" s="21" t="str">
        <f t="shared" si="50"/>
        <v/>
      </c>
    </row>
    <row r="1261" spans="1:12" s="72" customFormat="1" ht="25.95" customHeight="1">
      <c r="A1261" s="12">
        <v>1259</v>
      </c>
      <c r="B1261" s="6">
        <v>19</v>
      </c>
      <c r="C1261" s="6">
        <v>354</v>
      </c>
      <c r="D1261" s="20" t="str">
        <f>IF(C1261&lt;&gt;"", IFERROR(INDEX('بنود العقد'!B$3:B$388,C1261),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والمنحنيات والتفريعات والدعامات ، كما هو مبين في المخططات لتركيب مايلي من الأقطار الداخلية مع ربطه بالشبكة الحالية لاقرب نقطة و على المقاول تقديم المخططات التنفيذية و الحسابات الهيدروليكية و اعتمادها قبل البدأ بتنفيذ الاعمال من المهندس المشرف للاقطار  الداخلية :
قطر 63 مم</v>
      </c>
      <c r="E1261" s="12" t="str">
        <f>IF(C1261&lt;&gt;"", IFERROR(INDEX('بنود العقد'!D$3:D$388,C1261), ""), "")</f>
        <v>م.ط</v>
      </c>
      <c r="F1261" s="9">
        <f>IF(C1261&lt;&gt;"", IFERROR(INDEX('بنود العقد'!E$3:E$388,C1261), 0), "")</f>
        <v>179</v>
      </c>
      <c r="G1261" s="9">
        <f>IF(C1261&lt;&gt;"", IFERROR(INDEX('بنود العقد'!F$3:F$388,C1261), 0), "")</f>
        <v>0</v>
      </c>
      <c r="H1261" s="18">
        <f t="shared" si="49"/>
        <v>19.600000000000001</v>
      </c>
      <c r="I1261" s="7">
        <v>19.399999999999999</v>
      </c>
      <c r="J1261" s="18">
        <f t="shared" si="52"/>
        <v>39</v>
      </c>
      <c r="K1261" s="10">
        <f t="shared" si="51"/>
        <v>3472.6</v>
      </c>
      <c r="L1261" s="21" t="str">
        <f t="shared" si="50"/>
        <v/>
      </c>
    </row>
    <row r="1262" spans="1:12" s="72" customFormat="1" ht="25.95" customHeight="1">
      <c r="A1262" s="12">
        <v>1260</v>
      </c>
      <c r="B1262" s="6">
        <v>19</v>
      </c>
      <c r="C1262" s="6">
        <v>355</v>
      </c>
      <c r="D1262" s="20" t="str">
        <f>IF(C1262&lt;&gt;"", IFERROR(INDEX('بنود العقد'!B$3:B$388,C1262), "⚠"), "")</f>
        <v>توريد وتركيب محبس بوابة (GATE VALVE) يركب علي شبكة المواسير داخل المبني ، والبند يشمل جميع القطع والتوصيلات اللازمة للتركيب وذلك للأقطار التالية:
قطر 3 بوصة</v>
      </c>
      <c r="E1262" s="12" t="str">
        <f>IF(C1262&lt;&gt;"", IFERROR(INDEX('بنود العقد'!D$3:D$388,C1262), ""), "")</f>
        <v>عدد</v>
      </c>
      <c r="F1262" s="9">
        <f>IF(C1262&lt;&gt;"", IFERROR(INDEX('بنود العقد'!E$3:E$388,C1262), 0), "")</f>
        <v>2180</v>
      </c>
      <c r="G1262" s="9">
        <f>IF(C1262&lt;&gt;"", IFERROR(INDEX('بنود العقد'!F$3:F$388,C1262), 0), "")</f>
        <v>0</v>
      </c>
      <c r="H1262" s="18">
        <f t="shared" si="49"/>
        <v>1</v>
      </c>
      <c r="I1262" s="7">
        <v>38</v>
      </c>
      <c r="J1262" s="18">
        <f t="shared" si="52"/>
        <v>39</v>
      </c>
      <c r="K1262" s="10">
        <f t="shared" si="51"/>
        <v>82840</v>
      </c>
      <c r="L1262" s="21" t="str">
        <f t="shared" si="50"/>
        <v/>
      </c>
    </row>
    <row r="1263" spans="1:12" s="72" customFormat="1" ht="25.95" customHeight="1">
      <c r="A1263" s="12">
        <v>1261</v>
      </c>
      <c r="B1263" s="6">
        <v>19</v>
      </c>
      <c r="C1263" s="6">
        <v>356</v>
      </c>
      <c r="D1263" s="20" t="str">
        <f>IF(C1263&lt;&gt;"", IFERROR(INDEX('بنود العقد'!B$3:B$388,C1263), "⚠"), "")</f>
        <v>توريد وتركيب محبس بوابة (GATE VALVE) يركب علي شبكة المواسير داخل المبني ، والبند يشمل جميع القطع والتوصيلات اللازمة للتركيب وذلك للأقطار التالية:
قطر 2.5 بوصة</v>
      </c>
      <c r="E1263" s="12" t="str">
        <f>IF(C1263&lt;&gt;"", IFERROR(INDEX('بنود العقد'!D$3:D$388,C1263), ""), "")</f>
        <v>عدد</v>
      </c>
      <c r="F1263" s="9">
        <f>IF(C1263&lt;&gt;"", IFERROR(INDEX('بنود العقد'!E$3:E$388,C1263), 0), "")</f>
        <v>1663</v>
      </c>
      <c r="G1263" s="9">
        <f>IF(C1263&lt;&gt;"", IFERROR(INDEX('بنود العقد'!F$3:F$388,C1263), 0), "")</f>
        <v>0</v>
      </c>
      <c r="H1263" s="18">
        <f t="shared" si="49"/>
        <v>13</v>
      </c>
      <c r="I1263" s="7">
        <v>16</v>
      </c>
      <c r="J1263" s="18">
        <f t="shared" si="52"/>
        <v>29</v>
      </c>
      <c r="K1263" s="10">
        <f t="shared" si="51"/>
        <v>26608</v>
      </c>
      <c r="L1263" s="21" t="str">
        <f t="shared" si="50"/>
        <v/>
      </c>
    </row>
    <row r="1264" spans="1:12" s="72" customFormat="1" ht="25.95" customHeight="1">
      <c r="A1264" s="12">
        <v>1262</v>
      </c>
      <c r="B1264" s="6">
        <v>19</v>
      </c>
      <c r="C1264" s="6">
        <v>357</v>
      </c>
      <c r="D1264" s="20" t="str">
        <f>IF(C1264&lt;&gt;"", IFERROR(INDEX('بنود العقد'!B$3:B$388,C1264), "⚠"), "")</f>
        <v>توريد وتركيب محبس بوابة (GATE VALVE) يركب علي شبكة المواسير داخل المبني ، والبند يشمل جميع القطع والتوصيلات اللازمة للتركيب وذلك للأقطار التالية:
قطر 1.25 بوصة</v>
      </c>
      <c r="E1264" s="12" t="str">
        <f>IF(C1264&lt;&gt;"", IFERROR(INDEX('بنود العقد'!D$3:D$388,C1264), ""), "")</f>
        <v>عدد</v>
      </c>
      <c r="F1264" s="9">
        <f>IF(C1264&lt;&gt;"", IFERROR(INDEX('بنود العقد'!E$3:E$388,C1264), 0), "")</f>
        <v>621</v>
      </c>
      <c r="G1264" s="9">
        <f>IF(C1264&lt;&gt;"", IFERROR(INDEX('بنود العقد'!F$3:F$388,C1264), 0), "")</f>
        <v>0</v>
      </c>
      <c r="H1264" s="18">
        <f t="shared" si="49"/>
        <v>14</v>
      </c>
      <c r="I1264" s="7">
        <v>12</v>
      </c>
      <c r="J1264" s="18">
        <f t="shared" si="52"/>
        <v>26</v>
      </c>
      <c r="K1264" s="10">
        <f t="shared" si="51"/>
        <v>7452</v>
      </c>
      <c r="L1264" s="21" t="str">
        <f t="shared" si="50"/>
        <v/>
      </c>
    </row>
    <row r="1265" spans="1:12" s="72" customFormat="1" ht="25.95" customHeight="1">
      <c r="A1265" s="12">
        <v>1263</v>
      </c>
      <c r="B1265" s="6">
        <v>19</v>
      </c>
      <c r="C1265" s="6">
        <v>358</v>
      </c>
      <c r="D1265" s="20" t="str">
        <f>IF(C1265&lt;&gt;"", IFERROR(INDEX('بنود العقد'!B$3:B$388,C1265), "⚠"), "")</f>
        <v>توريد وتركيب محبس تخفيض ضغط (PRV) يركب علي شبكة المواسير داخل المبني ، والبند يشمل جميع القطع والتوصيلات اللازمة للتركيب وذلك للأقطار التالية:
قطر 2 بوصة</v>
      </c>
      <c r="E1265" s="12" t="str">
        <f>IF(C1265&lt;&gt;"", IFERROR(INDEX('بنود العقد'!D$3:D$388,C1265), ""), "")</f>
        <v>عدد</v>
      </c>
      <c r="F1265" s="9">
        <f>IF(C1265&lt;&gt;"", IFERROR(INDEX('بنود العقد'!E$3:E$388,C1265), 0), "")</f>
        <v>1772</v>
      </c>
      <c r="G1265" s="9">
        <f>IF(C1265&lt;&gt;"", IFERROR(INDEX('بنود العقد'!F$3:F$388,C1265), 0), "")</f>
        <v>0</v>
      </c>
      <c r="H1265" s="18">
        <f t="shared" si="49"/>
        <v>13</v>
      </c>
      <c r="I1265" s="7">
        <v>13</v>
      </c>
      <c r="J1265" s="18">
        <f t="shared" si="52"/>
        <v>26</v>
      </c>
      <c r="K1265" s="10">
        <f t="shared" si="51"/>
        <v>23036</v>
      </c>
      <c r="L1265" s="21" t="str">
        <f t="shared" si="50"/>
        <v/>
      </c>
    </row>
    <row r="1266" spans="1:12" s="72" customFormat="1" ht="25.95" customHeight="1">
      <c r="A1266" s="12">
        <v>1264</v>
      </c>
      <c r="B1266" s="6">
        <v>19</v>
      </c>
      <c r="C1266" s="6">
        <v>359</v>
      </c>
      <c r="D1266" s="20" t="str">
        <f>IF(C1266&lt;&gt;"", IFERROR(INDEX('بنود العقد'!B$3:B$388,C1266), "⚠"), "")</f>
        <v>توريد وتركيب محبس تخفيض ضغط (PRV) يركب علي شبكة المواسير داخل المبني ، والبند يشمل جميع القطع والتوصيلات اللازمة للتركيب وذلك للأقطار التالية:
قطر 1.25 بوصة</v>
      </c>
      <c r="E1266" s="12" t="str">
        <f>IF(C1266&lt;&gt;"", IFERROR(INDEX('بنود العقد'!D$3:D$388,C1266), ""), "")</f>
        <v>عدد</v>
      </c>
      <c r="F1266" s="9">
        <f>IF(C1266&lt;&gt;"", IFERROR(INDEX('بنود العقد'!E$3:E$388,C1266), 0), "")</f>
        <v>772</v>
      </c>
      <c r="G1266" s="9">
        <f>IF(C1266&lt;&gt;"", IFERROR(INDEX('بنود العقد'!F$3:F$388,C1266), 0), "")</f>
        <v>0</v>
      </c>
      <c r="H1266" s="18">
        <f t="shared" si="49"/>
        <v>14</v>
      </c>
      <c r="I1266" s="7">
        <v>12</v>
      </c>
      <c r="J1266" s="18">
        <f t="shared" si="52"/>
        <v>26</v>
      </c>
      <c r="K1266" s="10">
        <f t="shared" si="51"/>
        <v>9264</v>
      </c>
      <c r="L1266" s="21" t="str">
        <f t="shared" si="50"/>
        <v/>
      </c>
    </row>
    <row r="1267" spans="1:12" s="72" customFormat="1" ht="25.95" customHeight="1">
      <c r="A1267" s="12">
        <v>1265</v>
      </c>
      <c r="B1267" s="6">
        <v>19</v>
      </c>
      <c r="C1267" s="6">
        <v>360</v>
      </c>
      <c r="D1267" s="20" t="str">
        <f>IF(C1267&lt;&gt;"", IFERROR(INDEX('بنود العقد'!B$3:B$388,C1267), "⚠"), "")</f>
        <v>توريد وتركيب محبس تنفيس الهواء (AUTOMATIC AIR VENT) يركب علي شبكة المواسير داخل المبني ، والبند يشمل جميع القطع والتوصيلات اللازمة للتركيب وذلك للأقطار التالية:
قطر 1 بوصة</v>
      </c>
      <c r="E1267" s="12" t="str">
        <f>IF(C1267&lt;&gt;"", IFERROR(INDEX('بنود العقد'!D$3:D$388,C1267), ""), "")</f>
        <v>عدد</v>
      </c>
      <c r="F1267" s="9">
        <f>IF(C1267&lt;&gt;"", IFERROR(INDEX('بنود العقد'!E$3:E$388,C1267), 0), "")</f>
        <v>90</v>
      </c>
      <c r="G1267" s="9">
        <f>IF(C1267&lt;&gt;"", IFERROR(INDEX('بنود العقد'!F$3:F$388,C1267), 0), "")</f>
        <v>0</v>
      </c>
      <c r="H1267" s="18">
        <f t="shared" si="49"/>
        <v>2</v>
      </c>
      <c r="I1267" s="7">
        <v>5</v>
      </c>
      <c r="J1267" s="18">
        <f t="shared" si="52"/>
        <v>7</v>
      </c>
      <c r="K1267" s="10">
        <f t="shared" si="51"/>
        <v>450</v>
      </c>
      <c r="L1267" s="21" t="str">
        <f t="shared" si="50"/>
        <v/>
      </c>
    </row>
    <row r="1268" spans="1:12" s="72" customFormat="1" ht="25.95" customHeight="1">
      <c r="A1268" s="12">
        <v>1266</v>
      </c>
      <c r="B1268" s="6">
        <v>19</v>
      </c>
      <c r="C1268" s="6">
        <v>361</v>
      </c>
      <c r="D1268" s="20" t="str">
        <f>IF(C1268&lt;&gt;"", IFERROR(INDEX('بنود العقد'!B$3:B$388,C1268), "⚠"), "")</f>
        <v>01-MT 02&amp; MT رخام مون ستون غراي رمادي فاتح و رمادي غامق 
مقاس  1200× 300 مم لمنطقة القهوة و المدخل سماكة 16مم .</v>
      </c>
      <c r="E1268" s="12" t="str">
        <f>IF(C1268&lt;&gt;"", IFERROR(INDEX('بنود العقد'!D$3:D$388,C1268), ""), "")</f>
        <v>م²</v>
      </c>
      <c r="F1268" s="9">
        <f>IF(C1268&lt;&gt;"", IFERROR(INDEX('بنود العقد'!E$3:E$388,C1268), 0), "")</f>
        <v>454</v>
      </c>
      <c r="G1268" s="9">
        <f>IF(C1268&lt;&gt;"", IFERROR(INDEX('بنود العقد'!F$3:F$388,C1268), 0), "")</f>
        <v>0</v>
      </c>
      <c r="H1268" s="18">
        <f t="shared" si="49"/>
        <v>913.35</v>
      </c>
      <c r="I1268" s="7">
        <v>250</v>
      </c>
      <c r="J1268" s="18">
        <f t="shared" si="52"/>
        <v>1163.3499999999999</v>
      </c>
      <c r="K1268" s="10">
        <f t="shared" si="51"/>
        <v>113500</v>
      </c>
      <c r="L1268" s="21" t="str">
        <f t="shared" si="50"/>
        <v/>
      </c>
    </row>
    <row r="1269" spans="1:12" s="72" customFormat="1" ht="25.95" customHeight="1">
      <c r="A1269" s="12">
        <v>1267</v>
      </c>
      <c r="B1269" s="6">
        <v>19</v>
      </c>
      <c r="C1269" s="6">
        <v>362</v>
      </c>
      <c r="D1269" s="20" t="str">
        <f>IF(C1269&lt;&gt;"", IFERROR(INDEX('بنود العقد'!B$3:B$388,C1269), "⚠"), "")</f>
        <v>01-MT 02&amp; MT رخام مون ستون غراي رمادي فاتح و رمادي غامق 
مقاس  1200× 300 مم لمنطقة القهوة و المدخل سماكة 30مم .</v>
      </c>
      <c r="E1269" s="12" t="str">
        <f>IF(C1269&lt;&gt;"", IFERROR(INDEX('بنود العقد'!D$3:D$388,C1269), ""), "")</f>
        <v>م²</v>
      </c>
      <c r="F1269" s="9">
        <f>IF(C1269&lt;&gt;"", IFERROR(INDEX('بنود العقد'!E$3:E$388,C1269), 0), "")</f>
        <v>609</v>
      </c>
      <c r="G1269" s="9">
        <f>IF(C1269&lt;&gt;"", IFERROR(INDEX('بنود العقد'!F$3:F$388,C1269), 0), "")</f>
        <v>0</v>
      </c>
      <c r="H1269" s="18">
        <f t="shared" si="49"/>
        <v>544</v>
      </c>
      <c r="I1269" s="7">
        <v>250</v>
      </c>
      <c r="J1269" s="18">
        <f t="shared" si="52"/>
        <v>794</v>
      </c>
      <c r="K1269" s="10">
        <f t="shared" si="51"/>
        <v>152250</v>
      </c>
      <c r="L1269" s="21" t="str">
        <f t="shared" si="50"/>
        <v/>
      </c>
    </row>
    <row r="1270" spans="1:12" s="72" customFormat="1" ht="25.95" customHeight="1">
      <c r="A1270" s="12">
        <v>1268</v>
      </c>
      <c r="B1270" s="6">
        <v>19</v>
      </c>
      <c r="C1270" s="6">
        <v>364</v>
      </c>
      <c r="D1270" s="20" t="str">
        <f>IF(C1270&lt;&gt;"", IFERROR(INDEX('بنود العقد'!B$3:B$388,C1270), "⚠"), "")</f>
        <v>رخام رمادي بيترا غراي للدور السادس ألواح مقاس 1000× 1000 مم بحسب اعتماد المهندس سماكة 30مم</v>
      </c>
      <c r="E1270" s="12" t="str">
        <f>IF(C1270&lt;&gt;"", IFERROR(INDEX('بنود العقد'!D$3:D$388,C1270), ""), "")</f>
        <v>م²</v>
      </c>
      <c r="F1270" s="9">
        <f>IF(C1270&lt;&gt;"", IFERROR(INDEX('بنود العقد'!E$3:E$388,C1270), 0), "")</f>
        <v>717</v>
      </c>
      <c r="G1270" s="9">
        <f>IF(C1270&lt;&gt;"", IFERROR(INDEX('بنود العقد'!F$3:F$388,C1270), 0), "")</f>
        <v>0</v>
      </c>
      <c r="H1270" s="18">
        <f t="shared" si="49"/>
        <v>1152</v>
      </c>
      <c r="I1270" s="7">
        <v>100</v>
      </c>
      <c r="J1270" s="18">
        <f t="shared" si="52"/>
        <v>1252</v>
      </c>
      <c r="K1270" s="10">
        <f t="shared" si="51"/>
        <v>71700</v>
      </c>
      <c r="L1270" s="21" t="str">
        <f t="shared" si="50"/>
        <v/>
      </c>
    </row>
    <row r="1271" spans="1:12" s="72" customFormat="1" ht="25.95" customHeight="1">
      <c r="A1271" s="12">
        <v>1269</v>
      </c>
      <c r="B1271" s="6">
        <v>19</v>
      </c>
      <c r="C1271" s="6">
        <v>367</v>
      </c>
      <c r="D1271" s="20" t="str">
        <f>IF(C1271&lt;&gt;"", IFERROR(INDEX('بنود العقد'!B$3:B$388,C1271), "⚠"), "")</f>
        <v xml:space="preserve"> توريد و تركيب حوض خدمة  (JANITOR SINK) والبند يشمل كوع الصرف والخلاط وجميع ما يلزم للتركيب والتثبيت</v>
      </c>
      <c r="E1271" s="12" t="str">
        <f>IF(C1271&lt;&gt;"", IFERROR(INDEX('بنود العقد'!D$3:D$388,C1271), ""), "")</f>
        <v>عدد</v>
      </c>
      <c r="F1271" s="9">
        <f>IF(C1271&lt;&gt;"", IFERROR(INDEX('بنود العقد'!E$3:E$388,C1271), 0), "")</f>
        <v>2445</v>
      </c>
      <c r="G1271" s="9">
        <f>IF(C1271&lt;&gt;"", IFERROR(INDEX('بنود العقد'!F$3:F$388,C1271), 0), "")</f>
        <v>0</v>
      </c>
      <c r="H1271" s="18">
        <f t="shared" si="49"/>
        <v>19</v>
      </c>
      <c r="I1271" s="7">
        <v>6</v>
      </c>
      <c r="J1271" s="18">
        <f t="shared" si="52"/>
        <v>25</v>
      </c>
      <c r="K1271" s="10">
        <f t="shared" si="51"/>
        <v>14670</v>
      </c>
      <c r="L1271" s="21" t="str">
        <f t="shared" si="50"/>
        <v/>
      </c>
    </row>
    <row r="1272" spans="1:12" s="72" customFormat="1" ht="25.95" customHeight="1">
      <c r="A1272" s="12">
        <v>1270</v>
      </c>
      <c r="B1272" s="6">
        <v>19</v>
      </c>
      <c r="C1272" s="6">
        <v>368</v>
      </c>
      <c r="D1272" s="20" t="str">
        <f>IF(C1272&lt;&gt;"", IFERROR(INDEX('بنود العقد'!B$3:B$388,C1272), "⚠"), "")</f>
        <v>توريد وتركيب واختبار محبس LANDING VALVE مزود بمخفض ضغط داخلي قطر 2.5 بوصة</v>
      </c>
      <c r="E1272" s="12" t="str">
        <f>IF(C1272&lt;&gt;"", IFERROR(INDEX('بنود العقد'!D$3:D$388,C1272), ""), "")</f>
        <v>عدد</v>
      </c>
      <c r="F1272" s="9">
        <f>IF(C1272&lt;&gt;"", IFERROR(INDEX('بنود العقد'!E$3:E$388,C1272), 0), "")</f>
        <v>1380</v>
      </c>
      <c r="G1272" s="9">
        <f>IF(C1272&lt;&gt;"", IFERROR(INDEX('بنود العقد'!F$3:F$388,C1272), 0), "")</f>
        <v>0</v>
      </c>
      <c r="H1272" s="18">
        <f t="shared" si="49"/>
        <v>0</v>
      </c>
      <c r="I1272" s="7">
        <v>27</v>
      </c>
      <c r="J1272" s="18">
        <f t="shared" si="52"/>
        <v>27</v>
      </c>
      <c r="K1272" s="10">
        <f t="shared" si="51"/>
        <v>37260</v>
      </c>
      <c r="L1272" s="21" t="str">
        <f t="shared" si="50"/>
        <v/>
      </c>
    </row>
    <row r="1273" spans="1:12" s="72" customFormat="1" ht="25.95" customHeight="1">
      <c r="A1273" s="12">
        <v>1271</v>
      </c>
      <c r="B1273" s="6">
        <v>19</v>
      </c>
      <c r="C1273" s="6">
        <v>369</v>
      </c>
      <c r="D1273" s="20" t="str">
        <f>IF(C1273&lt;&gt;"", IFERROR(INDEX('بنود العقد'!B$3:B$388,C1273), "⚠"), "")</f>
        <v xml:space="preserve">توريد وتركيب صندوق غاطس يوضع بداخله محبس 
LANDING VALVE </v>
      </c>
      <c r="E1273" s="12" t="str">
        <f>IF(C1273&lt;&gt;"", IFERROR(INDEX('بنود العقد'!D$3:D$388,C1273), ""), "")</f>
        <v>عدد</v>
      </c>
      <c r="F1273" s="9">
        <f>IF(C1273&lt;&gt;"", IFERROR(INDEX('بنود العقد'!E$3:E$388,C1273), 0), "")</f>
        <v>1176</v>
      </c>
      <c r="G1273" s="9">
        <f>IF(C1273&lt;&gt;"", IFERROR(INDEX('بنود العقد'!F$3:F$388,C1273), 0), "")</f>
        <v>0</v>
      </c>
      <c r="H1273" s="18">
        <f t="shared" si="49"/>
        <v>0</v>
      </c>
      <c r="I1273" s="7">
        <v>27</v>
      </c>
      <c r="J1273" s="18">
        <f t="shared" si="52"/>
        <v>27</v>
      </c>
      <c r="K1273" s="10">
        <f t="shared" si="51"/>
        <v>31752</v>
      </c>
      <c r="L1273" s="21" t="str">
        <f t="shared" si="50"/>
        <v/>
      </c>
    </row>
    <row r="1274" spans="1:12" s="72" customFormat="1" ht="25.95" customHeight="1">
      <c r="A1274" s="12">
        <v>1272</v>
      </c>
      <c r="B1274" s="6">
        <v>19</v>
      </c>
      <c r="C1274" s="6">
        <v>370</v>
      </c>
      <c r="D1274" s="20" t="str">
        <f>IF(C1274&lt;&gt;"", IFERROR(INDEX('بنود العقد'!B$3:B$388,C1274), "⚠"), "")</f>
        <v xml:space="preserve">توريد وتركيب جدار خشبى مقاوم للحريق </v>
      </c>
      <c r="E1274" s="12" t="str">
        <f>IF(C1274&lt;&gt;"", IFERROR(INDEX('بنود العقد'!D$3:D$388,C1274), ""), "")</f>
        <v>م²</v>
      </c>
      <c r="F1274" s="9">
        <f>IF(C1274&lt;&gt;"", IFERROR(INDEX('بنود العقد'!E$3:E$388,C1274), 0), "")</f>
        <v>2634.65</v>
      </c>
      <c r="G1274" s="9">
        <f>IF(C1274&lt;&gt;"", IFERROR(INDEX('بنود العقد'!F$3:F$388,C1274), 0), "")</f>
        <v>0</v>
      </c>
      <c r="H1274" s="18">
        <f t="shared" si="49"/>
        <v>115</v>
      </c>
      <c r="I1274" s="7">
        <v>15</v>
      </c>
      <c r="J1274" s="18">
        <f t="shared" si="52"/>
        <v>130</v>
      </c>
      <c r="K1274" s="10">
        <f t="shared" si="51"/>
        <v>39519.75</v>
      </c>
      <c r="L1274" s="21" t="str">
        <f t="shared" si="50"/>
        <v/>
      </c>
    </row>
    <row r="1275" spans="1:12" s="72" customFormat="1" ht="25.95" customHeight="1">
      <c r="A1275" s="12">
        <v>1273</v>
      </c>
      <c r="B1275" s="6">
        <v>19</v>
      </c>
      <c r="C1275" s="6">
        <v>371</v>
      </c>
      <c r="D1275" s="20" t="str">
        <f>IF(C1275&lt;&gt;"", IFERROR(INDEX('بنود العقد'!B$3:B$388,C1275), "⚠"), "")</f>
        <v xml:space="preserve">توريد وتركيب باب خشبى مقاوم للحريق </v>
      </c>
      <c r="E1275" s="12" t="str">
        <f>IF(C1275&lt;&gt;"", IFERROR(INDEX('بنود العقد'!D$3:D$388,C1275), ""), "")</f>
        <v>عدد</v>
      </c>
      <c r="F1275" s="9">
        <f>IF(C1275&lt;&gt;"", IFERROR(INDEX('بنود العقد'!E$3:E$388,C1275), 0), "")</f>
        <v>9368.5499999999993</v>
      </c>
      <c r="G1275" s="9">
        <f>IF(C1275&lt;&gt;"", IFERROR(INDEX('بنود العقد'!F$3:F$388,C1275), 0), "")</f>
        <v>0</v>
      </c>
      <c r="H1275" s="18">
        <f t="shared" ref="H1275:H1338" si="53">IFERROR(SUMIFS(I$3:I$1805, B$3:B$1805, "&lt;"&amp;B1275, C$3:C$1805, C1275), 0)</f>
        <v>9</v>
      </c>
      <c r="I1275" s="7">
        <v>3</v>
      </c>
      <c r="J1275" s="18">
        <f t="shared" si="52"/>
        <v>12</v>
      </c>
      <c r="K1275" s="10">
        <f t="shared" si="51"/>
        <v>28105.649999999998</v>
      </c>
      <c r="L1275" s="21" t="str">
        <f t="shared" si="50"/>
        <v/>
      </c>
    </row>
    <row r="1276" spans="1:12" s="72" customFormat="1" ht="25.95" customHeight="1">
      <c r="A1276" s="12">
        <v>1274</v>
      </c>
      <c r="B1276" s="6">
        <v>19</v>
      </c>
      <c r="C1276" s="6">
        <v>372</v>
      </c>
      <c r="D1276" s="20" t="str">
        <f>IF(C1276&lt;&gt;"", IFERROR(INDEX('بنود العقد'!B$3:B$388,C1276), "⚠"), "")</f>
        <v>توريد وتركيب بورسلان للمبنى PW-01(A)-SUTILEGRIS PULIDO</v>
      </c>
      <c r="E1276" s="12" t="str">
        <f>IF(C1276&lt;&gt;"", IFERROR(INDEX('بنود العقد'!D$3:D$388,C1276), ""), "")</f>
        <v>م²</v>
      </c>
      <c r="F1276" s="9">
        <f>IF(C1276&lt;&gt;"", IFERROR(INDEX('بنود العقد'!E$3:E$388,C1276), 0), "")</f>
        <v>186.63</v>
      </c>
      <c r="G1276" s="9">
        <f>IF(C1276&lt;&gt;"", IFERROR(INDEX('بنود العقد'!F$3:F$388,C1276), 0), "")</f>
        <v>0</v>
      </c>
      <c r="H1276" s="18">
        <f t="shared" si="53"/>
        <v>600</v>
      </c>
      <c r="I1276" s="7">
        <v>60</v>
      </c>
      <c r="J1276" s="18">
        <f t="shared" si="52"/>
        <v>660</v>
      </c>
      <c r="K1276" s="10">
        <f t="shared" si="51"/>
        <v>11197.8</v>
      </c>
      <c r="L1276" s="21" t="str">
        <f t="shared" si="50"/>
        <v/>
      </c>
    </row>
    <row r="1277" spans="1:12" s="72" customFormat="1" ht="25.95" customHeight="1">
      <c r="A1277" s="12">
        <v>1275</v>
      </c>
      <c r="B1277" s="6">
        <v>19</v>
      </c>
      <c r="C1277" s="6">
        <v>373</v>
      </c>
      <c r="D1277" s="20" t="str">
        <f>IF(C1277&lt;&gt;"", IFERROR(INDEX('بنود العقد'!B$3:B$388,C1277), "⚠"), "")</f>
        <v>توريد وتركيب بورسلان للمبنى PW-02-A(VANGLISH PULIDO)</v>
      </c>
      <c r="E1277" s="12" t="str">
        <f>IF(C1277&lt;&gt;"", IFERROR(INDEX('بنود العقد'!D$3:D$388,C1277), ""), "")</f>
        <v>م²</v>
      </c>
      <c r="F1277" s="9">
        <f>IF(C1277&lt;&gt;"", IFERROR(INDEX('بنود العقد'!E$3:E$388,C1277), 0), "")</f>
        <v>186.63</v>
      </c>
      <c r="G1277" s="9">
        <f>IF(C1277&lt;&gt;"", IFERROR(INDEX('بنود العقد'!F$3:F$388,C1277), 0), "")</f>
        <v>0</v>
      </c>
      <c r="H1277" s="18">
        <f t="shared" si="53"/>
        <v>800</v>
      </c>
      <c r="I1277" s="7">
        <v>60</v>
      </c>
      <c r="J1277" s="18">
        <f t="shared" si="52"/>
        <v>860</v>
      </c>
      <c r="K1277" s="10">
        <f t="shared" si="51"/>
        <v>11197.8</v>
      </c>
      <c r="L1277" s="21" t="str">
        <f t="shared" si="50"/>
        <v/>
      </c>
    </row>
    <row r="1278" spans="1:12" s="72" customFormat="1" ht="25.95" customHeight="1">
      <c r="A1278" s="12">
        <v>1276</v>
      </c>
      <c r="B1278" s="6">
        <v>19</v>
      </c>
      <c r="C1278" s="6">
        <v>374</v>
      </c>
      <c r="D1278" s="20" t="str">
        <f>IF(C1278&lt;&gt;"", IFERROR(INDEX('بنود العقد'!B$3:B$388,C1278), "⚠"), "")</f>
        <v>توريد وتركيب بورسلان للمبنى PW-03-B(ATLANTIDA)</v>
      </c>
      <c r="E1278" s="12" t="str">
        <f>IF(C1278&lt;&gt;"", IFERROR(INDEX('بنود العقد'!D$3:D$388,C1278), ""), "")</f>
        <v>م²</v>
      </c>
      <c r="F1278" s="9">
        <f>IF(C1278&lt;&gt;"", IFERROR(INDEX('بنود العقد'!E$3:E$388,C1278), 0), "")</f>
        <v>232.88</v>
      </c>
      <c r="G1278" s="9">
        <f>IF(C1278&lt;&gt;"", IFERROR(INDEX('بنود العقد'!F$3:F$388,C1278), 0), "")</f>
        <v>0</v>
      </c>
      <c r="H1278" s="18">
        <f t="shared" si="53"/>
        <v>650</v>
      </c>
      <c r="I1278" s="7">
        <v>55</v>
      </c>
      <c r="J1278" s="18">
        <f t="shared" si="52"/>
        <v>705</v>
      </c>
      <c r="K1278" s="10">
        <f t="shared" si="51"/>
        <v>12808.4</v>
      </c>
      <c r="L1278" s="21" t="str">
        <f t="shared" si="50"/>
        <v/>
      </c>
    </row>
    <row r="1279" spans="1:12" s="72" customFormat="1" ht="25.95" customHeight="1">
      <c r="A1279" s="12">
        <v>1277</v>
      </c>
      <c r="B1279" s="6">
        <v>19</v>
      </c>
      <c r="C1279" s="6">
        <v>378</v>
      </c>
      <c r="D1279" s="20" t="str">
        <f>IF(C1279&lt;&gt;"", IFERROR(INDEX('بنود العقد'!B$3:B$388,C1279), "⚠"), "")</f>
        <v xml:space="preserve">بالمتر المسطح توريد وتركيب قماش ستائر(Roller Blind)والسعر يشمل التوريد والتركيب </v>
      </c>
      <c r="E1279" s="12" t="str">
        <f>IF(C1279&lt;&gt;"", IFERROR(INDEX('بنود العقد'!D$3:D$388,C1279), ""), "")</f>
        <v>م²</v>
      </c>
      <c r="F1279" s="9">
        <f>IF(C1279&lt;&gt;"", IFERROR(INDEX('بنود العقد'!E$3:E$388,C1279), 0), "")</f>
        <v>77.099999999999994</v>
      </c>
      <c r="G1279" s="9">
        <f>IF(C1279&lt;&gt;"", IFERROR(INDEX('بنود العقد'!F$3:F$388,C1279), 0), "")</f>
        <v>0</v>
      </c>
      <c r="H1279" s="18">
        <f t="shared" si="53"/>
        <v>1000</v>
      </c>
      <c r="I1279" s="7">
        <v>100</v>
      </c>
      <c r="J1279" s="18">
        <f t="shared" si="52"/>
        <v>1100</v>
      </c>
      <c r="K1279" s="10">
        <f t="shared" si="51"/>
        <v>7709.9999999999991</v>
      </c>
      <c r="L1279" s="21" t="str">
        <f t="shared" si="50"/>
        <v/>
      </c>
    </row>
    <row r="1280" spans="1:12" s="72" customFormat="1" ht="25.95" customHeight="1">
      <c r="A1280" s="12">
        <v>1278</v>
      </c>
      <c r="B1280" s="6">
        <v>19</v>
      </c>
      <c r="C1280" s="6">
        <v>379</v>
      </c>
      <c r="D1280" s="20" t="str">
        <f>IF(C1280&lt;&gt;"", IFERROR(INDEX('بنود العقد'!B$3:B$388,C1280), "⚠"), "")</f>
        <v xml:space="preserve">بالعدد توريد موتور سومفي فرنسي والسعر يشعمل التوريد والتركيب </v>
      </c>
      <c r="E1280" s="12" t="str">
        <f>IF(C1280&lt;&gt;"", IFERROR(INDEX('بنود العقد'!D$3:D$388,C1280), ""), "")</f>
        <v>عدد</v>
      </c>
      <c r="F1280" s="9">
        <f>IF(C1280&lt;&gt;"", IFERROR(INDEX('بنود العقد'!E$3:E$388,C1280), 0), "")</f>
        <v>1409.26</v>
      </c>
      <c r="G1280" s="9">
        <f>IF(C1280&lt;&gt;"", IFERROR(INDEX('بنود العقد'!F$3:F$388,C1280), 0), "")</f>
        <v>0</v>
      </c>
      <c r="H1280" s="18">
        <f t="shared" si="53"/>
        <v>22</v>
      </c>
      <c r="I1280" s="7">
        <v>25</v>
      </c>
      <c r="J1280" s="18">
        <f t="shared" si="52"/>
        <v>47</v>
      </c>
      <c r="K1280" s="10">
        <f t="shared" si="51"/>
        <v>35231.5</v>
      </c>
      <c r="L1280" s="21" t="str">
        <f t="shared" si="50"/>
        <v/>
      </c>
    </row>
    <row r="1281" spans="1:12" s="72" customFormat="1" ht="25.95" customHeight="1">
      <c r="A1281" s="12">
        <v>1279</v>
      </c>
      <c r="B1281" s="6">
        <v>20</v>
      </c>
      <c r="C1281" s="6">
        <v>1</v>
      </c>
      <c r="D1281" s="20" t="str">
        <f>IF(C1281&lt;&gt;"", IFERROR(INDEX('بنود العقد'!B$3:B$388,C1281),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الجدران وتشمل  جميع أنواع جدران الطوب  والقواطع الجبسية و الخشبية و الزجاجية  بحسب المخططات المعتمدة وتعليمات المهندس المشرف.</v>
      </c>
      <c r="E1281" s="12" t="str">
        <f>IF(C1281&lt;&gt;"", IFERROR(INDEX('بنود العقد'!D$3:D$388,C1281), ""), "")</f>
        <v>م2</v>
      </c>
      <c r="F1281" s="9">
        <f>IF(C1281&lt;&gt;"", IFERROR(INDEX('بنود العقد'!E$3:E$388,C1281), 0), "")</f>
        <v>18</v>
      </c>
      <c r="G1281" s="9">
        <f>IF(C1281&lt;&gt;"", IFERROR(INDEX('بنود العقد'!F$3:F$388,C1281), 0), "")</f>
        <v>17900</v>
      </c>
      <c r="H1281" s="18">
        <f t="shared" si="53"/>
        <v>15080.57</v>
      </c>
      <c r="I1281" s="7">
        <v>1018.4</v>
      </c>
      <c r="J1281" s="18">
        <f t="shared" si="52"/>
        <v>16098.97</v>
      </c>
      <c r="K1281" s="10">
        <f t="shared" si="51"/>
        <v>18331.2</v>
      </c>
      <c r="L1281" s="21">
        <f t="shared" si="50"/>
        <v>89.938379888268145</v>
      </c>
    </row>
    <row r="1282" spans="1:12" s="72" customFormat="1" ht="25.95" customHeight="1">
      <c r="A1282" s="12">
        <v>1280</v>
      </c>
      <c r="B1282" s="6">
        <v>20</v>
      </c>
      <c r="C1282" s="6">
        <v>2</v>
      </c>
      <c r="D1282" s="20" t="str">
        <f>IF(C1282&lt;&gt;"", IFERROR(INDEX('بنود العقد'!B$3:B$388,C1282),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number)-AR-هدم وإزالة تشطيبات رخام أو بلاط بورسلان أو سيراميك  للأرضيات والجدران الحالية  بحسب المخططات المعتمدة وتعليمات المهندس المشرف.</v>
      </c>
      <c r="E1282" s="12" t="str">
        <f>IF(C1282&lt;&gt;"", IFERROR(INDEX('بنود العقد'!D$3:D$388,C1282), ""), "")</f>
        <v>م2</v>
      </c>
      <c r="F1282" s="9">
        <f>IF(C1282&lt;&gt;"", IFERROR(INDEX('بنود العقد'!E$3:E$388,C1282), 0), "")</f>
        <v>14.5</v>
      </c>
      <c r="G1282" s="9">
        <f>IF(C1282&lt;&gt;"", IFERROR(INDEX('بنود العقد'!F$3:F$388,C1282), 0), "")</f>
        <v>10362</v>
      </c>
      <c r="H1282" s="18">
        <f t="shared" si="53"/>
        <v>5524.72</v>
      </c>
      <c r="I1282" s="7">
        <v>-670.36</v>
      </c>
      <c r="J1282" s="18">
        <f t="shared" si="52"/>
        <v>4854.3600000000006</v>
      </c>
      <c r="K1282" s="10">
        <f t="shared" si="51"/>
        <v>-9720.2199999999993</v>
      </c>
      <c r="L1282" s="21">
        <f t="shared" si="50"/>
        <v>46.847712796757392</v>
      </c>
    </row>
    <row r="1283" spans="1:12" s="72" customFormat="1" ht="25.95" customHeight="1">
      <c r="A1283" s="12">
        <v>1281</v>
      </c>
      <c r="B1283" s="6">
        <v>20</v>
      </c>
      <c r="C1283" s="6">
        <v>3</v>
      </c>
      <c r="D1283" s="20" t="str">
        <f>IF(C1283&lt;&gt;"", IFERROR(INDEX('بنود العقد'!B$3:B$388,C1283),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تشطيبات الأسقف المستعارة الحالية بما تشمل أسقف جبسية وبلاطات صناعية وأسقف معدنية  بحسب المخططات المعتمدة وتعليمات المهندس المشرف.</v>
      </c>
      <c r="E1283" s="12" t="str">
        <f>IF(C1283&lt;&gt;"", IFERROR(INDEX('بنود العقد'!D$3:D$388,C1283), ""), "")</f>
        <v>م2</v>
      </c>
      <c r="F1283" s="9">
        <f>IF(C1283&lt;&gt;"", IFERROR(INDEX('بنود العقد'!E$3:E$388,C1283), 0), "")</f>
        <v>8.5</v>
      </c>
      <c r="G1283" s="9">
        <f>IF(C1283&lt;&gt;"", IFERROR(INDEX('بنود العقد'!F$3:F$388,C1283), 0), "")</f>
        <v>18420</v>
      </c>
      <c r="H1283" s="18">
        <f t="shared" si="53"/>
        <v>15470.58</v>
      </c>
      <c r="I1283" s="7">
        <v>1375.06</v>
      </c>
      <c r="J1283" s="18">
        <f t="shared" si="52"/>
        <v>16845.64</v>
      </c>
      <c r="K1283" s="10">
        <f t="shared" si="51"/>
        <v>11688.01</v>
      </c>
      <c r="L1283" s="21">
        <f t="shared" si="50"/>
        <v>91.452985884907704</v>
      </c>
    </row>
    <row r="1284" spans="1:12" s="72" customFormat="1" ht="25.95" customHeight="1">
      <c r="A1284" s="12">
        <v>1282</v>
      </c>
      <c r="B1284" s="6">
        <v>20</v>
      </c>
      <c r="C1284" s="6">
        <v>4</v>
      </c>
      <c r="D1284" s="20" t="str">
        <f>IF(C1284&lt;&gt;"", IFERROR(INDEX('بنود العقد'!B$3:B$388,C1284), "⚠"), "")</f>
        <v>صبة خرسانية مع شبكة حديد بقطر 8 مم  بأبعاد 10*10 سم  مخدومة بالمسطرين والقدة لتعطي سطحا ناعما في الفناء الوسطي. ويشمل السعر الدفان وأي مواد أو أعمال يتطلبها تنفيذ العمل حسب المواصفات والمخططات وتعليمات المهندس المشرف.</v>
      </c>
      <c r="E1284" s="12" t="str">
        <f>IF(C1284&lt;&gt;"", IFERROR(INDEX('بنود العقد'!D$3:D$388,C1284), ""), "")</f>
        <v>م3</v>
      </c>
      <c r="F1284" s="9">
        <f>IF(C1284&lt;&gt;"", IFERROR(INDEX('بنود العقد'!E$3:E$388,C1284), 0), "")</f>
        <v>540</v>
      </c>
      <c r="G1284" s="9">
        <f>IF(C1284&lt;&gt;"", IFERROR(INDEX('بنود العقد'!F$3:F$388,C1284), 0), "")</f>
        <v>6</v>
      </c>
      <c r="H1284" s="18">
        <f t="shared" si="53"/>
        <v>0</v>
      </c>
      <c r="I1284" s="7">
        <v>6.34</v>
      </c>
      <c r="J1284" s="18">
        <f t="shared" si="52"/>
        <v>6.34</v>
      </c>
      <c r="K1284" s="10">
        <f t="shared" si="51"/>
        <v>3423.6</v>
      </c>
      <c r="L1284" s="21">
        <f t="shared" si="50"/>
        <v>105.66666666666666</v>
      </c>
    </row>
    <row r="1285" spans="1:12" s="72" customFormat="1" ht="25.95" customHeight="1">
      <c r="A1285" s="12">
        <v>1283</v>
      </c>
      <c r="B1285" s="6">
        <v>20</v>
      </c>
      <c r="C1285" s="6">
        <v>6</v>
      </c>
      <c r="D1285" s="20" t="str">
        <f>IF(C1285&lt;&gt;"", IFERROR(INDEX('بنود العقد'!B$3:B$388,C1285),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v>
      </c>
      <c r="E1285" s="12" t="str">
        <f>IF(C1285&lt;&gt;"", IFERROR(INDEX('بنود العقد'!D$3:D$388,C1285), ""), "")</f>
        <v>م2</v>
      </c>
      <c r="F1285" s="9">
        <f>IF(C1285&lt;&gt;"", IFERROR(INDEX('بنود العقد'!E$3:E$388,C1285), 0), "")</f>
        <v>150</v>
      </c>
      <c r="G1285" s="9">
        <f>IF(C1285&lt;&gt;"", IFERROR(INDEX('بنود العقد'!F$3:F$388,C1285), 0), "")</f>
        <v>450</v>
      </c>
      <c r="H1285" s="18">
        <f t="shared" si="53"/>
        <v>4658.51</v>
      </c>
      <c r="I1285" s="7">
        <v>77.95</v>
      </c>
      <c r="J1285" s="18">
        <f t="shared" si="52"/>
        <v>4736.46</v>
      </c>
      <c r="K1285" s="10">
        <f t="shared" si="51"/>
        <v>11692.5</v>
      </c>
      <c r="L1285" s="21">
        <f t="shared" si="50"/>
        <v>1052.5466666666666</v>
      </c>
    </row>
    <row r="1286" spans="1:12" s="72" customFormat="1" ht="25.95" customHeight="1">
      <c r="A1286" s="12">
        <v>1284</v>
      </c>
      <c r="B1286" s="6">
        <v>20</v>
      </c>
      <c r="C1286" s="6">
        <v>7</v>
      </c>
      <c r="D1286" s="20" t="str">
        <f>IF(C1286&lt;&gt;"", IFERROR(INDEX('بنود العقد'!B$3:B$388,C1286),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القسمRef drawing: 07-MRA-DD-(as per floor number) وتعليمات المهندس المشرف 04200-Ar-100</v>
      </c>
      <c r="E1286" s="12" t="str">
        <f>IF(C1286&lt;&gt;"", IFERROR(INDEX('بنود العقد'!D$3:D$388,C1286), ""), "")</f>
        <v>م2</v>
      </c>
      <c r="F1286" s="9">
        <f>IF(C1286&lt;&gt;"", IFERROR(INDEX('بنود العقد'!E$3:E$388,C1286), 0), "")</f>
        <v>150</v>
      </c>
      <c r="G1286" s="9">
        <f>IF(C1286&lt;&gt;"", IFERROR(INDEX('بنود العقد'!F$3:F$388,C1286), 0), "")</f>
        <v>76</v>
      </c>
      <c r="H1286" s="18">
        <f t="shared" si="53"/>
        <v>389.43</v>
      </c>
      <c r="I1286" s="7">
        <v>5.75</v>
      </c>
      <c r="J1286" s="18">
        <f t="shared" si="52"/>
        <v>395.18</v>
      </c>
      <c r="K1286" s="10">
        <f t="shared" si="51"/>
        <v>862.5</v>
      </c>
      <c r="L1286" s="21">
        <f t="shared" si="50"/>
        <v>519.97368421052636</v>
      </c>
    </row>
    <row r="1287" spans="1:12" s="72" customFormat="1" ht="25.95" customHeight="1">
      <c r="A1287" s="12">
        <v>1285</v>
      </c>
      <c r="B1287" s="6">
        <v>20</v>
      </c>
      <c r="C1287" s="6">
        <v>12</v>
      </c>
      <c r="D1287" s="20" t="str">
        <f>IF(C1287&lt;&gt;"", IFERROR(INDEX('بنود العقد'!B$3:B$388,C1287), "⚠"), "")</f>
        <v>توريد وتركيب اسقف شبكة حديد مش )طلاء بودرة بالفرن لون اسود( سماكة 2 ملم مع تيوب حديد ابعاد 4*8 سم وسماكة 3ملم  ، مثبتة بنظام تعليق متصلة بالسقف الخرساني حسب الرسومات والمناظير وتعليمات المهندس المشرف.Ref drawing: 07-MRA-DD-G.F-AR-200</v>
      </c>
      <c r="E1287" s="12" t="str">
        <f>IF(C1287&lt;&gt;"", IFERROR(INDEX('بنود العقد'!D$3:D$388,C1287), ""), "")</f>
        <v>م2</v>
      </c>
      <c r="F1287" s="9">
        <f>IF(C1287&lt;&gt;"", IFERROR(INDEX('بنود العقد'!E$3:E$388,C1287), 0), "")</f>
        <v>360</v>
      </c>
      <c r="G1287" s="9">
        <f>IF(C1287&lt;&gt;"", IFERROR(INDEX('بنود العقد'!F$3:F$388,C1287), 0), "")</f>
        <v>27</v>
      </c>
      <c r="H1287" s="18">
        <f t="shared" si="53"/>
        <v>0</v>
      </c>
      <c r="I1287" s="7">
        <v>10</v>
      </c>
      <c r="J1287" s="18">
        <f t="shared" si="52"/>
        <v>10</v>
      </c>
      <c r="K1287" s="10">
        <f t="shared" si="51"/>
        <v>3600</v>
      </c>
      <c r="L1287" s="21">
        <f t="shared" si="50"/>
        <v>37.037037037037038</v>
      </c>
    </row>
    <row r="1288" spans="1:12" s="72" customFormat="1" ht="25.95" customHeight="1">
      <c r="A1288" s="12">
        <v>1286</v>
      </c>
      <c r="B1288" s="6">
        <v>20</v>
      </c>
      <c r="C1288" s="6">
        <v>13</v>
      </c>
      <c r="D1288" s="20" t="str">
        <f>IF(C1288&lt;&gt;"", IFERROR(INDEX('بنود العقد'!B$3:B$388,C1288), "⚠"), "")</f>
        <v>توريد وتركيب اسقف شبكة حديد مش )طلاء بودرة بالفرن لون ابيض(سماكة 2 ملم مع تيوب حديد ابعاد 4*8 سم وسماكة 3ملم  ، مثبتة بنظام تعليق متصلة بالسقف الخرساني حسب الرسومات والمناظير وتعليمات المهندس المشرفRef drawing: 07-MRA-DD-G.F-AR-200</v>
      </c>
      <c r="E1288" s="12" t="str">
        <f>IF(C1288&lt;&gt;"", IFERROR(INDEX('بنود العقد'!D$3:D$388,C1288), ""), "")</f>
        <v>م2</v>
      </c>
      <c r="F1288" s="9">
        <f>IF(C1288&lt;&gt;"", IFERROR(INDEX('بنود العقد'!E$3:E$388,C1288), 0), "")</f>
        <v>360</v>
      </c>
      <c r="G1288" s="9">
        <f>IF(C1288&lt;&gt;"", IFERROR(INDEX('بنود العقد'!F$3:F$388,C1288), 0), "")</f>
        <v>101</v>
      </c>
      <c r="H1288" s="18">
        <f t="shared" si="53"/>
        <v>0</v>
      </c>
      <c r="I1288" s="7">
        <v>45</v>
      </c>
      <c r="J1288" s="18">
        <f t="shared" si="52"/>
        <v>45</v>
      </c>
      <c r="K1288" s="10">
        <f t="shared" si="51"/>
        <v>16200</v>
      </c>
      <c r="L1288" s="21">
        <f t="shared" si="50"/>
        <v>44.554455445544555</v>
      </c>
    </row>
    <row r="1289" spans="1:12" s="72" customFormat="1" ht="25.95" customHeight="1">
      <c r="A1289" s="12">
        <v>1287</v>
      </c>
      <c r="B1289" s="6">
        <v>20</v>
      </c>
      <c r="C1289" s="6">
        <v>16</v>
      </c>
      <c r="D1289" s="20" t="str">
        <f>IF(C1289&lt;&gt;"", IFERROR(INDEX('بنود العقد'!B$3:B$388,C1289), "⚠"), "")</f>
        <v>توريد وتركيب تيوب حدبد مربع مقاس 30ملم* 30ملم سماكة 2 ملم كإيطار للوحات )طلاء بودرة بالفرن لون اسود( مقاس 3050x1250 ممRef drawing: 07-MRA-DD-G.F-AR-607.L</v>
      </c>
      <c r="E1289" s="12" t="str">
        <f>IF(C1289&lt;&gt;"", IFERROR(INDEX('بنود العقد'!D$3:D$388,C1289), ""), "")</f>
        <v>عدد</v>
      </c>
      <c r="F1289" s="9">
        <f>IF(C1289&lt;&gt;"", IFERROR(INDEX('بنود العقد'!E$3:E$388,C1289), 0), "")</f>
        <v>60</v>
      </c>
      <c r="G1289" s="9">
        <f>IF(C1289&lt;&gt;"", IFERROR(INDEX('بنود العقد'!F$3:F$388,C1289), 0), "")</f>
        <v>4</v>
      </c>
      <c r="H1289" s="18">
        <f t="shared" si="53"/>
        <v>0</v>
      </c>
      <c r="I1289" s="7">
        <v>4</v>
      </c>
      <c r="J1289" s="18">
        <f t="shared" si="52"/>
        <v>4</v>
      </c>
      <c r="K1289" s="10">
        <f t="shared" si="51"/>
        <v>240</v>
      </c>
      <c r="L1289" s="21">
        <f t="shared" si="50"/>
        <v>100</v>
      </c>
    </row>
    <row r="1290" spans="1:12" s="72" customFormat="1" ht="25.95" customHeight="1">
      <c r="A1290" s="12">
        <v>1288</v>
      </c>
      <c r="B1290" s="6">
        <v>20</v>
      </c>
      <c r="C1290" s="6">
        <v>22</v>
      </c>
      <c r="D1290" s="20" t="str">
        <f>IF(C1290&lt;&gt;"", IFERROR(INDEX('بنود العقد'!B$3:B$388,C1290), "⚠"), "")</f>
        <v>توريد وتركيب وزرات خشب )Mdf( مع قشرة جوز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 .Ref drawing: 07-MRA-DD-(as per floor number)-AR-301</v>
      </c>
      <c r="E1290" s="12" t="str">
        <f>IF(C1290&lt;&gt;"", IFERROR(INDEX('بنود العقد'!D$3:D$388,C1290), ""), "")</f>
        <v>م.ط</v>
      </c>
      <c r="F1290" s="9">
        <f>IF(C1290&lt;&gt;"", IFERROR(INDEX('بنود العقد'!E$3:E$388,C1290), 0), "")</f>
        <v>42</v>
      </c>
      <c r="G1290" s="9">
        <f>IF(C1290&lt;&gt;"", IFERROR(INDEX('بنود العقد'!F$3:F$388,C1290), 0), "")</f>
        <v>4532</v>
      </c>
      <c r="H1290" s="18">
        <f t="shared" si="53"/>
        <v>3154</v>
      </c>
      <c r="I1290" s="7">
        <v>332.5</v>
      </c>
      <c r="J1290" s="18">
        <f t="shared" si="52"/>
        <v>3486.5</v>
      </c>
      <c r="K1290" s="10">
        <f t="shared" si="51"/>
        <v>13965</v>
      </c>
      <c r="L1290" s="21">
        <f t="shared" si="50"/>
        <v>76.930714916151814</v>
      </c>
    </row>
    <row r="1291" spans="1:12" s="72" customFormat="1" ht="25.95" customHeight="1">
      <c r="A1291" s="12">
        <v>1289</v>
      </c>
      <c r="B1291" s="6">
        <v>20</v>
      </c>
      <c r="C1291" s="6">
        <v>23</v>
      </c>
      <c r="D1291" s="20" t="str">
        <f>IF(C1291&lt;&gt;"", IFERROR(INDEX('بنود العقد'!B$3:B$388,C1291), "⚠"), "")</f>
        <v>توريد وتركيب وزرات خشب )Mdf( مع قشرة ،وينغي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المشرفRef drawing: 07-MRA-DD-(as per floor number)-AR-301</v>
      </c>
      <c r="E1291" s="12" t="str">
        <f>IF(C1291&lt;&gt;"", IFERROR(INDEX('بنود العقد'!D$3:D$388,C1291), ""), "")</f>
        <v>م.ط</v>
      </c>
      <c r="F1291" s="9">
        <f>IF(C1291&lt;&gt;"", IFERROR(INDEX('بنود العقد'!E$3:E$388,C1291), 0), "")</f>
        <v>42</v>
      </c>
      <c r="G1291" s="9">
        <f>IF(C1291&lt;&gt;"", IFERROR(INDEX('بنود العقد'!F$3:F$388,C1291), 0), "")</f>
        <v>700</v>
      </c>
      <c r="H1291" s="18">
        <f t="shared" si="53"/>
        <v>555</v>
      </c>
      <c r="I1291" s="7">
        <v>27.56</v>
      </c>
      <c r="J1291" s="18">
        <f t="shared" si="52"/>
        <v>582.55999999999995</v>
      </c>
      <c r="K1291" s="10">
        <f t="shared" si="51"/>
        <v>1157.52</v>
      </c>
      <c r="L1291" s="21">
        <f t="shared" si="50"/>
        <v>83.222857142857137</v>
      </c>
    </row>
    <row r="1292" spans="1:12" s="72" customFormat="1" ht="25.95" customHeight="1">
      <c r="A1292" s="12">
        <v>1290</v>
      </c>
      <c r="B1292" s="6">
        <v>20</v>
      </c>
      <c r="C1292" s="6">
        <v>24</v>
      </c>
      <c r="D1292" s="20" t="str">
        <f>IF(C1292&lt;&gt;"", IFERROR(INDEX('بنود العقد'!B$3:B$388,C1292), "⚠"), "")</f>
        <v>تصنيع وتركيب جدار خشبي ) Mdf(  مع قشرة السنديان المطلي بدهان ابيض تثبت على هيكل معدني، مع تصميم  فتحات على شكل مثلثات مضاءة من الداخل واحجام بمستويات مختلفة، حسب المناظير والرسومات وتعليمات المهندس المشرف.Code: WDP1-01,WDP1-02,WDP1-02.A</v>
      </c>
      <c r="E1292" s="12" t="str">
        <f>IF(C1292&lt;&gt;"", IFERROR(INDEX('بنود العقد'!D$3:D$388,C1292), ""), "")</f>
        <v>م2</v>
      </c>
      <c r="F1292" s="9">
        <f>IF(C1292&lt;&gt;"", IFERROR(INDEX('بنود العقد'!E$3:E$388,C1292), 0), "")</f>
        <v>714</v>
      </c>
      <c r="G1292" s="9">
        <f>IF(C1292&lt;&gt;"", IFERROR(INDEX('بنود العقد'!F$3:F$388,C1292), 0), "")</f>
        <v>431</v>
      </c>
      <c r="H1292" s="18">
        <f t="shared" si="53"/>
        <v>200</v>
      </c>
      <c r="I1292" s="7">
        <v>31.36</v>
      </c>
      <c r="J1292" s="18">
        <f t="shared" si="52"/>
        <v>231.36</v>
      </c>
      <c r="K1292" s="10">
        <f t="shared" si="51"/>
        <v>22391.040000000001</v>
      </c>
      <c r="L1292" s="21">
        <f t="shared" si="50"/>
        <v>53.679814385150813</v>
      </c>
    </row>
    <row r="1293" spans="1:12" s="72" customFormat="1" ht="25.95" customHeight="1">
      <c r="A1293" s="12">
        <v>1291</v>
      </c>
      <c r="B1293" s="6">
        <v>20</v>
      </c>
      <c r="C1293" s="6">
        <v>25</v>
      </c>
      <c r="D1293" s="20" t="str">
        <f>IF(C1293&lt;&gt;"", IFERROR(INDEX('بنود العقد'!B$3:B$388,C1293), "⚠"), "")</f>
        <v>تصنيع وتركيب لوح خشبي بشكل طولي من  الـ )Mdf(  مع قشرة الجوز او ما يتناسب مع العينة المتفق عليها طول 25سم وعرض 10سم وارتفاع 270 سم الى جانب الابواب الزجاجية حسب المناظير والرسومات وتعليمات المهندس المشرف.Code: WDP2-08</v>
      </c>
      <c r="E1293" s="12" t="str">
        <f>IF(C1293&lt;&gt;"", IFERROR(INDEX('بنود العقد'!D$3:D$388,C1293), ""), "")</f>
        <v>عدد</v>
      </c>
      <c r="F1293" s="9">
        <f>IF(C1293&lt;&gt;"", IFERROR(INDEX('بنود العقد'!E$3:E$388,C1293), 0), "")</f>
        <v>240</v>
      </c>
      <c r="G1293" s="9">
        <f>IF(C1293&lt;&gt;"", IFERROR(INDEX('بنود العقد'!F$3:F$388,C1293), 0), "")</f>
        <v>248</v>
      </c>
      <c r="H1293" s="18">
        <f t="shared" si="53"/>
        <v>212</v>
      </c>
      <c r="I1293" s="7">
        <v>5</v>
      </c>
      <c r="J1293" s="18">
        <f t="shared" si="52"/>
        <v>217</v>
      </c>
      <c r="K1293" s="10">
        <f t="shared" si="51"/>
        <v>1200</v>
      </c>
      <c r="L1293" s="21">
        <f t="shared" si="50"/>
        <v>87.5</v>
      </c>
    </row>
    <row r="1294" spans="1:12" s="72" customFormat="1" ht="25.95" customHeight="1">
      <c r="A1294" s="12">
        <v>1292</v>
      </c>
      <c r="B1294" s="6">
        <v>20</v>
      </c>
      <c r="C1294" s="6">
        <v>26</v>
      </c>
      <c r="D1294" s="20" t="str">
        <f>IF(C1294&lt;&gt;"", IFERROR(INDEX('بنود العقد'!B$3:B$388,C1294),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العامود الخرساني بدهان رمادي على شكل وهيئة الأسطح الاسمنتية )matt( بتصميم مع غروف حسب الرسومات والمناظير وتعليمات المهندس المشرف.Code: WDP3-04</v>
      </c>
      <c r="E1294" s="12" t="str">
        <f>IF(C1294&lt;&gt;"", IFERROR(INDEX('بنود العقد'!D$3:D$388,C1294), ""), "")</f>
        <v>م2</v>
      </c>
      <c r="F1294" s="9">
        <f>IF(C1294&lt;&gt;"", IFERROR(INDEX('بنود العقد'!E$3:E$388,C1294), 0), "")</f>
        <v>528</v>
      </c>
      <c r="G1294" s="9">
        <f>IF(C1294&lt;&gt;"", IFERROR(INDEX('بنود العقد'!F$3:F$388,C1294), 0), "")</f>
        <v>345</v>
      </c>
      <c r="H1294" s="18">
        <f t="shared" si="53"/>
        <v>314</v>
      </c>
      <c r="I1294" s="7">
        <v>34.58</v>
      </c>
      <c r="J1294" s="18">
        <f t="shared" si="52"/>
        <v>348.58</v>
      </c>
      <c r="K1294" s="10">
        <f t="shared" si="51"/>
        <v>18258.239999999998</v>
      </c>
      <c r="L1294" s="21">
        <f t="shared" si="50"/>
        <v>101.03768115942029</v>
      </c>
    </row>
    <row r="1295" spans="1:12" s="72" customFormat="1" ht="25.95" customHeight="1">
      <c r="A1295" s="12">
        <v>1293</v>
      </c>
      <c r="B1295" s="6">
        <v>20</v>
      </c>
      <c r="C1295" s="6">
        <v>27</v>
      </c>
      <c r="D1295" s="20" t="str">
        <f>IF(C1295&lt;&gt;"", IFERROR(INDEX('بنود العقد'!B$3:B$388,C1295),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القواطع الجبسية بدهان رمادي بيج  )matt( ، وبتصميم مع غروف حسب الرسومات والمناظير وتعليمات المهندس المشرف.Code: WPD4-01,WDP4-01.A</v>
      </c>
      <c r="E1295" s="12" t="str">
        <f>IF(C1295&lt;&gt;"", IFERROR(INDEX('بنود العقد'!D$3:D$388,C1295), ""), "")</f>
        <v>م2</v>
      </c>
      <c r="F1295" s="9">
        <f>IF(C1295&lt;&gt;"", IFERROR(INDEX('بنود العقد'!E$3:E$388,C1295), 0), "")</f>
        <v>528</v>
      </c>
      <c r="G1295" s="9">
        <f>IF(C1295&lt;&gt;"", IFERROR(INDEX('بنود العقد'!F$3:F$388,C1295), 0), "")</f>
        <v>331</v>
      </c>
      <c r="H1295" s="18">
        <f t="shared" si="53"/>
        <v>375</v>
      </c>
      <c r="I1295" s="7">
        <v>-61.31</v>
      </c>
      <c r="J1295" s="18">
        <f t="shared" si="52"/>
        <v>313.69</v>
      </c>
      <c r="K1295" s="10">
        <f t="shared" si="51"/>
        <v>-32371.68</v>
      </c>
      <c r="L1295" s="21">
        <f t="shared" si="50"/>
        <v>94.770392749244721</v>
      </c>
    </row>
    <row r="1296" spans="1:12" s="72" customFormat="1" ht="25.95" customHeight="1">
      <c r="A1296" s="12">
        <v>1294</v>
      </c>
      <c r="B1296" s="6">
        <v>20</v>
      </c>
      <c r="C1296" s="6">
        <v>28</v>
      </c>
      <c r="D1296" s="20" t="str">
        <f>IF(C1296&lt;&gt;"", IFERROR(INDEX('بنود العقد'!B$3:B$388,C1296),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مثبتة على القواطع الجبسية مع قشرة صناعية بحسب العينة الموافق عليها وغروف حسب الرسومات والمناظير وتعليمات المهندس المشرفCode: WDP2</v>
      </c>
      <c r="E1296" s="12" t="str">
        <f>IF(C1296&lt;&gt;"", IFERROR(INDEX('بنود العقد'!D$3:D$388,C1296), ""), "")</f>
        <v>م2</v>
      </c>
      <c r="F1296" s="9">
        <f>IF(C1296&lt;&gt;"", IFERROR(INDEX('بنود العقد'!E$3:E$388,C1296), 0), "")</f>
        <v>528</v>
      </c>
      <c r="G1296" s="9">
        <f>IF(C1296&lt;&gt;"", IFERROR(INDEX('بنود العقد'!F$3:F$388,C1296), 0), "")</f>
        <v>2517</v>
      </c>
      <c r="H1296" s="18">
        <f t="shared" si="53"/>
        <v>2648</v>
      </c>
      <c r="I1296" s="7">
        <v>-25.38</v>
      </c>
      <c r="J1296" s="18">
        <f t="shared" si="52"/>
        <v>2622.62</v>
      </c>
      <c r="K1296" s="10">
        <f t="shared" si="51"/>
        <v>-13400.64</v>
      </c>
      <c r="L1296" s="21">
        <f t="shared" si="50"/>
        <v>104.19626539531188</v>
      </c>
    </row>
    <row r="1297" spans="1:12" s="72" customFormat="1" ht="25.95" customHeight="1">
      <c r="A1297" s="12">
        <v>1295</v>
      </c>
      <c r="B1297" s="6">
        <v>20</v>
      </c>
      <c r="C1297" s="6">
        <v>29</v>
      </c>
      <c r="D1297" s="20" t="str">
        <f>IF(C1297&lt;&gt;"", IFERROR(INDEX('بنود العقد'!B$3:B$388,C1297),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االقواطع الجبسية بدهان رمادي على شكل وهيئة الأسطح الاسمنتية ) matt( مع تصميم بفتحات حسب الرسومات والمناظير وتعليمات المهندس المشرف.Code: WDP3-01, WDP3-02, WDP3-03</v>
      </c>
      <c r="E1297" s="12" t="str">
        <f>IF(C1297&lt;&gt;"", IFERROR(INDEX('بنود العقد'!D$3:D$388,C1297), ""), "")</f>
        <v>م2</v>
      </c>
      <c r="F1297" s="9">
        <f>IF(C1297&lt;&gt;"", IFERROR(INDEX('بنود العقد'!E$3:E$388,C1297), 0), "")</f>
        <v>528</v>
      </c>
      <c r="G1297" s="9">
        <f>IF(C1297&lt;&gt;"", IFERROR(INDEX('بنود العقد'!F$3:F$388,C1297), 0), "")</f>
        <v>846</v>
      </c>
      <c r="H1297" s="18">
        <f t="shared" si="53"/>
        <v>838</v>
      </c>
      <c r="I1297" s="7">
        <v>10</v>
      </c>
      <c r="J1297" s="18">
        <f t="shared" si="52"/>
        <v>848</v>
      </c>
      <c r="K1297" s="10">
        <f t="shared" si="51"/>
        <v>5280</v>
      </c>
      <c r="L1297" s="21">
        <f t="shared" si="50"/>
        <v>100.23640661938533</v>
      </c>
    </row>
    <row r="1298" spans="1:12" s="72" customFormat="1" ht="25.95" customHeight="1">
      <c r="A1298" s="12">
        <v>1296</v>
      </c>
      <c r="B1298" s="6">
        <v>20</v>
      </c>
      <c r="C1298" s="6">
        <v>30</v>
      </c>
      <c r="D1298" s="20" t="str">
        <f>IF(C1298&lt;&gt;"", IFERROR(INDEX('بنود العقد'!B$3:B$388,C1298),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مع قشرة السنديان المطلي بدهان ابيض  مع غروف وفتحات إضاءة مخفية مغلفة من الداخل بطبقة Acrylic مغشى  حسب الرسومات والمناظير وتعليمات المهندس المشرف.Code: WDP1-03, WDP1-04, WDP1-05, WDP1-06</v>
      </c>
      <c r="E1298" s="12" t="str">
        <f>IF(C1298&lt;&gt;"", IFERROR(INDEX('بنود العقد'!D$3:D$388,C1298), ""), "")</f>
        <v>م2</v>
      </c>
      <c r="F1298" s="9">
        <f>IF(C1298&lt;&gt;"", IFERROR(INDEX('بنود العقد'!E$3:E$388,C1298), 0), "")</f>
        <v>570</v>
      </c>
      <c r="G1298" s="9">
        <f>IF(C1298&lt;&gt;"", IFERROR(INDEX('بنود العقد'!F$3:F$388,C1298), 0), "")</f>
        <v>456</v>
      </c>
      <c r="H1298" s="18">
        <f t="shared" si="53"/>
        <v>485</v>
      </c>
      <c r="I1298" s="7">
        <v>12.35</v>
      </c>
      <c r="J1298" s="18">
        <f t="shared" si="52"/>
        <v>497.35</v>
      </c>
      <c r="K1298" s="10">
        <f t="shared" si="51"/>
        <v>7039.5</v>
      </c>
      <c r="L1298" s="21">
        <f t="shared" si="50"/>
        <v>109.06798245614036</v>
      </c>
    </row>
    <row r="1299" spans="1:12" s="72" customFormat="1" ht="25.95" customHeight="1">
      <c r="A1299" s="12">
        <v>1297</v>
      </c>
      <c r="B1299" s="6">
        <v>20</v>
      </c>
      <c r="C1299" s="6">
        <v>31</v>
      </c>
      <c r="D1299" s="20" t="str">
        <f>IF(C1299&lt;&gt;"", IFERROR(INDEX('بنود العقد'!B$3:B$388,C1299),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بدهان رمادي   مع غروف وفتحات إضاءة مخفية مغلفة من الداخل بطبقة Acrylic مغشى  حسب الرسومات والمناظير وتعليمات المهندس المشرف.Code: WDP5</v>
      </c>
      <c r="E1299" s="12" t="str">
        <f>IF(C1299&lt;&gt;"", IFERROR(INDEX('بنود العقد'!D$3:D$388,C1299), ""), "")</f>
        <v>م2</v>
      </c>
      <c r="F1299" s="9">
        <f>IF(C1299&lt;&gt;"", IFERROR(INDEX('بنود العقد'!E$3:E$388,C1299), 0), "")</f>
        <v>720</v>
      </c>
      <c r="G1299" s="9">
        <f>IF(C1299&lt;&gt;"", IFERROR(INDEX('بنود العقد'!F$3:F$388,C1299), 0), "")</f>
        <v>53</v>
      </c>
      <c r="H1299" s="18">
        <f t="shared" si="53"/>
        <v>26</v>
      </c>
      <c r="I1299" s="7">
        <v>16.399999999999999</v>
      </c>
      <c r="J1299" s="18">
        <f t="shared" si="52"/>
        <v>42.4</v>
      </c>
      <c r="K1299" s="10">
        <f t="shared" si="51"/>
        <v>11807.999999999998</v>
      </c>
      <c r="L1299" s="21">
        <f t="shared" si="50"/>
        <v>80</v>
      </c>
    </row>
    <row r="1300" spans="1:12" s="72" customFormat="1" ht="25.95" customHeight="1">
      <c r="A1300" s="12">
        <v>1298</v>
      </c>
      <c r="B1300" s="6">
        <v>20</v>
      </c>
      <c r="C1300" s="6">
        <v>32</v>
      </c>
      <c r="D1300" s="20" t="str">
        <f>IF(C1300&lt;&gt;"", IFERROR(INDEX('بنود العقد'!B$3:B$388,C1300),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المطلي بدهان رمادي  Code: WDP6</v>
      </c>
      <c r="E1300" s="12" t="str">
        <f>IF(C1300&lt;&gt;"", IFERROR(INDEX('بنود العقد'!D$3:D$388,C1300), ""), "")</f>
        <v>م2</v>
      </c>
      <c r="F1300" s="9">
        <f>IF(C1300&lt;&gt;"", IFERROR(INDEX('بنود العقد'!E$3:E$388,C1300), 0), "")</f>
        <v>468</v>
      </c>
      <c r="G1300" s="9">
        <f>IF(C1300&lt;&gt;"", IFERROR(INDEX('بنود العقد'!F$3:F$388,C1300), 0), "")</f>
        <v>29</v>
      </c>
      <c r="H1300" s="18">
        <f t="shared" si="53"/>
        <v>17</v>
      </c>
      <c r="I1300" s="7">
        <v>9</v>
      </c>
      <c r="J1300" s="18">
        <f t="shared" si="52"/>
        <v>26</v>
      </c>
      <c r="K1300" s="10">
        <f t="shared" si="51"/>
        <v>4212</v>
      </c>
      <c r="L1300" s="21">
        <f t="shared" si="50"/>
        <v>89.65517241379311</v>
      </c>
    </row>
    <row r="1301" spans="1:12" s="72" customFormat="1" ht="25.95" customHeight="1">
      <c r="A1301" s="12">
        <v>1299</v>
      </c>
      <c r="B1301" s="6">
        <v>20</v>
      </c>
      <c r="C1301" s="6">
        <v>33</v>
      </c>
      <c r="D1301" s="20" t="str">
        <f>IF(C1301&lt;&gt;"", IFERROR(INDEX('بنود العقد'!B$3:B$388,C1301),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number)-AR-600 to 07-MRA-DD (as per floor number)-AR-604كسوة من خشب الـ) Mdf(  ، مع قشرة  )walnut( لمدخل كبار الشخصيات ومكتب مدير مكتب معالي الوزير     حسب الرسومات والمناظير وتعليمات المهندس المشرف.Code: WDP7</v>
      </c>
      <c r="E1301" s="12" t="str">
        <f>IF(C1301&lt;&gt;"", IFERROR(INDEX('بنود العقد'!D$3:D$388,C1301), ""), "")</f>
        <v>م2</v>
      </c>
      <c r="F1301" s="9">
        <f>IF(C1301&lt;&gt;"", IFERROR(INDEX('بنود العقد'!E$3:E$388,C1301), 0), "")</f>
        <v>570</v>
      </c>
      <c r="G1301" s="9">
        <f>IF(C1301&lt;&gt;"", IFERROR(INDEX('بنود العقد'!F$3:F$388,C1301), 0), "")</f>
        <v>118</v>
      </c>
      <c r="H1301" s="18">
        <f t="shared" si="53"/>
        <v>188</v>
      </c>
      <c r="I1301" s="7">
        <v>21.82</v>
      </c>
      <c r="J1301" s="18">
        <f t="shared" si="52"/>
        <v>209.82</v>
      </c>
      <c r="K1301" s="10">
        <f t="shared" si="51"/>
        <v>12437.4</v>
      </c>
      <c r="L1301" s="21">
        <f t="shared" si="50"/>
        <v>177.81355932203388</v>
      </c>
    </row>
    <row r="1302" spans="1:12" s="72" customFormat="1" ht="25.95" customHeight="1">
      <c r="A1302" s="12">
        <v>1300</v>
      </c>
      <c r="B1302" s="6">
        <v>20</v>
      </c>
      <c r="C1302" s="6">
        <v>34</v>
      </c>
      <c r="D1302" s="20" t="str">
        <f>IF(C1302&lt;&gt;"", IFERROR(INDEX('بنود العقد'!B$3:B$388,C1302),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صناعية بلون رمادي بيج لمنطقة معالي الوزير   حسب الرسومات والمناظير وتعليمات المهندس المشرف.Code: WDP8</v>
      </c>
      <c r="E1302" s="12" t="str">
        <f>IF(C1302&lt;&gt;"", IFERROR(INDEX('بنود العقد'!D$3:D$388,C1302), ""), "")</f>
        <v>م2</v>
      </c>
      <c r="F1302" s="9">
        <f>IF(C1302&lt;&gt;"", IFERROR(INDEX('بنود العقد'!E$3:E$388,C1302), 0), "")</f>
        <v>870</v>
      </c>
      <c r="G1302" s="9">
        <f>IF(C1302&lt;&gt;"", IFERROR(INDEX('بنود العقد'!F$3:F$388,C1302), 0), "")</f>
        <v>758</v>
      </c>
      <c r="H1302" s="18">
        <f t="shared" si="53"/>
        <v>1655</v>
      </c>
      <c r="I1302" s="7">
        <v>134.38999999999999</v>
      </c>
      <c r="J1302" s="18">
        <f t="shared" si="52"/>
        <v>1789.3899999999999</v>
      </c>
      <c r="K1302" s="10">
        <f t="shared" si="51"/>
        <v>116919.29999999999</v>
      </c>
      <c r="L1302" s="21">
        <f t="shared" si="50"/>
        <v>236.06728232189971</v>
      </c>
    </row>
    <row r="1303" spans="1:12" s="72" customFormat="1" ht="25.95" customHeight="1">
      <c r="A1303" s="12">
        <v>1301</v>
      </c>
      <c r="B1303" s="6">
        <v>20</v>
      </c>
      <c r="C1303" s="6">
        <v>35</v>
      </c>
      <c r="D1303" s="20" t="str">
        <f>IF(C1303&lt;&gt;"", IFERROR(INDEX('بنود العقد'!B$3:B$388,C1303),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ال )wenge( بشكل pattern مفرغة من الداخل مع ايطار خشبي ملبس بجلد لون بيج ومثبتة على الجدار الخشبي  لمنطقة معالي الوزير  حسب الرسومات والمناظير  وتعليمات المهندس المشرف.Code: P1</v>
      </c>
      <c r="E1303" s="12" t="str">
        <f>IF(C1303&lt;&gt;"", IFERROR(INDEX('بنود العقد'!D$3:D$388,C1303), ""), "")</f>
        <v>م2</v>
      </c>
      <c r="F1303" s="9">
        <f>IF(C1303&lt;&gt;"", IFERROR(INDEX('بنود العقد'!E$3:E$388,C1303), 0), "")</f>
        <v>1080</v>
      </c>
      <c r="G1303" s="9">
        <f>IF(C1303&lt;&gt;"", IFERROR(INDEX('بنود العقد'!F$3:F$388,C1303), 0), "")</f>
        <v>60</v>
      </c>
      <c r="H1303" s="18">
        <f t="shared" si="53"/>
        <v>62</v>
      </c>
      <c r="I1303" s="7">
        <v>9.64</v>
      </c>
      <c r="J1303" s="18">
        <f t="shared" si="52"/>
        <v>71.64</v>
      </c>
      <c r="K1303" s="10">
        <f t="shared" si="51"/>
        <v>10411.200000000001</v>
      </c>
      <c r="L1303" s="21">
        <f t="shared" si="50"/>
        <v>119.39999999999999</v>
      </c>
    </row>
    <row r="1304" spans="1:12" s="72" customFormat="1" ht="25.95" customHeight="1">
      <c r="A1304" s="12">
        <v>1302</v>
      </c>
      <c r="B1304" s="6">
        <v>20</v>
      </c>
      <c r="C1304" s="6">
        <v>36</v>
      </c>
      <c r="D1304" s="20" t="str">
        <f>IF(C1304&lt;&gt;"", IFERROR(INDEX('بنود العقد'!B$3:B$388,C1304),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ال )wenge( بشكل pattern مفرغة من الداخل مع ايطار خشبي ومثبتة على الجدار الخشبي  لمنطقة التنفيذيين حسب الرسومات والمناظير وتعليمات المهندس المشرف.Code: P2</v>
      </c>
      <c r="E1304" s="12" t="str">
        <f>IF(C1304&lt;&gt;"", IFERROR(INDEX('بنود العقد'!D$3:D$388,C1304), ""), "")</f>
        <v>م2</v>
      </c>
      <c r="F1304" s="9">
        <f>IF(C1304&lt;&gt;"", IFERROR(INDEX('بنود العقد'!E$3:E$388,C1304), 0), "")</f>
        <v>960</v>
      </c>
      <c r="G1304" s="9">
        <f>IF(C1304&lt;&gt;"", IFERROR(INDEX('بنود العقد'!F$3:F$388,C1304), 0), "")</f>
        <v>75</v>
      </c>
      <c r="H1304" s="18">
        <f t="shared" si="53"/>
        <v>57</v>
      </c>
      <c r="I1304" s="7">
        <v>14.45</v>
      </c>
      <c r="J1304" s="18">
        <f t="shared" si="52"/>
        <v>71.45</v>
      </c>
      <c r="K1304" s="10">
        <f t="shared" si="51"/>
        <v>13872</v>
      </c>
      <c r="L1304" s="21">
        <f t="shared" si="50"/>
        <v>95.266666666666666</v>
      </c>
    </row>
    <row r="1305" spans="1:12" s="72" customFormat="1" ht="25.95" customHeight="1">
      <c r="A1305" s="12">
        <v>1303</v>
      </c>
      <c r="B1305" s="6">
        <v>20</v>
      </c>
      <c r="C1305" s="6">
        <v>37</v>
      </c>
      <c r="D1305" s="20" t="str">
        <f>IF(C1305&lt;&gt;"", IFERROR(INDEX('بنود العقد'!B$3:B$388,C1305), "⚠"), "")</f>
        <v>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 سقف من خشب الـ)Mdf( ،  مطلي بدهان أبيض بشكل pattern مفرغة من الداخل  ومثبتة على ألواح خشبية مع قشرة الجوز مثبتة بنظام تعليق متصلة بالسقف الخرساني  لمنطقة معالي الوزير حسب الرسومات والمناظير وتعليمات المهندس المشرف.Code: WDC-04</v>
      </c>
      <c r="E1305" s="12" t="str">
        <f>IF(C1305&lt;&gt;"", IFERROR(INDEX('بنود العقد'!D$3:D$388,C1305), ""), "")</f>
        <v>م2</v>
      </c>
      <c r="F1305" s="9">
        <f>IF(C1305&lt;&gt;"", IFERROR(INDEX('بنود العقد'!E$3:E$388,C1305), 0), "")</f>
        <v>1080</v>
      </c>
      <c r="G1305" s="9">
        <f>IF(C1305&lt;&gt;"", IFERROR(INDEX('بنود العقد'!F$3:F$388,C1305), 0), "")</f>
        <v>162</v>
      </c>
      <c r="H1305" s="18">
        <f t="shared" si="53"/>
        <v>130</v>
      </c>
      <c r="I1305" s="7">
        <v>5.19</v>
      </c>
      <c r="J1305" s="18">
        <f t="shared" si="52"/>
        <v>135.19</v>
      </c>
      <c r="K1305" s="10">
        <f t="shared" si="51"/>
        <v>5605.2000000000007</v>
      </c>
      <c r="L1305" s="21">
        <f t="shared" si="50"/>
        <v>83.450617283950606</v>
      </c>
    </row>
    <row r="1306" spans="1:12" s="72" customFormat="1" ht="25.95" customHeight="1">
      <c r="A1306" s="12">
        <v>1304</v>
      </c>
      <c r="B1306" s="6">
        <v>20</v>
      </c>
      <c r="C1306" s="6">
        <v>38</v>
      </c>
      <c r="D1306" s="20" t="str">
        <f>IF(C1306&lt;&gt;"", IFERROR(INDEX('بنود العقد'!B$3:B$388,C1306), "⚠"), "")</f>
        <v>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 من من خشب الـ)Mdf(  مع قشرة صناعية بحسب العينة الموافق عليها وغروف مثبتة بنظام تعليق متصلة بالسقف الخرساني حسب الرسومات والمناظير وتعليمات المهندس المشرف.Code: WDC-01 &amp; WDC-02</v>
      </c>
      <c r="E1306" s="12" t="str">
        <f>IF(C1306&lt;&gt;"", IFERROR(INDEX('بنود العقد'!D$3:D$388,C1306), ""), "")</f>
        <v>م2</v>
      </c>
      <c r="F1306" s="9">
        <f>IF(C1306&lt;&gt;"", IFERROR(INDEX('بنود العقد'!E$3:E$388,C1306), 0), "")</f>
        <v>840</v>
      </c>
      <c r="G1306" s="9">
        <f>IF(C1306&lt;&gt;"", IFERROR(INDEX('بنود العقد'!F$3:F$388,C1306), 0), "")</f>
        <v>684</v>
      </c>
      <c r="H1306" s="18">
        <f t="shared" si="53"/>
        <v>628</v>
      </c>
      <c r="I1306" s="7">
        <v>31.82</v>
      </c>
      <c r="J1306" s="18">
        <f t="shared" si="52"/>
        <v>659.82</v>
      </c>
      <c r="K1306" s="10">
        <f t="shared" si="51"/>
        <v>26728.799999999999</v>
      </c>
      <c r="L1306" s="21">
        <f t="shared" si="50"/>
        <v>96.464912280701768</v>
      </c>
    </row>
    <row r="1307" spans="1:12" s="72" customFormat="1" ht="25.95" customHeight="1">
      <c r="A1307" s="12">
        <v>1305</v>
      </c>
      <c r="B1307" s="6">
        <v>20</v>
      </c>
      <c r="C1307" s="6">
        <v>39</v>
      </c>
      <c r="D1307" s="20" t="str">
        <f>IF(C1307&lt;&gt;"", IFERROR(INDEX('بنود العقد'!B$3:B$388,C1307), "⚠"), "")</f>
        <v>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خشبي03-WDC من من خشب الـ)Mdf( على شكل مربعات بسماكة تصميم  5سم، وفتحات على شكل مثلث مع اضاءة مخفية مغلفة من الاعلى بطبقة Acrylic شفاف مغشى سماكة 4مم مثبتة بنظام تعليق متصلة بالسقف الخرساني حسب الرسومات والمناظير وتعليمات المهندس المشرف.Code: WDC-03</v>
      </c>
      <c r="E1307" s="12" t="str">
        <f>IF(C1307&lt;&gt;"", IFERROR(INDEX('بنود العقد'!D$3:D$388,C1307), ""), "")</f>
        <v>م2</v>
      </c>
      <c r="F1307" s="9">
        <f>IF(C1307&lt;&gt;"", IFERROR(INDEX('بنود العقد'!E$3:E$388,C1307), 0), "")</f>
        <v>780</v>
      </c>
      <c r="G1307" s="9">
        <f>IF(C1307&lt;&gt;"", IFERROR(INDEX('بنود العقد'!F$3:F$388,C1307), 0), "")</f>
        <v>64</v>
      </c>
      <c r="H1307" s="18">
        <f t="shared" si="53"/>
        <v>52</v>
      </c>
      <c r="I1307" s="7">
        <v>6.76</v>
      </c>
      <c r="J1307" s="18">
        <f t="shared" si="52"/>
        <v>58.76</v>
      </c>
      <c r="K1307" s="10">
        <f t="shared" si="51"/>
        <v>5272.8</v>
      </c>
      <c r="L1307" s="21">
        <f t="shared" si="50"/>
        <v>91.8125</v>
      </c>
    </row>
    <row r="1308" spans="1:12" s="72" customFormat="1" ht="25.95" customHeight="1">
      <c r="A1308" s="12">
        <v>1306</v>
      </c>
      <c r="B1308" s="6">
        <v>20</v>
      </c>
      <c r="C1308" s="6">
        <v>40</v>
      </c>
      <c r="D1308" s="20" t="str">
        <f>IF(C1308&lt;&gt;"", IFERROR(INDEX('بنود العقد'!B$3:B$388,C1308),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خشبية01-WDC و 02-WDC من خشب الـ ) Mdf ( متداخلة الالوان من قشرة صناعية بحسب  العينة الموافق عليها والدهان الرمادي  على شكل وهيئة الاسطح الاسمنتية مثبتة على القواطع الجبسية مع اضاءة مخفية ومفصلات ومقابض مخفية وتصميم حسب الرسومات والمناظير وتعليمات المهندس المشرف.</v>
      </c>
      <c r="E1308" s="12" t="str">
        <f>IF(C1308&lt;&gt;"", IFERROR(INDEX('بنود العقد'!D$3:D$388,C1308), ""), "")</f>
        <v>م2</v>
      </c>
      <c r="F1308" s="9">
        <f>IF(C1308&lt;&gt;"", IFERROR(INDEX('بنود العقد'!E$3:E$388,C1308), 0), "")</f>
        <v>1440</v>
      </c>
      <c r="G1308" s="9">
        <f>IF(C1308&lt;&gt;"", IFERROR(INDEX('بنود العقد'!F$3:F$388,C1308), 0), "")</f>
        <v>72</v>
      </c>
      <c r="H1308" s="18">
        <f t="shared" si="53"/>
        <v>36</v>
      </c>
      <c r="I1308" s="7">
        <v>12.12</v>
      </c>
      <c r="J1308" s="18">
        <f t="shared" si="52"/>
        <v>48.12</v>
      </c>
      <c r="K1308" s="10">
        <f t="shared" si="51"/>
        <v>17452.8</v>
      </c>
      <c r="L1308" s="21">
        <f t="shared" si="50"/>
        <v>66.833333333333329</v>
      </c>
    </row>
    <row r="1309" spans="1:12" s="72" customFormat="1" ht="25.95" customHeight="1">
      <c r="A1309" s="12">
        <v>1307</v>
      </c>
      <c r="B1309" s="6">
        <v>20</v>
      </c>
      <c r="C1309" s="6">
        <v>41</v>
      </c>
      <c r="D1309" s="20" t="str">
        <f>IF(C1309&lt;&gt;"", IFERROR(INDEX('بنود العقد'!B$3:B$388,C1309),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خشبية03-WDC  من خشب الـ ) Mdf (  مع قشرة صناعية بحسب العينة الموافق عليها مثبتة على القواطع الجبسية  مع غروف ومفصلات ومقابض مخفية ،  حسب الرسومات والمناظير</v>
      </c>
      <c r="E1309" s="12" t="str">
        <f>IF(C1309&lt;&gt;"", IFERROR(INDEX('بنود العقد'!D$3:D$388,C1309), ""), "")</f>
        <v>م2</v>
      </c>
      <c r="F1309" s="9">
        <f>IF(C1309&lt;&gt;"", IFERROR(INDEX('بنود العقد'!E$3:E$388,C1309), 0), "")</f>
        <v>1440</v>
      </c>
      <c r="G1309" s="9">
        <f>IF(C1309&lt;&gt;"", IFERROR(INDEX('بنود العقد'!F$3:F$388,C1309), 0), "")</f>
        <v>78</v>
      </c>
      <c r="H1309" s="18">
        <f t="shared" si="53"/>
        <v>63</v>
      </c>
      <c r="I1309" s="7">
        <v>4.4690000000000003</v>
      </c>
      <c r="J1309" s="18">
        <f t="shared" si="52"/>
        <v>67.468999999999994</v>
      </c>
      <c r="K1309" s="10">
        <f t="shared" si="51"/>
        <v>6435.3600000000006</v>
      </c>
      <c r="L1309" s="21">
        <f t="shared" si="50"/>
        <v>86.498717948717939</v>
      </c>
    </row>
    <row r="1310" spans="1:12" s="72" customFormat="1" ht="25.95" customHeight="1">
      <c r="A1310" s="12">
        <v>1308</v>
      </c>
      <c r="B1310" s="6">
        <v>20</v>
      </c>
      <c r="C1310" s="6">
        <v>42</v>
      </c>
      <c r="D1310" s="20" t="str">
        <f>IF(C1310&lt;&gt;"", IFERROR(INDEX('بنود العقد'!B$3:B$388,C1310),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خشبية04-WDC   من خشب الـ ) Mdf (  مطلية بدهان رمادي على شكل وهيئة الاسطح الاسمنتية مع غروف ومفصلات ومقابض مخفية ، وارفف مفتوحة من قشرة الجوز ،واضاءة مخفية ، مثبتة على الجدار الخارجي حسب الرسومات والمناظير  وتعليمات المهندس المشرف.</v>
      </c>
      <c r="E1310" s="12" t="str">
        <f>IF(C1310&lt;&gt;"", IFERROR(INDEX('بنود العقد'!D$3:D$388,C1310), ""), "")</f>
        <v>م2</v>
      </c>
      <c r="F1310" s="9">
        <f>IF(C1310&lt;&gt;"", IFERROR(INDEX('بنود العقد'!E$3:E$388,C1310), 0), "")</f>
        <v>1200</v>
      </c>
      <c r="G1310" s="9">
        <f>IF(C1310&lt;&gt;"", IFERROR(INDEX('بنود العقد'!F$3:F$388,C1310), 0), "")</f>
        <v>297</v>
      </c>
      <c r="H1310" s="18">
        <f t="shared" si="53"/>
        <v>213</v>
      </c>
      <c r="I1310" s="7">
        <v>26.28</v>
      </c>
      <c r="J1310" s="18">
        <f t="shared" si="52"/>
        <v>239.28</v>
      </c>
      <c r="K1310" s="10">
        <f t="shared" si="51"/>
        <v>31536</v>
      </c>
      <c r="L1310" s="21">
        <f t="shared" si="50"/>
        <v>80.565656565656568</v>
      </c>
    </row>
    <row r="1311" spans="1:12" s="72" customFormat="1" ht="25.95" customHeight="1">
      <c r="A1311" s="12">
        <v>1309</v>
      </c>
      <c r="B1311" s="6">
        <v>20</v>
      </c>
      <c r="C1311" s="6">
        <v>43</v>
      </c>
      <c r="D1311" s="20" t="str">
        <f>IF(C1311&lt;&gt;"", IFERROR(INDEX('بنود العقد'!B$3:B$388,C1311),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 خزانة خشبية05-WDC  من خشب الـ ) Mdf (  مع قشرة الوينغي الداكنة مع أرفف وإضاءة مخفية، أبواب الخزائن زجاجية   ribbed glass(مع إيطار خشبي وغروف ومفصلات ومقابض مخفية لمنطقة معالي الوزير حسب الرسومات والمناظير وتعليمات المهندس المشرف.</v>
      </c>
      <c r="E1311" s="12" t="str">
        <f>IF(C1311&lt;&gt;"", IFERROR(INDEX('بنود العقد'!D$3:D$388,C1311), ""), "")</f>
        <v>م2</v>
      </c>
      <c r="F1311" s="9">
        <f>IF(C1311&lt;&gt;"", IFERROR(INDEX('بنود العقد'!E$3:E$388,C1311), 0), "")</f>
        <v>1440</v>
      </c>
      <c r="G1311" s="9">
        <f>IF(C1311&lt;&gt;"", IFERROR(INDEX('بنود العقد'!F$3:F$388,C1311), 0), "")</f>
        <v>69</v>
      </c>
      <c r="H1311" s="18">
        <f t="shared" si="53"/>
        <v>183</v>
      </c>
      <c r="I1311" s="7">
        <v>12.44</v>
      </c>
      <c r="J1311" s="18">
        <f t="shared" si="52"/>
        <v>195.44</v>
      </c>
      <c r="K1311" s="10">
        <f t="shared" si="51"/>
        <v>17913.599999999999</v>
      </c>
      <c r="L1311" s="21">
        <f t="shared" si="50"/>
        <v>283.24637681159419</v>
      </c>
    </row>
    <row r="1312" spans="1:12" s="72" customFormat="1" ht="25.95" customHeight="1">
      <c r="A1312" s="12">
        <v>1310</v>
      </c>
      <c r="B1312" s="6">
        <v>20</v>
      </c>
      <c r="C1312" s="6">
        <v>44</v>
      </c>
      <c r="D1312" s="20" t="str">
        <f>IF(C1312&lt;&gt;"", IFERROR(INDEX('بنود العقد'!B$3:B$388,C1312), "⚠"), "")</f>
        <v xml:space="preserve">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خشبية06-WDC   من خشب الـ ) Mdf (  مع قشرة الوينغي الداكنة مع أرفف وإضاءة مخفية، أبواب الخزائن زجاجية )black tinted clear glass(مع إيطار خشبي وغروف ومفصلات ومقابض مخفية لمنطقة معالي الوزير حسب الرسومات والمناظير وتعليمات المهندس المشرف. </v>
      </c>
      <c r="E1312" s="12" t="str">
        <f>IF(C1312&lt;&gt;"", IFERROR(INDEX('بنود العقد'!D$3:D$388,C1312), ""), "")</f>
        <v>م2</v>
      </c>
      <c r="F1312" s="9">
        <f>IF(C1312&lt;&gt;"", IFERROR(INDEX('بنود العقد'!E$3:E$388,C1312), 0), "")</f>
        <v>1440</v>
      </c>
      <c r="G1312" s="9">
        <f>IF(C1312&lt;&gt;"", IFERROR(INDEX('بنود العقد'!F$3:F$388,C1312), 0), "")</f>
        <v>62</v>
      </c>
      <c r="H1312" s="18">
        <f t="shared" si="53"/>
        <v>47</v>
      </c>
      <c r="I1312" s="7">
        <v>-12.32</v>
      </c>
      <c r="J1312" s="18">
        <f t="shared" si="52"/>
        <v>34.68</v>
      </c>
      <c r="K1312" s="10">
        <f t="shared" si="51"/>
        <v>-17740.8</v>
      </c>
      <c r="L1312" s="21">
        <f t="shared" si="50"/>
        <v>55.935483870967737</v>
      </c>
    </row>
    <row r="1313" spans="1:12" s="72" customFormat="1" ht="25.95" customHeight="1">
      <c r="A1313" s="12">
        <v>1311</v>
      </c>
      <c r="B1313" s="6">
        <v>20</v>
      </c>
      <c r="C1313" s="6">
        <v>45</v>
      </c>
      <c r="D1313" s="20" t="str">
        <f>IF(C1313&lt;&gt;"", IFERROR(INDEX('بنود العقد'!B$3:B$388,C1313), "⚠"), "")</f>
        <v xml:space="preserve"> توريد وتنفيذ طبقتين من غشاء عازل للمياه من الـبيتومين ثخانة 4 مم للأماكن الرطبة وحتى ارتفاع 10   سم على الجدران المحيطة ويشمل تحضير السطوح ومواد حشو الزوايا وطبقات الحماية جيوتكستايل الأفُقية والعمودية. ويشمل السعر أي مواد وأعمال مطلوبة لاستكمال العمل حسب المواصفات والمخططات.وتعليمات المهندس المشرف</v>
      </c>
      <c r="E1313" s="12" t="str">
        <f>IF(C1313&lt;&gt;"", IFERROR(INDEX('بنود العقد'!D$3:D$388,C1313), ""), "")</f>
        <v>م2</v>
      </c>
      <c r="F1313" s="9">
        <f>IF(C1313&lt;&gt;"", IFERROR(INDEX('بنود العقد'!E$3:E$388,C1313), 0), "")</f>
        <v>78</v>
      </c>
      <c r="G1313" s="9">
        <f>IF(C1313&lt;&gt;"", IFERROR(INDEX('بنود العقد'!F$3:F$388,C1313), 0), "")</f>
        <v>1345</v>
      </c>
      <c r="H1313" s="18">
        <f t="shared" si="53"/>
        <v>2020</v>
      </c>
      <c r="I1313" s="7">
        <v>62.1</v>
      </c>
      <c r="J1313" s="18">
        <f t="shared" si="52"/>
        <v>2082.1</v>
      </c>
      <c r="K1313" s="10">
        <f t="shared" si="51"/>
        <v>4843.8</v>
      </c>
      <c r="L1313" s="21">
        <f t="shared" si="50"/>
        <v>154.80297397769516</v>
      </c>
    </row>
    <row r="1314" spans="1:12" s="72" customFormat="1" ht="25.95" customHeight="1">
      <c r="A1314" s="12">
        <v>1312</v>
      </c>
      <c r="B1314" s="6">
        <v>20</v>
      </c>
      <c r="C1314" s="6">
        <v>46</v>
      </c>
      <c r="D1314" s="20" t="str">
        <f>IF(C1314&lt;&gt;"", IFERROR(INDEX('بنود العقد'!B$3:B$388,C1314), "⚠"), "")</f>
        <v>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المشرف.Ref drawing: 07-MRA-DD-(as per floor number)-AR-801 بعرض 1000 مم وارتفاع 2700 مم  GD01باب ضلفة واحدة  نموذج</v>
      </c>
      <c r="E1314" s="12" t="str">
        <f>IF(C1314&lt;&gt;"", IFERROR(INDEX('بنود العقد'!D$3:D$388,C1314), ""), "")</f>
        <v>عدد</v>
      </c>
      <c r="F1314" s="9">
        <f>IF(C1314&lt;&gt;"", IFERROR(INDEX('بنود العقد'!E$3:E$388,C1314), 0), "")</f>
        <v>2580</v>
      </c>
      <c r="G1314" s="9">
        <f>IF(C1314&lt;&gt;"", IFERROR(INDEX('بنود العقد'!F$3:F$388,C1314), 0), "")</f>
        <v>238</v>
      </c>
      <c r="H1314" s="18">
        <f t="shared" si="53"/>
        <v>226</v>
      </c>
      <c r="I1314" s="7">
        <v>6</v>
      </c>
      <c r="J1314" s="18">
        <f t="shared" si="52"/>
        <v>232</v>
      </c>
      <c r="K1314" s="10">
        <f t="shared" si="51"/>
        <v>15480</v>
      </c>
      <c r="L1314" s="21">
        <f t="shared" si="50"/>
        <v>97.47899159663865</v>
      </c>
    </row>
    <row r="1315" spans="1:12" s="72" customFormat="1" ht="25.95" customHeight="1">
      <c r="A1315" s="12">
        <v>1313</v>
      </c>
      <c r="B1315" s="6">
        <v>20</v>
      </c>
      <c r="C1315" s="6">
        <v>47</v>
      </c>
      <c r="D1315" s="20" t="str">
        <f>IF(C1315&lt;&gt;"", IFERROR(INDEX('بنود العقد'!B$3:B$388,C1315), "⚠"), "")</f>
        <v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2600 مم  GD02باب ضلفتين  نموذج </v>
      </c>
      <c r="E1315" s="12" t="str">
        <f>IF(C1315&lt;&gt;"", IFERROR(INDEX('بنود العقد'!D$3:D$388,C1315), ""), "")</f>
        <v>عدد</v>
      </c>
      <c r="F1315" s="9">
        <f>IF(C1315&lt;&gt;"", IFERROR(INDEX('بنود العقد'!E$3:E$388,C1315), 0), "")</f>
        <v>4020</v>
      </c>
      <c r="G1315" s="9">
        <f>IF(C1315&lt;&gt;"", IFERROR(INDEX('بنود العقد'!F$3:F$388,C1315), 0), "")</f>
        <v>37</v>
      </c>
      <c r="H1315" s="18">
        <f t="shared" si="53"/>
        <v>34</v>
      </c>
      <c r="I1315" s="7">
        <v>2</v>
      </c>
      <c r="J1315" s="18">
        <f t="shared" si="52"/>
        <v>36</v>
      </c>
      <c r="K1315" s="10">
        <f t="shared" si="51"/>
        <v>8040</v>
      </c>
      <c r="L1315" s="21">
        <f t="shared" si="50"/>
        <v>97.297297297297305</v>
      </c>
    </row>
    <row r="1316" spans="1:12" s="72" customFormat="1" ht="25.95" customHeight="1">
      <c r="A1316" s="12">
        <v>1314</v>
      </c>
      <c r="B1316" s="6">
        <v>20</v>
      </c>
      <c r="C1316" s="6">
        <v>49</v>
      </c>
      <c r="D1316" s="20" t="str">
        <f>IF(C1316&lt;&gt;"", IFERROR(INDEX('بنود العقد'!B$3:B$388,C1316),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2000 مم وارتفاع 2200 مم  WD07باب مروحة ضلفتين  نموذج </v>
      </c>
      <c r="E1316" s="12" t="str">
        <f>IF(C1316&lt;&gt;"", IFERROR(INDEX('بنود العقد'!D$3:D$388,C1316), ""), "")</f>
        <v>عدد</v>
      </c>
      <c r="F1316" s="9">
        <f>IF(C1316&lt;&gt;"", IFERROR(INDEX('بنود العقد'!E$3:E$388,C1316), 0), "")</f>
        <v>5280</v>
      </c>
      <c r="G1316" s="9">
        <f>IF(C1316&lt;&gt;"", IFERROR(INDEX('بنود العقد'!F$3:F$388,C1316), 0), "")</f>
        <v>13</v>
      </c>
      <c r="H1316" s="18">
        <f t="shared" si="53"/>
        <v>18</v>
      </c>
      <c r="I1316" s="7">
        <v>2</v>
      </c>
      <c r="J1316" s="18">
        <f t="shared" si="52"/>
        <v>20</v>
      </c>
      <c r="K1316" s="10">
        <f t="shared" si="51"/>
        <v>10560</v>
      </c>
      <c r="L1316" s="21">
        <f t="shared" si="50"/>
        <v>153.84615384615387</v>
      </c>
    </row>
    <row r="1317" spans="1:12" s="72" customFormat="1" ht="25.95" customHeight="1">
      <c r="A1317" s="12">
        <v>1315</v>
      </c>
      <c r="B1317" s="6">
        <v>20</v>
      </c>
      <c r="C1317" s="6">
        <v>50</v>
      </c>
      <c r="D1317" s="20" t="str">
        <f>IF(C1317&lt;&gt;"", IFERROR(INDEX('بنود العقد'!B$3:B$388,C1317),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بعرض1000 مم وارتفاع 2200 مم  WD06باب مروحة ضلفة واحدة  نموذج </v>
      </c>
      <c r="E1317" s="12" t="str">
        <f>IF(C1317&lt;&gt;"", IFERROR(INDEX('بنود العقد'!D$3:D$388,C1317), ""), "")</f>
        <v>عدد</v>
      </c>
      <c r="F1317" s="9">
        <f>IF(C1317&lt;&gt;"", IFERROR(INDEX('بنود العقد'!E$3:E$388,C1317), 0), "")</f>
        <v>2400</v>
      </c>
      <c r="G1317" s="9">
        <f>IF(C1317&lt;&gt;"", IFERROR(INDEX('بنود العقد'!F$3:F$388,C1317), 0), "")</f>
        <v>13</v>
      </c>
      <c r="H1317" s="18">
        <f t="shared" si="53"/>
        <v>12</v>
      </c>
      <c r="I1317" s="7">
        <v>1</v>
      </c>
      <c r="J1317" s="18">
        <f t="shared" si="52"/>
        <v>13</v>
      </c>
      <c r="K1317" s="10">
        <f t="shared" si="51"/>
        <v>2400</v>
      </c>
      <c r="L1317" s="21">
        <f t="shared" si="50"/>
        <v>100</v>
      </c>
    </row>
    <row r="1318" spans="1:12" s="72" customFormat="1" ht="25.95" customHeight="1">
      <c r="A1318" s="12">
        <v>1316</v>
      </c>
      <c r="B1318" s="6">
        <v>20</v>
      </c>
      <c r="C1318" s="6">
        <v>51</v>
      </c>
      <c r="D1318" s="20" t="str">
        <f>IF(C1318&lt;&gt;"", IFERROR(INDEX('بنود العقد'!B$3:B$388,C1318),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WD05باب مروحة ضلفة واحدة  نموذج </v>
      </c>
      <c r="E1318" s="12" t="str">
        <f>IF(C1318&lt;&gt;"", IFERROR(INDEX('بنود العقد'!D$3:D$388,C1318), ""), "")</f>
        <v>عدد</v>
      </c>
      <c r="F1318" s="9">
        <f>IF(C1318&lt;&gt;"", IFERROR(INDEX('بنود العقد'!E$3:E$388,C1318), 0), "")</f>
        <v>2400</v>
      </c>
      <c r="G1318" s="9">
        <f>IF(C1318&lt;&gt;"", IFERROR(INDEX('بنود العقد'!F$3:F$388,C1318), 0), "")</f>
        <v>47</v>
      </c>
      <c r="H1318" s="18">
        <f t="shared" si="53"/>
        <v>40</v>
      </c>
      <c r="I1318" s="7">
        <v>2</v>
      </c>
      <c r="J1318" s="18">
        <f t="shared" si="52"/>
        <v>42</v>
      </c>
      <c r="K1318" s="10">
        <f t="shared" si="51"/>
        <v>4800</v>
      </c>
      <c r="L1318" s="21">
        <f t="shared" si="50"/>
        <v>89.361702127659569</v>
      </c>
    </row>
    <row r="1319" spans="1:12" s="72" customFormat="1" ht="25.95" customHeight="1">
      <c r="A1319" s="12">
        <v>1317</v>
      </c>
      <c r="B1319" s="6">
        <v>20</v>
      </c>
      <c r="C1319" s="6">
        <v>52</v>
      </c>
      <c r="D1319" s="20" t="str">
        <f>IF(C1319&lt;&gt;"", IFERROR(INDEX('بنود العقد'!B$3:B$388,C1319),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800 مم وارتفاع 2200 مم  WD04باب مروحة ضلفة واحدة  نموذج </v>
      </c>
      <c r="E1319" s="12" t="str">
        <f>IF(C1319&lt;&gt;"", IFERROR(INDEX('بنود العقد'!D$3:D$388,C1319), ""), "")</f>
        <v>عدد</v>
      </c>
      <c r="F1319" s="9">
        <f>IF(C1319&lt;&gt;"", IFERROR(INDEX('بنود العقد'!E$3:E$388,C1319), 0), "")</f>
        <v>2400</v>
      </c>
      <c r="G1319" s="9">
        <f>IF(C1319&lt;&gt;"", IFERROR(INDEX('بنود العقد'!F$3:F$388,C1319), 0), "")</f>
        <v>48</v>
      </c>
      <c r="H1319" s="18">
        <f t="shared" si="53"/>
        <v>48</v>
      </c>
      <c r="I1319" s="7">
        <v>6</v>
      </c>
      <c r="J1319" s="18">
        <f t="shared" si="52"/>
        <v>54</v>
      </c>
      <c r="K1319" s="10">
        <f t="shared" si="51"/>
        <v>14400</v>
      </c>
      <c r="L1319" s="21">
        <f t="shared" si="50"/>
        <v>112.5</v>
      </c>
    </row>
    <row r="1320" spans="1:12" s="72" customFormat="1" ht="25.95" customHeight="1">
      <c r="A1320" s="12">
        <v>1318</v>
      </c>
      <c r="B1320" s="6">
        <v>20</v>
      </c>
      <c r="C1320" s="6">
        <v>55</v>
      </c>
      <c r="D1320" s="20" t="str">
        <f>IF(C1320&lt;&gt;"", IFERROR(INDEX('بنود العقد'!B$3:B$388,C1320), "⚠"), "")</f>
        <v xml:space="preserve">توريد وتركيب باب من قطاعات الخشب شبه المصمت بسمك 44مم مكون من قواطيع خشب داخليه بحشو خفيف mdfوالمطلي بدهان رمادي على هيئة الأسطح الاسمنتية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WD01باب مروحة ضلفة واحدة  نموذج </v>
      </c>
      <c r="E1320" s="12" t="str">
        <f>IF(C1320&lt;&gt;"", IFERROR(INDEX('بنود العقد'!D$3:D$388,C1320), ""), "")</f>
        <v>عدد</v>
      </c>
      <c r="F1320" s="9">
        <f>IF(C1320&lt;&gt;"", IFERROR(INDEX('بنود العقد'!E$3:E$388,C1320), 0), "")</f>
        <v>2400</v>
      </c>
      <c r="G1320" s="9">
        <f>IF(C1320&lt;&gt;"", IFERROR(INDEX('بنود العقد'!F$3:F$388,C1320), 0), "")</f>
        <v>14</v>
      </c>
      <c r="H1320" s="18">
        <f t="shared" si="53"/>
        <v>13</v>
      </c>
      <c r="I1320" s="7">
        <v>2</v>
      </c>
      <c r="J1320" s="18">
        <f t="shared" si="52"/>
        <v>15</v>
      </c>
      <c r="K1320" s="10">
        <f t="shared" si="51"/>
        <v>4800</v>
      </c>
      <c r="L1320" s="21">
        <f t="shared" si="50"/>
        <v>107.14285714285714</v>
      </c>
    </row>
    <row r="1321" spans="1:12" s="72" customFormat="1" ht="25.95" customHeight="1">
      <c r="A1321" s="12">
        <v>1319</v>
      </c>
      <c r="B1321" s="6">
        <v>20</v>
      </c>
      <c r="C1321" s="6">
        <v>56</v>
      </c>
      <c r="D1321" s="20" t="str">
        <f>IF(C1321&lt;&gt;"", IFERROR(INDEX('بنود العقد'!B$3:B$388,C1321), "⚠"), "")</f>
        <v xml:space="preserve">توريد وتركيب باب من قطاعات الخشب شبه المصمت بسمك 44مم مكون من قواطيع خشب داخليه بحشو  mdfوالمطلي بدهان رمادي بيج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بعرض900 مم وارتفاع 2200 مم  WD03باب مروحة ضلفة واحدة  نموذج </v>
      </c>
      <c r="E1321" s="12" t="str">
        <f>IF(C1321&lt;&gt;"", IFERROR(INDEX('بنود العقد'!D$3:D$388,C1321), ""), "")</f>
        <v>عدد</v>
      </c>
      <c r="F1321" s="9">
        <f>IF(C1321&lt;&gt;"", IFERROR(INDEX('بنود العقد'!E$3:E$388,C1321), 0), "")</f>
        <v>2400</v>
      </c>
      <c r="G1321" s="9">
        <f>IF(C1321&lt;&gt;"", IFERROR(INDEX('بنود العقد'!F$3:F$388,C1321), 0), "")</f>
        <v>32</v>
      </c>
      <c r="H1321" s="18">
        <f t="shared" si="53"/>
        <v>40</v>
      </c>
      <c r="I1321" s="7">
        <v>2</v>
      </c>
      <c r="J1321" s="18">
        <f t="shared" si="52"/>
        <v>42</v>
      </c>
      <c r="K1321" s="10">
        <f t="shared" si="51"/>
        <v>4800</v>
      </c>
      <c r="L1321" s="21">
        <f t="shared" si="50"/>
        <v>131.25</v>
      </c>
    </row>
    <row r="1322" spans="1:12" s="72" customFormat="1" ht="25.95" customHeight="1">
      <c r="A1322" s="12">
        <v>1320</v>
      </c>
      <c r="B1322" s="6">
        <v>20</v>
      </c>
      <c r="C1322" s="6">
        <v>58</v>
      </c>
      <c r="D1322" s="20" t="str">
        <f>IF(C1322&lt;&gt;"", IFERROR(INDEX('بنود العقد'!B$3:B$388,C1322), "⚠"), "")</f>
        <v>توريد وتركيب باب من قطاعات الخشب شبه المصمت بسمك 44مم مكون من قواطيع خشب داخليه بحشو خفيف mdfوالمطلي بدهان رمادي فاتح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WD09 باب مروحة ضلفة واحدة  نموذج</v>
      </c>
      <c r="E1322" s="12" t="str">
        <f>IF(C1322&lt;&gt;"", IFERROR(INDEX('بنود العقد'!D$3:D$388,C1322), ""), "")</f>
        <v>عدد</v>
      </c>
      <c r="F1322" s="9">
        <f>IF(C1322&lt;&gt;"", IFERROR(INDEX('بنود العقد'!E$3:E$388,C1322), 0), "")</f>
        <v>2400</v>
      </c>
      <c r="G1322" s="9">
        <f>IF(C1322&lt;&gt;"", IFERROR(INDEX('بنود العقد'!F$3:F$388,C1322), 0), "")</f>
        <v>1</v>
      </c>
      <c r="H1322" s="18">
        <f t="shared" si="53"/>
        <v>0</v>
      </c>
      <c r="I1322" s="7">
        <v>1</v>
      </c>
      <c r="J1322" s="18">
        <f t="shared" si="52"/>
        <v>1</v>
      </c>
      <c r="K1322" s="10">
        <f t="shared" si="51"/>
        <v>2400</v>
      </c>
      <c r="L1322" s="21">
        <f t="shared" si="50"/>
        <v>100</v>
      </c>
    </row>
    <row r="1323" spans="1:12" s="72" customFormat="1" ht="25.95" customHeight="1">
      <c r="A1323" s="12">
        <v>1321</v>
      </c>
      <c r="B1323" s="6">
        <v>20</v>
      </c>
      <c r="C1323" s="6">
        <v>59</v>
      </c>
      <c r="D1323" s="20" t="str">
        <f>IF(C1323&lt;&gt;"", IFERROR(INDEX('بنود العقد'!B$3:B$388,C1323), "⚠"), "")</f>
        <v xml:space="preserve">توريد وتركيب باب من قطاعات الخشب شبه المصمت بسمك 44مم مكون من قواطيع خشب داخليه بحشو  mdf مع قشرة السنديان المطلية بدهان بيج  والحلق من الخشب السويدي المسطم المقاوم للرطوبة مخفي داخل الواجهة الخشبية والبند يشمل جميع الإكسسوارات اللازمه من مفصلات ودفاش من النوع المخفي ومقابض، 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1000 مم وارتفاع 2600 مم  WD010باب مروحة ضلفة واحدة  نموذج </v>
      </c>
      <c r="E1323" s="12" t="str">
        <f>IF(C1323&lt;&gt;"", IFERROR(INDEX('بنود العقد'!D$3:D$388,C1323), ""), "")</f>
        <v>عدد</v>
      </c>
      <c r="F1323" s="9">
        <f>IF(C1323&lt;&gt;"", IFERROR(INDEX('بنود العقد'!E$3:E$388,C1323), 0), "")</f>
        <v>3600</v>
      </c>
      <c r="G1323" s="9">
        <f>IF(C1323&lt;&gt;"", IFERROR(INDEX('بنود العقد'!F$3:F$388,C1323), 0), "")</f>
        <v>6</v>
      </c>
      <c r="H1323" s="18">
        <f t="shared" si="53"/>
        <v>5</v>
      </c>
      <c r="I1323" s="7">
        <v>1</v>
      </c>
      <c r="J1323" s="18">
        <f t="shared" si="52"/>
        <v>6</v>
      </c>
      <c r="K1323" s="10">
        <f t="shared" si="51"/>
        <v>3600</v>
      </c>
      <c r="L1323" s="21">
        <f t="shared" si="50"/>
        <v>100</v>
      </c>
    </row>
    <row r="1324" spans="1:12" s="72" customFormat="1" ht="25.95" customHeight="1">
      <c r="A1324" s="12">
        <v>1322</v>
      </c>
      <c r="B1324" s="6">
        <v>20</v>
      </c>
      <c r="C1324" s="6">
        <v>60</v>
      </c>
      <c r="D1324" s="20" t="str">
        <f>IF(C1324&lt;&gt;"", IFERROR(INDEX('بنود العقد'!B$3:B$388,C1324), "⚠"),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باب مروحة ضلفتين  نموذج 12WD  بعرض 2000 مم وارتفاع 3000 مم )VIP Zone (Ref drawing: 07-MRA-DD-sixth floor-AR-800</v>
      </c>
      <c r="E1324" s="12" t="str">
        <f>IF(C1324&lt;&gt;"", IFERROR(INDEX('بنود العقد'!D$3:D$388,C1324), ""), "")</f>
        <v>عدد</v>
      </c>
      <c r="F1324" s="9">
        <f>IF(C1324&lt;&gt;"", IFERROR(INDEX('بنود العقد'!E$3:E$388,C1324), 0), "")</f>
        <v>5700</v>
      </c>
      <c r="G1324" s="9">
        <f>IF(C1324&lt;&gt;"", IFERROR(INDEX('بنود العقد'!F$3:F$388,C1324), 0), "")</f>
        <v>7</v>
      </c>
      <c r="H1324" s="18">
        <f t="shared" si="53"/>
        <v>7</v>
      </c>
      <c r="I1324" s="7">
        <v>1</v>
      </c>
      <c r="J1324" s="18">
        <f t="shared" si="52"/>
        <v>8</v>
      </c>
      <c r="K1324" s="10">
        <f t="shared" si="51"/>
        <v>5700</v>
      </c>
      <c r="L1324" s="21">
        <f t="shared" si="50"/>
        <v>114.28571428571428</v>
      </c>
    </row>
    <row r="1325" spans="1:12" s="72" customFormat="1" ht="25.95" customHeight="1">
      <c r="A1325" s="12">
        <v>1323</v>
      </c>
      <c r="B1325" s="6">
        <v>20</v>
      </c>
      <c r="C1325" s="6">
        <v>61</v>
      </c>
      <c r="D1325" s="20" t="str">
        <f>IF(C1325&lt;&gt;"", IFERROR(INDEX('بنود العقد'!B$3:B$388,C1325), "⚠"),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باب مروحة ضلفة واحدة  نموذج 11WD  بعرض 1000 مم وارتفاع 3000 مم )VIP Zone(</v>
      </c>
      <c r="E1325" s="12" t="str">
        <f>IF(C1325&lt;&gt;"", IFERROR(INDEX('بنود العقد'!D$3:D$388,C1325), ""), "")</f>
        <v>عدد</v>
      </c>
      <c r="F1325" s="9">
        <f>IF(C1325&lt;&gt;"", IFERROR(INDEX('بنود العقد'!E$3:E$388,C1325), 0), "")</f>
        <v>6000</v>
      </c>
      <c r="G1325" s="9">
        <f>IF(C1325&lt;&gt;"", IFERROR(INDEX('بنود العقد'!F$3:F$388,C1325), 0), "")</f>
        <v>8</v>
      </c>
      <c r="H1325" s="18">
        <f t="shared" si="53"/>
        <v>8</v>
      </c>
      <c r="I1325" s="7">
        <v>2</v>
      </c>
      <c r="J1325" s="18">
        <f t="shared" si="52"/>
        <v>10</v>
      </c>
      <c r="K1325" s="10">
        <f t="shared" si="51"/>
        <v>12000</v>
      </c>
      <c r="L1325" s="21">
        <f t="shared" si="50"/>
        <v>125</v>
      </c>
    </row>
    <row r="1326" spans="1:12" s="72" customFormat="1" ht="25.95" customHeight="1">
      <c r="A1326" s="12">
        <v>1324</v>
      </c>
      <c r="B1326" s="6">
        <v>20</v>
      </c>
      <c r="C1326" s="6">
        <v>62</v>
      </c>
      <c r="D1326" s="20" t="str">
        <f>IF(C1326&lt;&gt;"", IFERROR(INDEX('بنود العقد'!B$3:B$388,C1326), "⚠"),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تصميم على شكل وهيئة الباب   نموذج  WD11 A  بعرض 1000 مم وارتفاع 3000 مم )VIP  )Zone</v>
      </c>
      <c r="E1326" s="12" t="str">
        <f>IF(C1326&lt;&gt;"", IFERROR(INDEX('بنود العقد'!D$3:D$388,C1326), ""), "")</f>
        <v>عدد</v>
      </c>
      <c r="F1326" s="9">
        <f>IF(C1326&lt;&gt;"", IFERROR(INDEX('بنود العقد'!E$3:E$388,C1326), 0), "")</f>
        <v>5400</v>
      </c>
      <c r="G1326" s="9">
        <f>IF(C1326&lt;&gt;"", IFERROR(INDEX('بنود العقد'!F$3:F$388,C1326), 0), "")</f>
        <v>2</v>
      </c>
      <c r="H1326" s="18">
        <f t="shared" si="53"/>
        <v>1</v>
      </c>
      <c r="I1326" s="7">
        <v>1</v>
      </c>
      <c r="J1326" s="18">
        <f t="shared" si="52"/>
        <v>2</v>
      </c>
      <c r="K1326" s="10">
        <f t="shared" si="51"/>
        <v>5400</v>
      </c>
      <c r="L1326" s="21">
        <f t="shared" si="50"/>
        <v>100</v>
      </c>
    </row>
    <row r="1327" spans="1:12" s="72" customFormat="1" ht="25.95" customHeight="1">
      <c r="A1327" s="12">
        <v>1325</v>
      </c>
      <c r="B1327" s="6">
        <v>20</v>
      </c>
      <c r="C1327" s="6">
        <v>66</v>
      </c>
      <c r="D1327" s="20" t="str">
        <f>IF(C1327&lt;&gt;"", IFERROR(INDEX('بنود العقد'!B$3:B$388,C1327), "⚠"),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E1327" s="12" t="str">
        <f>IF(C1327&lt;&gt;"", IFERROR(INDEX('بنود العقد'!D$3:D$388,C1327), ""), "")</f>
        <v>م²</v>
      </c>
      <c r="F1327" s="9">
        <f>IF(C1327&lt;&gt;"", IFERROR(INDEX('بنود العقد'!E$3:E$388,C1327), 0), "")</f>
        <v>900</v>
      </c>
      <c r="G1327" s="9">
        <f>IF(C1327&lt;&gt;"", IFERROR(INDEX('بنود العقد'!F$3:F$388,C1327), 0), "")</f>
        <v>4000</v>
      </c>
      <c r="H1327" s="18">
        <f t="shared" si="53"/>
        <v>4200</v>
      </c>
      <c r="I1327" s="7">
        <v>305.81</v>
      </c>
      <c r="J1327" s="18">
        <f t="shared" si="52"/>
        <v>4505.8100000000004</v>
      </c>
      <c r="K1327" s="10">
        <f t="shared" si="51"/>
        <v>275229</v>
      </c>
      <c r="L1327" s="21">
        <f t="shared" si="50"/>
        <v>112.64525</v>
      </c>
    </row>
    <row r="1328" spans="1:12" s="72" customFormat="1" ht="25.95" customHeight="1">
      <c r="A1328" s="12">
        <v>1326</v>
      </c>
      <c r="B1328" s="6">
        <v>20</v>
      </c>
      <c r="C1328" s="6">
        <v>67</v>
      </c>
      <c r="D1328" s="20" t="str">
        <f>IF(C1328&lt;&gt;"", IFERROR(INDEX('بنود العقد'!B$3:B$388,C1328), "⚠"), "")</f>
        <v xml:space="preserve">توريد وتركيب باب من قطاعات الحديد  بسمك 45 مم مقاوم للحريق 90 دقيقة،  مع طبقة من الصاج سماكة 2مم من الجهتين على اطار معدنى مجوف والسعر يشمل التكسية الخشبية بقشرة الجوز لضلفة الباب والإطار من جهة واحدة..ويشمل التوريد والتركيب والتثبيت  والمفصلات والمقابض   والدفاش والاكسسوارت من اجود الانواع  وكل مايلزم لانهاء العمل على اكمل وجه ة حسب المخططات وتعليمات االمهندس المشرف. Ref. drawing: 07-MRA-DD-(as per floor number)-AR-804 ضلفة واحدة عرض1000مم وإرتفاع 2200مم SD01 باب نموذج </v>
      </c>
      <c r="E1328" s="12" t="str">
        <f>IF(C1328&lt;&gt;"", IFERROR(INDEX('بنود العقد'!D$3:D$388,C1328), ""), "")</f>
        <v>م²</v>
      </c>
      <c r="F1328" s="9">
        <f>IF(C1328&lt;&gt;"", IFERROR(INDEX('بنود العقد'!E$3:E$388,C1328), 0), "")</f>
        <v>3000</v>
      </c>
      <c r="G1328" s="9">
        <f>IF(C1328&lt;&gt;"", IFERROR(INDEX('بنود العقد'!F$3:F$388,C1328), 0), "")</f>
        <v>58</v>
      </c>
      <c r="H1328" s="18">
        <f t="shared" si="53"/>
        <v>28</v>
      </c>
      <c r="I1328" s="7">
        <v>18</v>
      </c>
      <c r="J1328" s="18">
        <f t="shared" si="52"/>
        <v>46</v>
      </c>
      <c r="K1328" s="10">
        <f t="shared" si="51"/>
        <v>54000</v>
      </c>
      <c r="L1328" s="21">
        <f t="shared" si="50"/>
        <v>79.310344827586206</v>
      </c>
    </row>
    <row r="1329" spans="1:12" s="72" customFormat="1" ht="25.95" customHeight="1">
      <c r="A1329" s="12">
        <v>1327</v>
      </c>
      <c r="B1329" s="6">
        <v>20</v>
      </c>
      <c r="C1329" s="6">
        <v>68</v>
      </c>
      <c r="D1329" s="20" t="str">
        <f>IF(C1329&lt;&gt;"", IFERROR(INDEX('بنود العقد'!B$3:B$388,C1329), "⚠"), "")</f>
        <v>توريد وتركيب باب من قطاعات الحديد  بسمك 45 مم مقاوم للحريق 90 دقيقة،  مع طبقة من الصاج سماكة 2مم من الجهتين على اطار معدنى مجوف والسعر يشمل التكسية الخشبية بقشرة الجوز لضلفة الباب والإطار من جهة واحدة..ويشمل التوريد والتركيب والتثبيت  والمفصلات والمقابض   والدفاش والاكسسوارت من اجود الانواع  وكل مايلزم لانهاء العمل على اكمل وجه ة حسب المخططات وتعليمات االمهندس المشرف. Ref. drawing: 07-MRA-DD-(as per floor number)-AR-804 ضلفة واحدة عرض1100مم وإرتفاع 2200مم SD02 باب نموذج</v>
      </c>
      <c r="E1329" s="12" t="str">
        <f>IF(C1329&lt;&gt;"", IFERROR(INDEX('بنود العقد'!D$3:D$388,C1329), ""), "")</f>
        <v>عدد</v>
      </c>
      <c r="F1329" s="9">
        <f>IF(C1329&lt;&gt;"", IFERROR(INDEX('بنود العقد'!E$3:E$388,C1329), 0), "")</f>
        <v>3000</v>
      </c>
      <c r="G1329" s="9">
        <f>IF(C1329&lt;&gt;"", IFERROR(INDEX('بنود العقد'!F$3:F$388,C1329), 0), "")</f>
        <v>1</v>
      </c>
      <c r="H1329" s="18">
        <f t="shared" si="53"/>
        <v>6</v>
      </c>
      <c r="I1329" s="7">
        <v>3</v>
      </c>
      <c r="J1329" s="18">
        <f t="shared" si="52"/>
        <v>9</v>
      </c>
      <c r="K1329" s="10">
        <f t="shared" si="51"/>
        <v>9000</v>
      </c>
      <c r="L1329" s="21">
        <f t="shared" si="50"/>
        <v>900</v>
      </c>
    </row>
    <row r="1330" spans="1:12" s="72" customFormat="1" ht="25.95" customHeight="1">
      <c r="A1330" s="12">
        <v>1328</v>
      </c>
      <c r="B1330" s="6">
        <v>20</v>
      </c>
      <c r="C1330" s="6">
        <v>69</v>
      </c>
      <c r="D1330" s="20" t="str">
        <f>IF(C1330&lt;&gt;"", IFERROR(INDEX('بنود العقد'!B$3:B$388,C1330), "⚠"), "")</f>
        <v>تجديد وترميم الأبواب الحديدية وتشمل الأعمال ما يلي: ــ  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ضلفتين عرض2000مم</v>
      </c>
      <c r="E1330" s="12" t="str">
        <f>IF(C1330&lt;&gt;"", IFERROR(INDEX('بنود العقد'!D$3:D$388,C1330), ""), "")</f>
        <v>عدد</v>
      </c>
      <c r="F1330" s="9">
        <f>IF(C1330&lt;&gt;"", IFERROR(INDEX('بنود العقد'!E$3:E$388,C1330), 0), "")</f>
        <v>540</v>
      </c>
      <c r="G1330" s="9">
        <f>IF(C1330&lt;&gt;"", IFERROR(INDEX('بنود العقد'!F$3:F$388,C1330), 0), "")</f>
        <v>46</v>
      </c>
      <c r="H1330" s="18">
        <f t="shared" si="53"/>
        <v>40</v>
      </c>
      <c r="I1330" s="7">
        <v>2</v>
      </c>
      <c r="J1330" s="18">
        <f t="shared" si="52"/>
        <v>42</v>
      </c>
      <c r="K1330" s="10">
        <f t="shared" si="51"/>
        <v>1080</v>
      </c>
      <c r="L1330" s="21">
        <f t="shared" si="50"/>
        <v>91.304347826086953</v>
      </c>
    </row>
    <row r="1331" spans="1:12" s="72" customFormat="1" ht="25.95" customHeight="1">
      <c r="A1331" s="12">
        <v>1329</v>
      </c>
      <c r="B1331" s="6">
        <v>20</v>
      </c>
      <c r="C1331" s="6">
        <v>70</v>
      </c>
      <c r="D1331" s="20" t="str">
        <f>IF(C1331&lt;&gt;"", IFERROR(INDEX('بنود العقد'!B$3:B$388,C1331), "⚠"), "")</f>
        <v>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ضلفة واحدة عرض1000مم</v>
      </c>
      <c r="E1331" s="12" t="str">
        <f>IF(C1331&lt;&gt;"", IFERROR(INDEX('بنود العقد'!D$3:D$388,C1331), ""), "")</f>
        <v>عدد</v>
      </c>
      <c r="F1331" s="9">
        <f>IF(C1331&lt;&gt;"", IFERROR(INDEX('بنود العقد'!E$3:E$388,C1331), 0), "")</f>
        <v>360</v>
      </c>
      <c r="G1331" s="9">
        <f>IF(C1331&lt;&gt;"", IFERROR(INDEX('بنود العقد'!F$3:F$388,C1331), 0), "")</f>
        <v>52</v>
      </c>
      <c r="H1331" s="18">
        <f t="shared" si="53"/>
        <v>46</v>
      </c>
      <c r="I1331" s="7">
        <v>5</v>
      </c>
      <c r="J1331" s="18">
        <f t="shared" si="52"/>
        <v>51</v>
      </c>
      <c r="K1331" s="10">
        <f t="shared" si="51"/>
        <v>1800</v>
      </c>
      <c r="L1331" s="21">
        <f t="shared" si="50"/>
        <v>98.076923076923066</v>
      </c>
    </row>
    <row r="1332" spans="1:12" s="72" customFormat="1" ht="25.95" customHeight="1">
      <c r="A1332" s="12">
        <v>1330</v>
      </c>
      <c r="B1332" s="6">
        <v>20</v>
      </c>
      <c r="C1332" s="6">
        <v>71</v>
      </c>
      <c r="D1332" s="20" t="str">
        <f>IF(C1332&lt;&gt;"", IFERROR(INDEX('بنود العقد'!B$3:B$388,C1332), "⚠"), "")</f>
        <v>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ضلفة واحدة عرض800مم</v>
      </c>
      <c r="E1332" s="12" t="str">
        <f>IF(C1332&lt;&gt;"", IFERROR(INDEX('بنود العقد'!D$3:D$388,C1332), ""), "")</f>
        <v>عدد</v>
      </c>
      <c r="F1332" s="9">
        <f>IF(C1332&lt;&gt;"", IFERROR(INDEX('بنود العقد'!E$3:E$388,C1332), 0), "")</f>
        <v>360</v>
      </c>
      <c r="G1332" s="9">
        <f>IF(C1332&lt;&gt;"", IFERROR(INDEX('بنود العقد'!F$3:F$388,C1332), 0), "")</f>
        <v>23</v>
      </c>
      <c r="H1332" s="18">
        <f t="shared" si="53"/>
        <v>20</v>
      </c>
      <c r="I1332" s="7">
        <v>1</v>
      </c>
      <c r="J1332" s="18">
        <f t="shared" si="52"/>
        <v>21</v>
      </c>
      <c r="K1332" s="10">
        <f t="shared" si="51"/>
        <v>360</v>
      </c>
      <c r="L1332" s="21">
        <f t="shared" si="50"/>
        <v>91.304347826086953</v>
      </c>
    </row>
    <row r="1333" spans="1:12" s="72" customFormat="1" ht="25.95" customHeight="1">
      <c r="A1333" s="12">
        <v>1331</v>
      </c>
      <c r="B1333" s="6">
        <v>20</v>
      </c>
      <c r="C1333" s="6">
        <v>72</v>
      </c>
      <c r="D1333" s="20" t="str">
        <f>IF(C1333&lt;&gt;"", IFERROR(INDEX('بنود العقد'!B$3:B$388,C1333), "⚠"), "")</f>
        <v>طبقة من اللياسة الأسمنتية فوق الأسطح الخرسانية والجدران الداخلية  بسمك متوسط 20 مم على طبقات  طرطشة بسمك 5 مم وضهارة 15 مم حسب المواصفات مع المعالجة اليومية  بالمياه لمنع التنميلات ويتم عمل افريز بين البلوك والخرسانة يملئ بمواد قابلة للدهان والسعر يشمل كامل الأكسسوارات اللازمة من شبك معدني ممدد وزوايا ونهايات معدنية  ومواد الترابط  وعمل تجاويف في طبقة اللياسة بعمق 10مم عرض 10مم  في الاعمدة  وفي الجدران ان وجدت حسب الرسومات والمناظير وتعليمات المهندس المشرف ذلك حسب الاصول الفنية وتعليمات المهندس المشرف. لياسة الجدران والأعمدة الداخلية  وتشمل جميع الإكسسوارات بإرتفاع 20 سم أعلي الأسقف الجبسيه لزوم الجدران الداخلية</v>
      </c>
      <c r="E1333" s="12" t="str">
        <f>IF(C1333&lt;&gt;"", IFERROR(INDEX('بنود العقد'!D$3:D$388,C1333), ""), "")</f>
        <v>م²</v>
      </c>
      <c r="F1333" s="9">
        <f>IF(C1333&lt;&gt;"", IFERROR(INDEX('بنود العقد'!E$3:E$388,C1333), 0), "")</f>
        <v>42</v>
      </c>
      <c r="G1333" s="9">
        <f>IF(C1333&lt;&gt;"", IFERROR(INDEX('بنود العقد'!F$3:F$388,C1333), 0), "")</f>
        <v>758</v>
      </c>
      <c r="H1333" s="18">
        <f t="shared" si="53"/>
        <v>9245.0040000000008</v>
      </c>
      <c r="I1333" s="7">
        <v>680.95</v>
      </c>
      <c r="J1333" s="18">
        <f t="shared" si="52"/>
        <v>9925.9540000000015</v>
      </c>
      <c r="K1333" s="10">
        <f t="shared" si="51"/>
        <v>28599.9</v>
      </c>
      <c r="L1333" s="21">
        <f t="shared" si="50"/>
        <v>1309.4926121372034</v>
      </c>
    </row>
    <row r="1334" spans="1:12" s="72" customFormat="1" ht="25.95" customHeight="1">
      <c r="A1334" s="12">
        <v>1332</v>
      </c>
      <c r="B1334" s="6">
        <v>20</v>
      </c>
      <c r="C1334" s="6">
        <v>73</v>
      </c>
      <c r="D1334" s="20" t="str">
        <f>IF(C1334&lt;&gt;"", IFERROR(INDEX('بنود العقد'!B$3:B$388,C1334), "⚠"), "")</f>
        <v xml:space="preserve">توريد وتركيب قاطع جداري ثخانة 100مم ذو الواح اسمنتية مقاوم للحريق  ثخانة 12مم تركب من الجهتين )طبقات مزدوجة(  لدورات المياه والأوفيس ويشمل المسامير المعدنية و المزالج / الأعضاء المعدنية الساندة والسكك والغطاء العازل للصوت )صوف صخري( وكل الاكسسوارات حسب المخطط والمواصفات وتعليمات المهندس المشرف. </v>
      </c>
      <c r="E1334" s="12" t="str">
        <f>IF(C1334&lt;&gt;"", IFERROR(INDEX('بنود العقد'!D$3:D$388,C1334), ""), "")</f>
        <v>م²</v>
      </c>
      <c r="F1334" s="9">
        <f>IF(C1334&lt;&gt;"", IFERROR(INDEX('بنود العقد'!E$3:E$388,C1334), 0), "")</f>
        <v>180</v>
      </c>
      <c r="G1334" s="9">
        <f>IF(C1334&lt;&gt;"", IFERROR(INDEX('بنود العقد'!F$3:F$388,C1334), 0), "")</f>
        <v>3507</v>
      </c>
      <c r="H1334" s="18">
        <f t="shared" si="53"/>
        <v>120</v>
      </c>
      <c r="I1334" s="7">
        <v>252.88</v>
      </c>
      <c r="J1334" s="18">
        <f t="shared" si="52"/>
        <v>372.88</v>
      </c>
      <c r="K1334" s="10">
        <f t="shared" si="51"/>
        <v>45518.400000000001</v>
      </c>
      <c r="L1334" s="21">
        <f t="shared" si="50"/>
        <v>10.632449386940404</v>
      </c>
    </row>
    <row r="1335" spans="1:12" s="72" customFormat="1" ht="25.95" customHeight="1">
      <c r="A1335" s="12">
        <v>1333</v>
      </c>
      <c r="B1335" s="6">
        <v>20</v>
      </c>
      <c r="C1335" s="6">
        <v>74</v>
      </c>
      <c r="D1335" s="20" t="str">
        <f>IF(C1335&lt;&gt;"", IFERROR(INDEX('بنود العقد'!B$3:B$388,C1335), "⚠"), "")</f>
        <v>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v>
      </c>
      <c r="E1335" s="12" t="str">
        <f>IF(C1335&lt;&gt;"", IFERROR(INDEX('بنود العقد'!D$3:D$388,C1335), ""), "")</f>
        <v>م²</v>
      </c>
      <c r="F1335" s="9">
        <f>IF(C1335&lt;&gt;"", IFERROR(INDEX('بنود العقد'!E$3:E$388,C1335), 0), "")</f>
        <v>180</v>
      </c>
      <c r="G1335" s="9">
        <f>IF(C1335&lt;&gt;"", IFERROR(INDEX('بنود العقد'!F$3:F$388,C1335), 0), "")</f>
        <v>12526</v>
      </c>
      <c r="H1335" s="18">
        <f t="shared" si="53"/>
        <v>13091</v>
      </c>
      <c r="I1335" s="7">
        <v>138.13</v>
      </c>
      <c r="J1335" s="18">
        <f t="shared" si="52"/>
        <v>13229.13</v>
      </c>
      <c r="K1335" s="10">
        <f t="shared" si="51"/>
        <v>24863.399999999998</v>
      </c>
      <c r="L1335" s="21">
        <f t="shared" si="50"/>
        <v>105.61336420245888</v>
      </c>
    </row>
    <row r="1336" spans="1:12" s="72" customFormat="1" ht="25.95" customHeight="1">
      <c r="A1336" s="12">
        <v>1334</v>
      </c>
      <c r="B1336" s="6">
        <v>20</v>
      </c>
      <c r="C1336" s="6">
        <v>75</v>
      </c>
      <c r="D1336" s="20" t="str">
        <f>IF(C1336&lt;&gt;"", IFERROR(INDEX('بنود العقد'!B$3:B$388,C1336), "⚠"), "")</f>
        <v>توريد وتركيب أسقف معلقة من الالواح الجبسيه )01-GBC( ثخانة 12 مم المقاومة للحريق شاملة نظام التعليق وضبط الحواف والزوايا وأبواب لفتحات الكشف بالأسقف لأعمال الصيانة )أبواب جاهزة من النوع السهل الاستعمال والمزود بمفصلات مخفية( والإكسسوارات. ويشمل السعر أي مواد أو أعمال يتطلبها استكمال العمل حسب المواصفات والمخططات.</v>
      </c>
      <c r="E1336" s="12" t="str">
        <f>IF(C1336&lt;&gt;"", IFERROR(INDEX('بنود العقد'!D$3:D$388,C1336), ""), "")</f>
        <v>م²</v>
      </c>
      <c r="F1336" s="9">
        <f>IF(C1336&lt;&gt;"", IFERROR(INDEX('بنود العقد'!E$3:E$388,C1336), 0), "")</f>
        <v>150</v>
      </c>
      <c r="G1336" s="9">
        <f>IF(C1336&lt;&gt;"", IFERROR(INDEX('بنود العقد'!F$3:F$388,C1336), 0), "")</f>
        <v>24468</v>
      </c>
      <c r="H1336" s="18">
        <f t="shared" si="53"/>
        <v>24563.000070000002</v>
      </c>
      <c r="I1336" s="7">
        <v>250.99</v>
      </c>
      <c r="J1336" s="18">
        <f t="shared" si="52"/>
        <v>24813.990070000003</v>
      </c>
      <c r="K1336" s="10">
        <f t="shared" si="51"/>
        <v>37648.5</v>
      </c>
      <c r="L1336" s="21">
        <f t="shared" si="50"/>
        <v>101.41405129148278</v>
      </c>
    </row>
    <row r="1337" spans="1:12" s="72" customFormat="1" ht="25.95" customHeight="1">
      <c r="A1337" s="12">
        <v>1335</v>
      </c>
      <c r="B1337" s="6">
        <v>20</v>
      </c>
      <c r="C1337" s="6">
        <v>76</v>
      </c>
      <c r="D1337" s="20" t="str">
        <f>IF(C1337&lt;&gt;"", IFERROR(INDEX('بنود العقد'!B$3:B$388,C1337), "⚠"), "")</f>
        <v>توريد وتركيب أسقف معلقة من الالواح الجبسيه  )02-GBC( ثخانة 12 مم المقاومة للرطوبة شاملة نظام التعليق وضبط الحواف والزوايا وأبواب لفتحات الكشف بالأسقف لأعمال الصيانة )أبواب جاهزة من النوع السهل الاستعمال والمزود بمفصلات مخفية( واالإكسسوارات. ويشمل السعر أي مواد أو أعمال يتطلبها استكمال العمل حسب المواصفات والمخططات وتعليمات المهندس المشرف.</v>
      </c>
      <c r="E1337" s="12" t="str">
        <f>IF(C1337&lt;&gt;"", IFERROR(INDEX('بنود العقد'!D$3:D$388,C1337), ""), "")</f>
        <v>م²</v>
      </c>
      <c r="F1337" s="9">
        <f>IF(C1337&lt;&gt;"", IFERROR(INDEX('بنود العقد'!E$3:E$388,C1337), 0), "")</f>
        <v>150</v>
      </c>
      <c r="G1337" s="9">
        <f>IF(C1337&lt;&gt;"", IFERROR(INDEX('بنود العقد'!F$3:F$388,C1337), 0), "")</f>
        <v>1091</v>
      </c>
      <c r="H1337" s="18">
        <f t="shared" si="53"/>
        <v>1130</v>
      </c>
      <c r="I1337" s="7">
        <v>72.819999999999993</v>
      </c>
      <c r="J1337" s="18">
        <f t="shared" si="52"/>
        <v>1202.82</v>
      </c>
      <c r="K1337" s="10">
        <f t="shared" si="51"/>
        <v>10922.999999999998</v>
      </c>
      <c r="L1337" s="21">
        <f t="shared" si="50"/>
        <v>110.2493125572869</v>
      </c>
    </row>
    <row r="1338" spans="1:12" s="72" customFormat="1" ht="25.95" customHeight="1">
      <c r="A1338" s="12">
        <v>1336</v>
      </c>
      <c r="B1338" s="6">
        <v>20</v>
      </c>
      <c r="C1338" s="6">
        <v>77</v>
      </c>
      <c r="D1338" s="20" t="str">
        <f>IF(C1338&lt;&gt;"", IFERROR(INDEX('بنود العقد'!B$3:B$388,C1338), "⚠"), "")</f>
        <v>600×600مم توريد وتركيب اسقف اصطناعية  والسعر يشمل نظام التعليق من الحديد المجفلن مع جميع الاكسسوارات وكل مايلزم حسب المواصفات والمخططات وتعليمات الشركة المصنعة .</v>
      </c>
      <c r="E1338" s="12" t="str">
        <f>IF(C1338&lt;&gt;"", IFERROR(INDEX('بنود العقد'!D$3:D$388,C1338), ""), "")</f>
        <v>م²</v>
      </c>
      <c r="F1338" s="9">
        <f>IF(C1338&lt;&gt;"", IFERROR(INDEX('بنود العقد'!E$3:E$388,C1338), 0), "")</f>
        <v>150</v>
      </c>
      <c r="G1338" s="9">
        <f>IF(C1338&lt;&gt;"", IFERROR(INDEX('بنود العقد'!F$3:F$388,C1338), 0), "")</f>
        <v>3323</v>
      </c>
      <c r="H1338" s="18">
        <f t="shared" si="53"/>
        <v>2903</v>
      </c>
      <c r="I1338" s="7">
        <v>179.1</v>
      </c>
      <c r="J1338" s="18">
        <f t="shared" si="52"/>
        <v>3082.1</v>
      </c>
      <c r="K1338" s="10">
        <f t="shared" si="51"/>
        <v>26865</v>
      </c>
      <c r="L1338" s="21">
        <f t="shared" si="50"/>
        <v>92.750526632560934</v>
      </c>
    </row>
    <row r="1339" spans="1:12" s="72" customFormat="1" ht="25.95" customHeight="1">
      <c r="A1339" s="12">
        <v>1337</v>
      </c>
      <c r="B1339" s="6">
        <v>20</v>
      </c>
      <c r="C1339" s="6">
        <v>79</v>
      </c>
      <c r="D1339" s="20" t="str">
        <f>IF(C1339&lt;&gt;"", IFERROR(INDEX('بنود العقد'!B$3:B$388,C1339), "⚠"), "")</f>
        <v xml:space="preserve"> أرضيات بورسلان 01-PT مقاس 600×600×12مم فرز اول بالمقاسات والالوان المطلوبة لدورات المياه الخاصة بمكاتب الوكلاء ومساعدين الوكلاء العامة ومنطقة التنفيذيين بالدور السادس  طبقاً للمخططات والمواصفات.</v>
      </c>
      <c r="E1339" s="12" t="str">
        <f>IF(C1339&lt;&gt;"", IFERROR(INDEX('بنود العقد'!D$3:D$388,C1339), ""), "")</f>
        <v>م²</v>
      </c>
      <c r="F1339" s="9">
        <f>IF(C1339&lt;&gt;"", IFERROR(INDEX('بنود العقد'!E$3:E$388,C1339), 0), "")</f>
        <v>120</v>
      </c>
      <c r="G1339" s="9">
        <f>IF(C1339&lt;&gt;"", IFERROR(INDEX('بنود العقد'!F$3:F$388,C1339), 0), "")</f>
        <v>140</v>
      </c>
      <c r="H1339" s="18">
        <f t="shared" ref="H1339:H1402" si="54">IFERROR(SUMIFS(I$3:I$1805, B$3:B$1805, "&lt;"&amp;B1339, C$3:C$1805, C1339), 0)</f>
        <v>115</v>
      </c>
      <c r="I1339" s="7">
        <v>10.5</v>
      </c>
      <c r="J1339" s="18">
        <f t="shared" si="52"/>
        <v>125.5</v>
      </c>
      <c r="K1339" s="10">
        <f t="shared" si="51"/>
        <v>1260</v>
      </c>
      <c r="L1339" s="21">
        <f t="shared" si="50"/>
        <v>89.642857142857153</v>
      </c>
    </row>
    <row r="1340" spans="1:12" s="72" customFormat="1" ht="25.95" customHeight="1">
      <c r="A1340" s="12">
        <v>1338</v>
      </c>
      <c r="B1340" s="6">
        <v>20</v>
      </c>
      <c r="C1340" s="6">
        <v>80</v>
      </c>
      <c r="D1340" s="20" t="str">
        <f>IF(C1340&lt;&gt;"", IFERROR(INDEX('بنود العقد'!B$3:B$388,C1340), "⚠"), "")</f>
        <v xml:space="preserve"> أرضيات بورسلان 02-PTمقاس 600×600×12مم فرز اول بالمقاسات والالوان المطلوبة لدورات المياه الخاصة بمكاتب المدراء العامين  طبقاً للمخططات والمواصفات.</v>
      </c>
      <c r="E1340" s="12" t="str">
        <f>IF(C1340&lt;&gt;"", IFERROR(INDEX('بنود العقد'!D$3:D$388,C1340), ""), "")</f>
        <v>م²</v>
      </c>
      <c r="F1340" s="9">
        <f>IF(C1340&lt;&gt;"", IFERROR(INDEX('بنود العقد'!E$3:E$388,C1340), 0), "")</f>
        <v>120</v>
      </c>
      <c r="G1340" s="9">
        <f>IF(C1340&lt;&gt;"", IFERROR(INDEX('بنود العقد'!F$3:F$388,C1340), 0), "")</f>
        <v>246</v>
      </c>
      <c r="H1340" s="18">
        <f t="shared" si="54"/>
        <v>210</v>
      </c>
      <c r="I1340" s="7">
        <v>14.51</v>
      </c>
      <c r="J1340" s="18">
        <f t="shared" si="52"/>
        <v>224.51</v>
      </c>
      <c r="K1340" s="10">
        <f t="shared" si="51"/>
        <v>1741.2</v>
      </c>
      <c r="L1340" s="21">
        <f t="shared" si="50"/>
        <v>91.264227642276424</v>
      </c>
    </row>
    <row r="1341" spans="1:12" s="72" customFormat="1" ht="25.95" customHeight="1">
      <c r="A1341" s="12">
        <v>1339</v>
      </c>
      <c r="B1341" s="6">
        <v>20</v>
      </c>
      <c r="C1341" s="6">
        <v>81</v>
      </c>
      <c r="D1341" s="20" t="str">
        <f>IF(C1341&lt;&gt;"", IFERROR(INDEX('بنود العقد'!B$3:B$388,C1341), "⚠"), "")</f>
        <v xml:space="preserve"> أرضيات بورسلان03-PT مقاس 600×600×12مم فرز ثاني بالمقاسات والالوان المطلوبة لدورات المياة العامة  طبقاً للمخططات والمواصفات.</v>
      </c>
      <c r="E1341" s="12" t="str">
        <f>IF(C1341&lt;&gt;"", IFERROR(INDEX('بنود العقد'!D$3:D$388,C1341), ""), "")</f>
        <v>م²</v>
      </c>
      <c r="F1341" s="9">
        <f>IF(C1341&lt;&gt;"", IFERROR(INDEX('بنود العقد'!E$3:E$388,C1341), 0), "")</f>
        <v>120</v>
      </c>
      <c r="G1341" s="9">
        <f>IF(C1341&lt;&gt;"", IFERROR(INDEX('بنود العقد'!F$3:F$388,C1341), 0), "")</f>
        <v>1407</v>
      </c>
      <c r="H1341" s="18">
        <f t="shared" si="54"/>
        <v>1300.0002500000001</v>
      </c>
      <c r="I1341" s="7">
        <v>236.92</v>
      </c>
      <c r="J1341" s="18">
        <f t="shared" si="52"/>
        <v>1536.9202500000001</v>
      </c>
      <c r="K1341" s="10">
        <f t="shared" si="51"/>
        <v>28430.399999999998</v>
      </c>
      <c r="L1341" s="21">
        <f t="shared" si="50"/>
        <v>109.2338486140725</v>
      </c>
    </row>
    <row r="1342" spans="1:12" s="72" customFormat="1" ht="25.95" customHeight="1">
      <c r="A1342" s="12">
        <v>1340</v>
      </c>
      <c r="B1342" s="6">
        <v>20</v>
      </c>
      <c r="C1342" s="6">
        <v>82</v>
      </c>
      <c r="D1342" s="20" t="str">
        <f>IF(C1342&lt;&gt;"", IFERROR(INDEX('بنود العقد'!B$3:B$388,C1342), "⚠"), "")</f>
        <v xml:space="preserve"> أرضيات بورسلان04-PT مقاس 600×600×12مم فرز ثاني بالمقاسات والالوان المطلوبة لغرف الأرشيف والمخازن والمطبخ طبقاً للمخططات والمواصفات.</v>
      </c>
      <c r="E1342" s="12" t="str">
        <f>IF(C1342&lt;&gt;"", IFERROR(INDEX('بنود العقد'!D$3:D$388,C1342), ""), "")</f>
        <v>م²</v>
      </c>
      <c r="F1342" s="9">
        <f>IF(C1342&lt;&gt;"", IFERROR(INDEX('بنود العقد'!E$3:E$388,C1342), 0), "")</f>
        <v>120</v>
      </c>
      <c r="G1342" s="9">
        <f>IF(C1342&lt;&gt;"", IFERROR(INDEX('بنود العقد'!F$3:F$388,C1342), 0), "")</f>
        <v>735</v>
      </c>
      <c r="H1342" s="18">
        <f t="shared" si="54"/>
        <v>160</v>
      </c>
      <c r="I1342" s="7">
        <v>7.25</v>
      </c>
      <c r="J1342" s="18">
        <f t="shared" si="52"/>
        <v>167.25</v>
      </c>
      <c r="K1342" s="10">
        <f t="shared" si="51"/>
        <v>870</v>
      </c>
      <c r="L1342" s="21">
        <f t="shared" si="50"/>
        <v>22.755102040816329</v>
      </c>
    </row>
    <row r="1343" spans="1:12" s="72" customFormat="1" ht="25.95" customHeight="1">
      <c r="A1343" s="12">
        <v>1341</v>
      </c>
      <c r="B1343" s="6">
        <v>20</v>
      </c>
      <c r="C1343" s="6">
        <v>85</v>
      </c>
      <c r="D1343" s="20" t="str">
        <f>IF(C1343&lt;&gt;"", IFERROR(INDEX('بنود العقد'!B$3:B$388,C1343), "⚠"), "")</f>
        <v xml:space="preserve"> جدران بورسلان (PW-03(type A&amp;B  مقاس 600×300×12مم فرز ثاني بالمقاسات والالوان المطلوبة لدورات المياة العامة  طبقاً للمخططات والمواصفات.</v>
      </c>
      <c r="E1343" s="12" t="str">
        <f>IF(C1343&lt;&gt;"", IFERROR(INDEX('بنود العقد'!D$3:D$388,C1343), ""), "")</f>
        <v>م²</v>
      </c>
      <c r="F1343" s="9">
        <f>IF(C1343&lt;&gt;"", IFERROR(INDEX('بنود العقد'!E$3:E$388,C1343), 0), "")</f>
        <v>96</v>
      </c>
      <c r="G1343" s="9">
        <f>IF(C1343&lt;&gt;"", IFERROR(INDEX('بنود العقد'!F$3:F$388,C1343), 0), "")</f>
        <v>2648</v>
      </c>
      <c r="H1343" s="18">
        <f t="shared" si="54"/>
        <v>2210</v>
      </c>
      <c r="I1343" s="7">
        <v>65.16</v>
      </c>
      <c r="J1343" s="18">
        <f t="shared" si="52"/>
        <v>2275.16</v>
      </c>
      <c r="K1343" s="10">
        <f t="shared" si="51"/>
        <v>6255.36</v>
      </c>
      <c r="L1343" s="21">
        <f t="shared" si="50"/>
        <v>85.919939577039273</v>
      </c>
    </row>
    <row r="1344" spans="1:12" s="72" customFormat="1" ht="25.95" customHeight="1">
      <c r="A1344" s="12">
        <v>1342</v>
      </c>
      <c r="B1344" s="6">
        <v>20</v>
      </c>
      <c r="C1344" s="6">
        <v>86</v>
      </c>
      <c r="D1344" s="20" t="str">
        <f>IF(C1344&lt;&gt;"", IFERROR(INDEX('بنود العقد'!B$3:B$388,C1344), "⚠"), "")</f>
        <v xml:space="preserve"> وزرة من بورسلان بسماكة 12مم  100*600 مم والسعر يشمل التثبيت  بالغراء والشطف وكل ما يلزم لانهاء العمل حسب الاصول الفنية وتعليمات المهندس المشرف.Ref. Drawings: 07-MRA-DD-(as per floor number)-AR-300</v>
      </c>
      <c r="E1344" s="12" t="str">
        <f>IF(C1344&lt;&gt;"", IFERROR(INDEX('بنود العقد'!D$3:D$388,C1344), ""), "")</f>
        <v>م.ط</v>
      </c>
      <c r="F1344" s="9">
        <f>IF(C1344&lt;&gt;"", IFERROR(INDEX('بنود العقد'!E$3:E$388,C1344), 0), "")</f>
        <v>120</v>
      </c>
      <c r="G1344" s="9">
        <f>IF(C1344&lt;&gt;"", IFERROR(INDEX('بنود العقد'!F$3:F$388,C1344), 0), "")</f>
        <v>567</v>
      </c>
      <c r="H1344" s="18">
        <f t="shared" si="54"/>
        <v>284</v>
      </c>
      <c r="I1344" s="7">
        <v>28.23</v>
      </c>
      <c r="J1344" s="18">
        <f t="shared" si="52"/>
        <v>312.23</v>
      </c>
      <c r="K1344" s="10">
        <f t="shared" si="51"/>
        <v>3387.6</v>
      </c>
      <c r="L1344" s="21">
        <f t="shared" si="50"/>
        <v>55.067019400352734</v>
      </c>
    </row>
    <row r="1345" spans="1:12" s="72" customFormat="1" ht="25.95" customHeight="1">
      <c r="A1345" s="12">
        <v>1343</v>
      </c>
      <c r="B1345" s="6">
        <v>20</v>
      </c>
      <c r="C1345" s="6">
        <v>93</v>
      </c>
      <c r="D1345" s="20" t="str">
        <f>IF(C1345&lt;&gt;"", IFERROR(INDEX('بنود العقد'!B$3:B$388,C1345), "⚠"), "")</f>
        <v>رخام 03-MR ثاسوس ابيض لحمام معالي الوزير مقاس 900×900 مم  بحسب اعتماد المهندس سماكة 20مم</v>
      </c>
      <c r="E1345" s="12" t="str">
        <f>IF(C1345&lt;&gt;"", IFERROR(INDEX('بنود العقد'!D$3:D$388,C1345), ""), "")</f>
        <v>م²</v>
      </c>
      <c r="F1345" s="9">
        <f>IF(C1345&lt;&gt;"", IFERROR(INDEX('بنود العقد'!E$3:E$388,C1345), 0), "")</f>
        <v>222</v>
      </c>
      <c r="G1345" s="9">
        <f>IF(C1345&lt;&gt;"", IFERROR(INDEX('بنود العقد'!F$3:F$388,C1345), 0), "")</f>
        <v>12</v>
      </c>
      <c r="H1345" s="18">
        <f t="shared" si="54"/>
        <v>0</v>
      </c>
      <c r="I1345" s="7">
        <v>12</v>
      </c>
      <c r="J1345" s="18">
        <f t="shared" si="52"/>
        <v>12</v>
      </c>
      <c r="K1345" s="10">
        <f t="shared" si="51"/>
        <v>2664</v>
      </c>
      <c r="L1345" s="21">
        <f t="shared" si="50"/>
        <v>100</v>
      </c>
    </row>
    <row r="1346" spans="1:12" s="72" customFormat="1" ht="25.95" customHeight="1">
      <c r="A1346" s="12">
        <v>1344</v>
      </c>
      <c r="B1346" s="6">
        <v>20</v>
      </c>
      <c r="C1346" s="6">
        <v>95</v>
      </c>
      <c r="D1346" s="20" t="str">
        <f>IF(C1346&lt;&gt;"", IFERROR(INDEX('بنود العقد'!B$3:B$388,C1346), "⚠"), "")</f>
        <v>معالجة وتنظيف وصقل وجلاء بلاط رخام الأرضيات والدرج مع بودرة الرخام المستخدم والتلميع 4 أوجه وملو الفواصل بمادة مقاومة للرطوبة والبكتيريا  والسعر يشمل جميع المواد والأعمال اللازمة لإتمام العمل المطلوب طبقا للمخططات والمواصفات الفنية وبحسب توجيهات واعتماد المهندس المشرف. رخام الأرضيات في المداخل و الممرات الرئيسية وبسطات الدرج.</v>
      </c>
      <c r="E1346" s="12" t="str">
        <f>IF(C1346&lt;&gt;"", IFERROR(INDEX('بنود العقد'!D$3:D$388,C1346), ""), "")</f>
        <v>م²</v>
      </c>
      <c r="F1346" s="9">
        <f>IF(C1346&lt;&gt;"", IFERROR(INDEX('بنود العقد'!E$3:E$388,C1346), 0), "")</f>
        <v>42</v>
      </c>
      <c r="G1346" s="9">
        <f>IF(C1346&lt;&gt;"", IFERROR(INDEX('بنود العقد'!F$3:F$388,C1346), 0), "")</f>
        <v>4800</v>
      </c>
      <c r="H1346" s="18">
        <f t="shared" si="54"/>
        <v>2740</v>
      </c>
      <c r="I1346" s="7">
        <v>735.88</v>
      </c>
      <c r="J1346" s="18">
        <f t="shared" si="52"/>
        <v>3475.88</v>
      </c>
      <c r="K1346" s="10">
        <f t="shared" si="51"/>
        <v>30906.959999999999</v>
      </c>
      <c r="L1346" s="21">
        <f t="shared" si="50"/>
        <v>72.414166666666674</v>
      </c>
    </row>
    <row r="1347" spans="1:12" s="72" customFormat="1" ht="25.95" customHeight="1">
      <c r="A1347" s="12">
        <v>1345</v>
      </c>
      <c r="B1347" s="6">
        <v>20</v>
      </c>
      <c r="C1347" s="6">
        <v>97</v>
      </c>
      <c r="D1347" s="20" t="str">
        <f>IF(C1347&lt;&gt;"", IFERROR(INDEX('بنود العقد'!B$3:B$388,C1347), "⚠"), "")</f>
        <v>رخام رمادي غامق تندر غراي مقاس 600×900 مم  سماكة  20مم  كإطار حول المصاعد</v>
      </c>
      <c r="E1347" s="12" t="str">
        <f>IF(C1347&lt;&gt;"", IFERROR(INDEX('بنود العقد'!D$3:D$388,C1347), ""), "")</f>
        <v>م²</v>
      </c>
      <c r="F1347" s="9">
        <f>IF(C1347&lt;&gt;"", IFERROR(INDEX('بنود العقد'!E$3:E$388,C1347), 0), "")</f>
        <v>300</v>
      </c>
      <c r="G1347" s="9">
        <f>IF(C1347&lt;&gt;"", IFERROR(INDEX('بنود العقد'!F$3:F$388,C1347), 0), "")</f>
        <v>101</v>
      </c>
      <c r="H1347" s="18">
        <f t="shared" si="54"/>
        <v>93</v>
      </c>
      <c r="I1347" s="7">
        <v>14</v>
      </c>
      <c r="J1347" s="18">
        <f t="shared" si="52"/>
        <v>107</v>
      </c>
      <c r="K1347" s="10">
        <f t="shared" si="51"/>
        <v>4200</v>
      </c>
      <c r="L1347" s="21">
        <f t="shared" si="50"/>
        <v>105.94059405940595</v>
      </c>
    </row>
    <row r="1348" spans="1:12" s="72" customFormat="1" ht="25.95" customHeight="1">
      <c r="A1348" s="12">
        <v>1346</v>
      </c>
      <c r="B1348" s="6">
        <v>20</v>
      </c>
      <c r="C1348" s="6">
        <v>98</v>
      </c>
      <c r="D1348" s="20" t="str">
        <f>IF(C1348&lt;&gt;"", IFERROR(INDEX('بنود العقد'!B$3:B$388,C1348), "⚠"), "")</f>
        <v>رخام ابيض ثاسوس  سماكة 20مم على جدران دورات مياه منطقة معالي الوزير</v>
      </c>
      <c r="E1348" s="12" t="str">
        <f>IF(C1348&lt;&gt;"", IFERROR(INDEX('بنود العقد'!D$3:D$388,C1348), ""), "")</f>
        <v>م²</v>
      </c>
      <c r="F1348" s="9">
        <f>IF(C1348&lt;&gt;"", IFERROR(INDEX('بنود العقد'!E$3:E$388,C1348), 0), "")</f>
        <v>300</v>
      </c>
      <c r="G1348" s="9">
        <f>IF(C1348&lt;&gt;"", IFERROR(INDEX('بنود العقد'!F$3:F$388,C1348), 0), "")</f>
        <v>43</v>
      </c>
      <c r="H1348" s="18">
        <f t="shared" si="54"/>
        <v>32</v>
      </c>
      <c r="I1348" s="7">
        <v>8</v>
      </c>
      <c r="J1348" s="18">
        <f t="shared" si="52"/>
        <v>40</v>
      </c>
      <c r="K1348" s="10">
        <f t="shared" si="51"/>
        <v>2400</v>
      </c>
      <c r="L1348" s="21">
        <f t="shared" si="50"/>
        <v>93.023255813953483</v>
      </c>
    </row>
    <row r="1349" spans="1:12" s="72" customFormat="1" ht="25.95" customHeight="1">
      <c r="A1349" s="12">
        <v>1347</v>
      </c>
      <c r="B1349" s="6">
        <v>20</v>
      </c>
      <c r="C1349" s="6">
        <v>99</v>
      </c>
      <c r="D1349" s="20" t="str">
        <f>IF(C1349&lt;&gt;"", IFERROR(INDEX('بنود العقد'!B$3:B$388,C1349), "⚠"), "")</f>
        <v>رخام أخضر داكن مثبت على قواطع السيمنت خلف مكاتب السكرتاريا وفي المدخل الرئيسي في منطقة معالي الوزير.</v>
      </c>
      <c r="E1349" s="12" t="str">
        <f>IF(C1349&lt;&gt;"", IFERROR(INDEX('بنود العقد'!D$3:D$388,C1349), ""), "")</f>
        <v>م²</v>
      </c>
      <c r="F1349" s="9">
        <f>IF(C1349&lt;&gt;"", IFERROR(INDEX('بنود العقد'!E$3:E$388,C1349), 0), "")</f>
        <v>300</v>
      </c>
      <c r="G1349" s="9">
        <f>IF(C1349&lt;&gt;"", IFERROR(INDEX('بنود العقد'!F$3:F$388,C1349), 0), "")</f>
        <v>43</v>
      </c>
      <c r="H1349" s="18">
        <f t="shared" si="54"/>
        <v>25</v>
      </c>
      <c r="I1349" s="7">
        <v>7</v>
      </c>
      <c r="J1349" s="18">
        <f t="shared" si="52"/>
        <v>32</v>
      </c>
      <c r="K1349" s="10">
        <f t="shared" si="51"/>
        <v>2100</v>
      </c>
      <c r="L1349" s="21">
        <f t="shared" si="50"/>
        <v>74.418604651162795</v>
      </c>
    </row>
    <row r="1350" spans="1:12" s="72" customFormat="1" ht="25.95" customHeight="1">
      <c r="A1350" s="12">
        <v>1348</v>
      </c>
      <c r="B1350" s="6">
        <v>20</v>
      </c>
      <c r="C1350" s="6">
        <v>100</v>
      </c>
      <c r="D1350" s="20" t="str">
        <f>IF(C1350&lt;&gt;"", IFERROR(INDEX('بنود العقد'!B$3:B$388,C1350), "⚠"), "")</f>
        <v>رخام  الحوائط والأعمدة والكمر والوزرات لمدخل كبار الشخصيات ومدخل الموظفين وعلى المصاعد وفي الممرات الرئيسية والوجهات الداخلية للفناء الوسطي.</v>
      </c>
      <c r="E1350" s="12" t="str">
        <f>IF(C1350&lt;&gt;"", IFERROR(INDEX('بنود العقد'!D$3:D$388,C1350), ""), "")</f>
        <v>م²</v>
      </c>
      <c r="F1350" s="9">
        <f>IF(C1350&lt;&gt;"", IFERROR(INDEX('بنود العقد'!E$3:E$388,C1350), 0), "")</f>
        <v>60</v>
      </c>
      <c r="G1350" s="9">
        <f>IF(C1350&lt;&gt;"", IFERROR(INDEX('بنود العقد'!F$3:F$388,C1350), 0), "")</f>
        <v>6000</v>
      </c>
      <c r="H1350" s="18">
        <f t="shared" si="54"/>
        <v>1339</v>
      </c>
      <c r="I1350" s="7">
        <v>288</v>
      </c>
      <c r="J1350" s="18">
        <f t="shared" si="52"/>
        <v>1627</v>
      </c>
      <c r="K1350" s="10">
        <f t="shared" si="51"/>
        <v>17280</v>
      </c>
      <c r="L1350" s="21">
        <f t="shared" si="50"/>
        <v>27.116666666666667</v>
      </c>
    </row>
    <row r="1351" spans="1:12" s="72" customFormat="1" ht="25.95" customHeight="1">
      <c r="A1351" s="12">
        <v>1349</v>
      </c>
      <c r="B1351" s="6">
        <v>20</v>
      </c>
      <c r="C1351" s="6">
        <v>101</v>
      </c>
      <c r="D1351" s="20" t="str">
        <f>IF(C1351&lt;&gt;"", IFERROR(INDEX('بنود العقد'!B$3:B$388,C1351), "⚠"), "")</f>
        <v>توريد وتركيب وزرة من الرخام  رمادي فاتح تندر غراي بسماكة 20مم 100*1000 مم والسعر يشمل التثبيت  بالغراء والشطف وكل ما يلزم لانهاء العمل حسب الاصول الفنية وتعليمات المهندس المشرف.</v>
      </c>
      <c r="E1351" s="12" t="str">
        <f>IF(C1351&lt;&gt;"", IFERROR(INDEX('بنود العقد'!D$3:D$388,C1351), ""), "")</f>
        <v>م.ط</v>
      </c>
      <c r="F1351" s="9">
        <f>IF(C1351&lt;&gt;"", IFERROR(INDEX('بنود العقد'!E$3:E$388,C1351), 0), "")</f>
        <v>90</v>
      </c>
      <c r="G1351" s="9">
        <f>IF(C1351&lt;&gt;"", IFERROR(INDEX('بنود العقد'!F$3:F$388,C1351), 0), "")</f>
        <v>400</v>
      </c>
      <c r="H1351" s="18">
        <f t="shared" si="54"/>
        <v>714</v>
      </c>
      <c r="I1351" s="7">
        <v>275.87</v>
      </c>
      <c r="J1351" s="18">
        <f t="shared" si="52"/>
        <v>989.87</v>
      </c>
      <c r="K1351" s="10">
        <f t="shared" si="51"/>
        <v>24828.3</v>
      </c>
      <c r="L1351" s="21">
        <f t="shared" si="50"/>
        <v>247.4675</v>
      </c>
    </row>
    <row r="1352" spans="1:12" s="72" customFormat="1" ht="25.95" customHeight="1">
      <c r="A1352" s="12">
        <v>1350</v>
      </c>
      <c r="B1352" s="6">
        <v>20</v>
      </c>
      <c r="C1352" s="6">
        <v>104</v>
      </c>
      <c r="D1352" s="20" t="str">
        <f>IF(C1352&lt;&gt;"", IFERROR(INDEX('بنود العقد'!B$3:B$388,C1352), "⚠"), "")</f>
        <v>Ref drawing: 07-MRA-DD-(as per floor number)-AR-300 مقاس 500×500 مم  لون رمادي لمنطقة المرور CT-01بلاط - سجاد</v>
      </c>
      <c r="E1352" s="12" t="str">
        <f>IF(C1352&lt;&gt;"", IFERROR(INDEX('بنود العقد'!D$3:D$388,C1352), ""), "")</f>
        <v>م²</v>
      </c>
      <c r="F1352" s="9">
        <f>IF(C1352&lt;&gt;"", IFERROR(INDEX('بنود العقد'!E$3:E$388,C1352), 0), "")</f>
        <v>156</v>
      </c>
      <c r="G1352" s="9">
        <f>IF(C1352&lt;&gt;"", IFERROR(INDEX('بنود العقد'!F$3:F$388,C1352), 0), "")</f>
        <v>3600</v>
      </c>
      <c r="H1352" s="18">
        <f t="shared" si="54"/>
        <v>2935</v>
      </c>
      <c r="I1352" s="7">
        <v>186.07</v>
      </c>
      <c r="J1352" s="18">
        <f t="shared" si="52"/>
        <v>3121.07</v>
      </c>
      <c r="K1352" s="10">
        <f t="shared" si="51"/>
        <v>29026.92</v>
      </c>
      <c r="L1352" s="21">
        <f t="shared" si="50"/>
        <v>86.696388888888904</v>
      </c>
    </row>
    <row r="1353" spans="1:12" s="72" customFormat="1" ht="25.95" customHeight="1">
      <c r="A1353" s="12">
        <v>1351</v>
      </c>
      <c r="B1353" s="6">
        <v>20</v>
      </c>
      <c r="C1353" s="6">
        <v>105</v>
      </c>
      <c r="D1353" s="20" t="str">
        <f>IF(C1353&lt;&gt;"", IFERROR(INDEX('بنود العقد'!B$3:B$388,C1353), "⚠"), "")</f>
        <v>بلاط - سجاد 02-CT مقاس 500× 500 مم لون أزرق فاتح لمحطة العمل وغرفة الاجتماعات</v>
      </c>
      <c r="E1353" s="12" t="str">
        <f>IF(C1353&lt;&gt;"", IFERROR(INDEX('بنود العقد'!D$3:D$388,C1353), ""), "")</f>
        <v>م²</v>
      </c>
      <c r="F1353" s="9">
        <f>IF(C1353&lt;&gt;"", IFERROR(INDEX('بنود العقد'!E$3:E$388,C1353), 0), "")</f>
        <v>156</v>
      </c>
      <c r="G1353" s="9">
        <f>IF(C1353&lt;&gt;"", IFERROR(INDEX('بنود العقد'!F$3:F$388,C1353), 0), "")</f>
        <v>6705</v>
      </c>
      <c r="H1353" s="18">
        <f t="shared" si="54"/>
        <v>5654</v>
      </c>
      <c r="I1353" s="7">
        <v>221.18</v>
      </c>
      <c r="J1353" s="18">
        <f t="shared" si="52"/>
        <v>5875.18</v>
      </c>
      <c r="K1353" s="10">
        <f t="shared" si="51"/>
        <v>34504.080000000002</v>
      </c>
      <c r="L1353" s="21">
        <f t="shared" si="50"/>
        <v>87.623862788963464</v>
      </c>
    </row>
    <row r="1354" spans="1:12" s="72" customFormat="1" ht="25.95" customHeight="1">
      <c r="A1354" s="12">
        <v>1352</v>
      </c>
      <c r="B1354" s="6">
        <v>20</v>
      </c>
      <c r="C1354" s="6">
        <v>106</v>
      </c>
      <c r="D1354" s="20" t="str">
        <f>IF(C1354&lt;&gt;"", IFERROR(INDEX('بنود العقد'!B$3:B$388,C1354), "⚠"), "")</f>
        <v>Ref drawing: 07-MRA-DD-(as per floor number)-AR-300 مقاس 500×500 مم لون بيج لمكتب المدير CT-03بلاط - سجاد</v>
      </c>
      <c r="E1354" s="12" t="str">
        <f>IF(C1354&lt;&gt;"", IFERROR(INDEX('بنود العقد'!D$3:D$388,C1354), ""), "")</f>
        <v>م²</v>
      </c>
      <c r="F1354" s="9">
        <f>IF(C1354&lt;&gt;"", IFERROR(INDEX('بنود العقد'!E$3:E$388,C1354), 0), "")</f>
        <v>156</v>
      </c>
      <c r="G1354" s="9">
        <f>IF(C1354&lt;&gt;"", IFERROR(INDEX('بنود العقد'!F$3:F$388,C1354), 0), "")</f>
        <v>1213</v>
      </c>
      <c r="H1354" s="18">
        <f t="shared" si="54"/>
        <v>1064</v>
      </c>
      <c r="I1354" s="7">
        <v>65.44</v>
      </c>
      <c r="J1354" s="18">
        <f t="shared" si="52"/>
        <v>1129.44</v>
      </c>
      <c r="K1354" s="10">
        <f t="shared" si="51"/>
        <v>10208.64</v>
      </c>
      <c r="L1354" s="21">
        <f t="shared" si="50"/>
        <v>93.111294311624079</v>
      </c>
    </row>
    <row r="1355" spans="1:12" s="72" customFormat="1" ht="25.95" customHeight="1">
      <c r="A1355" s="12">
        <v>1353</v>
      </c>
      <c r="B1355" s="6">
        <v>20</v>
      </c>
      <c r="C1355" s="6">
        <v>107</v>
      </c>
      <c r="D1355" s="20" t="str">
        <f>IF(C1355&lt;&gt;"", IFERROR(INDEX('بنود العقد'!B$3:B$388,C1355), "⚠"), "")</f>
        <v>Ref drawing: 07-MRA-DD-(as per floor number)-AR-300 مقاس 500×500 مم لمنطقة الاستقبال الرئيسية CT-04بلاط - سجاد</v>
      </c>
      <c r="E1355" s="12" t="str">
        <f>IF(C1355&lt;&gt;"", IFERROR(INDEX('بنود العقد'!D$3:D$388,C1355), ""), "")</f>
        <v>م²</v>
      </c>
      <c r="F1355" s="9">
        <f>IF(C1355&lt;&gt;"", IFERROR(INDEX('بنود العقد'!E$3:E$388,C1355), 0), "")</f>
        <v>15.6</v>
      </c>
      <c r="G1355" s="9">
        <f>IF(C1355&lt;&gt;"", IFERROR(INDEX('بنود العقد'!F$3:F$388,C1355), 0), "")</f>
        <v>543</v>
      </c>
      <c r="H1355" s="18">
        <f t="shared" si="54"/>
        <v>0</v>
      </c>
      <c r="I1355" s="7">
        <v>392.03</v>
      </c>
      <c r="J1355" s="18">
        <f t="shared" si="52"/>
        <v>392.03</v>
      </c>
      <c r="K1355" s="10">
        <f t="shared" si="51"/>
        <v>6115.6679999999997</v>
      </c>
      <c r="L1355" s="21">
        <f t="shared" si="50"/>
        <v>72.197053406998151</v>
      </c>
    </row>
    <row r="1356" spans="1:12" s="72" customFormat="1" ht="25.95" customHeight="1">
      <c r="A1356" s="12">
        <v>1354</v>
      </c>
      <c r="B1356" s="6">
        <v>20</v>
      </c>
      <c r="C1356" s="6">
        <v>108</v>
      </c>
      <c r="D1356" s="20" t="str">
        <f>IF(C1356&lt;&gt;"", IFERROR(INDEX('بنود العقد'!B$3:B$388,C1356), "⚠"), "")</f>
        <v>بلاط - سجاد05-CT مقاس 500×500 مم لغرف خدمة العملاء مع تصميم بشكل مثلث وألوان مختلفة</v>
      </c>
      <c r="E1356" s="12" t="str">
        <f>IF(C1356&lt;&gt;"", IFERROR(INDEX('بنود العقد'!D$3:D$388,C1356), ""), "")</f>
        <v>م²</v>
      </c>
      <c r="F1356" s="9">
        <f>IF(C1356&lt;&gt;"", IFERROR(INDEX('بنود العقد'!E$3:E$388,C1356), 0), "")</f>
        <v>156</v>
      </c>
      <c r="G1356" s="9">
        <f>IF(C1356&lt;&gt;"", IFERROR(INDEX('بنود العقد'!F$3:F$388,C1356), 0), "")</f>
        <v>735</v>
      </c>
      <c r="H1356" s="18">
        <f t="shared" si="54"/>
        <v>616.75</v>
      </c>
      <c r="I1356" s="7">
        <v>16.739999999999998</v>
      </c>
      <c r="J1356" s="18">
        <f t="shared" si="52"/>
        <v>633.49</v>
      </c>
      <c r="K1356" s="10">
        <f t="shared" si="51"/>
        <v>2611.4399999999996</v>
      </c>
      <c r="L1356" s="21">
        <f t="shared" si="50"/>
        <v>86.1891156462585</v>
      </c>
    </row>
    <row r="1357" spans="1:12" s="72" customFormat="1" ht="25.95" customHeight="1">
      <c r="A1357" s="12">
        <v>1355</v>
      </c>
      <c r="B1357" s="6">
        <v>20</v>
      </c>
      <c r="C1357" s="6">
        <v>109</v>
      </c>
      <c r="D1357" s="20" t="str">
        <f>IF(C1357&lt;&gt;"", IFERROR(INDEX('بنود العقد'!B$3:B$388,C1357), "⚠"), "")</f>
        <v>Ref drawing: 07-MRA-DD-(as per floor number)-AR-300 مقاس 500×500 مم لمركز الأعمال CT-06بلاط - سجاد</v>
      </c>
      <c r="E1357" s="12" t="str">
        <f>IF(C1357&lt;&gt;"", IFERROR(INDEX('بنود العقد'!D$3:D$388,C1357), ""), "")</f>
        <v>م²</v>
      </c>
      <c r="F1357" s="9">
        <f>IF(C1357&lt;&gt;"", IFERROR(INDEX('بنود العقد'!E$3:E$388,C1357), 0), "")</f>
        <v>156</v>
      </c>
      <c r="G1357" s="9">
        <f>IF(C1357&lt;&gt;"", IFERROR(INDEX('بنود العقد'!F$3:F$388,C1357), 0), "")</f>
        <v>109</v>
      </c>
      <c r="H1357" s="18">
        <f t="shared" si="54"/>
        <v>52.29</v>
      </c>
      <c r="I1357" s="7">
        <v>-52.29</v>
      </c>
      <c r="J1357" s="18">
        <f t="shared" si="52"/>
        <v>0</v>
      </c>
      <c r="K1357" s="10">
        <f t="shared" si="51"/>
        <v>-8157.24</v>
      </c>
      <c r="L1357" s="21">
        <f t="shared" si="50"/>
        <v>0</v>
      </c>
    </row>
    <row r="1358" spans="1:12" s="72" customFormat="1" ht="25.95" customHeight="1">
      <c r="A1358" s="12">
        <v>1356</v>
      </c>
      <c r="B1358" s="6">
        <v>20</v>
      </c>
      <c r="C1358" s="6">
        <v>110</v>
      </c>
      <c r="D1358" s="20" t="str">
        <f>IF(C1358&lt;&gt;"", IFERROR(INDEX('بنود العقد'!B$3:B$388,C1358), "⚠"), "")</f>
        <v>بلاط - سجاد 01-CR مقاس 500×500 مم لمكتب الرئيس ونائب الرئيس والصالة والسكرتارية وغرفة الاجتماعات الكبيرة.</v>
      </c>
      <c r="E1358" s="12" t="str">
        <f>IF(C1358&lt;&gt;"", IFERROR(INDEX('بنود العقد'!D$3:D$388,C1358), ""), "")</f>
        <v>م²</v>
      </c>
      <c r="F1358" s="9">
        <f>IF(C1358&lt;&gt;"", IFERROR(INDEX('بنود العقد'!E$3:E$388,C1358), 0), "")</f>
        <v>156</v>
      </c>
      <c r="G1358" s="9">
        <f>IF(C1358&lt;&gt;"", IFERROR(INDEX('بنود العقد'!F$3:F$388,C1358), 0), "")</f>
        <v>2140</v>
      </c>
      <c r="H1358" s="18">
        <f t="shared" si="54"/>
        <v>2079</v>
      </c>
      <c r="I1358" s="7">
        <v>98.5</v>
      </c>
      <c r="J1358" s="18">
        <f t="shared" si="52"/>
        <v>2177.5</v>
      </c>
      <c r="K1358" s="10">
        <f t="shared" si="51"/>
        <v>15366</v>
      </c>
      <c r="L1358" s="21">
        <f t="shared" si="50"/>
        <v>101.75233644859813</v>
      </c>
    </row>
    <row r="1359" spans="1:12" s="72" customFormat="1" ht="25.95" customHeight="1">
      <c r="A1359" s="12">
        <v>1357</v>
      </c>
      <c r="B1359" s="6">
        <v>20</v>
      </c>
      <c r="C1359" s="6">
        <v>111</v>
      </c>
      <c r="D1359" s="20" t="str">
        <f>IF(C1359&lt;&gt;"", IFERROR(INDEX('بنود العقد'!B$3:B$388,C1359), "⚠"), "")</f>
        <v>بلاط - سجاد 02-CR مقاس 500×500 مم لمكتب الرئيس ونائب الرئيس على شكل مثلثات لون بيج، رمادي فاتح ورمادي غامق.</v>
      </c>
      <c r="E1359" s="12" t="str">
        <f>IF(C1359&lt;&gt;"", IFERROR(INDEX('بنود العقد'!D$3:D$388,C1359), ""), "")</f>
        <v>م²</v>
      </c>
      <c r="F1359" s="9">
        <f>IF(C1359&lt;&gt;"", IFERROR(INDEX('بنود العقد'!E$3:E$388,C1359), 0), "")</f>
        <v>156</v>
      </c>
      <c r="G1359" s="9">
        <f>IF(C1359&lt;&gt;"", IFERROR(INDEX('بنود العقد'!F$3:F$388,C1359), 0), "")</f>
        <v>303</v>
      </c>
      <c r="H1359" s="18">
        <f t="shared" si="54"/>
        <v>251</v>
      </c>
      <c r="I1359" s="7">
        <v>17.440000000000001</v>
      </c>
      <c r="J1359" s="18">
        <f t="shared" si="52"/>
        <v>268.44</v>
      </c>
      <c r="K1359" s="10">
        <f t="shared" si="51"/>
        <v>2720.6400000000003</v>
      </c>
      <c r="L1359" s="21">
        <f t="shared" si="50"/>
        <v>88.594059405940598</v>
      </c>
    </row>
    <row r="1360" spans="1:12" s="72" customFormat="1" ht="25.95" customHeight="1">
      <c r="A1360" s="12">
        <v>1358</v>
      </c>
      <c r="B1360" s="6">
        <v>20</v>
      </c>
      <c r="C1360" s="6">
        <v>112</v>
      </c>
      <c r="D1360" s="20" t="str">
        <f>IF(C1360&lt;&gt;"", IFERROR(INDEX('بنود العقد'!B$3:B$388,C1360), "⚠"), "")</f>
        <v>300-Ref drawing: 07-MRA-DD-(as per floor number)-ARبلاط - سجاد 03-CR مقاس 500×500 مم للمدير العام ومنطقة السكرتارية</v>
      </c>
      <c r="E1360" s="12" t="str">
        <f>IF(C1360&lt;&gt;"", IFERROR(INDEX('بنود العقد'!D$3:D$388,C1360), ""), "")</f>
        <v>م²</v>
      </c>
      <c r="F1360" s="9">
        <f>IF(C1360&lt;&gt;"", IFERROR(INDEX('بنود العقد'!E$3:E$388,C1360), 0), "")</f>
        <v>156</v>
      </c>
      <c r="G1360" s="9">
        <f>IF(C1360&lt;&gt;"", IFERROR(INDEX('بنود العقد'!F$3:F$388,C1360), 0), "")</f>
        <v>1550</v>
      </c>
      <c r="H1360" s="18">
        <f t="shared" si="54"/>
        <v>1450</v>
      </c>
      <c r="I1360" s="7">
        <v>99.3</v>
      </c>
      <c r="J1360" s="18">
        <f t="shared" si="52"/>
        <v>1549.3</v>
      </c>
      <c r="K1360" s="10">
        <f t="shared" si="51"/>
        <v>15490.8</v>
      </c>
      <c r="L1360" s="21">
        <f t="shared" si="50"/>
        <v>99.954838709677418</v>
      </c>
    </row>
    <row r="1361" spans="1:12" s="72" customFormat="1" ht="25.95" customHeight="1">
      <c r="A1361" s="12">
        <v>1359</v>
      </c>
      <c r="B1361" s="6">
        <v>20</v>
      </c>
      <c r="C1361" s="6">
        <v>113</v>
      </c>
      <c r="D1361" s="20" t="str">
        <f>IF(C1361&lt;&gt;"", IFERROR(INDEX('بنود العقد'!B$3:B$388,C1361), "⚠"), "")</f>
        <v>Ref drawing: 07-MRA-DD-(as per floor number)-AR-300 لمنطقة الصلاة CR-04 رولات السجاد</v>
      </c>
      <c r="E1361" s="12" t="str">
        <f>IF(C1361&lt;&gt;"", IFERROR(INDEX('بنود العقد'!D$3:D$388,C1361), ""), "")</f>
        <v>م²</v>
      </c>
      <c r="F1361" s="9">
        <f>IF(C1361&lt;&gt;"", IFERROR(INDEX('بنود العقد'!E$3:E$388,C1361), 0), "")</f>
        <v>156</v>
      </c>
      <c r="G1361" s="9">
        <f>IF(C1361&lt;&gt;"", IFERROR(INDEX('بنود العقد'!F$3:F$388,C1361), 0), "")</f>
        <v>129</v>
      </c>
      <c r="H1361" s="18">
        <f t="shared" si="54"/>
        <v>90</v>
      </c>
      <c r="I1361" s="7">
        <v>-90</v>
      </c>
      <c r="J1361" s="18">
        <f t="shared" si="52"/>
        <v>0</v>
      </c>
      <c r="K1361" s="10">
        <f t="shared" si="51"/>
        <v>-14040</v>
      </c>
      <c r="L1361" s="21">
        <f t="shared" si="50"/>
        <v>0</v>
      </c>
    </row>
    <row r="1362" spans="1:12" s="72" customFormat="1" ht="25.95" customHeight="1">
      <c r="A1362" s="12">
        <v>1360</v>
      </c>
      <c r="B1362" s="6">
        <v>20</v>
      </c>
      <c r="C1362" s="6">
        <v>114</v>
      </c>
      <c r="D1362" s="20" t="str">
        <f>IF(C1362&lt;&gt;"", IFERROR(INDEX('بنود العقد'!B$3:B$388,C1362), "⚠"), "")</f>
        <v>رولات السجاد 05-CR لمدخل معالي الوزير في الدور الارضي، سجادة المراسم الملكية لون بنفسجي مع إضافة إطار بنقشة مزخرفة حسب المناظير الداخلية.</v>
      </c>
      <c r="E1362" s="12" t="str">
        <f>IF(C1362&lt;&gt;"", IFERROR(INDEX('بنود العقد'!D$3:D$388,C1362), ""), "")</f>
        <v>م²</v>
      </c>
      <c r="F1362" s="9">
        <f>IF(C1362&lt;&gt;"", IFERROR(INDEX('بنود العقد'!E$3:E$388,C1362), 0), "")</f>
        <v>228</v>
      </c>
      <c r="G1362" s="9">
        <f>IF(C1362&lt;&gt;"", IFERROR(INDEX('بنود العقد'!F$3:F$388,C1362), 0), "")</f>
        <v>85</v>
      </c>
      <c r="H1362" s="18">
        <f t="shared" si="54"/>
        <v>37.229999999999997</v>
      </c>
      <c r="I1362" s="7">
        <v>-37.229999999999997</v>
      </c>
      <c r="J1362" s="18">
        <f t="shared" si="52"/>
        <v>0</v>
      </c>
      <c r="K1362" s="10">
        <f t="shared" si="51"/>
        <v>-8488.4399999999987</v>
      </c>
      <c r="L1362" s="21">
        <f t="shared" si="50"/>
        <v>0</v>
      </c>
    </row>
    <row r="1363" spans="1:12" s="72" customFormat="1" ht="25.95" customHeight="1">
      <c r="A1363" s="12">
        <v>1361</v>
      </c>
      <c r="B1363" s="6">
        <v>20</v>
      </c>
      <c r="C1363" s="6">
        <v>115</v>
      </c>
      <c r="D1363" s="20" t="str">
        <f>IF(C1363&lt;&gt;"", IFERROR(INDEX('بنود العقد'!B$3:B$388,C1363), "⚠"), "")</f>
        <v>رولات السجاد 06-CR للمدخل الرئيسي والثانوي في الدور الأرضي بلون بيج مع تصميم على شكل مثلثات حسب المناظير الداخلية.</v>
      </c>
      <c r="E1363" s="12" t="str">
        <f>IF(C1363&lt;&gt;"", IFERROR(INDEX('بنود العقد'!D$3:D$388,C1363), ""), "")</f>
        <v>م²</v>
      </c>
      <c r="F1363" s="9">
        <f>IF(C1363&lt;&gt;"", IFERROR(INDEX('بنود العقد'!E$3:E$388,C1363), 0), "")</f>
        <v>216</v>
      </c>
      <c r="G1363" s="9">
        <f>IF(C1363&lt;&gt;"", IFERROR(INDEX('بنود العقد'!F$3:F$388,C1363), 0), "")</f>
        <v>174</v>
      </c>
      <c r="H1363" s="18">
        <f t="shared" si="54"/>
        <v>71.16</v>
      </c>
      <c r="I1363" s="7">
        <v>-71.16</v>
      </c>
      <c r="J1363" s="18">
        <f t="shared" si="52"/>
        <v>0</v>
      </c>
      <c r="K1363" s="10">
        <f t="shared" si="51"/>
        <v>-15370.56</v>
      </c>
      <c r="L1363" s="21">
        <f t="shared" si="50"/>
        <v>0</v>
      </c>
    </row>
    <row r="1364" spans="1:12" s="72" customFormat="1" ht="25.95" customHeight="1">
      <c r="A1364" s="12">
        <v>1362</v>
      </c>
      <c r="B1364" s="6">
        <v>20</v>
      </c>
      <c r="C1364" s="6">
        <v>116</v>
      </c>
      <c r="D1364" s="20" t="str">
        <f>IF(C1364&lt;&gt;"", IFERROR(INDEX('بنود العقد'!B$3:B$388,C1364), "⚠"), "")</f>
        <v>رولات السجاد 07-CR لمختصر معالي الوزير، غرفة الاجتماعات الخاصة بمعالي الوزير، غرفة الاجتماعات الرئيسية ومدير مكتب معالي الوزير.</v>
      </c>
      <c r="E1364" s="12" t="str">
        <f>IF(C1364&lt;&gt;"", IFERROR(INDEX('بنود العقد'!D$3:D$388,C1364), ""), "")</f>
        <v>م²</v>
      </c>
      <c r="F1364" s="9">
        <f>IF(C1364&lt;&gt;"", IFERROR(INDEX('بنود العقد'!E$3:E$388,C1364), 0), "")</f>
        <v>228</v>
      </c>
      <c r="G1364" s="9">
        <f>IF(C1364&lt;&gt;"", IFERROR(INDEX('بنود العقد'!F$3:F$388,C1364), 0), "")</f>
        <v>215</v>
      </c>
      <c r="H1364" s="18">
        <f t="shared" si="54"/>
        <v>133.25</v>
      </c>
      <c r="I1364" s="7">
        <v>-133.25</v>
      </c>
      <c r="J1364" s="18">
        <f t="shared" si="52"/>
        <v>0</v>
      </c>
      <c r="K1364" s="10">
        <f t="shared" si="51"/>
        <v>-30381</v>
      </c>
      <c r="L1364" s="21">
        <f t="shared" si="50"/>
        <v>0</v>
      </c>
    </row>
    <row r="1365" spans="1:12" s="72" customFormat="1" ht="25.95" customHeight="1">
      <c r="A1365" s="12">
        <v>1363</v>
      </c>
      <c r="B1365" s="6">
        <v>20</v>
      </c>
      <c r="C1365" s="6">
        <v>117</v>
      </c>
      <c r="D1365" s="20" t="str">
        <f>IF(C1365&lt;&gt;"", IFERROR(INDEX('بنود العقد'!B$3:B$388,C1365), "⚠"), "")</f>
        <v>300-Ref drawing: 07-MRA-DD-(as per floor number)-ARرولات السجاد 08-CR لمنطقة انتظار كبار الشخصيات في الدور السادس</v>
      </c>
      <c r="E1365" s="12" t="str">
        <f>IF(C1365&lt;&gt;"", IFERROR(INDEX('بنود العقد'!D$3:D$388,C1365), ""), "")</f>
        <v>م²</v>
      </c>
      <c r="F1365" s="9">
        <f>IF(C1365&lt;&gt;"", IFERROR(INDEX('بنود العقد'!E$3:E$388,C1365), 0), "")</f>
        <v>156</v>
      </c>
      <c r="G1365" s="9">
        <f>IF(C1365&lt;&gt;"", IFERROR(INDEX('بنود العقد'!F$3:F$388,C1365), 0), "")</f>
        <v>37</v>
      </c>
      <c r="H1365" s="18">
        <f t="shared" si="54"/>
        <v>66.72</v>
      </c>
      <c r="I1365" s="7">
        <v>-66.72</v>
      </c>
      <c r="J1365" s="18">
        <f t="shared" si="52"/>
        <v>0</v>
      </c>
      <c r="K1365" s="10">
        <f t="shared" si="51"/>
        <v>-10408.32</v>
      </c>
      <c r="L1365" s="21">
        <f t="shared" si="50"/>
        <v>0</v>
      </c>
    </row>
    <row r="1366" spans="1:12" s="72" customFormat="1" ht="25.95" customHeight="1">
      <c r="A1366" s="12">
        <v>1364</v>
      </c>
      <c r="B1366" s="6">
        <v>20</v>
      </c>
      <c r="C1366" s="6">
        <v>118</v>
      </c>
      <c r="D1366" s="20" t="str">
        <f>IF(C1366&lt;&gt;"", IFERROR(INDEX('بنود العقد'!B$3:B$388,C1366), "⚠"), "")</f>
        <v>300-Ref drawing: 07-MRA-DD-(as per floor number)-ARرولات السجاد 09-CR  لمكتب معالي الوزير، السكرتاريا ومنطقة الانتظار</v>
      </c>
      <c r="E1366" s="12" t="str">
        <f>IF(C1366&lt;&gt;"", IFERROR(INDEX('بنود العقد'!D$3:D$388,C1366), ""), "")</f>
        <v>م²</v>
      </c>
      <c r="F1366" s="9">
        <f>IF(C1366&lt;&gt;"", IFERROR(INDEX('بنود العقد'!E$3:E$388,C1366), 0), "")</f>
        <v>228</v>
      </c>
      <c r="G1366" s="9">
        <f>IF(C1366&lt;&gt;"", IFERROR(INDEX('بنود العقد'!F$3:F$388,C1366), 0), "")</f>
        <v>203</v>
      </c>
      <c r="H1366" s="18">
        <f t="shared" si="54"/>
        <v>59.61</v>
      </c>
      <c r="I1366" s="7">
        <v>-59.61</v>
      </c>
      <c r="J1366" s="18">
        <f t="shared" si="52"/>
        <v>0</v>
      </c>
      <c r="K1366" s="10">
        <f t="shared" si="51"/>
        <v>-13591.08</v>
      </c>
      <c r="L1366" s="21">
        <f t="shared" si="50"/>
        <v>0</v>
      </c>
    </row>
    <row r="1367" spans="1:12" s="72" customFormat="1" ht="25.95" customHeight="1">
      <c r="A1367" s="12">
        <v>1365</v>
      </c>
      <c r="B1367" s="6">
        <v>20</v>
      </c>
      <c r="C1367" s="6">
        <v>119</v>
      </c>
      <c r="D1367" s="20" t="str">
        <f>IF(C1367&lt;&gt;"", IFERROR(INDEX('بنود العقد'!B$3:B$388,C1367), "⚠"), "")</f>
        <v>300-Ref drawing: 07-MRA-DD-(as per floor number)-ARرولات السجاد 10-CR  لغرفة اللاونج في منطقة التنفيذين في الدور السادس</v>
      </c>
      <c r="E1367" s="12" t="str">
        <f>IF(C1367&lt;&gt;"", IFERROR(INDEX('بنود العقد'!D$3:D$388,C1367), ""), "")</f>
        <v>م²</v>
      </c>
      <c r="F1367" s="9">
        <f>IF(C1367&lt;&gt;"", IFERROR(INDEX('بنود العقد'!E$3:E$388,C1367), 0), "")</f>
        <v>156</v>
      </c>
      <c r="G1367" s="9">
        <f>IF(C1367&lt;&gt;"", IFERROR(INDEX('بنود العقد'!F$3:F$388,C1367), 0), "")</f>
        <v>18</v>
      </c>
      <c r="H1367" s="18">
        <f t="shared" si="54"/>
        <v>34.44</v>
      </c>
      <c r="I1367" s="7">
        <v>-34.44</v>
      </c>
      <c r="J1367" s="18">
        <f t="shared" si="52"/>
        <v>0</v>
      </c>
      <c r="K1367" s="10">
        <f t="shared" si="51"/>
        <v>-5372.6399999999994</v>
      </c>
      <c r="L1367" s="21">
        <f t="shared" si="50"/>
        <v>0</v>
      </c>
    </row>
    <row r="1368" spans="1:12" s="72" customFormat="1" ht="25.95" customHeight="1">
      <c r="A1368" s="12">
        <v>1366</v>
      </c>
      <c r="B1368" s="6">
        <v>20</v>
      </c>
      <c r="C1368" s="6">
        <v>120</v>
      </c>
      <c r="D1368" s="20" t="str">
        <f>IF(C1368&lt;&gt;"", IFERROR(INDEX('بنود العقد'!B$3:B$388,C1368), "⚠"), "")</f>
        <v>بلاط laminated HDF باركيه01-PQ  لمركز الأعمال والفناء الوسطي</v>
      </c>
      <c r="E1368" s="12" t="str">
        <f>IF(C1368&lt;&gt;"", IFERROR(INDEX('بنود العقد'!D$3:D$388,C1368), ""), "")</f>
        <v>م²</v>
      </c>
      <c r="F1368" s="9">
        <f>IF(C1368&lt;&gt;"", IFERROR(INDEX('بنود العقد'!E$3:E$388,C1368), 0), "")</f>
        <v>156</v>
      </c>
      <c r="G1368" s="9">
        <f>IF(C1368&lt;&gt;"", IFERROR(INDEX('بنود العقد'!F$3:F$388,C1368), 0), "")</f>
        <v>178</v>
      </c>
      <c r="H1368" s="18">
        <f t="shared" si="54"/>
        <v>55</v>
      </c>
      <c r="I1368" s="7">
        <v>3.9</v>
      </c>
      <c r="J1368" s="18">
        <f t="shared" si="52"/>
        <v>58.9</v>
      </c>
      <c r="K1368" s="10">
        <f t="shared" si="51"/>
        <v>608.4</v>
      </c>
      <c r="L1368" s="21">
        <f t="shared" si="50"/>
        <v>33.08988764044944</v>
      </c>
    </row>
    <row r="1369" spans="1:12" s="72" customFormat="1" ht="25.95" customHeight="1">
      <c r="A1369" s="12">
        <v>1367</v>
      </c>
      <c r="B1369" s="6">
        <v>20</v>
      </c>
      <c r="C1369" s="6">
        <v>121</v>
      </c>
      <c r="D1369" s="20" t="str">
        <f>IF(C1369&lt;&gt;"", IFERROR(INDEX('بنود العقد'!B$3:B$388,C1369), "⚠"), "")</f>
        <v xml:space="preserve">عمل صبة خرسانية من السرك سماكة 10 سم مع طبقة واحدة من شبك الحديد قطر 6مم. على أن تكون طبقة التشطيب النهائية بلون رمادي غامق على شكل الأسطح الاسمنتية  بحسب اللون والملمس المعتمد. </v>
      </c>
      <c r="E1369" s="12" t="str">
        <f>IF(C1369&lt;&gt;"", IFERROR(INDEX('بنود العقد'!D$3:D$388,C1369), ""), "")</f>
        <v>م²</v>
      </c>
      <c r="F1369" s="9">
        <f>IF(C1369&lt;&gt;"", IFERROR(INDEX('بنود العقد'!E$3:E$388,C1369), 0), "")</f>
        <v>72</v>
      </c>
      <c r="G1369" s="9">
        <f>IF(C1369&lt;&gt;"", IFERROR(INDEX('بنود العقد'!F$3:F$388,C1369), 0), "")</f>
        <v>110</v>
      </c>
      <c r="H1369" s="18">
        <f t="shared" si="54"/>
        <v>185</v>
      </c>
      <c r="I1369" s="7">
        <v>200</v>
      </c>
      <c r="J1369" s="18">
        <f t="shared" si="52"/>
        <v>385</v>
      </c>
      <c r="K1369" s="10">
        <f t="shared" si="51"/>
        <v>14400</v>
      </c>
      <c r="L1369" s="21">
        <f t="shared" si="50"/>
        <v>350</v>
      </c>
    </row>
    <row r="1370" spans="1:12" s="72" customFormat="1" ht="25.95" customHeight="1">
      <c r="A1370" s="12">
        <v>1368</v>
      </c>
      <c r="B1370" s="6">
        <v>20</v>
      </c>
      <c r="C1370" s="6">
        <v>123</v>
      </c>
      <c r="D1370" s="20" t="str">
        <f>IF(C1370&lt;&gt;"", IFERROR(INDEX('بنود العقد'!B$3:B$388,C1370), "⚠"), "")</f>
        <v xml:space="preserve">حجر جرانيت اسود مع تشكيلات مثلثات من لون فاتح للنافورة الداخلية   01-ST حسب الموضح بالمخطط </v>
      </c>
      <c r="E1370" s="12" t="str">
        <f>IF(C1370&lt;&gt;"", IFERROR(INDEX('بنود العقد'!D$3:D$388,C1370), ""), "")</f>
        <v>م²</v>
      </c>
      <c r="F1370" s="9">
        <f>IF(C1370&lt;&gt;"", IFERROR(INDEX('بنود العقد'!E$3:E$388,C1370), 0), "")</f>
        <v>120</v>
      </c>
      <c r="G1370" s="9">
        <f>IF(C1370&lt;&gt;"", IFERROR(INDEX('بنود العقد'!F$3:F$388,C1370), 0), "")</f>
        <v>170</v>
      </c>
      <c r="H1370" s="18">
        <f t="shared" si="54"/>
        <v>100</v>
      </c>
      <c r="I1370" s="7">
        <v>28.18</v>
      </c>
      <c r="J1370" s="18">
        <f t="shared" si="52"/>
        <v>128.18</v>
      </c>
      <c r="K1370" s="10">
        <f t="shared" si="51"/>
        <v>3381.6</v>
      </c>
      <c r="L1370" s="21">
        <f t="shared" si="50"/>
        <v>75.400000000000006</v>
      </c>
    </row>
    <row r="1371" spans="1:12" s="72" customFormat="1" ht="25.95" customHeight="1">
      <c r="A1371" s="12">
        <v>1369</v>
      </c>
      <c r="B1371" s="6">
        <v>20</v>
      </c>
      <c r="C1371" s="6">
        <v>125</v>
      </c>
      <c r="D1371" s="20" t="str">
        <f>IF(C1371&lt;&gt;"", IFERROR(INDEX('بنود العقد'!B$3:B$388,C1371), "⚠"), "")</f>
        <v>دهان بلون رمادي بيج على الألواح الجبسية والألواح الاسمنتية 100-WPF</v>
      </c>
      <c r="E1371" s="12" t="str">
        <f>IF(C1371&lt;&gt;"", IFERROR(INDEX('بنود العقد'!D$3:D$388,C1371), ""), "")</f>
        <v>م²</v>
      </c>
      <c r="F1371" s="9">
        <f>IF(C1371&lt;&gt;"", IFERROR(INDEX('بنود العقد'!E$3:E$388,C1371), 0), "")</f>
        <v>25.2</v>
      </c>
      <c r="G1371" s="9">
        <f>IF(C1371&lt;&gt;"", IFERROR(INDEX('بنود العقد'!F$3:F$388,C1371), 0), "")</f>
        <v>12700</v>
      </c>
      <c r="H1371" s="18">
        <f t="shared" si="54"/>
        <v>11920.083999999999</v>
      </c>
      <c r="I1371" s="7">
        <v>557.37519999999995</v>
      </c>
      <c r="J1371" s="18">
        <f t="shared" si="52"/>
        <v>12477.459199999999</v>
      </c>
      <c r="K1371" s="10">
        <f t="shared" si="51"/>
        <v>14045.855039999999</v>
      </c>
      <c r="L1371" s="21">
        <f t="shared" si="50"/>
        <v>98.24771023622047</v>
      </c>
    </row>
    <row r="1372" spans="1:12" s="72" customFormat="1" ht="25.95" customHeight="1">
      <c r="A1372" s="12">
        <v>1370</v>
      </c>
      <c r="B1372" s="6">
        <v>20</v>
      </c>
      <c r="C1372" s="6">
        <v>128</v>
      </c>
      <c r="D1372" s="20" t="str">
        <f>IF(C1372&lt;&gt;"", IFERROR(INDEX('بنود العقد'!B$3:B$388,C1372), "⚠"), "")</f>
        <v>.دهان بلون رمادي اسمنتي على الألواح الجبسية والألواح الاسمنتية 200-WPF</v>
      </c>
      <c r="E1372" s="12" t="str">
        <f>IF(C1372&lt;&gt;"", IFERROR(INDEX('بنود العقد'!D$3:D$388,C1372), ""), "")</f>
        <v>م²</v>
      </c>
      <c r="F1372" s="9">
        <f>IF(C1372&lt;&gt;"", IFERROR(INDEX('بنود العقد'!E$3:E$388,C1372), 0), "")</f>
        <v>30</v>
      </c>
      <c r="G1372" s="9">
        <f>IF(C1372&lt;&gt;"", IFERROR(INDEX('بنود العقد'!F$3:F$388,C1372), 0), "")</f>
        <v>2088</v>
      </c>
      <c r="H1372" s="18">
        <f t="shared" si="54"/>
        <v>3991.9947000000002</v>
      </c>
      <c r="I1372" s="7">
        <v>1880.38</v>
      </c>
      <c r="J1372" s="18">
        <f t="shared" si="52"/>
        <v>5872.3747000000003</v>
      </c>
      <c r="K1372" s="10">
        <f t="shared" si="51"/>
        <v>56411.4</v>
      </c>
      <c r="L1372" s="21">
        <f t="shared" si="50"/>
        <v>281.24399904214556</v>
      </c>
    </row>
    <row r="1373" spans="1:12" s="72" customFormat="1" ht="25.95" customHeight="1">
      <c r="A1373" s="12">
        <v>1371</v>
      </c>
      <c r="B1373" s="6">
        <v>20</v>
      </c>
      <c r="C1373" s="6">
        <v>132</v>
      </c>
      <c r="D1373" s="20" t="str">
        <f>IF(C1373&lt;&gt;"", IFERROR(INDEX('بنود العقد'!B$3:B$388,C1373), "⚠"), "")</f>
        <v>.دهان بلون رمادي خشن على هيئة الاسطح الاسمنتية مع تجويف  على جدار البلوك 600-WPF</v>
      </c>
      <c r="E1373" s="12" t="str">
        <f>IF(C1373&lt;&gt;"", IFERROR(INDEX('بنود العقد'!D$3:D$388,C1373), ""), "")</f>
        <v>م²</v>
      </c>
      <c r="F1373" s="9">
        <f>IF(C1373&lt;&gt;"", IFERROR(INDEX('بنود العقد'!E$3:E$388,C1373), 0), "")</f>
        <v>24</v>
      </c>
      <c r="G1373" s="9">
        <f>IF(C1373&lt;&gt;"", IFERROR(INDEX('بنود العقد'!F$3:F$388,C1373), 0), "")</f>
        <v>32</v>
      </c>
      <c r="H1373" s="18">
        <f t="shared" si="54"/>
        <v>0</v>
      </c>
      <c r="I1373" s="7">
        <v>32</v>
      </c>
      <c r="J1373" s="18">
        <f t="shared" si="52"/>
        <v>32</v>
      </c>
      <c r="K1373" s="10">
        <f t="shared" si="51"/>
        <v>768</v>
      </c>
      <c r="L1373" s="21">
        <f t="shared" si="50"/>
        <v>100</v>
      </c>
    </row>
    <row r="1374" spans="1:12" s="72" customFormat="1" ht="25.95" customHeight="1">
      <c r="A1374" s="12">
        <v>1372</v>
      </c>
      <c r="B1374" s="6">
        <v>20</v>
      </c>
      <c r="C1374" s="6">
        <v>133</v>
      </c>
      <c r="D1374" s="20" t="str">
        <f>IF(C1374&lt;&gt;"", IFERROR(INDEX('بنود العقد'!B$3:B$388,C1374),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ابيض</v>
      </c>
      <c r="E1374" s="12" t="str">
        <f>IF(C1374&lt;&gt;"", IFERROR(INDEX('بنود العقد'!D$3:D$388,C1374), ""), "")</f>
        <v>م²</v>
      </c>
      <c r="F1374" s="9">
        <f>IF(C1374&lt;&gt;"", IFERROR(INDEX('بنود العقد'!E$3:E$388,C1374), 0), "")</f>
        <v>24</v>
      </c>
      <c r="G1374" s="9">
        <f>IF(C1374&lt;&gt;"", IFERROR(INDEX('بنود العقد'!F$3:F$388,C1374), 0), "")</f>
        <v>25559</v>
      </c>
      <c r="H1374" s="18">
        <f t="shared" si="54"/>
        <v>25059.004000000001</v>
      </c>
      <c r="I1374" s="7">
        <v>687.44</v>
      </c>
      <c r="J1374" s="18">
        <f t="shared" si="52"/>
        <v>25746.444</v>
      </c>
      <c r="K1374" s="10">
        <f t="shared" si="51"/>
        <v>16498.560000000001</v>
      </c>
      <c r="L1374" s="21">
        <f t="shared" si="50"/>
        <v>100.73337767518291</v>
      </c>
    </row>
    <row r="1375" spans="1:12" s="72" customFormat="1" ht="25.95" customHeight="1">
      <c r="A1375" s="12">
        <v>1373</v>
      </c>
      <c r="B1375" s="6">
        <v>20</v>
      </c>
      <c r="C1375" s="6">
        <v>137</v>
      </c>
      <c r="D1375" s="20" t="str">
        <f>IF(C1375&lt;&gt;"", IFERROR(INDEX('بنود العقد'!B$3:B$388,C1375), "⚠"), "")</f>
        <v>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 دهان  بلون اسود</v>
      </c>
      <c r="E1375" s="12" t="str">
        <f>IF(C1375&lt;&gt;"", IFERROR(INDEX('بنود العقد'!D$3:D$388,C1375), ""), "")</f>
        <v>م²</v>
      </c>
      <c r="F1375" s="9">
        <f>IF(C1375&lt;&gt;"", IFERROR(INDEX('بنود العقد'!E$3:E$388,C1375), 0), "")</f>
        <v>30</v>
      </c>
      <c r="G1375" s="9">
        <f>IF(C1375&lt;&gt;"", IFERROR(INDEX('بنود العقد'!F$3:F$388,C1375), 0), "")</f>
        <v>9442</v>
      </c>
      <c r="H1375" s="18">
        <f t="shared" si="54"/>
        <v>10820</v>
      </c>
      <c r="I1375" s="7">
        <v>275.51</v>
      </c>
      <c r="J1375" s="18">
        <f t="shared" si="52"/>
        <v>11095.51</v>
      </c>
      <c r="K1375" s="10">
        <f t="shared" si="51"/>
        <v>8265.2999999999993</v>
      </c>
      <c r="L1375" s="21">
        <f t="shared" si="50"/>
        <v>117.51228553272612</v>
      </c>
    </row>
    <row r="1376" spans="1:12" s="72" customFormat="1" ht="25.95" customHeight="1">
      <c r="A1376" s="12">
        <v>1374</v>
      </c>
      <c r="B1376" s="6">
        <v>20</v>
      </c>
      <c r="C1376" s="6">
        <v>140</v>
      </c>
      <c r="D1376" s="20" t="str">
        <f>IF(C1376&lt;&gt;"", IFERROR(INDEX('بنود العقد'!B$3:B$388,C1376), "⚠"), "")</f>
        <v>توريد وتثبيت ورق جدران عالي الجودة على الألواح الجبسية بعد تأسيس الجدران واغلاق الفواصل والفتحات وتاسيس الجدار بدهان مناسب لاعمال ورق الجدران  حسب النوع . في منطقة التنفيذيين ومكتب مدير مكتب معالي الوزير في الدور السادس  ويتم التنفيذ طبقا للمخططات والمواصفات الفنية وبحسب تعليمات المهندس المشرف.</v>
      </c>
      <c r="E1376" s="12" t="str">
        <f>IF(C1376&lt;&gt;"", IFERROR(INDEX('بنود العقد'!D$3:D$388,C1376), ""), "")</f>
        <v>م²</v>
      </c>
      <c r="F1376" s="9">
        <f>IF(C1376&lt;&gt;"", IFERROR(INDEX('بنود العقد'!E$3:E$388,C1376), 0), "")</f>
        <v>72</v>
      </c>
      <c r="G1376" s="9">
        <f>IF(C1376&lt;&gt;"", IFERROR(INDEX('بنود العقد'!F$3:F$388,C1376), 0), "")</f>
        <v>758</v>
      </c>
      <c r="H1376" s="18">
        <f t="shared" si="54"/>
        <v>0</v>
      </c>
      <c r="I1376" s="7">
        <v>85</v>
      </c>
      <c r="J1376" s="18">
        <f t="shared" si="52"/>
        <v>85</v>
      </c>
      <c r="K1376" s="10">
        <f t="shared" si="51"/>
        <v>6120</v>
      </c>
      <c r="L1376" s="21">
        <f t="shared" si="50"/>
        <v>11.213720316622691</v>
      </c>
    </row>
    <row r="1377" spans="1:12" s="72" customFormat="1" ht="25.95" customHeight="1">
      <c r="A1377" s="12">
        <v>1375</v>
      </c>
      <c r="B1377" s="6">
        <v>20</v>
      </c>
      <c r="C1377" s="6">
        <v>141</v>
      </c>
      <c r="D1377" s="20" t="str">
        <f>IF(C1377&lt;&gt;"", IFERROR(INDEX('بنود العقد'!B$3:B$388,C1377), "⚠"), "")</f>
        <v>جهاز تجفيف للأيدي كهربائي</v>
      </c>
      <c r="E1377" s="12" t="str">
        <f>IF(C1377&lt;&gt;"", IFERROR(INDEX('بنود العقد'!D$3:D$388,C1377), ""), "")</f>
        <v>عدد</v>
      </c>
      <c r="F1377" s="9">
        <f>IF(C1377&lt;&gt;"", IFERROR(INDEX('بنود العقد'!E$3:E$388,C1377), 0), "")</f>
        <v>990</v>
      </c>
      <c r="G1377" s="9">
        <f>IF(C1377&lt;&gt;"", IFERROR(INDEX('بنود العقد'!F$3:F$388,C1377), 0), "")</f>
        <v>47</v>
      </c>
      <c r="H1377" s="18">
        <f t="shared" si="54"/>
        <v>85</v>
      </c>
      <c r="I1377" s="7">
        <v>12</v>
      </c>
      <c r="J1377" s="18">
        <f t="shared" si="52"/>
        <v>97</v>
      </c>
      <c r="K1377" s="10">
        <f t="shared" si="51"/>
        <v>11880</v>
      </c>
      <c r="L1377" s="21">
        <f t="shared" si="50"/>
        <v>206.38297872340425</v>
      </c>
    </row>
    <row r="1378" spans="1:12" s="72" customFormat="1" ht="25.95" customHeight="1">
      <c r="A1378" s="12">
        <v>1376</v>
      </c>
      <c r="B1378" s="6">
        <v>20</v>
      </c>
      <c r="C1378" s="6">
        <v>143</v>
      </c>
      <c r="D1378" s="20" t="str">
        <f>IF(C1378&lt;&gt;"", IFERROR(INDEX('بنود العقد'!B$3:B$388,C1378), "⚠"), "")</f>
        <v>موزع صابون سائل</v>
      </c>
      <c r="E1378" s="12" t="str">
        <f>IF(C1378&lt;&gt;"", IFERROR(INDEX('بنود العقد'!D$3:D$388,C1378), ""), "")</f>
        <v>عدد</v>
      </c>
      <c r="F1378" s="9">
        <f>IF(C1378&lt;&gt;"", IFERROR(INDEX('بنود العقد'!E$3:E$388,C1378), 0), "")</f>
        <v>192</v>
      </c>
      <c r="G1378" s="9">
        <f>IF(C1378&lt;&gt;"", IFERROR(INDEX('بنود العقد'!F$3:F$388,C1378), 0), "")</f>
        <v>115</v>
      </c>
      <c r="H1378" s="18">
        <f t="shared" si="54"/>
        <v>111</v>
      </c>
      <c r="I1378" s="7">
        <v>21</v>
      </c>
      <c r="J1378" s="18">
        <f t="shared" si="52"/>
        <v>132</v>
      </c>
      <c r="K1378" s="10">
        <f t="shared" si="51"/>
        <v>4032</v>
      </c>
      <c r="L1378" s="21">
        <f t="shared" si="50"/>
        <v>114.78260869565217</v>
      </c>
    </row>
    <row r="1379" spans="1:12" s="72" customFormat="1" ht="25.95" customHeight="1">
      <c r="A1379" s="12">
        <v>1377</v>
      </c>
      <c r="B1379" s="6">
        <v>20</v>
      </c>
      <c r="C1379" s="6">
        <v>144</v>
      </c>
      <c r="D1379" s="20" t="str">
        <f>IF(C1379&lt;&gt;"", IFERROR(INDEX('بنود العقد'!B$3:B$388,C1379), "⚠"), "")</f>
        <v>حاملة لفة ورق توليت</v>
      </c>
      <c r="E1379" s="12" t="str">
        <f>IF(C1379&lt;&gt;"", IFERROR(INDEX('بنود العقد'!D$3:D$388,C1379), ""), "")</f>
        <v>عدد</v>
      </c>
      <c r="F1379" s="9">
        <f>IF(C1379&lt;&gt;"", IFERROR(INDEX('بنود العقد'!E$3:E$388,C1379), 0), "")</f>
        <v>192</v>
      </c>
      <c r="G1379" s="9">
        <f>IF(C1379&lt;&gt;"", IFERROR(INDEX('بنود العقد'!F$3:F$388,C1379), 0), "")</f>
        <v>138</v>
      </c>
      <c r="H1379" s="18">
        <f t="shared" si="54"/>
        <v>111</v>
      </c>
      <c r="I1379" s="7">
        <v>10</v>
      </c>
      <c r="J1379" s="18">
        <f t="shared" si="52"/>
        <v>121</v>
      </c>
      <c r="K1379" s="10">
        <f t="shared" si="51"/>
        <v>1920</v>
      </c>
      <c r="L1379" s="21">
        <f t="shared" si="50"/>
        <v>87.681159420289859</v>
      </c>
    </row>
    <row r="1380" spans="1:12" s="72" customFormat="1" ht="25.95" customHeight="1">
      <c r="A1380" s="12">
        <v>1378</v>
      </c>
      <c r="B1380" s="6">
        <v>20</v>
      </c>
      <c r="C1380" s="6">
        <v>145</v>
      </c>
      <c r="D1380" s="20" t="str">
        <f>IF(C1380&lt;&gt;"", IFERROR(INDEX('بنود العقد'!B$3:B$388,C1380), "⚠"), "")</f>
        <v>مقابض لذوي الاحتياجات الخاصة  مكونه من مقبض خلفي 900 مم</v>
      </c>
      <c r="E1380" s="12" t="str">
        <f>IF(C1380&lt;&gt;"", IFERROR(INDEX('بنود العقد'!D$3:D$388,C1380), ""), "")</f>
        <v>عدد</v>
      </c>
      <c r="F1380" s="9">
        <f>IF(C1380&lt;&gt;"", IFERROR(INDEX('بنود العقد'!E$3:E$388,C1380), 0), "")</f>
        <v>720</v>
      </c>
      <c r="G1380" s="9">
        <f>IF(C1380&lt;&gt;"", IFERROR(INDEX('بنود العقد'!F$3:F$388,C1380), 0), "")</f>
        <v>23</v>
      </c>
      <c r="H1380" s="18">
        <f t="shared" si="54"/>
        <v>19</v>
      </c>
      <c r="I1380" s="7">
        <v>5</v>
      </c>
      <c r="J1380" s="18">
        <f t="shared" si="52"/>
        <v>24</v>
      </c>
      <c r="K1380" s="10">
        <f t="shared" si="51"/>
        <v>3600</v>
      </c>
      <c r="L1380" s="21">
        <f t="shared" si="50"/>
        <v>104.34782608695652</v>
      </c>
    </row>
    <row r="1381" spans="1:12" s="72" customFormat="1" ht="25.95" customHeight="1">
      <c r="A1381" s="12">
        <v>1379</v>
      </c>
      <c r="B1381" s="6">
        <v>20</v>
      </c>
      <c r="C1381" s="6">
        <v>146</v>
      </c>
      <c r="D1381" s="20" t="str">
        <f>IF(C1381&lt;&gt;"", IFERROR(INDEX('بنود العقد'!B$3:B$388,C1381), "⚠"), "")</f>
        <v>مقابض لذوي الاحتياجات الخاصة   مكونه من مقبض جانبي1100 مم</v>
      </c>
      <c r="E1381" s="12" t="str">
        <f>IF(C1381&lt;&gt;"", IFERROR(INDEX('بنود العقد'!D$3:D$388,C1381), ""), "")</f>
        <v>عدد</v>
      </c>
      <c r="F1381" s="9">
        <f>IF(C1381&lt;&gt;"", IFERROR(INDEX('بنود العقد'!E$3:E$388,C1381), 0), "")</f>
        <v>840</v>
      </c>
      <c r="G1381" s="9">
        <f>IF(C1381&lt;&gt;"", IFERROR(INDEX('بنود العقد'!F$3:F$388,C1381), 0), "")</f>
        <v>23</v>
      </c>
      <c r="H1381" s="18">
        <f t="shared" si="54"/>
        <v>19</v>
      </c>
      <c r="I1381" s="7">
        <v>5</v>
      </c>
      <c r="J1381" s="18">
        <f t="shared" si="52"/>
        <v>24</v>
      </c>
      <c r="K1381" s="10">
        <f t="shared" si="51"/>
        <v>4200</v>
      </c>
      <c r="L1381" s="21">
        <f t="shared" si="50"/>
        <v>104.34782608695652</v>
      </c>
    </row>
    <row r="1382" spans="1:12" s="72" customFormat="1" ht="25.95" customHeight="1">
      <c r="A1382" s="12">
        <v>1380</v>
      </c>
      <c r="B1382" s="6">
        <v>20</v>
      </c>
      <c r="C1382" s="6">
        <v>150</v>
      </c>
      <c r="D1382" s="20" t="str">
        <f>IF(C1382&lt;&gt;"", IFERROR(INDEX('بنود العقد'!B$3:B$388,C1382), "⚠"), "")</f>
        <v>توريد وتركيب مرآة وجه 6 مم ترُكّب بارزة عن الجدار مع شطف على كل الجهات طبقا للمواصفات وبحسب تعليمات المهندس المشرف. مقاس 1100 × 900 مم</v>
      </c>
      <c r="E1382" s="12" t="str">
        <f>IF(C1382&lt;&gt;"", IFERROR(INDEX('بنود العقد'!D$3:D$388,C1382), ""), "")</f>
        <v>عدد</v>
      </c>
      <c r="F1382" s="9">
        <f>IF(C1382&lt;&gt;"", IFERROR(INDEX('بنود العقد'!E$3:E$388,C1382), 0), "")</f>
        <v>1200</v>
      </c>
      <c r="G1382" s="9">
        <f>IF(C1382&lt;&gt;"", IFERROR(INDEX('بنود العقد'!F$3:F$388,C1382), 0), "")</f>
        <v>1</v>
      </c>
      <c r="H1382" s="18">
        <f t="shared" si="54"/>
        <v>0</v>
      </c>
      <c r="I1382" s="7">
        <v>1</v>
      </c>
      <c r="J1382" s="18">
        <f t="shared" si="52"/>
        <v>1</v>
      </c>
      <c r="K1382" s="10">
        <f t="shared" si="51"/>
        <v>1200</v>
      </c>
      <c r="L1382" s="21">
        <f t="shared" si="50"/>
        <v>100</v>
      </c>
    </row>
    <row r="1383" spans="1:12" s="72" customFormat="1" ht="25.95" customHeight="1">
      <c r="A1383" s="12">
        <v>1381</v>
      </c>
      <c r="B1383" s="6">
        <v>20</v>
      </c>
      <c r="C1383" s="6">
        <v>151</v>
      </c>
      <c r="D1383" s="20" t="str">
        <f>IF(C1383&lt;&gt;"", IFERROR(INDEX('بنود العقد'!B$3:B$388,C1383), "⚠"), "")</f>
        <v>توريد وتركيب مرآة وجه 6 مم ترُكّب بارزة عن الجدار مع شطف على كل الجهات طبقا للمواصفات وبحسب تعليمات المهندس المشرف. مقاس 1200 × 800 مم</v>
      </c>
      <c r="E1383" s="12" t="str">
        <f>IF(C1383&lt;&gt;"", IFERROR(INDEX('بنود العقد'!D$3:D$388,C1383), ""), "")</f>
        <v>عدد</v>
      </c>
      <c r="F1383" s="9">
        <f>IF(C1383&lt;&gt;"", IFERROR(INDEX('بنود العقد'!E$3:E$388,C1383), 0), "")</f>
        <v>1200</v>
      </c>
      <c r="G1383" s="9">
        <f>IF(C1383&lt;&gt;"", IFERROR(INDEX('بنود العقد'!F$3:F$388,C1383), 0), "")</f>
        <v>75</v>
      </c>
      <c r="H1383" s="18">
        <f t="shared" si="54"/>
        <v>70</v>
      </c>
      <c r="I1383" s="7">
        <v>2</v>
      </c>
      <c r="J1383" s="18">
        <f t="shared" si="52"/>
        <v>72</v>
      </c>
      <c r="K1383" s="10">
        <f t="shared" si="51"/>
        <v>2400</v>
      </c>
      <c r="L1383" s="21">
        <f t="shared" si="50"/>
        <v>96</v>
      </c>
    </row>
    <row r="1384" spans="1:12" s="72" customFormat="1" ht="25.95" customHeight="1">
      <c r="A1384" s="12">
        <v>1382</v>
      </c>
      <c r="B1384" s="6">
        <v>20</v>
      </c>
      <c r="C1384" s="6">
        <v>152</v>
      </c>
      <c r="D1384" s="20" t="str">
        <f>IF(C1384&lt;&gt;"", IFERROR(INDEX('بنود العقد'!B$3:B$388,C1384), "⚠"), "")</f>
        <v>توريد وتركيب مرآة وجه 6 مم ترُكّب بارزة عن الجدار مع شطف على كل الجهات طبقا للمواصفات وبحسب تعليمات المهندس المشرف. مقاس 1200 × 700 مم</v>
      </c>
      <c r="E1384" s="12" t="str">
        <f>IF(C1384&lt;&gt;"", IFERROR(INDEX('بنود العقد'!D$3:D$388,C1384), ""), "")</f>
        <v>عدد</v>
      </c>
      <c r="F1384" s="9">
        <f>IF(C1384&lt;&gt;"", IFERROR(INDEX('بنود العقد'!E$3:E$388,C1384), 0), "")</f>
        <v>1200</v>
      </c>
      <c r="G1384" s="9">
        <f>IF(C1384&lt;&gt;"", IFERROR(INDEX('بنود العقد'!F$3:F$388,C1384), 0), "")</f>
        <v>92</v>
      </c>
      <c r="H1384" s="18">
        <f t="shared" si="54"/>
        <v>91</v>
      </c>
      <c r="I1384" s="7">
        <v>12</v>
      </c>
      <c r="J1384" s="18">
        <f t="shared" si="52"/>
        <v>103</v>
      </c>
      <c r="K1384" s="10">
        <f t="shared" si="51"/>
        <v>14400</v>
      </c>
      <c r="L1384" s="21">
        <f t="shared" si="50"/>
        <v>111.95652173913044</v>
      </c>
    </row>
    <row r="1385" spans="1:12" s="72" customFormat="1" ht="25.95" customHeight="1">
      <c r="A1385" s="12">
        <v>1383</v>
      </c>
      <c r="B1385" s="6">
        <v>20</v>
      </c>
      <c r="C1385" s="6">
        <v>153</v>
      </c>
      <c r="D1385" s="20" t="str">
        <f>IF(C1385&lt;&gt;"", IFERROR(INDEX('بنود العقد'!B$3:B$388,C1385),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1250طول × عرض600 مم </v>
      </c>
      <c r="E1385" s="12" t="str">
        <f>IF(C1385&lt;&gt;"", IFERROR(INDEX('بنود العقد'!D$3:D$388,C1385), ""), "")</f>
        <v>عدد</v>
      </c>
      <c r="F1385" s="9">
        <f>IF(C1385&lt;&gt;"", IFERROR(INDEX('بنود العقد'!E$3:E$388,C1385), 0), "")</f>
        <v>1800</v>
      </c>
      <c r="G1385" s="9">
        <f>IF(C1385&lt;&gt;"", IFERROR(INDEX('بنود العقد'!F$3:F$388,C1385), 0), "")</f>
        <v>32</v>
      </c>
      <c r="H1385" s="18">
        <f t="shared" si="54"/>
        <v>22</v>
      </c>
      <c r="I1385" s="7">
        <v>2</v>
      </c>
      <c r="J1385" s="18">
        <f t="shared" si="52"/>
        <v>24</v>
      </c>
      <c r="K1385" s="10">
        <f t="shared" si="51"/>
        <v>3600</v>
      </c>
      <c r="L1385" s="21">
        <f t="shared" si="50"/>
        <v>75</v>
      </c>
    </row>
    <row r="1386" spans="1:12" s="72" customFormat="1" ht="25.95" customHeight="1">
      <c r="A1386" s="12">
        <v>1384</v>
      </c>
      <c r="B1386" s="6">
        <v>20</v>
      </c>
      <c r="C1386" s="6">
        <v>154</v>
      </c>
      <c r="D1386" s="20" t="str">
        <f>IF(C1386&lt;&gt;"", IFERROR(INDEX('بنود العقد'!B$3:B$388,C1386),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1200طول × عرض600 مم </v>
      </c>
      <c r="E1386" s="12" t="str">
        <f>IF(C1386&lt;&gt;"", IFERROR(INDEX('بنود العقد'!D$3:D$388,C1386), ""), "")</f>
        <v>عدد</v>
      </c>
      <c r="F1386" s="9">
        <f>IF(C1386&lt;&gt;"", IFERROR(INDEX('بنود العقد'!E$3:E$388,C1386), 0), "")</f>
        <v>1800</v>
      </c>
      <c r="G1386" s="9">
        <f>IF(C1386&lt;&gt;"", IFERROR(INDEX('بنود العقد'!F$3:F$388,C1386), 0), "")</f>
        <v>20</v>
      </c>
      <c r="H1386" s="18">
        <f t="shared" si="54"/>
        <v>14</v>
      </c>
      <c r="I1386" s="7">
        <v>2</v>
      </c>
      <c r="J1386" s="18">
        <f t="shared" si="52"/>
        <v>16</v>
      </c>
      <c r="K1386" s="10">
        <f t="shared" si="51"/>
        <v>3600</v>
      </c>
      <c r="L1386" s="21">
        <f t="shared" si="50"/>
        <v>80</v>
      </c>
    </row>
    <row r="1387" spans="1:12" s="72" customFormat="1" ht="25.95" customHeight="1">
      <c r="A1387" s="12">
        <v>1385</v>
      </c>
      <c r="B1387" s="6">
        <v>20</v>
      </c>
      <c r="C1387" s="6">
        <v>155</v>
      </c>
      <c r="D1387" s="20" t="str">
        <f>IF(C1387&lt;&gt;"", IFERROR(INDEX('بنود العقد'!B$3:B$388,C1387),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مقاس: 1000طولRef drawing: 07-MRA-DD-(as per floor number)-AR-700 to 703 عرض600 مم × </v>
      </c>
      <c r="E1387" s="12" t="str">
        <f>IF(C1387&lt;&gt;"", IFERROR(INDEX('بنود العقد'!D$3:D$388,C1387), ""), "")</f>
        <v>عدد</v>
      </c>
      <c r="F1387" s="9">
        <f>IF(C1387&lt;&gt;"", IFERROR(INDEX('بنود العقد'!E$3:E$388,C1387), 0), "")</f>
        <v>1200</v>
      </c>
      <c r="G1387" s="9">
        <f>IF(C1387&lt;&gt;"", IFERROR(INDEX('بنود العقد'!F$3:F$388,C1387), 0), "")</f>
        <v>22</v>
      </c>
      <c r="H1387" s="18">
        <f t="shared" si="54"/>
        <v>28</v>
      </c>
      <c r="I1387" s="7">
        <v>3</v>
      </c>
      <c r="J1387" s="18">
        <f t="shared" si="52"/>
        <v>31</v>
      </c>
      <c r="K1387" s="10">
        <f t="shared" si="51"/>
        <v>3600</v>
      </c>
      <c r="L1387" s="21">
        <f t="shared" si="50"/>
        <v>140.90909090909091</v>
      </c>
    </row>
    <row r="1388" spans="1:12" s="72" customFormat="1" ht="25.95" customHeight="1">
      <c r="A1388" s="12">
        <v>1386</v>
      </c>
      <c r="B1388" s="6">
        <v>20</v>
      </c>
      <c r="C1388" s="6">
        <v>156</v>
      </c>
      <c r="D1388" s="20" t="str">
        <f>IF(C1388&lt;&gt;"", IFERROR(INDEX('بنود العقد'!B$3:B$388,C1388),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المشرف.Ref drawing: 07-MRA-DD-(as per floor number)-AR-700 to 703 مقاس: 3800طول × عرض600 مم </v>
      </c>
      <c r="E1388" s="12" t="str">
        <f>IF(C1388&lt;&gt;"", IFERROR(INDEX('بنود العقد'!D$3:D$388,C1388), ""), "")</f>
        <v>عدد</v>
      </c>
      <c r="F1388" s="9">
        <f>IF(C1388&lt;&gt;"", IFERROR(INDEX('بنود العقد'!E$3:E$388,C1388), 0), "")</f>
        <v>6000</v>
      </c>
      <c r="G1388" s="9">
        <f>IF(C1388&lt;&gt;"", IFERROR(INDEX('بنود العقد'!F$3:F$388,C1388), 0), "")</f>
        <v>23</v>
      </c>
      <c r="H1388" s="18">
        <f t="shared" si="54"/>
        <v>23</v>
      </c>
      <c r="I1388" s="7">
        <v>4</v>
      </c>
      <c r="J1388" s="18">
        <f t="shared" si="52"/>
        <v>27</v>
      </c>
      <c r="K1388" s="10">
        <f t="shared" si="51"/>
        <v>24000</v>
      </c>
      <c r="L1388" s="21">
        <f t="shared" si="50"/>
        <v>117.39130434782609</v>
      </c>
    </row>
    <row r="1389" spans="1:12" s="72" customFormat="1" ht="25.95" customHeight="1">
      <c r="A1389" s="12">
        <v>1387</v>
      </c>
      <c r="B1389" s="6">
        <v>20</v>
      </c>
      <c r="C1389" s="6">
        <v>157</v>
      </c>
      <c r="D1389" s="20" t="str">
        <f>IF(C1389&lt;&gt;"", IFERROR(INDEX('بنود العقد'!B$3:B$388,C1389),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1340طول × عرض600 مم </v>
      </c>
      <c r="E1389" s="12" t="str">
        <f>IF(C1389&lt;&gt;"", IFERROR(INDEX('بنود العقد'!D$3:D$388,C1389), ""), "")</f>
        <v>عدد</v>
      </c>
      <c r="F1389" s="9">
        <f>IF(C1389&lt;&gt;"", IFERROR(INDEX('بنود العقد'!E$3:E$388,C1389), 0), "")</f>
        <v>6000</v>
      </c>
      <c r="G1389" s="9">
        <f>IF(C1389&lt;&gt;"", IFERROR(INDEX('بنود العقد'!F$3:F$388,C1389), 0), "")</f>
        <v>1</v>
      </c>
      <c r="H1389" s="18">
        <f t="shared" si="54"/>
        <v>0</v>
      </c>
      <c r="I1389" s="7">
        <v>1</v>
      </c>
      <c r="J1389" s="18">
        <f t="shared" si="52"/>
        <v>1</v>
      </c>
      <c r="K1389" s="10">
        <f t="shared" si="51"/>
        <v>6000</v>
      </c>
      <c r="L1389" s="21">
        <f t="shared" si="50"/>
        <v>100</v>
      </c>
    </row>
    <row r="1390" spans="1:12" s="72" customFormat="1" ht="25.95" customHeight="1">
      <c r="A1390" s="12">
        <v>1388</v>
      </c>
      <c r="B1390" s="6">
        <v>20</v>
      </c>
      <c r="C1390" s="6">
        <v>160</v>
      </c>
      <c r="D1390" s="20" t="str">
        <f>IF(C1390&lt;&gt;"", IFERROR(INDEX('بنود العقد'!B$3:B$388,C1390),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1250طول × عرض600 مم</v>
      </c>
      <c r="E1390" s="12" t="str">
        <f>IF(C1390&lt;&gt;"", IFERROR(INDEX('بنود العقد'!D$3:D$388,C1390), ""), "")</f>
        <v>عدد</v>
      </c>
      <c r="F1390" s="9">
        <f>IF(C1390&lt;&gt;"", IFERROR(INDEX('بنود العقد'!E$3:E$388,C1390), 0), "")</f>
        <v>1800</v>
      </c>
      <c r="G1390" s="9">
        <f>IF(C1390&lt;&gt;"", IFERROR(INDEX('بنود العقد'!F$3:F$388,C1390), 0), "")</f>
        <v>32</v>
      </c>
      <c r="H1390" s="18">
        <f t="shared" si="54"/>
        <v>12</v>
      </c>
      <c r="I1390" s="7">
        <v>1</v>
      </c>
      <c r="J1390" s="18">
        <f t="shared" si="52"/>
        <v>13</v>
      </c>
      <c r="K1390" s="10">
        <f t="shared" si="51"/>
        <v>1800</v>
      </c>
      <c r="L1390" s="21">
        <f t="shared" si="50"/>
        <v>40.625</v>
      </c>
    </row>
    <row r="1391" spans="1:12" s="72" customFormat="1" ht="25.95" customHeight="1">
      <c r="A1391" s="12">
        <v>1389</v>
      </c>
      <c r="B1391" s="6">
        <v>20</v>
      </c>
      <c r="C1391" s="6">
        <v>161</v>
      </c>
      <c r="D1391" s="20" t="str">
        <f>IF(C1391&lt;&gt;"", IFERROR(INDEX('بنود العقد'!B$3:B$388,C1391),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1200طول × عرض600 مم</v>
      </c>
      <c r="E1391" s="12" t="str">
        <f>IF(C1391&lt;&gt;"", IFERROR(INDEX('بنود العقد'!D$3:D$388,C1391), ""), "")</f>
        <v>عدد</v>
      </c>
      <c r="F1391" s="9">
        <f>IF(C1391&lt;&gt;"", IFERROR(INDEX('بنود العقد'!E$3:E$388,C1391), 0), "")</f>
        <v>1800</v>
      </c>
      <c r="G1391" s="9">
        <f>IF(C1391&lt;&gt;"", IFERROR(INDEX('بنود العقد'!F$3:F$388,C1391), 0), "")</f>
        <v>20</v>
      </c>
      <c r="H1391" s="18">
        <f t="shared" si="54"/>
        <v>11</v>
      </c>
      <c r="I1391" s="7">
        <v>1</v>
      </c>
      <c r="J1391" s="18">
        <f t="shared" si="52"/>
        <v>12</v>
      </c>
      <c r="K1391" s="10">
        <f t="shared" si="51"/>
        <v>1800</v>
      </c>
      <c r="L1391" s="21">
        <f t="shared" si="50"/>
        <v>60</v>
      </c>
    </row>
    <row r="1392" spans="1:12" s="72" customFormat="1" ht="25.95" customHeight="1">
      <c r="A1392" s="12">
        <v>1390</v>
      </c>
      <c r="B1392" s="6">
        <v>20</v>
      </c>
      <c r="C1392" s="6">
        <v>162</v>
      </c>
      <c r="D1392" s="20" t="str">
        <f>IF(C1392&lt;&gt;"", IFERROR(INDEX('بنود العقد'!B$3:B$388,C1392),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المشرف.Ref drawing: 07-MRA-DD-(as per floor number)-AR-700 to 703 مقاس: 1000طول × عرض600 مم</v>
      </c>
      <c r="E1392" s="12" t="str">
        <f>IF(C1392&lt;&gt;"", IFERROR(INDEX('بنود العقد'!D$3:D$388,C1392), ""), "")</f>
        <v>عدد</v>
      </c>
      <c r="F1392" s="9">
        <f>IF(C1392&lt;&gt;"", IFERROR(INDEX('بنود العقد'!E$3:E$388,C1392), 0), "")</f>
        <v>1800</v>
      </c>
      <c r="G1392" s="9">
        <f>IF(C1392&lt;&gt;"", IFERROR(INDEX('بنود العقد'!F$3:F$388,C1392), 0), "")</f>
        <v>22</v>
      </c>
      <c r="H1392" s="18">
        <f t="shared" si="54"/>
        <v>20</v>
      </c>
      <c r="I1392" s="7">
        <v>2</v>
      </c>
      <c r="J1392" s="18">
        <f t="shared" si="52"/>
        <v>22</v>
      </c>
      <c r="K1392" s="10">
        <f t="shared" si="51"/>
        <v>3600</v>
      </c>
      <c r="L1392" s="21">
        <f t="shared" si="50"/>
        <v>100</v>
      </c>
    </row>
    <row r="1393" spans="1:12" s="72" customFormat="1" ht="25.95" customHeight="1">
      <c r="A1393" s="12">
        <v>1391</v>
      </c>
      <c r="B1393" s="6">
        <v>20</v>
      </c>
      <c r="C1393" s="6">
        <v>164</v>
      </c>
      <c r="D1393" s="20" t="str">
        <f>IF(C1393&lt;&gt;"", IFERROR(INDEX('بنود العقد'!B$3:B$388,C1393),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1340طول × عرض600 مم</v>
      </c>
      <c r="E1393" s="12" t="str">
        <f>IF(C1393&lt;&gt;"", IFERROR(INDEX('بنود العقد'!D$3:D$388,C1393), ""), "")</f>
        <v>عدد</v>
      </c>
      <c r="F1393" s="9">
        <f>IF(C1393&lt;&gt;"", IFERROR(INDEX('بنود العقد'!E$3:E$388,C1393), 0), "")</f>
        <v>2100</v>
      </c>
      <c r="G1393" s="9">
        <f>IF(C1393&lt;&gt;"", IFERROR(INDEX('بنود العقد'!F$3:F$388,C1393), 0), "")</f>
        <v>1</v>
      </c>
      <c r="H1393" s="18">
        <f t="shared" si="54"/>
        <v>0</v>
      </c>
      <c r="I1393" s="7">
        <v>1</v>
      </c>
      <c r="J1393" s="18">
        <f t="shared" si="52"/>
        <v>1</v>
      </c>
      <c r="K1393" s="10">
        <f t="shared" si="51"/>
        <v>2100</v>
      </c>
      <c r="L1393" s="21">
        <f t="shared" si="50"/>
        <v>100</v>
      </c>
    </row>
    <row r="1394" spans="1:12" s="72" customFormat="1" ht="25.95" customHeight="1">
      <c r="A1394" s="12">
        <v>1392</v>
      </c>
      <c r="B1394" s="6">
        <v>20</v>
      </c>
      <c r="C1394" s="6">
        <v>175</v>
      </c>
      <c r="D1394" s="20" t="str">
        <f>IF(C1394&lt;&gt;"", IFERROR(INDEX('بنود العقد'!B$3:B$388,C1394), "⚠"), "")</f>
        <v>قواطع الحمامات مكونة من ألواح الفينوليك المضغوط ارتفاع 2 متر ذو المقاومة الشديدة للماء مع طبقة ميلامين بلون رمادي غامق مقاومة للخدش وسهلة التنظيف ، سمك الألواح هو  19 ملم ،. قواطع الحمامات تشمل إكسسوارات عالية الجودة ) مفصلات ذاتية الإغلاق وقفل ( والأبواب والاكسسوارات والعلاقات من الستانلس ستيل brushed finish وكل ما يلزم لانهاء العمل حسب الأصول الفنية والمواصفلت وتعليمات المهندس المشرف .</v>
      </c>
      <c r="E1394" s="12" t="str">
        <f>IF(C1394&lt;&gt;"", IFERROR(INDEX('بنود العقد'!D$3:D$388,C1394), ""), "")</f>
        <v>م²</v>
      </c>
      <c r="F1394" s="9">
        <f>IF(C1394&lt;&gt;"", IFERROR(INDEX('بنود العقد'!E$3:E$388,C1394), 0), "")</f>
        <v>780</v>
      </c>
      <c r="G1394" s="9">
        <f>IF(C1394&lt;&gt;"", IFERROR(INDEX('بنود العقد'!F$3:F$388,C1394), 0), "")</f>
        <v>611</v>
      </c>
      <c r="H1394" s="18">
        <f t="shared" si="54"/>
        <v>456</v>
      </c>
      <c r="I1394" s="7">
        <v>23.99</v>
      </c>
      <c r="J1394" s="18">
        <f t="shared" si="52"/>
        <v>479.99</v>
      </c>
      <c r="K1394" s="10">
        <f t="shared" si="51"/>
        <v>18712.199999999997</v>
      </c>
      <c r="L1394" s="21">
        <f t="shared" si="50"/>
        <v>78.558101472995091</v>
      </c>
    </row>
    <row r="1395" spans="1:12" s="72" customFormat="1" ht="25.95" customHeight="1">
      <c r="A1395" s="12">
        <v>1393</v>
      </c>
      <c r="B1395" s="6">
        <v>20</v>
      </c>
      <c r="C1395" s="6">
        <v>176</v>
      </c>
      <c r="D1395" s="20" t="str">
        <f>IF(C1395&lt;&gt;"", IFERROR(INDEX('بنود العقد'!B$3:B$388,C1395),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1395" s="12" t="str">
        <f>IF(C1395&lt;&gt;"", IFERROR(INDEX('بنود العقد'!D$3:D$388,C1395), ""), "")</f>
        <v>م.ط</v>
      </c>
      <c r="F1395" s="9">
        <f>IF(C1395&lt;&gt;"", IFERROR(INDEX('بنود العقد'!E$3:E$388,C1395), 0), "")</f>
        <v>66</v>
      </c>
      <c r="G1395" s="9">
        <f>IF(C1395&lt;&gt;"", IFERROR(INDEX('بنود العقد'!F$3:F$388,C1395), 0), "")</f>
        <v>532</v>
      </c>
      <c r="H1395" s="18">
        <f t="shared" si="54"/>
        <v>1911</v>
      </c>
      <c r="I1395" s="7">
        <v>26.37</v>
      </c>
      <c r="J1395" s="18">
        <f t="shared" si="52"/>
        <v>1937.37</v>
      </c>
      <c r="K1395" s="10">
        <f t="shared" si="51"/>
        <v>1740.42</v>
      </c>
      <c r="L1395" s="21">
        <f t="shared" si="50"/>
        <v>364.16729323308272</v>
      </c>
    </row>
    <row r="1396" spans="1:12" s="72" customFormat="1" ht="25.95" customHeight="1">
      <c r="A1396" s="12">
        <v>1394</v>
      </c>
      <c r="B1396" s="6">
        <v>20</v>
      </c>
      <c r="C1396" s="6">
        <v>177</v>
      </c>
      <c r="D1396" s="20" t="str">
        <f>IF(C1396&lt;&gt;"", IFERROR(INDEX('بنود العقد'!B$3:B$388,C1396),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E1396" s="12" t="str">
        <f>IF(C1396&lt;&gt;"", IFERROR(INDEX('بنود العقد'!D$3:D$388,C1396), ""), "")</f>
        <v>م.ط</v>
      </c>
      <c r="F1396" s="9">
        <f>IF(C1396&lt;&gt;"", IFERROR(INDEX('بنود العقد'!E$3:E$388,C1396), 0), "")</f>
        <v>70.8</v>
      </c>
      <c r="G1396" s="9">
        <f>IF(C1396&lt;&gt;"", IFERROR(INDEX('بنود العقد'!F$3:F$388,C1396), 0), "")</f>
        <v>221</v>
      </c>
      <c r="H1396" s="18">
        <f t="shared" si="54"/>
        <v>450</v>
      </c>
      <c r="I1396" s="7">
        <v>45.79</v>
      </c>
      <c r="J1396" s="18">
        <f t="shared" si="52"/>
        <v>495.79</v>
      </c>
      <c r="K1396" s="10">
        <f t="shared" si="51"/>
        <v>3241.9319999999998</v>
      </c>
      <c r="L1396" s="21">
        <f t="shared" si="50"/>
        <v>224.33936651583713</v>
      </c>
    </row>
    <row r="1397" spans="1:12" s="72" customFormat="1" ht="25.95" customHeight="1">
      <c r="A1397" s="12">
        <v>1395</v>
      </c>
      <c r="B1397" s="6">
        <v>20</v>
      </c>
      <c r="C1397" s="6">
        <v>179</v>
      </c>
      <c r="D1397" s="20" t="str">
        <f>IF(C1397&lt;&gt;"", IFERROR(INDEX('بنود العقد'!B$3:B$388,C1397),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40 مم</v>
      </c>
      <c r="E1397" s="12" t="str">
        <f>IF(C1397&lt;&gt;"", IFERROR(INDEX('بنود العقد'!D$3:D$388,C1397), ""), "")</f>
        <v>م.ط</v>
      </c>
      <c r="F1397" s="9">
        <f>IF(C1397&lt;&gt;"", IFERROR(INDEX('بنود العقد'!E$3:E$388,C1397), 0), "")</f>
        <v>85.2</v>
      </c>
      <c r="G1397" s="9">
        <f>IF(C1397&lt;&gt;"", IFERROR(INDEX('بنود العقد'!F$3:F$388,C1397), 0), "")</f>
        <v>103</v>
      </c>
      <c r="H1397" s="18">
        <f t="shared" si="54"/>
        <v>450</v>
      </c>
      <c r="I1397" s="7">
        <v>53.12</v>
      </c>
      <c r="J1397" s="18">
        <f t="shared" si="52"/>
        <v>503.12</v>
      </c>
      <c r="K1397" s="10">
        <f t="shared" si="51"/>
        <v>4525.8239999999996</v>
      </c>
      <c r="L1397" s="21">
        <f t="shared" si="50"/>
        <v>488.46601941747576</v>
      </c>
    </row>
    <row r="1398" spans="1:12" s="72" customFormat="1" ht="25.95" customHeight="1">
      <c r="A1398" s="12">
        <v>1396</v>
      </c>
      <c r="B1398" s="6">
        <v>20</v>
      </c>
      <c r="C1398" s="6">
        <v>180</v>
      </c>
      <c r="D1398" s="20" t="str">
        <f>IF(C1398&lt;&gt;"", IFERROR(INDEX('بنود العقد'!B$3:B$388,C1398),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الداخلية:قطر 50 مم</v>
      </c>
      <c r="E1398" s="12" t="str">
        <f>IF(C1398&lt;&gt;"", IFERROR(INDEX('بنود العقد'!D$3:D$388,C1398), ""), "")</f>
        <v>م.ط</v>
      </c>
      <c r="F1398" s="9">
        <f>IF(C1398&lt;&gt;"", IFERROR(INDEX('بنود العقد'!E$3:E$388,C1398), 0), "")</f>
        <v>94.8</v>
      </c>
      <c r="G1398" s="9">
        <f>IF(C1398&lt;&gt;"", IFERROR(INDEX('بنود العقد'!F$3:F$388,C1398), 0), "")</f>
        <v>218</v>
      </c>
      <c r="H1398" s="18">
        <f t="shared" si="54"/>
        <v>354</v>
      </c>
      <c r="I1398" s="7">
        <v>79</v>
      </c>
      <c r="J1398" s="18">
        <f t="shared" si="52"/>
        <v>433</v>
      </c>
      <c r="K1398" s="10">
        <f t="shared" si="51"/>
        <v>7489.2</v>
      </c>
      <c r="L1398" s="21">
        <f t="shared" si="50"/>
        <v>198.62385321100916</v>
      </c>
    </row>
    <row r="1399" spans="1:12" s="72" customFormat="1" ht="25.95" customHeight="1">
      <c r="A1399" s="12">
        <v>1397</v>
      </c>
      <c r="B1399" s="6">
        <v>20</v>
      </c>
      <c r="C1399" s="6">
        <v>181</v>
      </c>
      <c r="D1399" s="20" t="str">
        <f>IF(C1399&lt;&gt;"", IFERROR(INDEX('بنود العقد'!B$3:B$388,C1399),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E1399" s="12" t="str">
        <f>IF(C1399&lt;&gt;"", IFERROR(INDEX('بنود العقد'!D$3:D$388,C1399), ""), "")</f>
        <v>م.ط</v>
      </c>
      <c r="F1399" s="9">
        <f>IF(C1399&lt;&gt;"", IFERROR(INDEX('بنود العقد'!E$3:E$388,C1399), 0), "")</f>
        <v>70.8</v>
      </c>
      <c r="G1399" s="9">
        <f>IF(C1399&lt;&gt;"", IFERROR(INDEX('بنود العقد'!F$3:F$388,C1399), 0), "")</f>
        <v>150</v>
      </c>
      <c r="H1399" s="18">
        <f t="shared" si="54"/>
        <v>1100</v>
      </c>
      <c r="I1399" s="7">
        <v>22.83</v>
      </c>
      <c r="J1399" s="18">
        <f t="shared" si="52"/>
        <v>1122.83</v>
      </c>
      <c r="K1399" s="10">
        <f t="shared" si="51"/>
        <v>1616.3639999999998</v>
      </c>
      <c r="L1399" s="21">
        <f t="shared" si="50"/>
        <v>748.55333333333328</v>
      </c>
    </row>
    <row r="1400" spans="1:12" s="72" customFormat="1" ht="25.95" customHeight="1">
      <c r="A1400" s="12">
        <v>1398</v>
      </c>
      <c r="B1400" s="6">
        <v>20</v>
      </c>
      <c r="C1400" s="6">
        <v>182</v>
      </c>
      <c r="D1400" s="20" t="str">
        <f>IF(C1400&lt;&gt;"", IFERROR(INDEX('بنود العقد'!B$3:B$388,C1400),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E1400" s="12" t="str">
        <f>IF(C1400&lt;&gt;"", IFERROR(INDEX('بنود العقد'!D$3:D$388,C1400), ""), "")</f>
        <v>م.ط</v>
      </c>
      <c r="F1400" s="9">
        <f>IF(C1400&lt;&gt;"", IFERROR(INDEX('بنود العقد'!E$3:E$388,C1400), 0), "")</f>
        <v>75.599999999999994</v>
      </c>
      <c r="G1400" s="9">
        <f>IF(C1400&lt;&gt;"", IFERROR(INDEX('بنود العقد'!F$3:F$388,C1400), 0), "")</f>
        <v>100</v>
      </c>
      <c r="H1400" s="18">
        <f t="shared" si="54"/>
        <v>130</v>
      </c>
      <c r="I1400" s="7">
        <v>14.45</v>
      </c>
      <c r="J1400" s="18">
        <f t="shared" si="52"/>
        <v>144.44999999999999</v>
      </c>
      <c r="K1400" s="10">
        <f t="shared" si="51"/>
        <v>1092.4199999999998</v>
      </c>
      <c r="L1400" s="21">
        <f t="shared" si="50"/>
        <v>144.44999999999999</v>
      </c>
    </row>
    <row r="1401" spans="1:12" s="72" customFormat="1" ht="25.95" customHeight="1">
      <c r="A1401" s="12">
        <v>1399</v>
      </c>
      <c r="B1401" s="6">
        <v>20</v>
      </c>
      <c r="C1401" s="6">
        <v>183</v>
      </c>
      <c r="D1401" s="20" t="str">
        <f>IF(C1401&lt;&gt;"", IFERROR(INDEX('بنود العقد'!B$3:B$388,C1401), "⚠"), "")</f>
        <v>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التالية:توريد و تركيب و اختبار سخان بسعة 30 لتر، وقدرة 2.1  كيلو وات، مرجع     1-EWH</v>
      </c>
      <c r="E1401" s="12" t="str">
        <f>IF(C1401&lt;&gt;"", IFERROR(INDEX('بنود العقد'!D$3:D$388,C1401), ""), "")</f>
        <v>عدد</v>
      </c>
      <c r="F1401" s="9">
        <f>IF(C1401&lt;&gt;"", IFERROR(INDEX('بنود العقد'!E$3:E$388,C1401), 0), "")</f>
        <v>672</v>
      </c>
      <c r="G1401" s="9">
        <f>IF(C1401&lt;&gt;"", IFERROR(INDEX('بنود العقد'!F$3:F$388,C1401), 0), "")</f>
        <v>77</v>
      </c>
      <c r="H1401" s="18">
        <f t="shared" si="54"/>
        <v>80</v>
      </c>
      <c r="I1401" s="7">
        <v>5</v>
      </c>
      <c r="J1401" s="18">
        <f t="shared" si="52"/>
        <v>85</v>
      </c>
      <c r="K1401" s="10">
        <f t="shared" si="51"/>
        <v>3360</v>
      </c>
      <c r="L1401" s="21">
        <f t="shared" si="50"/>
        <v>110.3896103896104</v>
      </c>
    </row>
    <row r="1402" spans="1:12" s="72" customFormat="1" ht="25.95" customHeight="1">
      <c r="A1402" s="12">
        <v>1400</v>
      </c>
      <c r="B1402" s="6">
        <v>20</v>
      </c>
      <c r="C1402" s="6">
        <v>184</v>
      </c>
      <c r="D1402" s="20" t="str">
        <f>IF(C1402&lt;&gt;"", IFERROR(INDEX('بنود العقد'!B$3:B$388,C1402), "⚠"), "")</f>
        <v>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التالية:اعادة تركيب و اختبار السخان الحالي بسعة 100 ليتر   بعد الكشف و المعاينة و الفحص حسب تعليمات مهندس المشرف</v>
      </c>
      <c r="E1402" s="12" t="str">
        <f>IF(C1402&lt;&gt;"", IFERROR(INDEX('بنود العقد'!D$3:D$388,C1402), ""), "")</f>
        <v>عدد</v>
      </c>
      <c r="F1402" s="9">
        <f>IF(C1402&lt;&gt;"", IFERROR(INDEX('بنود العقد'!E$3:E$388,C1402), 0), "")</f>
        <v>816</v>
      </c>
      <c r="G1402" s="9">
        <f>IF(C1402&lt;&gt;"", IFERROR(INDEX('بنود العقد'!F$3:F$388,C1402), 0), "")</f>
        <v>24</v>
      </c>
      <c r="H1402" s="18">
        <f t="shared" si="54"/>
        <v>26</v>
      </c>
      <c r="I1402" s="7">
        <v>4</v>
      </c>
      <c r="J1402" s="18">
        <f t="shared" si="52"/>
        <v>30</v>
      </c>
      <c r="K1402" s="10">
        <f t="shared" si="51"/>
        <v>3264</v>
      </c>
      <c r="L1402" s="21">
        <f t="shared" si="50"/>
        <v>125</v>
      </c>
    </row>
    <row r="1403" spans="1:12" s="72" customFormat="1" ht="25.95" customHeight="1">
      <c r="A1403" s="12">
        <v>1401</v>
      </c>
      <c r="B1403" s="6">
        <v>20</v>
      </c>
      <c r="C1403" s="6">
        <v>185</v>
      </c>
      <c r="D1403" s="20" t="str">
        <f>IF(C1403&lt;&gt;"", IFERROR(INDEX('بنود العقد'!B$3:B$388,C1403),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v>
      </c>
      <c r="E1403" s="12" t="str">
        <f>IF(C1403&lt;&gt;"", IFERROR(INDEX('بنود العقد'!D$3:D$388,C1403), ""), "")</f>
        <v>م.ط</v>
      </c>
      <c r="F1403" s="9">
        <f>IF(C1403&lt;&gt;"", IFERROR(INDEX('بنود العقد'!E$3:E$388,C1403), 0), "")</f>
        <v>75.599999999999994</v>
      </c>
      <c r="G1403" s="9">
        <f>IF(C1403&lt;&gt;"", IFERROR(INDEX('بنود العقد'!F$3:F$388,C1403), 0), "")</f>
        <v>426</v>
      </c>
      <c r="H1403" s="18">
        <f t="shared" ref="H1403:H1466" si="55">IFERROR(SUMIFS(I$3:I$1805, B$3:B$1805, "&lt;"&amp;B1403, C$3:C$1805, C1403), 0)</f>
        <v>2424</v>
      </c>
      <c r="I1403" s="7">
        <v>83.22</v>
      </c>
      <c r="J1403" s="18">
        <f t="shared" si="52"/>
        <v>2507.2199999999998</v>
      </c>
      <c r="K1403" s="10">
        <f t="shared" si="51"/>
        <v>6291.4319999999998</v>
      </c>
      <c r="L1403" s="21">
        <f t="shared" si="50"/>
        <v>588.54929577464782</v>
      </c>
    </row>
    <row r="1404" spans="1:12" s="72" customFormat="1" ht="25.95" customHeight="1">
      <c r="A1404" s="12">
        <v>1402</v>
      </c>
      <c r="B1404" s="6">
        <v>20</v>
      </c>
      <c r="C1404" s="6">
        <v>186</v>
      </c>
      <c r="D1404" s="20" t="str">
        <f>IF(C1404&lt;&gt;"", IFERROR(INDEX('بنود العقد'!B$3:B$388,C1404),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75 مم</v>
      </c>
      <c r="E1404" s="12" t="str">
        <f>IF(C1404&lt;&gt;"", IFERROR(INDEX('بنود العقد'!D$3:D$388,C1404), ""), "")</f>
        <v>م.ط</v>
      </c>
      <c r="F1404" s="9">
        <f>IF(C1404&lt;&gt;"", IFERROR(INDEX('بنود العقد'!E$3:E$388,C1404), 0), "")</f>
        <v>91.2</v>
      </c>
      <c r="G1404" s="9">
        <f>IF(C1404&lt;&gt;"", IFERROR(INDEX('بنود العقد'!F$3:F$388,C1404), 0), "")</f>
        <v>934</v>
      </c>
      <c r="H1404" s="18">
        <f t="shared" si="55"/>
        <v>988</v>
      </c>
      <c r="I1404" s="7">
        <v>72.02</v>
      </c>
      <c r="J1404" s="18">
        <f t="shared" si="52"/>
        <v>1060.02</v>
      </c>
      <c r="K1404" s="10">
        <f t="shared" si="51"/>
        <v>6568.2240000000002</v>
      </c>
      <c r="L1404" s="21">
        <f t="shared" si="50"/>
        <v>113.49250535331905</v>
      </c>
    </row>
    <row r="1405" spans="1:12" s="72" customFormat="1" ht="25.95" customHeight="1">
      <c r="A1405" s="12">
        <v>1403</v>
      </c>
      <c r="B1405" s="6">
        <v>20</v>
      </c>
      <c r="C1405" s="6">
        <v>187</v>
      </c>
      <c r="D1405" s="20" t="str">
        <f>IF(C1405&lt;&gt;"", IFERROR(INDEX('بنود العقد'!B$3:B$388,C1405),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v>
      </c>
      <c r="E1405" s="12" t="str">
        <f>IF(C1405&lt;&gt;"", IFERROR(INDEX('بنود العقد'!D$3:D$388,C1405), ""), "")</f>
        <v>م.ط</v>
      </c>
      <c r="F1405" s="9">
        <f>IF(C1405&lt;&gt;"", IFERROR(INDEX('بنود العقد'!E$3:E$388,C1405), 0), "")</f>
        <v>102</v>
      </c>
      <c r="G1405" s="9">
        <f>IF(C1405&lt;&gt;"", IFERROR(INDEX('بنود العقد'!F$3:F$388,C1405), 0), "")</f>
        <v>961</v>
      </c>
      <c r="H1405" s="18">
        <f t="shared" si="55"/>
        <v>3250</v>
      </c>
      <c r="I1405" s="7">
        <v>298.08</v>
      </c>
      <c r="J1405" s="18">
        <f t="shared" si="52"/>
        <v>3548.08</v>
      </c>
      <c r="K1405" s="10">
        <f t="shared" si="51"/>
        <v>30404.16</v>
      </c>
      <c r="L1405" s="21">
        <f t="shared" si="50"/>
        <v>369.20707596253902</v>
      </c>
    </row>
    <row r="1406" spans="1:12" s="72" customFormat="1" ht="25.95" customHeight="1">
      <c r="A1406" s="12">
        <v>1404</v>
      </c>
      <c r="B1406" s="6">
        <v>20</v>
      </c>
      <c r="C1406" s="6">
        <v>188</v>
      </c>
      <c r="D1406" s="20" t="str">
        <f>IF(C1406&lt;&gt;"", IFERROR(INDEX('بنود العقد'!B$3:B$388,C1406), "⚠"), "")</f>
        <v>صفاية أرضية )FD(، من PVC مع مصفاة معدنية  مطلية بالكروم شاملة سيفون كما هو موصف بالمقاسات التالية:مخرج قطر 75 مم</v>
      </c>
      <c r="E1406" s="12" t="str">
        <f>IF(C1406&lt;&gt;"", IFERROR(INDEX('بنود العقد'!D$3:D$388,C1406), ""), "")</f>
        <v>عدد</v>
      </c>
      <c r="F1406" s="9">
        <f>IF(C1406&lt;&gt;"", IFERROR(INDEX('بنود العقد'!E$3:E$388,C1406), 0), "")</f>
        <v>300</v>
      </c>
      <c r="G1406" s="9">
        <f>IF(C1406&lt;&gt;"", IFERROR(INDEX('بنود العقد'!F$3:F$388,C1406), 0), "")</f>
        <v>161</v>
      </c>
      <c r="H1406" s="18">
        <f t="shared" si="55"/>
        <v>211</v>
      </c>
      <c r="I1406" s="7">
        <v>26</v>
      </c>
      <c r="J1406" s="18">
        <f t="shared" si="52"/>
        <v>237</v>
      </c>
      <c r="K1406" s="10">
        <f t="shared" si="51"/>
        <v>7800</v>
      </c>
      <c r="L1406" s="21">
        <f t="shared" si="50"/>
        <v>147.20496894409939</v>
      </c>
    </row>
    <row r="1407" spans="1:12" s="72" customFormat="1" ht="25.95" customHeight="1">
      <c r="A1407" s="12">
        <v>1405</v>
      </c>
      <c r="B1407" s="6">
        <v>20</v>
      </c>
      <c r="C1407" s="6">
        <v>189</v>
      </c>
      <c r="D1407" s="20" t="str">
        <f>IF(C1407&lt;&gt;"", IFERROR(INDEX('بنود العقد'!B$3:B$388,C1407), "⚠"), "")</f>
        <v>صفاية أرضية )FD(، من PVC مع مصفاة معدنية  مطلية بالكروم شاملة سيفون كما هو موصف بالمقاسات التالية:صفاية' طولية أرضية )SD(،مع مصفاة  معدنية مطلية بالكروم شاملة سيفون مخرج قطر 50 مم</v>
      </c>
      <c r="E1407" s="12" t="str">
        <f>IF(C1407&lt;&gt;"", IFERROR(INDEX('بنود العقد'!D$3:D$388,C1407), ""), "")</f>
        <v>عدد</v>
      </c>
      <c r="F1407" s="9">
        <f>IF(C1407&lt;&gt;"", IFERROR(INDEX('بنود العقد'!E$3:E$388,C1407), 0), "")</f>
        <v>300</v>
      </c>
      <c r="G1407" s="9">
        <f>IF(C1407&lt;&gt;"", IFERROR(INDEX('بنود العقد'!F$3:F$388,C1407), 0), "")</f>
        <v>20</v>
      </c>
      <c r="H1407" s="18">
        <f t="shared" si="55"/>
        <v>13</v>
      </c>
      <c r="I1407" s="7">
        <v>4</v>
      </c>
      <c r="J1407" s="18">
        <f t="shared" si="52"/>
        <v>17</v>
      </c>
      <c r="K1407" s="10">
        <f t="shared" si="51"/>
        <v>1200</v>
      </c>
      <c r="L1407" s="21">
        <f t="shared" si="50"/>
        <v>85</v>
      </c>
    </row>
    <row r="1408" spans="1:12" s="72" customFormat="1" ht="25.95" customHeight="1">
      <c r="A1408" s="12">
        <v>1406</v>
      </c>
      <c r="B1408" s="6">
        <v>20</v>
      </c>
      <c r="C1408" s="6">
        <v>190</v>
      </c>
      <c r="D1408" s="20" t="str">
        <f>IF(C1408&lt;&gt;"", IFERROR(INDEX('بنود العقد'!B$3:B$388,C1408),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:حوض وجه على رخامة )مرجع 1-LAV ( من نفس نوع الرخام الصناعي كوريان للكاونتر والكاونتر محسوب في بند منفصل</v>
      </c>
      <c r="E1408" s="12" t="str">
        <f>IF(C1408&lt;&gt;"", IFERROR(INDEX('بنود العقد'!D$3:D$388,C1408), ""), "")</f>
        <v>عدد</v>
      </c>
      <c r="F1408" s="9">
        <f>IF(C1408&lt;&gt;"", IFERROR(INDEX('بنود العقد'!E$3:E$388,C1408), 0), "")</f>
        <v>2640</v>
      </c>
      <c r="G1408" s="9">
        <f>IF(C1408&lt;&gt;"", IFERROR(INDEX('بنود العقد'!F$3:F$388,C1408), 0), "")</f>
        <v>68</v>
      </c>
      <c r="H1408" s="18">
        <f t="shared" si="55"/>
        <v>69</v>
      </c>
      <c r="I1408" s="7">
        <v>3</v>
      </c>
      <c r="J1408" s="18">
        <f t="shared" si="52"/>
        <v>72</v>
      </c>
      <c r="K1408" s="10">
        <f t="shared" si="51"/>
        <v>7920</v>
      </c>
      <c r="L1408" s="21">
        <f t="shared" si="50"/>
        <v>105.88235294117648</v>
      </c>
    </row>
    <row r="1409" spans="1:12" s="72" customFormat="1" ht="25.95" customHeight="1">
      <c r="A1409" s="12">
        <v>1407</v>
      </c>
      <c r="B1409" s="6">
        <v>20</v>
      </c>
      <c r="C1409" s="6">
        <v>192</v>
      </c>
      <c r="D1409" s="20" t="str">
        <f>IF(C1409&lt;&gt;"", IFERROR(INDEX('بنود العقد'!B$3:B$388,C1409), "⚠"), "")</f>
        <v>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غسيل أواني للمطبخ بعين واحدة )مرجع 1-KS</v>
      </c>
      <c r="E1409" s="12" t="str">
        <f>IF(C1409&lt;&gt;"", IFERROR(INDEX('بنود العقد'!D$3:D$388,C1409), ""), "")</f>
        <v>عدد</v>
      </c>
      <c r="F1409" s="9">
        <f>IF(C1409&lt;&gt;"", IFERROR(INDEX('بنود العقد'!E$3:E$388,C1409), 0), "")</f>
        <v>3000</v>
      </c>
      <c r="G1409" s="9">
        <f>IF(C1409&lt;&gt;"", IFERROR(INDEX('بنود العقد'!F$3:F$388,C1409), 0), "")</f>
        <v>16</v>
      </c>
      <c r="H1409" s="18">
        <f t="shared" si="55"/>
        <v>11</v>
      </c>
      <c r="I1409" s="7">
        <v>1</v>
      </c>
      <c r="J1409" s="18">
        <f t="shared" si="52"/>
        <v>12</v>
      </c>
      <c r="K1409" s="10">
        <f t="shared" si="51"/>
        <v>3000</v>
      </c>
      <c r="L1409" s="21">
        <f t="shared" si="50"/>
        <v>75</v>
      </c>
    </row>
    <row r="1410" spans="1:12" s="72" customFormat="1" ht="25.95" customHeight="1">
      <c r="A1410" s="12">
        <v>1408</v>
      </c>
      <c r="B1410" s="6">
        <v>20</v>
      </c>
      <c r="C1410" s="6">
        <v>193</v>
      </c>
      <c r="D1410" s="20" t="str">
        <f>IF(C1410&lt;&gt;"", IFERROR(INDEX('بنود العقد'!B$3:B$388,C1410), "⚠"), "")</f>
        <v>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وجه يركب على الكاونتر )مرجع 3-LAV (</v>
      </c>
      <c r="E1410" s="12" t="str">
        <f>IF(C1410&lt;&gt;"", IFERROR(INDEX('بنود العقد'!D$3:D$388,C1410), ""), "")</f>
        <v>عدد</v>
      </c>
      <c r="F1410" s="9">
        <f>IF(C1410&lt;&gt;"", IFERROR(INDEX('بنود العقد'!E$3:E$388,C1410), 0), "")</f>
        <v>2220</v>
      </c>
      <c r="G1410" s="9">
        <f>IF(C1410&lt;&gt;"", IFERROR(INDEX('بنود العقد'!F$3:F$388,C1410), 0), "")</f>
        <v>92</v>
      </c>
      <c r="H1410" s="18">
        <f t="shared" si="55"/>
        <v>109</v>
      </c>
      <c r="I1410" s="7">
        <v>6</v>
      </c>
      <c r="J1410" s="18">
        <f t="shared" si="52"/>
        <v>115</v>
      </c>
      <c r="K1410" s="10">
        <f t="shared" si="51"/>
        <v>13320</v>
      </c>
      <c r="L1410" s="21">
        <f t="shared" si="50"/>
        <v>125</v>
      </c>
    </row>
    <row r="1411" spans="1:12" s="72" customFormat="1" ht="25.95" customHeight="1">
      <c r="A1411" s="12">
        <v>1409</v>
      </c>
      <c r="B1411" s="6">
        <v>20</v>
      </c>
      <c r="C1411" s="6">
        <v>195</v>
      </c>
      <c r="D1411" s="20" t="str">
        <f>IF(C1411&lt;&gt;"", IFERROR(INDEX('بنود العقد'!B$3:B$388,C1411),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افرنجي ) مرجع 2-WWC (  مثبت على الحائط بخزان  طرد مخفي مع زر دفق من الصلب الذي لا يصدأ - مع غطاء للمرحاض مقاوم للبكتريا من نوع soft closing</v>
      </c>
      <c r="E1411" s="12" t="str">
        <f>IF(C1411&lt;&gt;"", IFERROR(INDEX('بنود العقد'!D$3:D$388,C1411), ""), "")</f>
        <v>عدد</v>
      </c>
      <c r="F1411" s="9">
        <f>IF(C1411&lt;&gt;"", IFERROR(INDEX('بنود العقد'!E$3:E$388,C1411), 0), "")</f>
        <v>2760</v>
      </c>
      <c r="G1411" s="9">
        <f>IF(C1411&lt;&gt;"", IFERROR(INDEX('بنود العقد'!F$3:F$388,C1411), 0), "")</f>
        <v>55</v>
      </c>
      <c r="H1411" s="18">
        <f t="shared" si="55"/>
        <v>51</v>
      </c>
      <c r="I1411" s="7">
        <v>3</v>
      </c>
      <c r="J1411" s="18">
        <f t="shared" si="52"/>
        <v>54</v>
      </c>
      <c r="K1411" s="10">
        <f t="shared" si="51"/>
        <v>8280</v>
      </c>
      <c r="L1411" s="21">
        <f t="shared" si="50"/>
        <v>98.181818181818187</v>
      </c>
    </row>
    <row r="1412" spans="1:12" s="72" customFormat="1" ht="25.95" customHeight="1">
      <c r="A1412" s="12">
        <v>1410</v>
      </c>
      <c r="B1412" s="6">
        <v>20</v>
      </c>
      <c r="C1412" s="6">
        <v>196</v>
      </c>
      <c r="D1412" s="20" t="str">
        <f>IF(C1412&lt;&gt;"", IFERROR(INDEX('بنود العقد'!B$3:B$388,C1412),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شرقي )مرجع EWC( مثبت على الحائط بخزان  طرد مخفي مع زر دفق من الصلب الذي لا يصدأ،</v>
      </c>
      <c r="E1412" s="12" t="str">
        <f>IF(C1412&lt;&gt;"", IFERROR(INDEX('بنود العقد'!D$3:D$388,C1412), ""), "")</f>
        <v>عدد</v>
      </c>
      <c r="F1412" s="9">
        <f>IF(C1412&lt;&gt;"", IFERROR(INDEX('بنود العقد'!E$3:E$388,C1412), 0), "")</f>
        <v>2160</v>
      </c>
      <c r="G1412" s="9">
        <f>IF(C1412&lt;&gt;"", IFERROR(INDEX('بنود العقد'!F$3:F$388,C1412), 0), "")</f>
        <v>23</v>
      </c>
      <c r="H1412" s="18">
        <f t="shared" si="55"/>
        <v>27</v>
      </c>
      <c r="I1412" s="7">
        <v>1</v>
      </c>
      <c r="J1412" s="18">
        <f t="shared" si="52"/>
        <v>28</v>
      </c>
      <c r="K1412" s="10">
        <f t="shared" si="51"/>
        <v>2160</v>
      </c>
      <c r="L1412" s="21">
        <f t="shared" si="50"/>
        <v>121.73913043478262</v>
      </c>
    </row>
    <row r="1413" spans="1:12" s="72" customFormat="1" ht="25.95" customHeight="1">
      <c r="A1413" s="12">
        <v>1411</v>
      </c>
      <c r="B1413" s="6">
        <v>20</v>
      </c>
      <c r="C1413" s="6">
        <v>197</v>
      </c>
      <c r="D1413" s="20" t="str">
        <f>IF(C1413&lt;&gt;"", IFERROR(INDEX('بنود العقد'!B$3:B$388,C1413),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:مقبض رشاش مع الخرطوم وأداة التعليق، مرجع PS</v>
      </c>
      <c r="E1413" s="12" t="str">
        <f>IF(C1413&lt;&gt;"", IFERROR(INDEX('بنود العقد'!D$3:D$388,C1413), ""), "")</f>
        <v>عدد</v>
      </c>
      <c r="F1413" s="9">
        <f>IF(C1413&lt;&gt;"", IFERROR(INDEX('بنود العقد'!E$3:E$388,C1413), 0), "")</f>
        <v>180</v>
      </c>
      <c r="G1413" s="9">
        <f>IF(C1413&lt;&gt;"", IFERROR(INDEX('بنود العقد'!F$3:F$388,C1413), 0), "")</f>
        <v>191</v>
      </c>
      <c r="H1413" s="18">
        <f t="shared" si="55"/>
        <v>174</v>
      </c>
      <c r="I1413" s="7">
        <v>9</v>
      </c>
      <c r="J1413" s="18">
        <f t="shared" si="52"/>
        <v>183</v>
      </c>
      <c r="K1413" s="10">
        <f t="shared" si="51"/>
        <v>1620</v>
      </c>
      <c r="L1413" s="21">
        <f t="shared" si="50"/>
        <v>95.81151832460732</v>
      </c>
    </row>
    <row r="1414" spans="1:12" s="72" customFormat="1" ht="25.95" customHeight="1">
      <c r="A1414" s="12">
        <v>1412</v>
      </c>
      <c r="B1414" s="6">
        <v>20</v>
      </c>
      <c r="C1414" s="6">
        <v>198</v>
      </c>
      <c r="D1414" s="20" t="str">
        <f>IF(C1414&lt;&gt;"", IFERROR(INDEX('بنود العقد'!B$3:B$388,C1414),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:خلاط مياة  يركب على الحوض</v>
      </c>
      <c r="E1414" s="12" t="str">
        <f>IF(C1414&lt;&gt;"", IFERROR(INDEX('بنود العقد'!D$3:D$388,C1414), ""), "")</f>
        <v>عدد</v>
      </c>
      <c r="F1414" s="9">
        <f>IF(C1414&lt;&gt;"", IFERROR(INDEX('بنود العقد'!E$3:E$388,C1414), 0), "")</f>
        <v>1080</v>
      </c>
      <c r="G1414" s="9">
        <f>IF(C1414&lt;&gt;"", IFERROR(INDEX('بنود العقد'!F$3:F$388,C1414), 0), "")</f>
        <v>208</v>
      </c>
      <c r="H1414" s="18">
        <f t="shared" si="55"/>
        <v>242</v>
      </c>
      <c r="I1414" s="7">
        <v>12</v>
      </c>
      <c r="J1414" s="18">
        <f t="shared" si="52"/>
        <v>254</v>
      </c>
      <c r="K1414" s="10">
        <f t="shared" si="51"/>
        <v>12960</v>
      </c>
      <c r="L1414" s="21">
        <f t="shared" si="50"/>
        <v>122.11538461538463</v>
      </c>
    </row>
    <row r="1415" spans="1:12" s="72" customFormat="1" ht="25.95" customHeight="1">
      <c r="A1415" s="12">
        <v>1413</v>
      </c>
      <c r="B1415" s="6">
        <v>20</v>
      </c>
      <c r="C1415" s="6">
        <v>199</v>
      </c>
      <c r="D1415" s="20" t="str">
        <f>IF(C1415&lt;&gt;"", IFERROR(INDEX('بنود العقد'!B$3:B$388,C1415),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E1415" s="12" t="str">
        <f>IF(C1415&lt;&gt;"", IFERROR(INDEX('بنود العقد'!D$3:D$388,C1415), ""), "")</f>
        <v>م.ط</v>
      </c>
      <c r="F1415" s="9">
        <f>IF(C1415&lt;&gt;"", IFERROR(INDEX('بنود العقد'!E$3:E$388,C1415), 0), "")</f>
        <v>108</v>
      </c>
      <c r="G1415" s="9">
        <f>IF(C1415&lt;&gt;"", IFERROR(INDEX('بنود العقد'!F$3:F$388,C1415), 0), "")</f>
        <v>3900</v>
      </c>
      <c r="H1415" s="18">
        <f t="shared" si="55"/>
        <v>8727</v>
      </c>
      <c r="I1415" s="7">
        <v>90.28</v>
      </c>
      <c r="J1415" s="18">
        <f t="shared" si="52"/>
        <v>8817.2800000000007</v>
      </c>
      <c r="K1415" s="10">
        <f t="shared" si="51"/>
        <v>9750.24</v>
      </c>
      <c r="L1415" s="21">
        <f t="shared" si="50"/>
        <v>226.08410256410258</v>
      </c>
    </row>
    <row r="1416" spans="1:12" s="72" customFormat="1" ht="25.95" customHeight="1">
      <c r="A1416" s="12">
        <v>1414</v>
      </c>
      <c r="B1416" s="6">
        <v>20</v>
      </c>
      <c r="C1416" s="6">
        <v>200</v>
      </c>
      <c r="D1416" s="20" t="str">
        <f>IF(C1416&lt;&gt;"", IFERROR(INDEX('بنود العقد'!B$3:B$388,C1416),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28</v>
      </c>
      <c r="E1416" s="12" t="str">
        <f>IF(C1416&lt;&gt;"", IFERROR(INDEX('بنود العقد'!D$3:D$388,C1416), ""), "")</f>
        <v>م.ط</v>
      </c>
      <c r="F1416" s="9">
        <f>IF(C1416&lt;&gt;"", IFERROR(INDEX('بنود العقد'!E$3:E$388,C1416), 0), "")</f>
        <v>138</v>
      </c>
      <c r="G1416" s="9">
        <f>IF(C1416&lt;&gt;"", IFERROR(INDEX('بنود العقد'!F$3:F$388,C1416), 0), "")</f>
        <v>323</v>
      </c>
      <c r="H1416" s="18">
        <f t="shared" si="55"/>
        <v>702</v>
      </c>
      <c r="I1416" s="7">
        <v>12.32</v>
      </c>
      <c r="J1416" s="18">
        <f t="shared" si="52"/>
        <v>714.32</v>
      </c>
      <c r="K1416" s="10">
        <f t="shared" si="51"/>
        <v>1700.16</v>
      </c>
      <c r="L1416" s="21">
        <f t="shared" si="50"/>
        <v>221.15170278637771</v>
      </c>
    </row>
    <row r="1417" spans="1:12" s="72" customFormat="1" ht="25.95" customHeight="1">
      <c r="A1417" s="12">
        <v>1415</v>
      </c>
      <c r="B1417" s="6">
        <v>20</v>
      </c>
      <c r="C1417" s="6">
        <v>201</v>
      </c>
      <c r="D1417" s="20" t="str">
        <f>IF(C1417&lt;&gt;"", IFERROR(INDEX('بنود العقد'!B$3:B$388,C1417),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33</v>
      </c>
      <c r="E1417" s="12" t="str">
        <f>IF(C1417&lt;&gt;"", IFERROR(INDEX('بنود العقد'!D$3:D$388,C1417), ""), "")</f>
        <v>م.ط</v>
      </c>
      <c r="F1417" s="9">
        <f>IF(C1417&lt;&gt;"", IFERROR(INDEX('بنود العقد'!E$3:E$388,C1417), 0), "")</f>
        <v>192</v>
      </c>
      <c r="G1417" s="9">
        <f>IF(C1417&lt;&gt;"", IFERROR(INDEX('بنود العقد'!F$3:F$388,C1417), 0), "")</f>
        <v>660</v>
      </c>
      <c r="H1417" s="18">
        <f t="shared" si="55"/>
        <v>1635</v>
      </c>
      <c r="I1417" s="7">
        <v>21.42</v>
      </c>
      <c r="J1417" s="18">
        <f t="shared" si="52"/>
        <v>1656.42</v>
      </c>
      <c r="K1417" s="10">
        <f t="shared" si="51"/>
        <v>4112.6400000000003</v>
      </c>
      <c r="L1417" s="21">
        <f t="shared" si="50"/>
        <v>250.9727272727273</v>
      </c>
    </row>
    <row r="1418" spans="1:12" s="72" customFormat="1" ht="25.95" customHeight="1">
      <c r="A1418" s="12">
        <v>1416</v>
      </c>
      <c r="B1418" s="6">
        <v>20</v>
      </c>
      <c r="C1418" s="6">
        <v>202</v>
      </c>
      <c r="D1418" s="20" t="str">
        <f>IF(C1418&lt;&gt;"", IFERROR(INDEX('بنود العقد'!B$3:B$388,C1418),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40</v>
      </c>
      <c r="E1418" s="12" t="str">
        <f>IF(C1418&lt;&gt;"", IFERROR(INDEX('بنود العقد'!D$3:D$388,C1418), ""), "")</f>
        <v>م.ط</v>
      </c>
      <c r="F1418" s="9">
        <f>IF(C1418&lt;&gt;"", IFERROR(INDEX('بنود العقد'!E$3:E$388,C1418), 0), "")</f>
        <v>222</v>
      </c>
      <c r="G1418" s="9">
        <f>IF(C1418&lt;&gt;"", IFERROR(INDEX('بنود العقد'!F$3:F$388,C1418), 0), "")</f>
        <v>600</v>
      </c>
      <c r="H1418" s="18">
        <f t="shared" si="55"/>
        <v>945</v>
      </c>
      <c r="I1418" s="7">
        <v>40.49</v>
      </c>
      <c r="J1418" s="18">
        <f t="shared" si="52"/>
        <v>985.49</v>
      </c>
      <c r="K1418" s="10">
        <f t="shared" si="51"/>
        <v>8988.7800000000007</v>
      </c>
      <c r="L1418" s="21">
        <f t="shared" si="50"/>
        <v>164.24833333333333</v>
      </c>
    </row>
    <row r="1419" spans="1:12" s="72" customFormat="1" ht="25.95" customHeight="1">
      <c r="A1419" s="12">
        <v>1417</v>
      </c>
      <c r="B1419" s="6">
        <v>20</v>
      </c>
      <c r="C1419" s="6">
        <v>203</v>
      </c>
      <c r="D1419" s="20" t="str">
        <f>IF(C1419&lt;&gt;"", IFERROR(INDEX('بنود العقد'!B$3:B$388,C1419),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63</v>
      </c>
      <c r="E1419" s="12" t="str">
        <f>IF(C1419&lt;&gt;"", IFERROR(INDEX('بنود العقد'!D$3:D$388,C1419), ""), "")</f>
        <v>م.ط</v>
      </c>
      <c r="F1419" s="9">
        <f>IF(C1419&lt;&gt;"", IFERROR(INDEX('بنود العقد'!E$3:E$388,C1419), 0), "")</f>
        <v>240</v>
      </c>
      <c r="G1419" s="9">
        <f>IF(C1419&lt;&gt;"", IFERROR(INDEX('بنود العقد'!F$3:F$388,C1419), 0), "")</f>
        <v>646</v>
      </c>
      <c r="H1419" s="18">
        <f t="shared" si="55"/>
        <v>1288</v>
      </c>
      <c r="I1419" s="7">
        <v>218.17</v>
      </c>
      <c r="J1419" s="18">
        <f t="shared" si="52"/>
        <v>1506.17</v>
      </c>
      <c r="K1419" s="10">
        <f t="shared" si="51"/>
        <v>52360.799999999996</v>
      </c>
      <c r="L1419" s="21">
        <f t="shared" si="50"/>
        <v>233.15325077399382</v>
      </c>
    </row>
    <row r="1420" spans="1:12" s="72" customFormat="1" ht="25.95" customHeight="1">
      <c r="A1420" s="12">
        <v>1418</v>
      </c>
      <c r="B1420" s="6">
        <v>20</v>
      </c>
      <c r="C1420" s="6">
        <v>204</v>
      </c>
      <c r="D1420" s="20" t="str">
        <f>IF(C1420&lt;&gt;"", IFERROR(INDEX('بنود العقد'!B$3:B$388,C1420),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77</v>
      </c>
      <c r="E1420" s="12" t="str">
        <f>IF(C1420&lt;&gt;"", IFERROR(INDEX('بنود العقد'!D$3:D$388,C1420), ""), "")</f>
        <v>م.ط</v>
      </c>
      <c r="F1420" s="9">
        <f>IF(C1420&lt;&gt;"", IFERROR(INDEX('بنود العقد'!E$3:E$388,C1420), 0), "")</f>
        <v>288</v>
      </c>
      <c r="G1420" s="9">
        <f>IF(C1420&lt;&gt;"", IFERROR(INDEX('بنود العقد'!F$3:F$388,C1420), 0), "")</f>
        <v>110</v>
      </c>
      <c r="H1420" s="18">
        <f t="shared" si="55"/>
        <v>469</v>
      </c>
      <c r="I1420" s="7">
        <v>6.33</v>
      </c>
      <c r="J1420" s="18">
        <f t="shared" si="52"/>
        <v>475.33</v>
      </c>
      <c r="K1420" s="10">
        <f t="shared" si="51"/>
        <v>1823.04</v>
      </c>
      <c r="L1420" s="21">
        <f t="shared" si="50"/>
        <v>432.11818181818182</v>
      </c>
    </row>
    <row r="1421" spans="1:12" s="72" customFormat="1" ht="25.95" customHeight="1">
      <c r="A1421" s="12">
        <v>1419</v>
      </c>
      <c r="B1421" s="6">
        <v>20</v>
      </c>
      <c r="C1421" s="6">
        <v>205</v>
      </c>
      <c r="D1421" s="20" t="str">
        <f>IF(C1421&lt;&gt;"", IFERROR(INDEX('بنود العقد'!B$3:B$388,C1421),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94</v>
      </c>
      <c r="E1421" s="12" t="str">
        <f>IF(C1421&lt;&gt;"", IFERROR(INDEX('بنود العقد'!D$3:D$388,C1421), ""), "")</f>
        <v>م.ط</v>
      </c>
      <c r="F1421" s="9">
        <f>IF(C1421&lt;&gt;"", IFERROR(INDEX('بنود العقد'!E$3:E$388,C1421), 0), "")</f>
        <v>324</v>
      </c>
      <c r="G1421" s="9">
        <f>IF(C1421&lt;&gt;"", IFERROR(INDEX('بنود العقد'!F$3:F$388,C1421), 0), "")</f>
        <v>314</v>
      </c>
      <c r="H1421" s="18">
        <f t="shared" si="55"/>
        <v>400</v>
      </c>
      <c r="I1421" s="7">
        <v>34.35</v>
      </c>
      <c r="J1421" s="18">
        <f t="shared" si="52"/>
        <v>434.35</v>
      </c>
      <c r="K1421" s="10">
        <f t="shared" si="51"/>
        <v>11129.4</v>
      </c>
      <c r="L1421" s="21">
        <f t="shared" si="50"/>
        <v>138.32802547770703</v>
      </c>
    </row>
    <row r="1422" spans="1:12" s="72" customFormat="1" ht="25.95" customHeight="1">
      <c r="A1422" s="12">
        <v>1420</v>
      </c>
      <c r="B1422" s="6">
        <v>20</v>
      </c>
      <c r="C1422" s="6">
        <v>206</v>
      </c>
      <c r="D1422" s="20" t="str">
        <f>IF(C1422&lt;&gt;"", IFERROR(INDEX('بنود العقد'!B$3:B$388,C1422),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141</v>
      </c>
      <c r="E1422" s="12" t="str">
        <f>IF(C1422&lt;&gt;"", IFERROR(INDEX('بنود العقد'!D$3:D$388,C1422), ""), "")</f>
        <v>م.ط</v>
      </c>
      <c r="F1422" s="9">
        <f>IF(C1422&lt;&gt;"", IFERROR(INDEX('بنود العقد'!E$3:E$388,C1422), 0), "")</f>
        <v>360</v>
      </c>
      <c r="G1422" s="9">
        <f>IF(C1422&lt;&gt;"", IFERROR(INDEX('بنود العقد'!F$3:F$388,C1422), 0), "")</f>
        <v>200</v>
      </c>
      <c r="H1422" s="18">
        <f t="shared" si="55"/>
        <v>662</v>
      </c>
      <c r="I1422" s="7">
        <v>10.92</v>
      </c>
      <c r="J1422" s="18">
        <f t="shared" si="52"/>
        <v>672.92</v>
      </c>
      <c r="K1422" s="10">
        <f t="shared" si="51"/>
        <v>3931.2</v>
      </c>
      <c r="L1422" s="21">
        <f t="shared" si="50"/>
        <v>336.46</v>
      </c>
    </row>
    <row r="1423" spans="1:12" s="72" customFormat="1" ht="25.95" customHeight="1">
      <c r="A1423" s="12">
        <v>1421</v>
      </c>
      <c r="B1423" s="6">
        <v>20</v>
      </c>
      <c r="C1423" s="6">
        <v>215</v>
      </c>
      <c r="D1423" s="20" t="str">
        <f>IF(C1423&lt;&gt;"", IFERROR(INDEX('بنود العقد'!B$3:B$388,C1423), "⚠"), "")</f>
        <v>توريد و تركيب و اختبار رشاشات آلية اوتوماتيكية كما هو موصف رشاشات من النوع المخفي، ذات فتحة 2/1 بوصة، ومعامل 5.6 =K   ودرجة حرارة تشغيل 68 درجة مئوية</v>
      </c>
      <c r="E1423" s="12" t="str">
        <f>IF(C1423&lt;&gt;"", IFERROR(INDEX('بنود العقد'!D$3:D$388,C1423), ""), "")</f>
        <v>عدد</v>
      </c>
      <c r="F1423" s="9">
        <f>IF(C1423&lt;&gt;"", IFERROR(INDEX('بنود العقد'!E$3:E$388,C1423), 0), "")</f>
        <v>90</v>
      </c>
      <c r="G1423" s="9">
        <f>IF(C1423&lt;&gt;"", IFERROR(INDEX('بنود العقد'!F$3:F$388,C1423), 0), "")</f>
        <v>1000</v>
      </c>
      <c r="H1423" s="18">
        <f t="shared" si="55"/>
        <v>2111</v>
      </c>
      <c r="I1423" s="7">
        <v>50</v>
      </c>
      <c r="J1423" s="18">
        <f t="shared" si="52"/>
        <v>2161</v>
      </c>
      <c r="K1423" s="10">
        <f t="shared" si="51"/>
        <v>4500</v>
      </c>
      <c r="L1423" s="21">
        <f t="shared" si="50"/>
        <v>216.1</v>
      </c>
    </row>
    <row r="1424" spans="1:12" s="72" customFormat="1" ht="25.95" customHeight="1">
      <c r="A1424" s="12">
        <v>1422</v>
      </c>
      <c r="B1424" s="6">
        <v>20</v>
      </c>
      <c r="C1424" s="6">
        <v>216</v>
      </c>
      <c r="D1424" s="20" t="str">
        <f>IF(C1424&lt;&gt;"", IFERROR(INDEX('بنود العقد'!B$3:B$388,C1424), "⚠"), "")</f>
        <v>توريد و تركيب و اختبار رشاشات آلية اوتوماتيكية كما هو موصف رشاشات عامودية، ذات فتحة 2/1 بوصة، ومعامل 5.6 =K   ودرجة حرارة تشغيل 68 درجة مئوية</v>
      </c>
      <c r="E1424" s="12" t="str">
        <f>IF(C1424&lt;&gt;"", IFERROR(INDEX('بنود العقد'!D$3:D$388,C1424), ""), "")</f>
        <v>عدد</v>
      </c>
      <c r="F1424" s="9">
        <f>IF(C1424&lt;&gt;"", IFERROR(INDEX('بنود العقد'!E$3:E$388,C1424), 0), "")</f>
        <v>90</v>
      </c>
      <c r="G1424" s="9">
        <f>IF(C1424&lt;&gt;"", IFERROR(INDEX('بنود العقد'!F$3:F$388,C1424), 0), "")</f>
        <v>508</v>
      </c>
      <c r="H1424" s="18">
        <f t="shared" si="55"/>
        <v>685</v>
      </c>
      <c r="I1424" s="7">
        <v>10</v>
      </c>
      <c r="J1424" s="18">
        <f t="shared" si="52"/>
        <v>695</v>
      </c>
      <c r="K1424" s="10">
        <f t="shared" si="51"/>
        <v>900</v>
      </c>
      <c r="L1424" s="21">
        <f t="shared" si="50"/>
        <v>136.81102362204726</v>
      </c>
    </row>
    <row r="1425" spans="1:12" s="72" customFormat="1" ht="25.95" customHeight="1">
      <c r="A1425" s="12">
        <v>1423</v>
      </c>
      <c r="B1425" s="6">
        <v>20</v>
      </c>
      <c r="C1425" s="6">
        <v>217</v>
      </c>
      <c r="D1425" s="20" t="str">
        <f>IF(C1425&lt;&gt;"", IFERROR(INDEX('بنود العقد'!B$3:B$388,C1425), "⚠"), "")</f>
        <v>توريد و تركيب طفايات حريق قابلة للحمل كما هو محددنوع ABC ، سعة 6 كغ ، بودرة جافّة مرجع 1-FE</v>
      </c>
      <c r="E1425" s="12" t="str">
        <f>IF(C1425&lt;&gt;"", IFERROR(INDEX('بنود العقد'!D$3:D$388,C1425), ""), "")</f>
        <v>عدد</v>
      </c>
      <c r="F1425" s="9">
        <f>IF(C1425&lt;&gt;"", IFERROR(INDEX('بنود العقد'!E$3:E$388,C1425), 0), "")</f>
        <v>180</v>
      </c>
      <c r="G1425" s="9">
        <f>IF(C1425&lt;&gt;"", IFERROR(INDEX('بنود العقد'!F$3:F$388,C1425), 0), "")</f>
        <v>48</v>
      </c>
      <c r="H1425" s="18">
        <f t="shared" si="55"/>
        <v>0</v>
      </c>
      <c r="I1425" s="7">
        <v>48</v>
      </c>
      <c r="J1425" s="18">
        <f t="shared" si="52"/>
        <v>48</v>
      </c>
      <c r="K1425" s="10">
        <f t="shared" si="51"/>
        <v>8640</v>
      </c>
      <c r="L1425" s="21">
        <f t="shared" si="50"/>
        <v>100</v>
      </c>
    </row>
    <row r="1426" spans="1:12" s="72" customFormat="1" ht="25.95" customHeight="1">
      <c r="A1426" s="12">
        <v>1424</v>
      </c>
      <c r="B1426" s="6">
        <v>20</v>
      </c>
      <c r="C1426" s="6">
        <v>218</v>
      </c>
      <c r="D1426" s="20" t="str">
        <f>IF(C1426&lt;&gt;"", IFERROR(INDEX('بنود العقد'!B$3:B$388,C1426), "⚠"), "")</f>
        <v>توريد و تركيب نظام  غازي200FM لغرف الكهرباء و السنترال و ما يتطلبه النظام من تعديلاتمعمارية على ان يتم تقديمها للاعتماد من قبل مهندس المشرف  ،  مرجع 3-FE</v>
      </c>
      <c r="E1426" s="12" t="str">
        <f>IF(C1426&lt;&gt;"", IFERROR(INDEX('بنود العقد'!D$3:D$388,C1426), ""), "")</f>
        <v>عدد</v>
      </c>
      <c r="F1426" s="9">
        <f>IF(C1426&lt;&gt;"", IFERROR(INDEX('بنود العقد'!E$3:E$388,C1426), 0), "")</f>
        <v>54000</v>
      </c>
      <c r="G1426" s="9">
        <f>IF(C1426&lt;&gt;"", IFERROR(INDEX('بنود العقد'!F$3:F$388,C1426), 0), "")</f>
        <v>36</v>
      </c>
      <c r="H1426" s="18">
        <f t="shared" si="55"/>
        <v>13</v>
      </c>
      <c r="I1426" s="7">
        <v>0.5</v>
      </c>
      <c r="J1426" s="18">
        <f t="shared" si="52"/>
        <v>13.5</v>
      </c>
      <c r="K1426" s="10">
        <f t="shared" si="51"/>
        <v>27000</v>
      </c>
      <c r="L1426" s="21">
        <f t="shared" si="50"/>
        <v>37.5</v>
      </c>
    </row>
    <row r="1427" spans="1:12" s="72" customFormat="1" ht="25.95" customHeight="1">
      <c r="A1427" s="12">
        <v>1425</v>
      </c>
      <c r="B1427" s="6">
        <v>20</v>
      </c>
      <c r="C1427" s="6">
        <v>221</v>
      </c>
      <c r="D1427" s="20" t="str">
        <f>IF(C1427&lt;&gt;"", IFERROR(INDEX('بنود العقد'!B$3:B$388,C1427),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01-VAV ، اجمالي الهواء 0-250 ) ق/د( استطاعة التخزين 5.1 )ك/و(</v>
      </c>
      <c r="E1427" s="12" t="str">
        <f>IF(C1427&lt;&gt;"", IFERROR(INDEX('بنود العقد'!D$3:D$388,C1427), ""), "")</f>
        <v>عدد</v>
      </c>
      <c r="F1427" s="9">
        <f>IF(C1427&lt;&gt;"", IFERROR(INDEX('بنود العقد'!E$3:E$388,C1427), 0), "")</f>
        <v>6600</v>
      </c>
      <c r="G1427" s="9">
        <f>IF(C1427&lt;&gt;"", IFERROR(INDEX('بنود العقد'!F$3:F$388,C1427), 0), "")</f>
        <v>9</v>
      </c>
      <c r="H1427" s="18">
        <f t="shared" si="55"/>
        <v>76</v>
      </c>
      <c r="I1427" s="7">
        <v>1</v>
      </c>
      <c r="J1427" s="18">
        <f t="shared" si="52"/>
        <v>77</v>
      </c>
      <c r="K1427" s="10">
        <f t="shared" si="51"/>
        <v>6600</v>
      </c>
      <c r="L1427" s="21">
        <f t="shared" si="50"/>
        <v>855.55555555555554</v>
      </c>
    </row>
    <row r="1428" spans="1:12" s="72" customFormat="1" ht="25.95" customHeight="1">
      <c r="A1428" s="12">
        <v>1426</v>
      </c>
      <c r="B1428" s="6">
        <v>20</v>
      </c>
      <c r="C1428" s="6">
        <v>222</v>
      </c>
      <c r="D1428" s="20" t="str">
        <f>IF(C1428&lt;&gt;"", IFERROR(INDEX('بنود العقد'!B$3:B$388,C1428),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02-VAV ، اجمالي الهواء 0-500 ) ق/د( استطاعة التخزين 2 )ك/و(</v>
      </c>
      <c r="E1428" s="12" t="str">
        <f>IF(C1428&lt;&gt;"", IFERROR(INDEX('بنود العقد'!D$3:D$388,C1428), ""), "")</f>
        <v>عدد</v>
      </c>
      <c r="F1428" s="9">
        <f>IF(C1428&lt;&gt;"", IFERROR(INDEX('بنود العقد'!E$3:E$388,C1428), 0), "")</f>
        <v>6960</v>
      </c>
      <c r="G1428" s="9">
        <f>IF(C1428&lt;&gt;"", IFERROR(INDEX('بنود العقد'!F$3:F$388,C1428), 0), "")</f>
        <v>127</v>
      </c>
      <c r="H1428" s="18">
        <f t="shared" si="55"/>
        <v>102</v>
      </c>
      <c r="I1428" s="7">
        <v>1</v>
      </c>
      <c r="J1428" s="18">
        <f t="shared" si="52"/>
        <v>103</v>
      </c>
      <c r="K1428" s="10">
        <f t="shared" si="51"/>
        <v>6960</v>
      </c>
      <c r="L1428" s="21">
        <f t="shared" si="50"/>
        <v>81.102362204724415</v>
      </c>
    </row>
    <row r="1429" spans="1:12" s="72" customFormat="1" ht="25.95" customHeight="1">
      <c r="A1429" s="12">
        <v>1427</v>
      </c>
      <c r="B1429" s="6">
        <v>20</v>
      </c>
      <c r="C1429" s="6">
        <v>231</v>
      </c>
      <c r="D1429" s="20" t="str">
        <f>IF(C1429&lt;&gt;"", IFERROR(INDEX('بنود العقد'!B$3:B$388,C1429), "⚠"), "")</f>
        <v>ناشرة هواء ذات فتحات طولية  للهواء الداخل مصنعة من الألمنيوم المشكل بالبثق ومطلية بمسحوق البولستركاملة، مخمدات صوت ذات أرياش متضادّة ،وصندوق حجمى معزول من الداخل بعازل صوتى وميكانيزم للتحكم فى الهواء من واجهة الناشر وكل قطع الأكسسوار حسب المواصفات والمخططات مع توفير عينات للاعتماد من مهندس المشرف. ثلاثة فتحات / ثقب 25مم عرض</v>
      </c>
      <c r="E1429" s="12" t="str">
        <f>IF(C1429&lt;&gt;"", IFERROR(INDEX('بنود العقد'!D$3:D$388,C1429), ""), "")</f>
        <v>م.ط</v>
      </c>
      <c r="F1429" s="9">
        <f>IF(C1429&lt;&gt;"", IFERROR(INDEX('بنود العقد'!E$3:E$388,C1429), 0), "")</f>
        <v>480</v>
      </c>
      <c r="G1429" s="9">
        <f>IF(C1429&lt;&gt;"", IFERROR(INDEX('بنود العقد'!F$3:F$388,C1429), 0), "")</f>
        <v>1925</v>
      </c>
      <c r="H1429" s="18">
        <f t="shared" si="55"/>
        <v>1530</v>
      </c>
      <c r="I1429" s="7">
        <v>67</v>
      </c>
      <c r="J1429" s="18">
        <f t="shared" si="52"/>
        <v>1597</v>
      </c>
      <c r="K1429" s="10">
        <f t="shared" si="51"/>
        <v>32160</v>
      </c>
      <c r="L1429" s="21">
        <f t="shared" si="50"/>
        <v>82.961038961038952</v>
      </c>
    </row>
    <row r="1430" spans="1:12" s="72" customFormat="1" ht="25.95" customHeight="1">
      <c r="A1430" s="12">
        <v>1428</v>
      </c>
      <c r="B1430" s="6">
        <v>20</v>
      </c>
      <c r="C1430" s="6">
        <v>232</v>
      </c>
      <c r="D1430" s="20" t="str">
        <f>IF(C1430&lt;&gt;"", IFERROR(INDEX('بنود العقد'!B$3:B$388,C1430), "⚠"), "")</f>
        <v>ناشرة هواء ذات فتحات طولية للهواء الراجع مصنعة من الألمنيوم المشكل بالبثق ومطلية بمسحوق البولستركاملة، وكل قطع الأكسسوار حسب المواصفات والمخططات مع توفير عينات للاعتماد من مهندس المشرف. ثلاثة فتحات / ثقب 25مم عرض</v>
      </c>
      <c r="E1430" s="12" t="str">
        <f>IF(C1430&lt;&gt;"", IFERROR(INDEX('بنود العقد'!D$3:D$388,C1430), ""), "")</f>
        <v>م.ط</v>
      </c>
      <c r="F1430" s="9">
        <f>IF(C1430&lt;&gt;"", IFERROR(INDEX('بنود العقد'!E$3:E$388,C1430), 0), "")</f>
        <v>480</v>
      </c>
      <c r="G1430" s="9">
        <f>IF(C1430&lt;&gt;"", IFERROR(INDEX('بنود العقد'!F$3:F$388,C1430), 0), "")</f>
        <v>1925</v>
      </c>
      <c r="H1430" s="18">
        <f t="shared" si="55"/>
        <v>1619</v>
      </c>
      <c r="I1430" s="7">
        <v>15</v>
      </c>
      <c r="J1430" s="18">
        <f t="shared" si="52"/>
        <v>1634</v>
      </c>
      <c r="K1430" s="10">
        <f t="shared" si="51"/>
        <v>7200</v>
      </c>
      <c r="L1430" s="21">
        <f t="shared" si="50"/>
        <v>84.883116883116884</v>
      </c>
    </row>
    <row r="1431" spans="1:12" s="72" customFormat="1" ht="25.95" customHeight="1">
      <c r="A1431" s="12">
        <v>1429</v>
      </c>
      <c r="B1431" s="6">
        <v>20</v>
      </c>
      <c r="C1431" s="6">
        <v>233</v>
      </c>
      <c r="D1431" s="20" t="str">
        <f>IF(C1431&lt;&gt;"", IFERROR(INDEX('بنود العقد'!B$3:B$388,C1431), "⚠"), "")</f>
        <v xml:space="preserve"> جريلات تغذية من الالومينيوم مغطاة ببودرة البوليستر كاملة وجميع الملحقات حسب المخططات..والمواصفات مع توفير عينات للاعتماد من مهندس المشرف 600mm X 600mm</v>
      </c>
      <c r="E1431" s="12" t="str">
        <f>IF(C1431&lt;&gt;"", IFERROR(INDEX('بنود العقد'!D$3:D$388,C1431), ""), "")</f>
        <v>عدد</v>
      </c>
      <c r="F1431" s="9">
        <f>IF(C1431&lt;&gt;"", IFERROR(INDEX('بنود العقد'!E$3:E$388,C1431), 0), "")</f>
        <v>456</v>
      </c>
      <c r="G1431" s="9">
        <f>IF(C1431&lt;&gt;"", IFERROR(INDEX('بنود العقد'!F$3:F$388,C1431), 0), "")</f>
        <v>724</v>
      </c>
      <c r="H1431" s="18">
        <f t="shared" si="55"/>
        <v>631</v>
      </c>
      <c r="I1431" s="7">
        <v>24</v>
      </c>
      <c r="J1431" s="18">
        <f t="shared" si="52"/>
        <v>655</v>
      </c>
      <c r="K1431" s="10">
        <f t="shared" si="51"/>
        <v>10944</v>
      </c>
      <c r="L1431" s="21">
        <f t="shared" si="50"/>
        <v>90.469613259668506</v>
      </c>
    </row>
    <row r="1432" spans="1:12" s="72" customFormat="1" ht="25.95" customHeight="1">
      <c r="A1432" s="12">
        <v>1430</v>
      </c>
      <c r="B1432" s="6">
        <v>20</v>
      </c>
      <c r="C1432" s="6">
        <v>234</v>
      </c>
      <c r="D1432" s="20" t="str">
        <f>IF(C1432&lt;&gt;"", IFERROR(INDEX('بنود العقد'!B$3:B$388,C1432), "⚠"), "")</f>
        <v xml:space="preserve"> جريلات رجوع من الالومينيوم مغطاة ببودرة البوليستر كاملة وجميع الملحقات حسب المخططات.والمواصفات مع توفير عينات للاعتماد من مهندس المشرف 600mm X 600mm</v>
      </c>
      <c r="E1432" s="12" t="str">
        <f>IF(C1432&lt;&gt;"", IFERROR(INDEX('بنود العقد'!D$3:D$388,C1432), ""), "")</f>
        <v>عدد</v>
      </c>
      <c r="F1432" s="9">
        <f>IF(C1432&lt;&gt;"", IFERROR(INDEX('بنود العقد'!E$3:E$388,C1432), 0), "")</f>
        <v>264</v>
      </c>
      <c r="G1432" s="9">
        <f>IF(C1432&lt;&gt;"", IFERROR(INDEX('بنود العقد'!F$3:F$388,C1432), 0), "")</f>
        <v>724</v>
      </c>
      <c r="H1432" s="18">
        <f t="shared" si="55"/>
        <v>320</v>
      </c>
      <c r="I1432" s="7">
        <v>16</v>
      </c>
      <c r="J1432" s="18">
        <f t="shared" si="52"/>
        <v>336</v>
      </c>
      <c r="K1432" s="10">
        <f t="shared" si="51"/>
        <v>4224</v>
      </c>
      <c r="L1432" s="21">
        <f t="shared" si="50"/>
        <v>46.408839779005525</v>
      </c>
    </row>
    <row r="1433" spans="1:12" s="72" customFormat="1" ht="25.95" customHeight="1">
      <c r="A1433" s="12">
        <v>1431</v>
      </c>
      <c r="B1433" s="6">
        <v>20</v>
      </c>
      <c r="C1433" s="6">
        <v>235</v>
      </c>
      <c r="D1433" s="20" t="str">
        <f>IF(C1433&lt;&gt;"", IFERROR(INDEX('بنود العقد'!B$3:B$388,C1433), "⚠"), "")</f>
        <v xml:space="preserve"> جريلات لسحب الهواء من الالمونيوم مغطاة ببودرة البوليستر كاملة بجميع ملحقات التركيب وحسب.المخططات والمواصفات مع توفير عينات للاعتماد من مهندس المشرف 150mm X 150MM</v>
      </c>
      <c r="E1433" s="12" t="str">
        <f>IF(C1433&lt;&gt;"", IFERROR(INDEX('بنود العقد'!D$3:D$388,C1433), ""), "")</f>
        <v>عدد</v>
      </c>
      <c r="F1433" s="9">
        <f>IF(C1433&lt;&gt;"", IFERROR(INDEX('بنود العقد'!E$3:E$388,C1433), 0), "")</f>
        <v>210</v>
      </c>
      <c r="G1433" s="9">
        <f>IF(C1433&lt;&gt;"", IFERROR(INDEX('بنود العقد'!F$3:F$388,C1433), 0), "")</f>
        <v>102</v>
      </c>
      <c r="H1433" s="18">
        <f t="shared" si="55"/>
        <v>235</v>
      </c>
      <c r="I1433" s="7">
        <v>6</v>
      </c>
      <c r="J1433" s="18">
        <f t="shared" si="52"/>
        <v>241</v>
      </c>
      <c r="K1433" s="10">
        <f t="shared" si="51"/>
        <v>1260</v>
      </c>
      <c r="L1433" s="21">
        <f t="shared" si="50"/>
        <v>236.27450980392157</v>
      </c>
    </row>
    <row r="1434" spans="1:12" s="72" customFormat="1" ht="25.95" customHeight="1">
      <c r="A1434" s="12">
        <v>1432</v>
      </c>
      <c r="B1434" s="6">
        <v>20</v>
      </c>
      <c r="C1434" s="6">
        <v>236</v>
      </c>
      <c r="D1434" s="20" t="str">
        <f>IF(C1434&lt;&gt;"", IFERROR(INDEX('بنود العقد'!B$3:B$388,C1434),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المشرف.Dia 150 mm</v>
      </c>
      <c r="E1434" s="12" t="str">
        <f>IF(C1434&lt;&gt;"", IFERROR(INDEX('بنود العقد'!D$3:D$388,C1434), ""), "")</f>
        <v>م.ط</v>
      </c>
      <c r="F1434" s="9">
        <f>IF(C1434&lt;&gt;"", IFERROR(INDEX('بنود العقد'!E$3:E$388,C1434), 0), "")</f>
        <v>45.6</v>
      </c>
      <c r="G1434" s="9">
        <f>IF(C1434&lt;&gt;"", IFERROR(INDEX('بنود العقد'!F$3:F$388,C1434), 0), "")</f>
        <v>240</v>
      </c>
      <c r="H1434" s="18">
        <f t="shared" si="55"/>
        <v>70</v>
      </c>
      <c r="I1434" s="7">
        <v>150.6</v>
      </c>
      <c r="J1434" s="18">
        <f t="shared" si="52"/>
        <v>220.6</v>
      </c>
      <c r="K1434" s="10">
        <f t="shared" si="51"/>
        <v>6867.36</v>
      </c>
      <c r="L1434" s="21">
        <f t="shared" si="50"/>
        <v>91.916666666666671</v>
      </c>
    </row>
    <row r="1435" spans="1:12" s="72" customFormat="1" ht="25.95" customHeight="1">
      <c r="A1435" s="12">
        <v>1433</v>
      </c>
      <c r="B1435" s="6">
        <v>20</v>
      </c>
      <c r="C1435" s="6">
        <v>237</v>
      </c>
      <c r="D1435" s="20" t="str">
        <f>IF(C1435&lt;&gt;"", IFERROR(INDEX('بنود العقد'!B$3:B$388,C1435),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200 mm</v>
      </c>
      <c r="E1435" s="12" t="str">
        <f>IF(C1435&lt;&gt;"", IFERROR(INDEX('بنود العقد'!D$3:D$388,C1435), ""), "")</f>
        <v>م.ط</v>
      </c>
      <c r="F1435" s="9">
        <f>IF(C1435&lt;&gt;"", IFERROR(INDEX('بنود العقد'!E$3:E$388,C1435), 0), "")</f>
        <v>54</v>
      </c>
      <c r="G1435" s="9">
        <f>IF(C1435&lt;&gt;"", IFERROR(INDEX('بنود العقد'!F$3:F$388,C1435), 0), "")</f>
        <v>2964</v>
      </c>
      <c r="H1435" s="18">
        <f t="shared" si="55"/>
        <v>654</v>
      </c>
      <c r="I1435" s="7">
        <v>25</v>
      </c>
      <c r="J1435" s="18">
        <f t="shared" si="52"/>
        <v>679</v>
      </c>
      <c r="K1435" s="10">
        <f t="shared" si="51"/>
        <v>1350</v>
      </c>
      <c r="L1435" s="21">
        <f t="shared" si="50"/>
        <v>22.908232118758434</v>
      </c>
    </row>
    <row r="1436" spans="1:12" s="72" customFormat="1" ht="25.95" customHeight="1">
      <c r="A1436" s="12">
        <v>1434</v>
      </c>
      <c r="B1436" s="6">
        <v>20</v>
      </c>
      <c r="C1436" s="6">
        <v>238</v>
      </c>
      <c r="D1436" s="20" t="str">
        <f>IF(C1436&lt;&gt;"", IFERROR(INDEX('بنود العقد'!B$3:B$388,C1436),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250 mm</v>
      </c>
      <c r="E1436" s="12" t="str">
        <f>IF(C1436&lt;&gt;"", IFERROR(INDEX('بنود العقد'!D$3:D$388,C1436), ""), "")</f>
        <v>م.ط</v>
      </c>
      <c r="F1436" s="9">
        <f>IF(C1436&lt;&gt;"", IFERROR(INDEX('بنود العقد'!E$3:E$388,C1436), 0), "")</f>
        <v>66</v>
      </c>
      <c r="G1436" s="9">
        <f>IF(C1436&lt;&gt;"", IFERROR(INDEX('بنود العقد'!F$3:F$388,C1436), 0), "")</f>
        <v>60</v>
      </c>
      <c r="H1436" s="18">
        <f t="shared" si="55"/>
        <v>830</v>
      </c>
      <c r="I1436" s="7">
        <v>41.6</v>
      </c>
      <c r="J1436" s="18">
        <f t="shared" si="52"/>
        <v>871.6</v>
      </c>
      <c r="K1436" s="10">
        <f t="shared" si="51"/>
        <v>2745.6</v>
      </c>
      <c r="L1436" s="21">
        <f t="shared" si="50"/>
        <v>1452.6666666666667</v>
      </c>
    </row>
    <row r="1437" spans="1:12" s="72" customFormat="1" ht="25.95" customHeight="1">
      <c r="A1437" s="12">
        <v>1435</v>
      </c>
      <c r="B1437" s="6">
        <v>20</v>
      </c>
      <c r="C1437" s="6">
        <v>243</v>
      </c>
      <c r="D1437" s="20" t="str">
        <f>IF(C1437&lt;&gt;"", IFERROR(INDEX('بنود العقد'!B$3:B$388,C1437), "⚠"), "")</f>
        <v>نظام إدارة المبنى BMS    تصميم وتوريد وتركيب نظام لإدارة المبنى أتوماتيكياً على أن يكون نظام التشغيل )OPEN PROTOCOL ( حسب توصيات الاستشارى المشرف وذلك للتحكم في تشغيل ومراقبة الانظمة الميكانيكية والكهربائية التالية :                                                  ـ التشلرات والمراوح ووحدات مناولة الهواء ووحدات ملف المروحة ومضخات المياه ووحدة ضخ الهواء وإنظمة الحريق والتحكم في الأنظمة والمعدات الميكانيكية بالمبنى - والتحكم في تشغيل ومتابعة حالة اللوحات الكهربائية الرئيسية والثانوية والمصاعد وكل الأنظمة التي يراها الاستشاري لأزمة مع الأخذ في الاعتبار قابلية التوسع في المباني المستقبلية .توريد وتركيب وتوصيل نظام إدارة المباني ) BMS ( لأنظمة HVAC ، وأنظمة السباكة ، ونظام الحريق ، والأنظمة الكهربائية والخدمات الخارجية ، كاملة بما في ذلك وحدات التحكم ونقاط التحكم والأسلاك والقنوات وصناديق السحب وصناديق التوصيل الثانوية وجميع عمليات التثبيت الضرورية مستلزمات؛ كل ما هو محدد ومفصل على الرسومات والموصوفة في المواصفات. والنظام يجب ان يتضمن البرامج واجهزة التحكم واجهزة المواقع ونقاط التحكم والاسلاك المتصلة بباقي الانظمة والمواسير وعلب السحب وعلب التوصيل الثانوية وجميع اكسسوارات ومتطلبات التركيبات الضرورية وهذه الاجهزة يجب ان يتم توصيلها مع جميع انظمة شبكة IP سواء من خلال تمكين اجهزة IP او من خلال بوابة IP او الموزع ويجب ان تشمل وحدات التحكم الطرفية التركيبات الضرورية والبرمجة والدمج عند اللزوم لتأسيس الاتصال والتعامل بين اجهزة التركيبات الالكتروميكانيكية وانظمة السلامة وانظمة الامن حسب اوامر ونظام التشغيل ووفقا لنظام وحسب تعليمات مهندس المشرف و يجب ان يتوافق النظام مع الانظمة الحالية للترشيد و المراقبة و يكون النظام لكامل المبني</v>
      </c>
      <c r="E1437" s="12" t="str">
        <f>IF(C1437&lt;&gt;"", IFERROR(INDEX('بنود العقد'!D$3:D$388,C1437), ""), "")</f>
        <v>عدد</v>
      </c>
      <c r="F1437" s="9">
        <f>IF(C1437&lt;&gt;"", IFERROR(INDEX('بنود العقد'!E$3:E$388,C1437), 0), "")</f>
        <v>2520000</v>
      </c>
      <c r="G1437" s="9">
        <f>IF(C1437&lt;&gt;"", IFERROR(INDEX('بنود العقد'!F$3:F$388,C1437), 0), "")</f>
        <v>1</v>
      </c>
      <c r="H1437" s="18">
        <f t="shared" si="55"/>
        <v>0.64</v>
      </c>
      <c r="I1437" s="7">
        <v>0.22</v>
      </c>
      <c r="J1437" s="18">
        <f t="shared" si="52"/>
        <v>0.86</v>
      </c>
      <c r="K1437" s="10">
        <f t="shared" si="51"/>
        <v>554400</v>
      </c>
      <c r="L1437" s="21">
        <f t="shared" si="50"/>
        <v>86</v>
      </c>
    </row>
    <row r="1438" spans="1:12" s="72" customFormat="1" ht="25.95" customHeight="1">
      <c r="A1438" s="12">
        <v>1436</v>
      </c>
      <c r="B1438" s="6">
        <v>20</v>
      </c>
      <c r="C1438" s="6">
        <v>244</v>
      </c>
      <c r="D1438" s="20" t="str">
        <f>IF(C1438&lt;&gt;"", IFERROR(INDEX('بنود العقد'!B$3:B$388,C1438),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اللازمة.PP-1,  200 A ,MCCB</v>
      </c>
      <c r="E1438" s="12" t="str">
        <f>IF(C1438&lt;&gt;"", IFERROR(INDEX('بنود العقد'!D$3:D$388,C1438), ""), "")</f>
        <v>عدد</v>
      </c>
      <c r="F1438" s="9">
        <f>IF(C1438&lt;&gt;"", IFERROR(INDEX('بنود العقد'!E$3:E$388,C1438), 0), "")</f>
        <v>9600</v>
      </c>
      <c r="G1438" s="9">
        <f>IF(C1438&lt;&gt;"", IFERROR(INDEX('بنود العقد'!F$3:F$388,C1438), 0), "")</f>
        <v>6</v>
      </c>
      <c r="H1438" s="18">
        <f t="shared" si="55"/>
        <v>12</v>
      </c>
      <c r="I1438" s="7">
        <v>4</v>
      </c>
      <c r="J1438" s="18">
        <f t="shared" si="52"/>
        <v>16</v>
      </c>
      <c r="K1438" s="10">
        <f t="shared" si="51"/>
        <v>38400</v>
      </c>
      <c r="L1438" s="21">
        <f t="shared" si="50"/>
        <v>266.66666666666663</v>
      </c>
    </row>
    <row r="1439" spans="1:12" s="72" customFormat="1" ht="25.95" customHeight="1">
      <c r="A1439" s="12">
        <v>1437</v>
      </c>
      <c r="B1439" s="6">
        <v>20</v>
      </c>
      <c r="C1439" s="6">
        <v>245</v>
      </c>
      <c r="D1439" s="20" t="str">
        <f>IF(C1439&lt;&gt;"", IFERROR(INDEX('بنود العقد'!B$3:B$388,C1439),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 PP-2, 200 A , MCCB</v>
      </c>
      <c r="E1439" s="12" t="str">
        <f>IF(C1439&lt;&gt;"", IFERROR(INDEX('بنود العقد'!D$3:D$388,C1439), ""), "")</f>
        <v>عدد</v>
      </c>
      <c r="F1439" s="9">
        <f>IF(C1439&lt;&gt;"", IFERROR(INDEX('بنود العقد'!E$3:E$388,C1439), 0), "")</f>
        <v>9600</v>
      </c>
      <c r="G1439" s="9">
        <f>IF(C1439&lt;&gt;"", IFERROR(INDEX('بنود العقد'!F$3:F$388,C1439), 0), "")</f>
        <v>6</v>
      </c>
      <c r="H1439" s="18">
        <f t="shared" si="55"/>
        <v>9</v>
      </c>
      <c r="I1439" s="7">
        <v>3</v>
      </c>
      <c r="J1439" s="18">
        <f t="shared" si="52"/>
        <v>12</v>
      </c>
      <c r="K1439" s="10">
        <f t="shared" si="51"/>
        <v>28800</v>
      </c>
      <c r="L1439" s="21">
        <f t="shared" si="50"/>
        <v>200</v>
      </c>
    </row>
    <row r="1440" spans="1:12" s="72" customFormat="1" ht="25.95" customHeight="1">
      <c r="A1440" s="12">
        <v>1438</v>
      </c>
      <c r="B1440" s="6">
        <v>20</v>
      </c>
      <c r="C1440" s="6">
        <v>246</v>
      </c>
      <c r="D1440" s="20" t="str">
        <f>IF(C1440&lt;&gt;"", IFERROR(INDEX('بنود العقد'!B$3:B$388,C1440),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 PP-3, 200 A , MCCB</v>
      </c>
      <c r="E1440" s="12" t="str">
        <f>IF(C1440&lt;&gt;"", IFERROR(INDEX('بنود العقد'!D$3:D$388,C1440), ""), "")</f>
        <v>عدد</v>
      </c>
      <c r="F1440" s="9">
        <f>IF(C1440&lt;&gt;"", IFERROR(INDEX('بنود العقد'!E$3:E$388,C1440), 0), "")</f>
        <v>9600</v>
      </c>
      <c r="G1440" s="9">
        <f>IF(C1440&lt;&gt;"", IFERROR(INDEX('بنود العقد'!F$3:F$388,C1440), 0), "")</f>
        <v>6</v>
      </c>
      <c r="H1440" s="18">
        <f t="shared" si="55"/>
        <v>11</v>
      </c>
      <c r="I1440" s="7">
        <v>4</v>
      </c>
      <c r="J1440" s="18">
        <f t="shared" si="52"/>
        <v>15</v>
      </c>
      <c r="K1440" s="10">
        <f t="shared" si="51"/>
        <v>38400</v>
      </c>
      <c r="L1440" s="21">
        <f t="shared" si="50"/>
        <v>250</v>
      </c>
    </row>
    <row r="1441" spans="1:12" s="72" customFormat="1" ht="25.95" customHeight="1">
      <c r="A1441" s="12">
        <v>1439</v>
      </c>
      <c r="B1441" s="6">
        <v>20</v>
      </c>
      <c r="C1441" s="6">
        <v>247</v>
      </c>
      <c r="D1441" s="20" t="str">
        <f>IF(C1441&lt;&gt;"", IFERROR(INDEX('بنود العقد'!B$3:B$388,C1441),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اللازمة.PP-4, 200 A , MCCB</v>
      </c>
      <c r="E1441" s="12" t="str">
        <f>IF(C1441&lt;&gt;"", IFERROR(INDEX('بنود العقد'!D$3:D$388,C1441), ""), "")</f>
        <v>عدد</v>
      </c>
      <c r="F1441" s="9">
        <f>IF(C1441&lt;&gt;"", IFERROR(INDEX('بنود العقد'!E$3:E$388,C1441), 0), "")</f>
        <v>9600</v>
      </c>
      <c r="G1441" s="9">
        <f>IF(C1441&lt;&gt;"", IFERROR(INDEX('بنود العقد'!F$3:F$388,C1441), 0), "")</f>
        <v>6</v>
      </c>
      <c r="H1441" s="18">
        <f t="shared" si="55"/>
        <v>12</v>
      </c>
      <c r="I1441" s="7">
        <v>5</v>
      </c>
      <c r="J1441" s="18">
        <f t="shared" si="52"/>
        <v>17</v>
      </c>
      <c r="K1441" s="10">
        <f t="shared" si="51"/>
        <v>48000</v>
      </c>
      <c r="L1441" s="21">
        <f t="shared" si="50"/>
        <v>283.33333333333337</v>
      </c>
    </row>
    <row r="1442" spans="1:12" s="72" customFormat="1" ht="25.95" customHeight="1">
      <c r="A1442" s="12">
        <v>1440</v>
      </c>
      <c r="B1442" s="6">
        <v>20</v>
      </c>
      <c r="C1442" s="6">
        <v>248</v>
      </c>
      <c r="D1442" s="20" t="str">
        <f>IF(C1442&lt;&gt;"", IFERROR(INDEX('بنود العقد'!B$3:B$388,C1442),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v>
      </c>
      <c r="E1442" s="12" t="str">
        <f>IF(C1442&lt;&gt;"", IFERROR(INDEX('بنود العقد'!D$3:D$388,C1442), ""), "")</f>
        <v>عدد</v>
      </c>
      <c r="F1442" s="9">
        <f>IF(C1442&lt;&gt;"", IFERROR(INDEX('بنود العقد'!E$3:E$388,C1442), 0), "")</f>
        <v>216</v>
      </c>
      <c r="G1442" s="9">
        <f>IF(C1442&lt;&gt;"", IFERROR(INDEX('بنود العقد'!F$3:F$388,C1442), 0), "")</f>
        <v>282</v>
      </c>
      <c r="H1442" s="18">
        <f t="shared" si="55"/>
        <v>331</v>
      </c>
      <c r="I1442" s="7">
        <v>43</v>
      </c>
      <c r="J1442" s="18">
        <f t="shared" si="52"/>
        <v>374</v>
      </c>
      <c r="K1442" s="10">
        <f t="shared" si="51"/>
        <v>9288</v>
      </c>
      <c r="L1442" s="21">
        <f t="shared" si="50"/>
        <v>132.6241134751773</v>
      </c>
    </row>
    <row r="1443" spans="1:12" s="72" customFormat="1" ht="25.95" customHeight="1">
      <c r="A1443" s="12">
        <v>1441</v>
      </c>
      <c r="B1443" s="6">
        <v>20</v>
      </c>
      <c r="C1443" s="6">
        <v>249</v>
      </c>
      <c r="D1443" s="20" t="str">
        <f>IF(C1443&lt;&gt;"", IFERROR(INDEX('بنود العقد'!B$3:B$388,C1443),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مقبس ثنائي سقفى، من النوع المؤرض، 15 أمبير، 230 فولت، طور واحد، قطبين، 3 أسلاك.</v>
      </c>
      <c r="E1443" s="12" t="str">
        <f>IF(C1443&lt;&gt;"", IFERROR(INDEX('بنود العقد'!D$3:D$388,C1443), ""), "")</f>
        <v>عدد</v>
      </c>
      <c r="F1443" s="9">
        <f>IF(C1443&lt;&gt;"", IFERROR(INDEX('بنود العقد'!E$3:E$388,C1443), 0), "")</f>
        <v>216</v>
      </c>
      <c r="G1443" s="9">
        <f>IF(C1443&lt;&gt;"", IFERROR(INDEX('بنود العقد'!F$3:F$388,C1443), 0), "")</f>
        <v>126</v>
      </c>
      <c r="H1443" s="18">
        <f t="shared" si="55"/>
        <v>125</v>
      </c>
      <c r="I1443" s="7">
        <v>54</v>
      </c>
      <c r="J1443" s="18">
        <f t="shared" si="52"/>
        <v>179</v>
      </c>
      <c r="K1443" s="10">
        <f t="shared" si="51"/>
        <v>11664</v>
      </c>
      <c r="L1443" s="21">
        <f t="shared" si="50"/>
        <v>142.06349206349208</v>
      </c>
    </row>
    <row r="1444" spans="1:12" s="72" customFormat="1" ht="25.95" customHeight="1">
      <c r="A1444" s="12">
        <v>1442</v>
      </c>
      <c r="B1444" s="6">
        <v>20</v>
      </c>
      <c r="C1444" s="6">
        <v>251</v>
      </c>
      <c r="D1444" s="20" t="str">
        <f>IF(C1444&lt;&gt;"", IFERROR(INDEX('بنود العقد'!B$3:B$388,C1444), "⚠"), "")</f>
        <v xml:space="preserve">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 RESIDUAL CURRENT DEVICE, 30mA TRIPPING( </v>
      </c>
      <c r="E1444" s="12" t="str">
        <f>IF(C1444&lt;&gt;"", IFERROR(INDEX('بنود العقد'!D$3:D$388,C1444), ""), "")</f>
        <v>عدد</v>
      </c>
      <c r="F1444" s="9">
        <f>IF(C1444&lt;&gt;"", IFERROR(INDEX('بنود العقد'!E$3:E$388,C1444), 0), "")</f>
        <v>504</v>
      </c>
      <c r="G1444" s="9">
        <f>IF(C1444&lt;&gt;"", IFERROR(INDEX('بنود العقد'!F$3:F$388,C1444), 0), "")</f>
        <v>50</v>
      </c>
      <c r="H1444" s="18">
        <f t="shared" si="55"/>
        <v>75</v>
      </c>
      <c r="I1444" s="7">
        <v>11</v>
      </c>
      <c r="J1444" s="18">
        <f t="shared" si="52"/>
        <v>86</v>
      </c>
      <c r="K1444" s="10">
        <f t="shared" si="51"/>
        <v>5544</v>
      </c>
      <c r="L1444" s="21">
        <f t="shared" si="50"/>
        <v>172</v>
      </c>
    </row>
    <row r="1445" spans="1:12" s="72" customFormat="1" ht="25.95" customHeight="1">
      <c r="A1445" s="12">
        <v>1443</v>
      </c>
      <c r="B1445" s="6">
        <v>20</v>
      </c>
      <c r="C1445" s="6">
        <v>253</v>
      </c>
      <c r="D1445" s="20" t="str">
        <f>IF(C1445&lt;&gt;"", IFERROR(INDEX('بنود العقد'!B$3:B$388,C1445), "⚠"), "")</f>
        <v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المشرفمخرج  ومؤرض 30 أمبير ، 230 فولت 3 أسلاك ، 1 فاز لمجفف الأيدي</v>
      </c>
      <c r="E1445" s="12" t="str">
        <f>IF(C1445&lt;&gt;"", IFERROR(INDEX('بنود العقد'!D$3:D$388,C1445), ""), "")</f>
        <v>عدد</v>
      </c>
      <c r="F1445" s="9">
        <f>IF(C1445&lt;&gt;"", IFERROR(INDEX('بنود العقد'!E$3:E$388,C1445), 0), "")</f>
        <v>264</v>
      </c>
      <c r="G1445" s="9">
        <f>IF(C1445&lt;&gt;"", IFERROR(INDEX('بنود العقد'!F$3:F$388,C1445), 0), "")</f>
        <v>72</v>
      </c>
      <c r="H1445" s="18">
        <f t="shared" si="55"/>
        <v>99</v>
      </c>
      <c r="I1445" s="7">
        <v>3</v>
      </c>
      <c r="J1445" s="18">
        <f t="shared" si="52"/>
        <v>102</v>
      </c>
      <c r="K1445" s="10">
        <f t="shared" si="51"/>
        <v>792</v>
      </c>
      <c r="L1445" s="21">
        <f t="shared" si="50"/>
        <v>141.66666666666669</v>
      </c>
    </row>
    <row r="1446" spans="1:12" s="72" customFormat="1" ht="25.95" customHeight="1">
      <c r="A1446" s="12">
        <v>1444</v>
      </c>
      <c r="B1446" s="6">
        <v>20</v>
      </c>
      <c r="C1446" s="6">
        <v>254</v>
      </c>
      <c r="D1446" s="20" t="str">
        <f>IF(C1446&lt;&gt;"", IFERROR(INDEX('بنود العقد'!B$3:B$388,C1446),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)A(  )تحتوى على  4 قوى &amp; 4 داتا (</v>
      </c>
      <c r="E1446" s="12" t="str">
        <f>IF(C1446&lt;&gt;"", IFERROR(INDEX('بنود العقد'!D$3:D$388,C1446), ""), "")</f>
        <v>عدد</v>
      </c>
      <c r="F1446" s="9">
        <f>IF(C1446&lt;&gt;"", IFERROR(INDEX('بنود العقد'!E$3:E$388,C1446), 0), "")</f>
        <v>2160</v>
      </c>
      <c r="G1446" s="9">
        <f>IF(C1446&lt;&gt;"", IFERROR(INDEX('بنود العقد'!F$3:F$388,C1446), 0), "")</f>
        <v>286</v>
      </c>
      <c r="H1446" s="18">
        <f t="shared" si="55"/>
        <v>494</v>
      </c>
      <c r="I1446" s="7">
        <v>19</v>
      </c>
      <c r="J1446" s="18">
        <f t="shared" si="52"/>
        <v>513</v>
      </c>
      <c r="K1446" s="10">
        <f t="shared" si="51"/>
        <v>41040</v>
      </c>
      <c r="L1446" s="21">
        <f t="shared" si="50"/>
        <v>179.37062937062939</v>
      </c>
    </row>
    <row r="1447" spans="1:12" s="72" customFormat="1" ht="25.95" customHeight="1">
      <c r="A1447" s="12">
        <v>1445</v>
      </c>
      <c r="B1447" s="6">
        <v>20</v>
      </c>
      <c r="C1447" s="6">
        <v>255</v>
      </c>
      <c r="D1447" s="20" t="str">
        <f>IF(C1447&lt;&gt;"", IFERROR(INDEX('بنود العقد'!B$3:B$388,C1447),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)B(   )تحتوى على 2 قوى &amp; 2 داتا (</v>
      </c>
      <c r="E1447" s="12" t="str">
        <f>IF(C1447&lt;&gt;"", IFERROR(INDEX('بنود العقد'!D$3:D$388,C1447), ""), "")</f>
        <v>عدد</v>
      </c>
      <c r="F1447" s="9">
        <f>IF(C1447&lt;&gt;"", IFERROR(INDEX('بنود العقد'!E$3:E$388,C1447), 0), "")</f>
        <v>1800</v>
      </c>
      <c r="G1447" s="9">
        <f>IF(C1447&lt;&gt;"", IFERROR(INDEX('بنود العقد'!F$3:F$388,C1447), 0), "")</f>
        <v>20</v>
      </c>
      <c r="H1447" s="18">
        <f t="shared" si="55"/>
        <v>471</v>
      </c>
      <c r="I1447" s="7">
        <v>19</v>
      </c>
      <c r="J1447" s="18">
        <f t="shared" si="52"/>
        <v>490</v>
      </c>
      <c r="K1447" s="10">
        <f t="shared" si="51"/>
        <v>34200</v>
      </c>
      <c r="L1447" s="21">
        <f t="shared" si="50"/>
        <v>2450</v>
      </c>
    </row>
    <row r="1448" spans="1:12" s="72" customFormat="1" ht="25.95" customHeight="1">
      <c r="A1448" s="12">
        <v>1446</v>
      </c>
      <c r="B1448" s="6">
        <v>20</v>
      </c>
      <c r="C1448" s="6">
        <v>256</v>
      </c>
      <c r="D1448" s="20" t="str">
        <f>IF(C1448&lt;&gt;"", IFERROR(INDEX('بنود العقد'!B$3:B$388,C1448),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)1FB(   )تحتوى على 1 قوى (</v>
      </c>
      <c r="E1448" s="12" t="str">
        <f>IF(C1448&lt;&gt;"", IFERROR(INDEX('بنود العقد'!D$3:D$388,C1448), ""), "")</f>
        <v>عدد</v>
      </c>
      <c r="F1448" s="9">
        <f>IF(C1448&lt;&gt;"", IFERROR(INDEX('بنود العقد'!E$3:E$388,C1448), 0), "")</f>
        <v>720</v>
      </c>
      <c r="G1448" s="9">
        <f>IF(C1448&lt;&gt;"", IFERROR(INDEX('بنود العقد'!F$3:F$388,C1448), 0), "")</f>
        <v>141</v>
      </c>
      <c r="H1448" s="18">
        <f t="shared" si="55"/>
        <v>111</v>
      </c>
      <c r="I1448" s="7">
        <v>20</v>
      </c>
      <c r="J1448" s="18">
        <f t="shared" si="52"/>
        <v>131</v>
      </c>
      <c r="K1448" s="10">
        <f t="shared" si="51"/>
        <v>14400</v>
      </c>
      <c r="L1448" s="21">
        <f t="shared" si="50"/>
        <v>92.907801418439718</v>
      </c>
    </row>
    <row r="1449" spans="1:12" s="72" customFormat="1" ht="25.95" customHeight="1">
      <c r="A1449" s="12">
        <v>1447</v>
      </c>
      <c r="B1449" s="6">
        <v>20</v>
      </c>
      <c r="C1449" s="6">
        <v>257</v>
      </c>
      <c r="D1449" s="20" t="str">
        <f>IF(C1449&lt;&gt;"", IFERROR(INDEX('بنود العقد'!B$3:B$388,C1449),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)2FB(   )تحتوى على 2 قوى (</v>
      </c>
      <c r="E1449" s="12" t="str">
        <f>IF(C1449&lt;&gt;"", IFERROR(INDEX('بنود العقد'!D$3:D$388,C1449), ""), "")</f>
        <v>عدد</v>
      </c>
      <c r="F1449" s="9">
        <f>IF(C1449&lt;&gt;"", IFERROR(INDEX('بنود العقد'!E$3:E$388,C1449), 0), "")</f>
        <v>960</v>
      </c>
      <c r="G1449" s="9">
        <f>IF(C1449&lt;&gt;"", IFERROR(INDEX('بنود العقد'!F$3:F$388,C1449), 0), "")</f>
        <v>4</v>
      </c>
      <c r="H1449" s="18">
        <f t="shared" si="55"/>
        <v>0</v>
      </c>
      <c r="I1449" s="7">
        <v>10</v>
      </c>
      <c r="J1449" s="18">
        <f t="shared" si="52"/>
        <v>10</v>
      </c>
      <c r="K1449" s="10">
        <f t="shared" si="51"/>
        <v>9600</v>
      </c>
      <c r="L1449" s="21">
        <f t="shared" si="50"/>
        <v>250</v>
      </c>
    </row>
    <row r="1450" spans="1:12" s="72" customFormat="1" ht="25.95" customHeight="1">
      <c r="A1450" s="12">
        <v>1448</v>
      </c>
      <c r="B1450" s="6">
        <v>20</v>
      </c>
      <c r="C1450" s="6">
        <v>261</v>
      </c>
      <c r="D1450" s="20" t="str">
        <f>IF(C1450&lt;&gt;"", IFERROR(INDEX('بنود العقد'!B$3:B$388,C1450), "⚠"), "")</f>
        <v xml:space="preserve"> توريد وتركيب واختبار والتشغيل التجريبي لمفاتيح فصل على الحمل من النوع عالية التحمل مع ماسورة  التثبيت المعدنية المرنة والمانعة لنفاذ السوائل، وقطع الإكسسوارعلى المقاول المعاينة و فحص الشبكة الحالية و الاستفادة من التمديدات الحالية و دمجها مع التركيبات الجديدة بعد عمل الاختبارات اللازمة و بعدالموافقة من مهندس المشرف  وبالإستطاعات التالية 30 A, 250 V, 2P</v>
      </c>
      <c r="E1450" s="12" t="str">
        <f>IF(C1450&lt;&gt;"", IFERROR(INDEX('بنود العقد'!D$3:D$388,C1450), ""), "")</f>
        <v>عدد</v>
      </c>
      <c r="F1450" s="9">
        <f>IF(C1450&lt;&gt;"", IFERROR(INDEX('بنود العقد'!E$3:E$388,C1450), 0), "")</f>
        <v>384</v>
      </c>
      <c r="G1450" s="9">
        <f>IF(C1450&lt;&gt;"", IFERROR(INDEX('بنود العقد'!F$3:F$388,C1450), 0), "")</f>
        <v>445</v>
      </c>
      <c r="H1450" s="18">
        <f t="shared" si="55"/>
        <v>470</v>
      </c>
      <c r="I1450" s="7">
        <v>43</v>
      </c>
      <c r="J1450" s="18">
        <f t="shared" si="52"/>
        <v>513</v>
      </c>
      <c r="K1450" s="10">
        <f t="shared" si="51"/>
        <v>16512</v>
      </c>
      <c r="L1450" s="21">
        <f t="shared" si="50"/>
        <v>115.28089887640449</v>
      </c>
    </row>
    <row r="1451" spans="1:12" s="72" customFormat="1" ht="25.95" customHeight="1">
      <c r="A1451" s="12">
        <v>1449</v>
      </c>
      <c r="B1451" s="6">
        <v>20</v>
      </c>
      <c r="C1451" s="6">
        <v>262</v>
      </c>
      <c r="D1451" s="20" t="str">
        <f>IF(C1451&lt;&gt;"", IFERROR(INDEX('بنود العقد'!B$3:B$388,C1451),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v>
      </c>
      <c r="E1451" s="12" t="str">
        <f>IF(C1451&lt;&gt;"", IFERROR(INDEX('بنود العقد'!D$3:D$388,C1451), ""), "")</f>
        <v>عدد</v>
      </c>
      <c r="F1451" s="9">
        <f>IF(C1451&lt;&gt;"", IFERROR(INDEX('بنود العقد'!E$3:E$388,C1451), 0), "")</f>
        <v>348</v>
      </c>
      <c r="G1451" s="9">
        <f>IF(C1451&lt;&gt;"", IFERROR(INDEX('بنود العقد'!F$3:F$388,C1451), 0), "")</f>
        <v>530</v>
      </c>
      <c r="H1451" s="18">
        <f t="shared" si="55"/>
        <v>306</v>
      </c>
      <c r="I1451" s="7">
        <v>-17</v>
      </c>
      <c r="J1451" s="18">
        <f t="shared" si="52"/>
        <v>289</v>
      </c>
      <c r="K1451" s="10">
        <f t="shared" si="51"/>
        <v>-5916</v>
      </c>
      <c r="L1451" s="21">
        <f t="shared" si="50"/>
        <v>54.528301886792448</v>
      </c>
    </row>
    <row r="1452" spans="1:12" s="72" customFormat="1" ht="25.95" customHeight="1">
      <c r="A1452" s="12">
        <v>1450</v>
      </c>
      <c r="B1452" s="6">
        <v>20</v>
      </c>
      <c r="C1452" s="6">
        <v>263</v>
      </c>
      <c r="D1452" s="20" t="str">
        <f>IF(C1452&lt;&gt;"", IFERROR(INDEX('بنود العقد'!B$3:B$388,C1452),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A1E</v>
      </c>
      <c r="E1452" s="12" t="str">
        <f>IF(C1452&lt;&gt;"", IFERROR(INDEX('بنود العقد'!D$3:D$388,C1452), ""), "")</f>
        <v>عدد</v>
      </c>
      <c r="F1452" s="9">
        <f>IF(C1452&lt;&gt;"", IFERROR(INDEX('بنود العقد'!E$3:E$388,C1452), 0), "")</f>
        <v>660</v>
      </c>
      <c r="G1452" s="9">
        <f>IF(C1452&lt;&gt;"", IFERROR(INDEX('بنود العقد'!F$3:F$388,C1452), 0), "")</f>
        <v>241</v>
      </c>
      <c r="H1452" s="18">
        <f t="shared" si="55"/>
        <v>202</v>
      </c>
      <c r="I1452" s="7">
        <v>18</v>
      </c>
      <c r="J1452" s="18">
        <f t="shared" si="52"/>
        <v>220</v>
      </c>
      <c r="K1452" s="10">
        <f t="shared" si="51"/>
        <v>11880</v>
      </c>
      <c r="L1452" s="21">
        <f t="shared" si="50"/>
        <v>91.286307053941911</v>
      </c>
    </row>
    <row r="1453" spans="1:12" s="72" customFormat="1" ht="25.95" customHeight="1">
      <c r="A1453" s="12">
        <v>1451</v>
      </c>
      <c r="B1453" s="6">
        <v>20</v>
      </c>
      <c r="C1453" s="6">
        <v>264</v>
      </c>
      <c r="D1453" s="20" t="str">
        <f>IF(C1453&lt;&gt;"", IFERROR(INDEX('بنود العقد'!B$3:B$388,C1453),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A2</v>
      </c>
      <c r="E1453" s="12" t="str">
        <f>IF(C1453&lt;&gt;"", IFERROR(INDEX('بنود العقد'!D$3:D$388,C1453), ""), "")</f>
        <v>عدد</v>
      </c>
      <c r="F1453" s="9">
        <f>IF(C1453&lt;&gt;"", IFERROR(INDEX('بنود العقد'!E$3:E$388,C1453), 0), "")</f>
        <v>1044</v>
      </c>
      <c r="G1453" s="9">
        <f>IF(C1453&lt;&gt;"", IFERROR(INDEX('بنود العقد'!F$3:F$388,C1453), 0), "")</f>
        <v>1113</v>
      </c>
      <c r="H1453" s="18">
        <f t="shared" si="55"/>
        <v>1046</v>
      </c>
      <c r="I1453" s="7">
        <v>114</v>
      </c>
      <c r="J1453" s="18">
        <f t="shared" si="52"/>
        <v>1160</v>
      </c>
      <c r="K1453" s="10">
        <f t="shared" si="51"/>
        <v>119016</v>
      </c>
      <c r="L1453" s="21">
        <f t="shared" si="50"/>
        <v>104.22282120395327</v>
      </c>
    </row>
    <row r="1454" spans="1:12" s="72" customFormat="1" ht="25.95" customHeight="1">
      <c r="A1454" s="12">
        <v>1452</v>
      </c>
      <c r="B1454" s="6">
        <v>20</v>
      </c>
      <c r="C1454" s="6">
        <v>265</v>
      </c>
      <c r="D1454" s="20" t="str">
        <f>IF(C1454&lt;&gt;"", IFERROR(INDEX('بنود العقد'!B$3:B$388,C1454),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A3</v>
      </c>
      <c r="E1454" s="12" t="str">
        <f>IF(C1454&lt;&gt;"", IFERROR(INDEX('بنود العقد'!D$3:D$388,C1454), ""), "")</f>
        <v>عدد</v>
      </c>
      <c r="F1454" s="9">
        <f>IF(C1454&lt;&gt;"", IFERROR(INDEX('بنود العقد'!E$3:E$388,C1454), 0), "")</f>
        <v>1044</v>
      </c>
      <c r="G1454" s="9">
        <f>IF(C1454&lt;&gt;"", IFERROR(INDEX('بنود العقد'!F$3:F$388,C1454), 0), "")</f>
        <v>8</v>
      </c>
      <c r="H1454" s="18">
        <f t="shared" si="55"/>
        <v>4</v>
      </c>
      <c r="I1454" s="7">
        <v>-4</v>
      </c>
      <c r="J1454" s="18">
        <f t="shared" ref="J1454:J1648" si="56">IF(I1454&lt;&gt;"", H1454+I1454, 0)</f>
        <v>0</v>
      </c>
      <c r="K1454" s="10">
        <f t="shared" ref="K1454:K1648" si="57">IF(AND(I1454&lt;&gt;"",F1454&lt;&gt;""), I1454*F1454, "")</f>
        <v>-4176</v>
      </c>
      <c r="L1454" s="21">
        <f t="shared" ref="L1454:L1648" si="58">IF(AND(J1454&lt;&gt;"",G1454&lt;&gt;"",G1454&gt;0), J1454/G1454*100, "")</f>
        <v>0</v>
      </c>
    </row>
    <row r="1455" spans="1:12" s="72" customFormat="1" ht="25.95" customHeight="1">
      <c r="A1455" s="12">
        <v>1453</v>
      </c>
      <c r="B1455" s="6">
        <v>20</v>
      </c>
      <c r="C1455" s="6">
        <v>266</v>
      </c>
      <c r="D1455" s="20" t="str">
        <f>IF(C1455&lt;&gt;"", IFERROR(INDEX('بنود العقد'!B$3:B$388,C1455),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A4</v>
      </c>
      <c r="E1455" s="12" t="str">
        <f>IF(C1455&lt;&gt;"", IFERROR(INDEX('بنود العقد'!D$3:D$388,C1455), ""), "")</f>
        <v>عدد</v>
      </c>
      <c r="F1455" s="9">
        <f>IF(C1455&lt;&gt;"", IFERROR(INDEX('بنود العقد'!E$3:E$388,C1455), 0), "")</f>
        <v>1044</v>
      </c>
      <c r="G1455" s="9">
        <f>IF(C1455&lt;&gt;"", IFERROR(INDEX('بنود العقد'!F$3:F$388,C1455), 0), "")</f>
        <v>1</v>
      </c>
      <c r="H1455" s="18">
        <f t="shared" si="55"/>
        <v>0</v>
      </c>
      <c r="I1455" s="7">
        <v>1</v>
      </c>
      <c r="J1455" s="18">
        <f t="shared" si="56"/>
        <v>1</v>
      </c>
      <c r="K1455" s="10">
        <f t="shared" si="57"/>
        <v>1044</v>
      </c>
      <c r="L1455" s="21">
        <f t="shared" si="58"/>
        <v>100</v>
      </c>
    </row>
    <row r="1456" spans="1:12" s="72" customFormat="1" ht="25.95" customHeight="1">
      <c r="A1456" s="12">
        <v>1454</v>
      </c>
      <c r="B1456" s="6">
        <v>20</v>
      </c>
      <c r="C1456" s="6">
        <v>267</v>
      </c>
      <c r="D1456" s="20" t="str">
        <f>IF(C1456&lt;&gt;"", IFERROR(INDEX('بنود العقد'!B$3:B$388,C1456),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A5</v>
      </c>
      <c r="E1456" s="12" t="str">
        <f>IF(C1456&lt;&gt;"", IFERROR(INDEX('بنود العقد'!D$3:D$388,C1456), ""), "")</f>
        <v>عدد</v>
      </c>
      <c r="F1456" s="9">
        <f>IF(C1456&lt;&gt;"", IFERROR(INDEX('بنود العقد'!E$3:E$388,C1456), 0), "")</f>
        <v>1044</v>
      </c>
      <c r="G1456" s="9">
        <f>IF(C1456&lt;&gt;"", IFERROR(INDEX('بنود العقد'!F$3:F$388,C1456), 0), "")</f>
        <v>4</v>
      </c>
      <c r="H1456" s="18">
        <f t="shared" si="55"/>
        <v>2</v>
      </c>
      <c r="I1456" s="7">
        <v>-2</v>
      </c>
      <c r="J1456" s="18">
        <f t="shared" si="56"/>
        <v>0</v>
      </c>
      <c r="K1456" s="10">
        <f t="shared" si="57"/>
        <v>-2088</v>
      </c>
      <c r="L1456" s="21">
        <f t="shared" si="58"/>
        <v>0</v>
      </c>
    </row>
    <row r="1457" spans="1:12" s="72" customFormat="1" ht="25.95" customHeight="1">
      <c r="A1457" s="12">
        <v>1455</v>
      </c>
      <c r="B1457" s="6">
        <v>20</v>
      </c>
      <c r="C1457" s="6">
        <v>268</v>
      </c>
      <c r="D1457" s="20" t="str">
        <f>IF(C1457&lt;&gt;"", IFERROR(INDEX('بنود العقد'!B$3:B$388,C1457),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A6</v>
      </c>
      <c r="E1457" s="12" t="str">
        <f>IF(C1457&lt;&gt;"", IFERROR(INDEX('بنود العقد'!D$3:D$388,C1457), ""), "")</f>
        <v>عدد</v>
      </c>
      <c r="F1457" s="9">
        <f>IF(C1457&lt;&gt;"", IFERROR(INDEX('بنود العقد'!E$3:E$388,C1457), 0), "")</f>
        <v>1044</v>
      </c>
      <c r="G1457" s="9">
        <f>IF(C1457&lt;&gt;"", IFERROR(INDEX('بنود العقد'!F$3:F$388,C1457), 0), "")</f>
        <v>1</v>
      </c>
      <c r="H1457" s="18">
        <f t="shared" si="55"/>
        <v>2</v>
      </c>
      <c r="I1457" s="7">
        <v>-1</v>
      </c>
      <c r="J1457" s="18">
        <f t="shared" si="56"/>
        <v>1</v>
      </c>
      <c r="K1457" s="10">
        <f t="shared" si="57"/>
        <v>-1044</v>
      </c>
      <c r="L1457" s="21">
        <f t="shared" si="58"/>
        <v>100</v>
      </c>
    </row>
    <row r="1458" spans="1:12" s="72" customFormat="1" ht="25.95" customHeight="1">
      <c r="A1458" s="12">
        <v>1456</v>
      </c>
      <c r="B1458" s="6">
        <v>20</v>
      </c>
      <c r="C1458" s="6">
        <v>269</v>
      </c>
      <c r="D1458" s="20" t="str">
        <f>IF(C1458&lt;&gt;"", IFERROR(INDEX('بنود العقد'!B$3:B$388,C1458),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A7</v>
      </c>
      <c r="E1458" s="12" t="str">
        <f>IF(C1458&lt;&gt;"", IFERROR(INDEX('بنود العقد'!D$3:D$388,C1458), ""), "")</f>
        <v>عدد</v>
      </c>
      <c r="F1458" s="9">
        <f>IF(C1458&lt;&gt;"", IFERROR(INDEX('بنود العقد'!E$3:E$388,C1458), 0), "")</f>
        <v>1044</v>
      </c>
      <c r="G1458" s="9">
        <f>IF(C1458&lt;&gt;"", IFERROR(INDEX('بنود العقد'!F$3:F$388,C1458), 0), "")</f>
        <v>2</v>
      </c>
      <c r="H1458" s="18">
        <f t="shared" si="55"/>
        <v>3</v>
      </c>
      <c r="I1458" s="7">
        <v>-1</v>
      </c>
      <c r="J1458" s="18">
        <f t="shared" si="56"/>
        <v>2</v>
      </c>
      <c r="K1458" s="10">
        <f t="shared" si="57"/>
        <v>-1044</v>
      </c>
      <c r="L1458" s="21">
        <f t="shared" si="58"/>
        <v>100</v>
      </c>
    </row>
    <row r="1459" spans="1:12" s="72" customFormat="1" ht="25.95" customHeight="1">
      <c r="A1459" s="12">
        <v>1457</v>
      </c>
      <c r="B1459" s="6">
        <v>20</v>
      </c>
      <c r="C1459" s="6">
        <v>270</v>
      </c>
      <c r="D1459" s="20" t="str">
        <f>IF(C1459&lt;&gt;"", IFERROR(INDEX('بنود العقد'!B$3:B$388,C1459),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A8</v>
      </c>
      <c r="E1459" s="12" t="str">
        <f>IF(C1459&lt;&gt;"", IFERROR(INDEX('بنود العقد'!D$3:D$388,C1459), ""), "")</f>
        <v>عدد</v>
      </c>
      <c r="F1459" s="9">
        <f>IF(C1459&lt;&gt;"", IFERROR(INDEX('بنود العقد'!E$3:E$388,C1459), 0), "")</f>
        <v>1044</v>
      </c>
      <c r="G1459" s="9">
        <f>IF(C1459&lt;&gt;"", IFERROR(INDEX('بنود العقد'!F$3:F$388,C1459), 0), "")</f>
        <v>12</v>
      </c>
      <c r="H1459" s="18">
        <f t="shared" si="55"/>
        <v>10</v>
      </c>
      <c r="I1459" s="7">
        <v>1</v>
      </c>
      <c r="J1459" s="18">
        <f t="shared" si="56"/>
        <v>11</v>
      </c>
      <c r="K1459" s="10">
        <f t="shared" si="57"/>
        <v>1044</v>
      </c>
      <c r="L1459" s="21">
        <f t="shared" si="58"/>
        <v>91.666666666666657</v>
      </c>
    </row>
    <row r="1460" spans="1:12" s="72" customFormat="1" ht="25.95" customHeight="1">
      <c r="A1460" s="12">
        <v>1458</v>
      </c>
      <c r="B1460" s="6">
        <v>20</v>
      </c>
      <c r="C1460" s="6">
        <v>271</v>
      </c>
      <c r="D1460" s="20" t="str">
        <f>IF(C1460&lt;&gt;"", IFERROR(INDEX('بنود العقد'!B$3:B$388,C1460),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v>
      </c>
      <c r="E1460" s="12" t="str">
        <f>IF(C1460&lt;&gt;"", IFERROR(INDEX('بنود العقد'!D$3:D$388,C1460), ""), "")</f>
        <v>عدد</v>
      </c>
      <c r="F1460" s="9">
        <f>IF(C1460&lt;&gt;"", IFERROR(INDEX('بنود العقد'!E$3:E$388,C1460), 0), "")</f>
        <v>1044</v>
      </c>
      <c r="G1460" s="9">
        <f>IF(C1460&lt;&gt;"", IFERROR(INDEX('بنود العقد'!F$3:F$388,C1460), 0), "")</f>
        <v>4</v>
      </c>
      <c r="H1460" s="18">
        <f t="shared" si="55"/>
        <v>2</v>
      </c>
      <c r="I1460" s="7">
        <v>2</v>
      </c>
      <c r="J1460" s="18">
        <f t="shared" si="56"/>
        <v>4</v>
      </c>
      <c r="K1460" s="10">
        <f t="shared" si="57"/>
        <v>2088</v>
      </c>
      <c r="L1460" s="21">
        <f t="shared" si="58"/>
        <v>100</v>
      </c>
    </row>
    <row r="1461" spans="1:12" s="72" customFormat="1" ht="25.95" customHeight="1">
      <c r="A1461" s="12">
        <v>1459</v>
      </c>
      <c r="B1461" s="6">
        <v>20</v>
      </c>
      <c r="C1461" s="6">
        <v>272</v>
      </c>
      <c r="D1461" s="20" t="str">
        <f>IF(C1461&lt;&gt;"", IFERROR(INDEX('بنود العقد'!B$3:B$388,C1461),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B1</v>
      </c>
      <c r="E1461" s="12" t="str">
        <f>IF(C1461&lt;&gt;"", IFERROR(INDEX('بنود العقد'!D$3:D$388,C1461), ""), "")</f>
        <v>عدد</v>
      </c>
      <c r="F1461" s="9">
        <f>IF(C1461&lt;&gt;"", IFERROR(INDEX('بنود العقد'!E$3:E$388,C1461), 0), "")</f>
        <v>720</v>
      </c>
      <c r="G1461" s="9">
        <f>IF(C1461&lt;&gt;"", IFERROR(INDEX('بنود العقد'!F$3:F$388,C1461), 0), "")</f>
        <v>343</v>
      </c>
      <c r="H1461" s="18">
        <f t="shared" si="55"/>
        <v>87</v>
      </c>
      <c r="I1461" s="7">
        <v>4</v>
      </c>
      <c r="J1461" s="18">
        <f t="shared" si="56"/>
        <v>91</v>
      </c>
      <c r="K1461" s="10">
        <f t="shared" si="57"/>
        <v>2880</v>
      </c>
      <c r="L1461" s="21">
        <f t="shared" si="58"/>
        <v>26.530612244897959</v>
      </c>
    </row>
    <row r="1462" spans="1:12" s="72" customFormat="1" ht="25.95" customHeight="1">
      <c r="A1462" s="12">
        <v>1460</v>
      </c>
      <c r="B1462" s="6">
        <v>20</v>
      </c>
      <c r="C1462" s="6">
        <v>273</v>
      </c>
      <c r="D1462" s="20" t="str">
        <f>IF(C1462&lt;&gt;"", IFERROR(INDEX('بنود العقد'!B$3:B$388,C1462),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B2</v>
      </c>
      <c r="E1462" s="12" t="str">
        <f>IF(C1462&lt;&gt;"", IFERROR(INDEX('بنود العقد'!D$3:D$388,C1462), ""), "")</f>
        <v>عدد</v>
      </c>
      <c r="F1462" s="9">
        <f>IF(C1462&lt;&gt;"", IFERROR(INDEX('بنود العقد'!E$3:E$388,C1462), 0), "")</f>
        <v>780</v>
      </c>
      <c r="G1462" s="9">
        <f>IF(C1462&lt;&gt;"", IFERROR(INDEX('بنود العقد'!F$3:F$388,C1462), 0), "")</f>
        <v>54</v>
      </c>
      <c r="H1462" s="18">
        <f t="shared" si="55"/>
        <v>4</v>
      </c>
      <c r="I1462" s="7">
        <v>-4</v>
      </c>
      <c r="J1462" s="18">
        <f t="shared" si="56"/>
        <v>0</v>
      </c>
      <c r="K1462" s="10">
        <f t="shared" si="57"/>
        <v>-3120</v>
      </c>
      <c r="L1462" s="21">
        <f t="shared" si="58"/>
        <v>0</v>
      </c>
    </row>
    <row r="1463" spans="1:12" s="72" customFormat="1" ht="25.95" customHeight="1">
      <c r="A1463" s="12">
        <v>1461</v>
      </c>
      <c r="B1463" s="6">
        <v>20</v>
      </c>
      <c r="C1463" s="6">
        <v>274</v>
      </c>
      <c r="D1463" s="20" t="str">
        <f>IF(C1463&lt;&gt;"", IFERROR(INDEX('بنود العقد'!B$3:B$388,C1463),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C1</v>
      </c>
      <c r="E1463" s="12" t="str">
        <f>IF(C1463&lt;&gt;"", IFERROR(INDEX('بنود العقد'!D$3:D$388,C1463), ""), "")</f>
        <v>عدد</v>
      </c>
      <c r="F1463" s="9">
        <f>IF(C1463&lt;&gt;"", IFERROR(INDEX('بنود العقد'!E$3:E$388,C1463), 0), "")</f>
        <v>1128</v>
      </c>
      <c r="G1463" s="9">
        <f>IF(C1463&lt;&gt;"", IFERROR(INDEX('بنود العقد'!F$3:F$388,C1463), 0), "")</f>
        <v>172</v>
      </c>
      <c r="H1463" s="18">
        <f t="shared" si="55"/>
        <v>145</v>
      </c>
      <c r="I1463" s="7">
        <v>22</v>
      </c>
      <c r="J1463" s="18">
        <f t="shared" si="56"/>
        <v>167</v>
      </c>
      <c r="K1463" s="10">
        <f t="shared" si="57"/>
        <v>24816</v>
      </c>
      <c r="L1463" s="21">
        <f t="shared" si="58"/>
        <v>97.093023255813947</v>
      </c>
    </row>
    <row r="1464" spans="1:12" s="72" customFormat="1" ht="25.95" customHeight="1">
      <c r="A1464" s="12">
        <v>1462</v>
      </c>
      <c r="B1464" s="6">
        <v>20</v>
      </c>
      <c r="C1464" s="6">
        <v>275</v>
      </c>
      <c r="D1464" s="20" t="str">
        <f>IF(C1464&lt;&gt;"", IFERROR(INDEX('بنود العقد'!B$3:B$388,C1464),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v>
      </c>
      <c r="E1464" s="12" t="str">
        <f>IF(C1464&lt;&gt;"", IFERROR(INDEX('بنود العقد'!D$3:D$388,C1464), ""), "")</f>
        <v>عدد</v>
      </c>
      <c r="F1464" s="9">
        <f>IF(C1464&lt;&gt;"", IFERROR(INDEX('بنود العقد'!E$3:E$388,C1464), 0), "")</f>
        <v>420</v>
      </c>
      <c r="G1464" s="9">
        <f>IF(C1464&lt;&gt;"", IFERROR(INDEX('بنود العقد'!F$3:F$388,C1464), 0), "")</f>
        <v>1422</v>
      </c>
      <c r="H1464" s="18">
        <f t="shared" si="55"/>
        <v>1470</v>
      </c>
      <c r="I1464" s="7">
        <v>86</v>
      </c>
      <c r="J1464" s="18">
        <f t="shared" si="56"/>
        <v>1556</v>
      </c>
      <c r="K1464" s="10">
        <f t="shared" si="57"/>
        <v>36120</v>
      </c>
      <c r="L1464" s="21">
        <f t="shared" si="58"/>
        <v>109.42334739803094</v>
      </c>
    </row>
    <row r="1465" spans="1:12" s="72" customFormat="1" ht="25.95" customHeight="1">
      <c r="A1465" s="12">
        <v>1463</v>
      </c>
      <c r="B1465" s="6">
        <v>20</v>
      </c>
      <c r="C1465" s="6">
        <v>276</v>
      </c>
      <c r="D1465" s="20" t="str">
        <f>IF(C1465&lt;&gt;"", IFERROR(INDEX('بنود العقد'!B$3:B$388,C1465),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v>
      </c>
      <c r="E1465" s="12" t="str">
        <f>IF(C1465&lt;&gt;"", IFERROR(INDEX('بنود العقد'!D$3:D$388,C1465), ""), "")</f>
        <v>عدد</v>
      </c>
      <c r="F1465" s="9">
        <f>IF(C1465&lt;&gt;"", IFERROR(INDEX('بنود العقد'!E$3:E$388,C1465), 0), "")</f>
        <v>444</v>
      </c>
      <c r="G1465" s="9">
        <f>IF(C1465&lt;&gt;"", IFERROR(INDEX('بنود العقد'!F$3:F$388,C1465), 0), "")</f>
        <v>1062</v>
      </c>
      <c r="H1465" s="18">
        <f t="shared" si="55"/>
        <v>910</v>
      </c>
      <c r="I1465" s="7">
        <v>76</v>
      </c>
      <c r="J1465" s="18">
        <f t="shared" si="56"/>
        <v>986</v>
      </c>
      <c r="K1465" s="10">
        <f t="shared" si="57"/>
        <v>33744</v>
      </c>
      <c r="L1465" s="21">
        <f t="shared" si="58"/>
        <v>92.843691148775903</v>
      </c>
    </row>
    <row r="1466" spans="1:12" s="72" customFormat="1" ht="25.95" customHeight="1">
      <c r="A1466" s="12">
        <v>1464</v>
      </c>
      <c r="B1466" s="6">
        <v>20</v>
      </c>
      <c r="C1466" s="6">
        <v>277</v>
      </c>
      <c r="D1466" s="20" t="str">
        <f>IF(C1466&lt;&gt;"", IFERROR(INDEX('بنود العقد'!B$3:B$388,C1466),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v>
      </c>
      <c r="E1466" s="12" t="str">
        <f>IF(C1466&lt;&gt;"", IFERROR(INDEX('بنود العقد'!D$3:D$388,C1466), ""), "")</f>
        <v>عدد</v>
      </c>
      <c r="F1466" s="9">
        <f>IF(C1466&lt;&gt;"", IFERROR(INDEX('بنود العقد'!E$3:E$388,C1466), 0), "")</f>
        <v>300</v>
      </c>
      <c r="G1466" s="9">
        <f>IF(C1466&lt;&gt;"", IFERROR(INDEX('بنود العقد'!F$3:F$388,C1466), 0), "")</f>
        <v>284</v>
      </c>
      <c r="H1466" s="18">
        <f t="shared" si="55"/>
        <v>250</v>
      </c>
      <c r="I1466" s="7">
        <v>24</v>
      </c>
      <c r="J1466" s="18">
        <f t="shared" si="56"/>
        <v>274</v>
      </c>
      <c r="K1466" s="10">
        <f t="shared" si="57"/>
        <v>7200</v>
      </c>
      <c r="L1466" s="21">
        <f t="shared" si="58"/>
        <v>96.478873239436624</v>
      </c>
    </row>
    <row r="1467" spans="1:12" s="72" customFormat="1" ht="25.95" customHeight="1">
      <c r="A1467" s="12">
        <v>1465</v>
      </c>
      <c r="B1467" s="6">
        <v>20</v>
      </c>
      <c r="C1467" s="6">
        <v>278</v>
      </c>
      <c r="D1467" s="20" t="str">
        <f>IF(C1467&lt;&gt;"", IFERROR(INDEX('بنود العقد'!B$3:B$388,C1467),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C5</v>
      </c>
      <c r="E1467" s="12" t="str">
        <f>IF(C1467&lt;&gt;"", IFERROR(INDEX('بنود العقد'!D$3:D$388,C1467), ""), "")</f>
        <v>عدد</v>
      </c>
      <c r="F1467" s="9">
        <f>IF(C1467&lt;&gt;"", IFERROR(INDEX('بنود العقد'!E$3:E$388,C1467), 0), "")</f>
        <v>438</v>
      </c>
      <c r="G1467" s="9">
        <f>IF(C1467&lt;&gt;"", IFERROR(INDEX('بنود العقد'!F$3:F$388,C1467), 0), "")</f>
        <v>149</v>
      </c>
      <c r="H1467" s="18">
        <f t="shared" ref="H1467:H1530" si="59">IFERROR(SUMIFS(I$3:I$1805, B$3:B$1805, "&lt;"&amp;B1467, C$3:C$1805, C1467), 0)</f>
        <v>264</v>
      </c>
      <c r="I1467" s="7">
        <v>22</v>
      </c>
      <c r="J1467" s="18">
        <f t="shared" si="56"/>
        <v>286</v>
      </c>
      <c r="K1467" s="10">
        <f t="shared" si="57"/>
        <v>9636</v>
      </c>
      <c r="L1467" s="21">
        <f t="shared" si="58"/>
        <v>191.94630872483219</v>
      </c>
    </row>
    <row r="1468" spans="1:12" s="72" customFormat="1" ht="25.95" customHeight="1">
      <c r="A1468" s="12">
        <v>1466</v>
      </c>
      <c r="B1468" s="6">
        <v>20</v>
      </c>
      <c r="C1468" s="6">
        <v>279</v>
      </c>
      <c r="D1468" s="20" t="str">
        <f>IF(C1468&lt;&gt;"", IFERROR(INDEX('بنود العقد'!B$3:B$388,C1468),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C6</v>
      </c>
      <c r="E1468" s="12" t="str">
        <f>IF(C1468&lt;&gt;"", IFERROR(INDEX('بنود العقد'!D$3:D$388,C1468), ""), "")</f>
        <v>عدد</v>
      </c>
      <c r="F1468" s="9">
        <f>IF(C1468&lt;&gt;"", IFERROR(INDEX('بنود العقد'!E$3:E$388,C1468), 0), "")</f>
        <v>288</v>
      </c>
      <c r="G1468" s="9">
        <f>IF(C1468&lt;&gt;"", IFERROR(INDEX('بنود العقد'!F$3:F$388,C1468), 0), "")</f>
        <v>158</v>
      </c>
      <c r="H1468" s="18">
        <f t="shared" si="59"/>
        <v>164</v>
      </c>
      <c r="I1468" s="7">
        <v>14</v>
      </c>
      <c r="J1468" s="18">
        <f t="shared" si="56"/>
        <v>178</v>
      </c>
      <c r="K1468" s="10">
        <f t="shared" si="57"/>
        <v>4032</v>
      </c>
      <c r="L1468" s="21">
        <f t="shared" si="58"/>
        <v>112.65822784810126</v>
      </c>
    </row>
    <row r="1469" spans="1:12" s="72" customFormat="1" ht="25.95" customHeight="1">
      <c r="A1469" s="12">
        <v>1467</v>
      </c>
      <c r="B1469" s="6">
        <v>20</v>
      </c>
      <c r="C1469" s="6">
        <v>280</v>
      </c>
      <c r="D1469" s="20" t="str">
        <f>IF(C1469&lt;&gt;"", IFERROR(INDEX('بنود العقد'!B$3:B$388,C1469),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C7</v>
      </c>
      <c r="E1469" s="12" t="str">
        <f>IF(C1469&lt;&gt;"", IFERROR(INDEX('بنود العقد'!D$3:D$388,C1469), ""), "")</f>
        <v>عدد</v>
      </c>
      <c r="F1469" s="9">
        <f>IF(C1469&lt;&gt;"", IFERROR(INDEX('بنود العقد'!E$3:E$388,C1469), 0), "")</f>
        <v>336</v>
      </c>
      <c r="G1469" s="9">
        <f>IF(C1469&lt;&gt;"", IFERROR(INDEX('بنود العقد'!F$3:F$388,C1469), 0), "")</f>
        <v>27</v>
      </c>
      <c r="H1469" s="18">
        <f t="shared" si="59"/>
        <v>28</v>
      </c>
      <c r="I1469" s="7">
        <v>4</v>
      </c>
      <c r="J1469" s="18">
        <f t="shared" si="56"/>
        <v>32</v>
      </c>
      <c r="K1469" s="10">
        <f t="shared" si="57"/>
        <v>1344</v>
      </c>
      <c r="L1469" s="21">
        <f t="shared" si="58"/>
        <v>118.5185185185185</v>
      </c>
    </row>
    <row r="1470" spans="1:12" s="72" customFormat="1" ht="25.95" customHeight="1">
      <c r="A1470" s="12">
        <v>1468</v>
      </c>
      <c r="B1470" s="6">
        <v>20</v>
      </c>
      <c r="C1470" s="6">
        <v>281</v>
      </c>
      <c r="D1470" s="20" t="str">
        <f>IF(C1470&lt;&gt;"", IFERROR(INDEX('بنود العقد'!B$3:B$388,C1470),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D1</v>
      </c>
      <c r="E1470" s="12" t="str">
        <f>IF(C1470&lt;&gt;"", IFERROR(INDEX('بنود العقد'!D$3:D$388,C1470), ""), "")</f>
        <v>عدد</v>
      </c>
      <c r="F1470" s="9">
        <f>IF(C1470&lt;&gt;"", IFERROR(INDEX('بنود العقد'!E$3:E$388,C1470), 0), "")</f>
        <v>936</v>
      </c>
      <c r="G1470" s="9">
        <f>IF(C1470&lt;&gt;"", IFERROR(INDEX('بنود العقد'!F$3:F$388,C1470), 0), "")</f>
        <v>56</v>
      </c>
      <c r="H1470" s="18">
        <f t="shared" si="59"/>
        <v>39</v>
      </c>
      <c r="I1470" s="7">
        <v>-13</v>
      </c>
      <c r="J1470" s="18">
        <f t="shared" si="56"/>
        <v>26</v>
      </c>
      <c r="K1470" s="10">
        <f t="shared" si="57"/>
        <v>-12168</v>
      </c>
      <c r="L1470" s="21">
        <f t="shared" si="58"/>
        <v>46.428571428571431</v>
      </c>
    </row>
    <row r="1471" spans="1:12" s="72" customFormat="1" ht="25.95" customHeight="1">
      <c r="A1471" s="12">
        <v>1469</v>
      </c>
      <c r="B1471" s="6">
        <v>20</v>
      </c>
      <c r="C1471" s="6">
        <v>283</v>
      </c>
      <c r="D1471" s="20" t="str">
        <f>IF(C1471&lt;&gt;"", IFERROR(INDEX('بنود العقد'!B$3:B$388,C1471),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D3</v>
      </c>
      <c r="E1471" s="12" t="str">
        <f>IF(C1471&lt;&gt;"", IFERROR(INDEX('بنود العقد'!D$3:D$388,C1471), ""), "")</f>
        <v>عدد</v>
      </c>
      <c r="F1471" s="9">
        <f>IF(C1471&lt;&gt;"", IFERROR(INDEX('بنود العقد'!E$3:E$388,C1471), 0), "")</f>
        <v>288</v>
      </c>
      <c r="G1471" s="9">
        <f>IF(C1471&lt;&gt;"", IFERROR(INDEX('بنود العقد'!F$3:F$388,C1471), 0), "")</f>
        <v>179</v>
      </c>
      <c r="H1471" s="18">
        <f t="shared" si="59"/>
        <v>161</v>
      </c>
      <c r="I1471" s="7">
        <v>-66</v>
      </c>
      <c r="J1471" s="18">
        <f t="shared" si="56"/>
        <v>95</v>
      </c>
      <c r="K1471" s="10">
        <f t="shared" si="57"/>
        <v>-19008</v>
      </c>
      <c r="L1471" s="21">
        <f t="shared" si="58"/>
        <v>53.072625698324025</v>
      </c>
    </row>
    <row r="1472" spans="1:12" s="72" customFormat="1" ht="25.95" customHeight="1">
      <c r="A1472" s="12">
        <v>1470</v>
      </c>
      <c r="B1472" s="6">
        <v>20</v>
      </c>
      <c r="C1472" s="6">
        <v>284</v>
      </c>
      <c r="D1472" s="20" t="str">
        <f>IF(C1472&lt;&gt;"", IFERROR(INDEX('بنود العقد'!B$3:B$388,C1472),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D4</v>
      </c>
      <c r="E1472" s="12" t="str">
        <f>IF(C1472&lt;&gt;"", IFERROR(INDEX('بنود العقد'!D$3:D$388,C1472), ""), "")</f>
        <v>عدد</v>
      </c>
      <c r="F1472" s="9">
        <f>IF(C1472&lt;&gt;"", IFERROR(INDEX('بنود العقد'!E$3:E$388,C1472), 0), "")</f>
        <v>5400</v>
      </c>
      <c r="G1472" s="9">
        <f>IF(C1472&lt;&gt;"", IFERROR(INDEX('بنود العقد'!F$3:F$388,C1472), 0), "")</f>
        <v>6</v>
      </c>
      <c r="H1472" s="18">
        <f t="shared" si="59"/>
        <v>4</v>
      </c>
      <c r="I1472" s="7">
        <v>-1</v>
      </c>
      <c r="J1472" s="18">
        <f t="shared" si="56"/>
        <v>3</v>
      </c>
      <c r="K1472" s="10">
        <f t="shared" si="57"/>
        <v>-5400</v>
      </c>
      <c r="L1472" s="21">
        <f t="shared" si="58"/>
        <v>50</v>
      </c>
    </row>
    <row r="1473" spans="1:12" s="72" customFormat="1" ht="25.95" customHeight="1">
      <c r="A1473" s="12">
        <v>1471</v>
      </c>
      <c r="B1473" s="6">
        <v>20</v>
      </c>
      <c r="C1473" s="6">
        <v>285</v>
      </c>
      <c r="D1473" s="20" t="str">
        <f>IF(C1473&lt;&gt;"", IFERROR(INDEX('بنود العقد'!B$3:B$388,C1473),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E1</v>
      </c>
      <c r="E1473" s="12" t="str">
        <f>IF(C1473&lt;&gt;"", IFERROR(INDEX('بنود العقد'!D$3:D$388,C1473), ""), "")</f>
        <v>عدد</v>
      </c>
      <c r="F1473" s="9">
        <f>IF(C1473&lt;&gt;"", IFERROR(INDEX('بنود العقد'!E$3:E$388,C1473), 0), "")</f>
        <v>540</v>
      </c>
      <c r="G1473" s="9">
        <f>IF(C1473&lt;&gt;"", IFERROR(INDEX('بنود العقد'!F$3:F$388,C1473), 0), "")</f>
        <v>12</v>
      </c>
      <c r="H1473" s="18">
        <f t="shared" si="59"/>
        <v>6</v>
      </c>
      <c r="I1473" s="7">
        <v>2</v>
      </c>
      <c r="J1473" s="18">
        <f t="shared" si="56"/>
        <v>8</v>
      </c>
      <c r="K1473" s="10">
        <f t="shared" si="57"/>
        <v>1080</v>
      </c>
      <c r="L1473" s="21">
        <f t="shared" si="58"/>
        <v>66.666666666666657</v>
      </c>
    </row>
    <row r="1474" spans="1:12" s="72" customFormat="1" ht="25.95" customHeight="1">
      <c r="A1474" s="12">
        <v>1472</v>
      </c>
      <c r="B1474" s="6">
        <v>20</v>
      </c>
      <c r="C1474" s="6">
        <v>286</v>
      </c>
      <c r="D1474" s="20" t="str">
        <f>IF(C1474&lt;&gt;"", IFERROR(INDEX('بنود العقد'!B$3:B$388,C1474),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E2</v>
      </c>
      <c r="E1474" s="12" t="str">
        <f>IF(C1474&lt;&gt;"", IFERROR(INDEX('بنود العقد'!D$3:D$388,C1474), ""), "")</f>
        <v>عدد</v>
      </c>
      <c r="F1474" s="9">
        <f>IF(C1474&lt;&gt;"", IFERROR(INDEX('بنود العقد'!E$3:E$388,C1474), 0), "")</f>
        <v>504</v>
      </c>
      <c r="G1474" s="9">
        <f>IF(C1474&lt;&gt;"", IFERROR(INDEX('بنود العقد'!F$3:F$388,C1474), 0), "")</f>
        <v>186</v>
      </c>
      <c r="H1474" s="18">
        <f t="shared" si="59"/>
        <v>205</v>
      </c>
      <c r="I1474" s="7">
        <v>43</v>
      </c>
      <c r="J1474" s="18">
        <f t="shared" si="56"/>
        <v>248</v>
      </c>
      <c r="K1474" s="10">
        <f t="shared" si="57"/>
        <v>21672</v>
      </c>
      <c r="L1474" s="21">
        <f t="shared" si="58"/>
        <v>133.33333333333331</v>
      </c>
    </row>
    <row r="1475" spans="1:12" s="72" customFormat="1" ht="25.95" customHeight="1">
      <c r="A1475" s="12">
        <v>1473</v>
      </c>
      <c r="B1475" s="6">
        <v>20</v>
      </c>
      <c r="C1475" s="6">
        <v>287</v>
      </c>
      <c r="D1475" s="20" t="str">
        <f>IF(C1475&lt;&gt;"", IFERROR(INDEX('بنود العقد'!B$3:B$388,C1475),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E3</v>
      </c>
      <c r="E1475" s="12" t="str">
        <f>IF(C1475&lt;&gt;"", IFERROR(INDEX('بنود العقد'!D$3:D$388,C1475), ""), "")</f>
        <v>عدد</v>
      </c>
      <c r="F1475" s="9">
        <f>IF(C1475&lt;&gt;"", IFERROR(INDEX('بنود العقد'!E$3:E$388,C1475), 0), "")</f>
        <v>744</v>
      </c>
      <c r="G1475" s="9">
        <f>IF(C1475&lt;&gt;"", IFERROR(INDEX('بنود العقد'!F$3:F$388,C1475), 0), "")</f>
        <v>260</v>
      </c>
      <c r="H1475" s="18">
        <f t="shared" si="59"/>
        <v>115</v>
      </c>
      <c r="I1475" s="7">
        <v>-45</v>
      </c>
      <c r="J1475" s="18">
        <f t="shared" si="56"/>
        <v>70</v>
      </c>
      <c r="K1475" s="10">
        <f t="shared" si="57"/>
        <v>-33480</v>
      </c>
      <c r="L1475" s="21">
        <f t="shared" si="58"/>
        <v>26.923076923076923</v>
      </c>
    </row>
    <row r="1476" spans="1:12" s="72" customFormat="1" ht="25.95" customHeight="1">
      <c r="A1476" s="12">
        <v>1474</v>
      </c>
      <c r="B1476" s="6">
        <v>20</v>
      </c>
      <c r="C1476" s="6">
        <v>292</v>
      </c>
      <c r="D1476" s="20" t="str">
        <f>IF(C1476&lt;&gt;"", IFERROR(INDEX('بنود العقد'!B$3:B$388,C1476), "⚠"), "")</f>
        <v xml:space="preserve"> توريد وتركيب وتوصيل وإختبار وفحص اجهزة الإنارة ويشمل اللمبات وأقواس التركيب وحبال التعليق وعلبEMT أو PVC  وقطع الأكسسوار و ايضا نقاط الانارة متضمنة مواسير/أقنية قاسية عالية التحمل ذات أسلاك لاتقل عن 0.4 مم2 لنقطة الإنارة وتوصيل أطراف أسلاك التأريض،وكل الأعمال المساعدة كما.هو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LB5</v>
      </c>
      <c r="E1476" s="12" t="str">
        <f>IF(C1476&lt;&gt;"", IFERROR(INDEX('بنود العقد'!D$3:D$388,C1476), ""), "")</f>
        <v>م.ط</v>
      </c>
      <c r="F1476" s="9">
        <f>IF(C1476&lt;&gt;"", IFERROR(INDEX('بنود العقد'!E$3:E$388,C1476), 0), "")</f>
        <v>174</v>
      </c>
      <c r="G1476" s="9">
        <f>IF(C1476&lt;&gt;"", IFERROR(INDEX('بنود العقد'!F$3:F$388,C1476), 0), "")</f>
        <v>263</v>
      </c>
      <c r="H1476" s="18">
        <f t="shared" si="59"/>
        <v>348</v>
      </c>
      <c r="I1476" s="7">
        <v>-348</v>
      </c>
      <c r="J1476" s="18">
        <f t="shared" si="56"/>
        <v>0</v>
      </c>
      <c r="K1476" s="10">
        <f t="shared" si="57"/>
        <v>-60552</v>
      </c>
      <c r="L1476" s="21">
        <f t="shared" si="58"/>
        <v>0</v>
      </c>
    </row>
    <row r="1477" spans="1:12" s="72" customFormat="1" ht="25.95" customHeight="1">
      <c r="A1477" s="12">
        <v>1475</v>
      </c>
      <c r="B1477" s="6">
        <v>20</v>
      </c>
      <c r="C1477" s="6">
        <v>293</v>
      </c>
      <c r="D1477" s="20" t="str">
        <f>IF(C1477&lt;&gt;"", IFERROR(INDEX('بنود العقد'!B$3:B$388,C1477),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LB6</v>
      </c>
      <c r="E1477" s="12" t="str">
        <f>IF(C1477&lt;&gt;"", IFERROR(INDEX('بنود العقد'!D$3:D$388,C1477), ""), "")</f>
        <v>م.ط</v>
      </c>
      <c r="F1477" s="9">
        <f>IF(C1477&lt;&gt;"", IFERROR(INDEX('بنود العقد'!E$3:E$388,C1477), 0), "")</f>
        <v>174</v>
      </c>
      <c r="G1477" s="9">
        <f>IF(C1477&lt;&gt;"", IFERROR(INDEX('بنود العقد'!F$3:F$388,C1477), 0), "")</f>
        <v>25</v>
      </c>
      <c r="H1477" s="18">
        <f t="shared" si="59"/>
        <v>52</v>
      </c>
      <c r="I1477" s="7">
        <v>-52</v>
      </c>
      <c r="J1477" s="18">
        <f t="shared" si="56"/>
        <v>0</v>
      </c>
      <c r="K1477" s="10">
        <f t="shared" si="57"/>
        <v>-9048</v>
      </c>
      <c r="L1477" s="21">
        <f t="shared" si="58"/>
        <v>0</v>
      </c>
    </row>
    <row r="1478" spans="1:12" s="72" customFormat="1" ht="25.95" customHeight="1">
      <c r="A1478" s="12">
        <v>1476</v>
      </c>
      <c r="B1478" s="6">
        <v>20</v>
      </c>
      <c r="C1478" s="6">
        <v>294</v>
      </c>
      <c r="D1478" s="20" t="str">
        <f>IF(C1478&lt;&gt;"", IFERROR(INDEX('بنود العقد'!B$3:B$388,C1478),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LB7</v>
      </c>
      <c r="E1478" s="12" t="str">
        <f>IF(C1478&lt;&gt;"", IFERROR(INDEX('بنود العقد'!D$3:D$388,C1478), ""), "")</f>
        <v>عدد</v>
      </c>
      <c r="F1478" s="9">
        <f>IF(C1478&lt;&gt;"", IFERROR(INDEX('بنود العقد'!E$3:E$388,C1478), 0), "")</f>
        <v>174</v>
      </c>
      <c r="G1478" s="9">
        <f>IF(C1478&lt;&gt;"", IFERROR(INDEX('بنود العقد'!F$3:F$388,C1478), 0), "")</f>
        <v>2</v>
      </c>
      <c r="H1478" s="18">
        <f t="shared" si="59"/>
        <v>2</v>
      </c>
      <c r="I1478" s="7">
        <v>-2</v>
      </c>
      <c r="J1478" s="18">
        <f t="shared" si="56"/>
        <v>0</v>
      </c>
      <c r="K1478" s="10">
        <f t="shared" si="57"/>
        <v>-348</v>
      </c>
      <c r="L1478" s="21">
        <f t="shared" si="58"/>
        <v>0</v>
      </c>
    </row>
    <row r="1479" spans="1:12" s="72" customFormat="1" ht="25.95" customHeight="1">
      <c r="A1479" s="12">
        <v>1477</v>
      </c>
      <c r="B1479" s="6">
        <v>20</v>
      </c>
      <c r="C1479" s="6">
        <v>298</v>
      </c>
      <c r="D1479" s="20" t="str">
        <f>IF(C1479&lt;&gt;"", IFERROR(INDEX('بنود العقد'!B$3:B$388,C1479),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P1</v>
      </c>
      <c r="E1479" s="12" t="str">
        <f>IF(C1479&lt;&gt;"", IFERROR(INDEX('بنود العقد'!D$3:D$388,C1479), ""), "")</f>
        <v>عدد</v>
      </c>
      <c r="F1479" s="9">
        <f>IF(C1479&lt;&gt;"", IFERROR(INDEX('بنود العقد'!E$3:E$388,C1479), 0), "")</f>
        <v>420</v>
      </c>
      <c r="G1479" s="9">
        <f>IF(C1479&lt;&gt;"", IFERROR(INDEX('بنود العقد'!F$3:F$388,C1479), 0), "")</f>
        <v>75</v>
      </c>
      <c r="H1479" s="18">
        <f t="shared" si="59"/>
        <v>100</v>
      </c>
      <c r="I1479" s="7">
        <v>2</v>
      </c>
      <c r="J1479" s="18">
        <f t="shared" si="56"/>
        <v>102</v>
      </c>
      <c r="K1479" s="10">
        <f t="shared" si="57"/>
        <v>840</v>
      </c>
      <c r="L1479" s="21">
        <f t="shared" si="58"/>
        <v>136</v>
      </c>
    </row>
    <row r="1480" spans="1:12" s="72" customFormat="1" ht="25.95" customHeight="1">
      <c r="A1480" s="12">
        <v>1478</v>
      </c>
      <c r="B1480" s="6">
        <v>20</v>
      </c>
      <c r="C1480" s="6">
        <v>299</v>
      </c>
      <c r="D1480" s="20" t="str">
        <f>IF(C1480&lt;&gt;"", IFERROR(INDEX('بنود العقد'!B$3:B$388,C1480),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T1</v>
      </c>
      <c r="E1480" s="12" t="str">
        <f>IF(C1480&lt;&gt;"", IFERROR(INDEX('بنود العقد'!D$3:D$388,C1480), ""), "")</f>
        <v>عدد</v>
      </c>
      <c r="F1480" s="9">
        <f>IF(C1480&lt;&gt;"", IFERROR(INDEX('بنود العقد'!E$3:E$388,C1480), 0), "")</f>
        <v>744</v>
      </c>
      <c r="G1480" s="9">
        <f>IF(C1480&lt;&gt;"", IFERROR(INDEX('بنود العقد'!F$3:F$388,C1480), 0), "")</f>
        <v>1146</v>
      </c>
      <c r="H1480" s="18">
        <f t="shared" si="59"/>
        <v>773</v>
      </c>
      <c r="I1480" s="7">
        <v>87</v>
      </c>
      <c r="J1480" s="18">
        <f t="shared" si="56"/>
        <v>860</v>
      </c>
      <c r="K1480" s="10">
        <f t="shared" si="57"/>
        <v>64728</v>
      </c>
      <c r="L1480" s="21">
        <f t="shared" si="58"/>
        <v>75.043630017452017</v>
      </c>
    </row>
    <row r="1481" spans="1:12" s="72" customFormat="1" ht="25.95" customHeight="1">
      <c r="A1481" s="12">
        <v>1479</v>
      </c>
      <c r="B1481" s="6">
        <v>20</v>
      </c>
      <c r="C1481" s="6">
        <v>300</v>
      </c>
      <c r="D1481" s="20" t="str">
        <f>IF(C1481&lt;&gt;"", IFERROR(INDEX('بنود العقد'!B$3:B$388,C1481),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CH-1</v>
      </c>
      <c r="E1481" s="12" t="str">
        <f>IF(C1481&lt;&gt;"", IFERROR(INDEX('بنود العقد'!D$3:D$388,C1481), ""), "")</f>
        <v>عدد</v>
      </c>
      <c r="F1481" s="9">
        <f>IF(C1481&lt;&gt;"", IFERROR(INDEX('بنود العقد'!E$3:E$388,C1481), 0), "")</f>
        <v>14400</v>
      </c>
      <c r="G1481" s="9">
        <f>IF(C1481&lt;&gt;"", IFERROR(INDEX('بنود العقد'!F$3:F$388,C1481), 0), "")</f>
        <v>4</v>
      </c>
      <c r="H1481" s="18">
        <f t="shared" si="59"/>
        <v>3</v>
      </c>
      <c r="I1481" s="7">
        <v>1</v>
      </c>
      <c r="J1481" s="18">
        <f t="shared" si="56"/>
        <v>4</v>
      </c>
      <c r="K1481" s="10">
        <f t="shared" si="57"/>
        <v>14400</v>
      </c>
      <c r="L1481" s="21">
        <f t="shared" si="58"/>
        <v>100</v>
      </c>
    </row>
    <row r="1482" spans="1:12" s="72" customFormat="1" ht="25.95" customHeight="1">
      <c r="A1482" s="12">
        <v>1480</v>
      </c>
      <c r="B1482" s="6">
        <v>20</v>
      </c>
      <c r="C1482" s="6">
        <v>301</v>
      </c>
      <c r="D1482" s="20" t="str">
        <f>IF(C1482&lt;&gt;"", IFERROR(INDEX('بنود العقد'!B$3:B$388,C1482),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CH-2</v>
      </c>
      <c r="E1482" s="12" t="str">
        <f>IF(C1482&lt;&gt;"", IFERROR(INDEX('بنود العقد'!D$3:D$388,C1482), ""), "")</f>
        <v>عدد</v>
      </c>
      <c r="F1482" s="9">
        <f>IF(C1482&lt;&gt;"", IFERROR(INDEX('بنود العقد'!E$3:E$388,C1482), 0), "")</f>
        <v>4200</v>
      </c>
      <c r="G1482" s="9">
        <f>IF(C1482&lt;&gt;"", IFERROR(INDEX('بنود العقد'!F$3:F$388,C1482), 0), "")</f>
        <v>6</v>
      </c>
      <c r="H1482" s="18">
        <f t="shared" si="59"/>
        <v>5</v>
      </c>
      <c r="I1482" s="7">
        <v>1</v>
      </c>
      <c r="J1482" s="18">
        <f t="shared" si="56"/>
        <v>6</v>
      </c>
      <c r="K1482" s="10">
        <f t="shared" si="57"/>
        <v>4200</v>
      </c>
      <c r="L1482" s="21">
        <f t="shared" si="58"/>
        <v>100</v>
      </c>
    </row>
    <row r="1483" spans="1:12" s="72" customFormat="1" ht="25.95" customHeight="1">
      <c r="A1483" s="12">
        <v>1481</v>
      </c>
      <c r="B1483" s="6">
        <v>20</v>
      </c>
      <c r="C1483" s="6">
        <v>302</v>
      </c>
      <c r="D1483" s="20" t="str">
        <f>IF(C1483&lt;&gt;"", IFERROR(INDEX('بنود العقد'!B$3:B$388,C1483),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CH-3</v>
      </c>
      <c r="E1483" s="12" t="str">
        <f>IF(C1483&lt;&gt;"", IFERROR(INDEX('بنود العقد'!D$3:D$388,C1483), ""), "")</f>
        <v>عدد</v>
      </c>
      <c r="F1483" s="9">
        <f>IF(C1483&lt;&gt;"", IFERROR(INDEX('بنود العقد'!E$3:E$388,C1483), 0), "")</f>
        <v>18000</v>
      </c>
      <c r="G1483" s="9">
        <f>IF(C1483&lt;&gt;"", IFERROR(INDEX('بنود العقد'!F$3:F$388,C1483), 0), "")</f>
        <v>3</v>
      </c>
      <c r="H1483" s="18">
        <f t="shared" si="59"/>
        <v>1</v>
      </c>
      <c r="I1483" s="7">
        <v>1</v>
      </c>
      <c r="J1483" s="18">
        <f t="shared" si="56"/>
        <v>2</v>
      </c>
      <c r="K1483" s="10">
        <f t="shared" si="57"/>
        <v>18000</v>
      </c>
      <c r="L1483" s="21">
        <f t="shared" si="58"/>
        <v>66.666666666666657</v>
      </c>
    </row>
    <row r="1484" spans="1:12" s="72" customFormat="1" ht="25.95" customHeight="1">
      <c r="A1484" s="12">
        <v>1482</v>
      </c>
      <c r="B1484" s="6">
        <v>20</v>
      </c>
      <c r="C1484" s="6">
        <v>303</v>
      </c>
      <c r="D1484" s="20" t="str">
        <f>IF(C1484&lt;&gt;"", IFERROR(INDEX('بنود العقد'!B$3:B$388,C1484),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مفتاح أحادي ، أحادي الكباّس، 10 أمبير</v>
      </c>
      <c r="E1484" s="12" t="str">
        <f>IF(C1484&lt;&gt;"", IFERROR(INDEX('بنود العقد'!D$3:D$388,C1484), ""), "")</f>
        <v>عدد</v>
      </c>
      <c r="F1484" s="9">
        <f>IF(C1484&lt;&gt;"", IFERROR(INDEX('بنود العقد'!E$3:E$388,C1484), 0), "")</f>
        <v>216</v>
      </c>
      <c r="G1484" s="9">
        <f>IF(C1484&lt;&gt;"", IFERROR(INDEX('بنود العقد'!F$3:F$388,C1484), 0), "")</f>
        <v>226</v>
      </c>
      <c r="H1484" s="18">
        <f t="shared" si="59"/>
        <v>150</v>
      </c>
      <c r="I1484" s="7">
        <v>88</v>
      </c>
      <c r="J1484" s="18">
        <f t="shared" si="56"/>
        <v>238</v>
      </c>
      <c r="K1484" s="10">
        <f t="shared" si="57"/>
        <v>19008</v>
      </c>
      <c r="L1484" s="21">
        <f t="shared" si="58"/>
        <v>105.30973451327435</v>
      </c>
    </row>
    <row r="1485" spans="1:12" s="72" customFormat="1" ht="25.95" customHeight="1">
      <c r="A1485" s="12">
        <v>1483</v>
      </c>
      <c r="B1485" s="6">
        <v>20</v>
      </c>
      <c r="C1485" s="6">
        <v>304</v>
      </c>
      <c r="D1485" s="20" t="str">
        <f>IF(C1485&lt;&gt;"", IFERROR(INDEX('بنود العقد'!B$3:B$388,C1485),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أحادي ، ثنائي الكباّس، 10 أمبير</v>
      </c>
      <c r="E1485" s="12" t="str">
        <f>IF(C1485&lt;&gt;"", IFERROR(INDEX('بنود العقد'!D$3:D$388,C1485), ""), "")</f>
        <v>عدد</v>
      </c>
      <c r="F1485" s="9">
        <f>IF(C1485&lt;&gt;"", IFERROR(INDEX('بنود العقد'!E$3:E$388,C1485), 0), "")</f>
        <v>216</v>
      </c>
      <c r="G1485" s="9">
        <f>IF(C1485&lt;&gt;"", IFERROR(INDEX('بنود العقد'!F$3:F$388,C1485), 0), "")</f>
        <v>490</v>
      </c>
      <c r="H1485" s="18">
        <f t="shared" si="59"/>
        <v>278</v>
      </c>
      <c r="I1485" s="7">
        <v>208</v>
      </c>
      <c r="J1485" s="18">
        <f t="shared" si="56"/>
        <v>486</v>
      </c>
      <c r="K1485" s="10">
        <f t="shared" si="57"/>
        <v>44928</v>
      </c>
      <c r="L1485" s="21">
        <f t="shared" si="58"/>
        <v>99.183673469387756</v>
      </c>
    </row>
    <row r="1486" spans="1:12" s="72" customFormat="1" ht="25.95" customHeight="1">
      <c r="A1486" s="12">
        <v>1484</v>
      </c>
      <c r="B1486" s="6">
        <v>20</v>
      </c>
      <c r="C1486" s="6">
        <v>305</v>
      </c>
      <c r="D1486" s="20" t="str">
        <f>IF(C1486&lt;&gt;"", IFERROR(INDEX('بنود العقد'!B$3:B$388,C1486),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ثلاثي ، ثلاثي الكباّس، 10 أمبير</v>
      </c>
      <c r="E1486" s="12" t="str">
        <f>IF(C1486&lt;&gt;"", IFERROR(INDEX('بنود العقد'!D$3:D$388,C1486), ""), "")</f>
        <v>عدد</v>
      </c>
      <c r="F1486" s="9">
        <f>IF(C1486&lt;&gt;"", IFERROR(INDEX('بنود العقد'!E$3:E$388,C1486), 0), "")</f>
        <v>120</v>
      </c>
      <c r="G1486" s="9">
        <f>IF(C1486&lt;&gt;"", IFERROR(INDEX('بنود العقد'!F$3:F$388,C1486), 0), "")</f>
        <v>108</v>
      </c>
      <c r="H1486" s="18">
        <f t="shared" si="59"/>
        <v>0</v>
      </c>
      <c r="I1486" s="7">
        <v>67</v>
      </c>
      <c r="J1486" s="18">
        <f t="shared" si="56"/>
        <v>67</v>
      </c>
      <c r="K1486" s="10">
        <f t="shared" si="57"/>
        <v>8040</v>
      </c>
      <c r="L1486" s="21">
        <f t="shared" si="58"/>
        <v>62.037037037037038</v>
      </c>
    </row>
    <row r="1487" spans="1:12" s="72" customFormat="1" ht="25.95" customHeight="1">
      <c r="A1487" s="12">
        <v>1485</v>
      </c>
      <c r="B1487" s="6">
        <v>20</v>
      </c>
      <c r="C1487" s="6">
        <v>306</v>
      </c>
      <c r="D1487" s="20" t="str">
        <f>IF(C1487&lt;&gt;"", IFERROR(INDEX('بنود العقد'!B$3:B$388,C1487),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ثنائي ، ثنائي الكباّس، 10 أمبير</v>
      </c>
      <c r="E1487" s="12" t="str">
        <f>IF(C1487&lt;&gt;"", IFERROR(INDEX('بنود العقد'!D$3:D$388,C1487), ""), "")</f>
        <v>عدد</v>
      </c>
      <c r="F1487" s="9">
        <f>IF(C1487&lt;&gt;"", IFERROR(INDEX('بنود العقد'!E$3:E$388,C1487), 0), "")</f>
        <v>216</v>
      </c>
      <c r="G1487" s="9">
        <f>IF(C1487&lt;&gt;"", IFERROR(INDEX('بنود العقد'!F$3:F$388,C1487), 0), "")</f>
        <v>66</v>
      </c>
      <c r="H1487" s="18">
        <f t="shared" si="59"/>
        <v>24</v>
      </c>
      <c r="I1487" s="7">
        <v>-13</v>
      </c>
      <c r="J1487" s="18">
        <f t="shared" si="56"/>
        <v>11</v>
      </c>
      <c r="K1487" s="10">
        <f t="shared" si="57"/>
        <v>-2808</v>
      </c>
      <c r="L1487" s="21">
        <f t="shared" si="58"/>
        <v>16.666666666666664</v>
      </c>
    </row>
    <row r="1488" spans="1:12" s="72" customFormat="1" ht="25.95" customHeight="1">
      <c r="A1488" s="12">
        <v>1486</v>
      </c>
      <c r="B1488" s="6">
        <v>20</v>
      </c>
      <c r="C1488" s="6">
        <v>307</v>
      </c>
      <c r="D1488" s="20" t="str">
        <f>IF(C1488&lt;&gt;"", IFERROR(INDEX('بنود العقد'!B$3:B$388,C1488), "⚠"), "")</f>
        <v xml:space="preserve"> توريد وتركيب وتوصيل وتجريب مفاتيح ذات أضواء دليلية وتشمل الماسورة والأسلاك حسب المبيّن على.المخططات و ذلك لسخانات المياه  وحسب المواصفات 20 Amp., 230 V, 1PH</v>
      </c>
      <c r="E1488" s="12" t="str">
        <f>IF(C1488&lt;&gt;"", IFERROR(INDEX('بنود العقد'!D$3:D$388,C1488), ""), "")</f>
        <v>عدد</v>
      </c>
      <c r="F1488" s="9">
        <f>IF(C1488&lt;&gt;"", IFERROR(INDEX('بنود العقد'!E$3:E$388,C1488), 0), "")</f>
        <v>300</v>
      </c>
      <c r="G1488" s="9">
        <f>IF(C1488&lt;&gt;"", IFERROR(INDEX('بنود العقد'!F$3:F$388,C1488), 0), "")</f>
        <v>77</v>
      </c>
      <c r="H1488" s="18">
        <f t="shared" si="59"/>
        <v>70</v>
      </c>
      <c r="I1488" s="7">
        <v>41</v>
      </c>
      <c r="J1488" s="18">
        <f t="shared" si="56"/>
        <v>111</v>
      </c>
      <c r="K1488" s="10">
        <f t="shared" si="57"/>
        <v>12300</v>
      </c>
      <c r="L1488" s="21">
        <f t="shared" si="58"/>
        <v>144.15584415584414</v>
      </c>
    </row>
    <row r="1489" spans="1:12" s="72" customFormat="1" ht="25.95" customHeight="1">
      <c r="A1489" s="12">
        <v>1487</v>
      </c>
      <c r="B1489" s="6">
        <v>20</v>
      </c>
      <c r="C1489" s="6">
        <v>308</v>
      </c>
      <c r="D1489" s="20" t="str">
        <f>IF(C1489&lt;&gt;"", IFERROR(INDEX('بنود العقد'!B$3:B$388,C1489), "⚠"), "")</f>
        <v>توريد وتركيب و فحص وتسليم نظام انذار حريق معنون  يتضمن لوحة إنذار رئيسية مرتبطة بحاسب مع طابعة  مزود  ببرنامج مصنع خصيصاً لهذا النوع من الأنظمة  قادر على التوافق مع نظام المراقبة التلفزيونية  و التحكم بالدخول و المراقبة . و ذلك باستخدام كوابل مخصصة لأنظمة إنذار الحريق ذات غلاف خارجي من نوع LSOH و يجب أن لا يقل الناقل عن Cx1.5mm2   و يتم التركيب ضمن مواسير من النوع EMT    و تشمل اعمال المدنية إن لزم ذلك  وكل ما يلزم لإتمام العمل على اكمل وجه.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على المقاول عمل ربط  انذار الحريق مع نظام ادارة المبنى BMS</v>
      </c>
      <c r="E1489" s="12" t="str">
        <f>IF(C1489&lt;&gt;"", IFERROR(INDEX('بنود العقد'!D$3:D$388,C1489), ""), "")</f>
        <v>عدد</v>
      </c>
      <c r="F1489" s="9">
        <f>IF(C1489&lt;&gt;"", IFERROR(INDEX('بنود العقد'!E$3:E$388,C1489), 0), "")</f>
        <v>28800</v>
      </c>
      <c r="G1489" s="9">
        <f>IF(C1489&lt;&gt;"", IFERROR(INDEX('بنود العقد'!F$3:F$388,C1489), 0), "")</f>
        <v>1</v>
      </c>
      <c r="H1489" s="18">
        <f t="shared" si="59"/>
        <v>0.2</v>
      </c>
      <c r="I1489" s="7">
        <v>0.8</v>
      </c>
      <c r="J1489" s="18">
        <f t="shared" si="56"/>
        <v>1</v>
      </c>
      <c r="K1489" s="10">
        <f t="shared" si="57"/>
        <v>23040</v>
      </c>
      <c r="L1489" s="21">
        <f t="shared" si="58"/>
        <v>100</v>
      </c>
    </row>
    <row r="1490" spans="1:12" s="72" customFormat="1" ht="25.95" customHeight="1">
      <c r="A1490" s="12">
        <v>1488</v>
      </c>
      <c r="B1490" s="6">
        <v>20</v>
      </c>
      <c r="C1490" s="6">
        <v>309</v>
      </c>
      <c r="D1490" s="20" t="str">
        <f>IF(C1490&lt;&gt;"", IFERROR(INDEX('بنود العقد'!B$3:B$388,C1490), "⚠"), "")</f>
        <v xml:space="preserve"> كاشف انذار دخان من النوع المعنون طبقا للمخططات  ومواصفات المشروع</v>
      </c>
      <c r="E1490" s="12" t="str">
        <f>IF(C1490&lt;&gt;"", IFERROR(INDEX('بنود العقد'!D$3:D$388,C1490), ""), "")</f>
        <v>عدد</v>
      </c>
      <c r="F1490" s="9">
        <f>IF(C1490&lt;&gt;"", IFERROR(INDEX('بنود العقد'!E$3:E$388,C1490), 0), "")</f>
        <v>276</v>
      </c>
      <c r="G1490" s="9">
        <f>IF(C1490&lt;&gt;"", IFERROR(INDEX('بنود العقد'!F$3:F$388,C1490), 0), "")</f>
        <v>715</v>
      </c>
      <c r="H1490" s="18">
        <f t="shared" si="59"/>
        <v>805</v>
      </c>
      <c r="I1490" s="7">
        <v>81</v>
      </c>
      <c r="J1490" s="18">
        <f t="shared" si="56"/>
        <v>886</v>
      </c>
      <c r="K1490" s="10">
        <f t="shared" si="57"/>
        <v>22356</v>
      </c>
      <c r="L1490" s="21">
        <f t="shared" si="58"/>
        <v>123.91608391608391</v>
      </c>
    </row>
    <row r="1491" spans="1:12" s="72" customFormat="1" ht="25.95" customHeight="1">
      <c r="A1491" s="12">
        <v>1489</v>
      </c>
      <c r="B1491" s="6">
        <v>20</v>
      </c>
      <c r="C1491" s="6">
        <v>311</v>
      </c>
      <c r="D1491" s="20" t="str">
        <f>IF(C1491&lt;&gt;"", IFERROR(INDEX('بنود العقد'!B$3:B$388,C1491), "⚠"), "")</f>
        <v xml:space="preserve"> وحدة إنذار حريق يدوية من النوع المعنون طبقا للمخططات  ومواصفات المشروع</v>
      </c>
      <c r="E1491" s="12" t="str">
        <f>IF(C1491&lt;&gt;"", IFERROR(INDEX('بنود العقد'!D$3:D$388,C1491), ""), "")</f>
        <v>عدد</v>
      </c>
      <c r="F1491" s="9">
        <f>IF(C1491&lt;&gt;"", IFERROR(INDEX('بنود العقد'!E$3:E$388,C1491), 0), "")</f>
        <v>384</v>
      </c>
      <c r="G1491" s="9">
        <f>IF(C1491&lt;&gt;"", IFERROR(INDEX('بنود العقد'!F$3:F$388,C1491), 0), "")</f>
        <v>54</v>
      </c>
      <c r="H1491" s="18">
        <f t="shared" si="59"/>
        <v>43</v>
      </c>
      <c r="I1491" s="7">
        <v>5</v>
      </c>
      <c r="J1491" s="18">
        <f t="shared" si="56"/>
        <v>48</v>
      </c>
      <c r="K1491" s="10">
        <f t="shared" si="57"/>
        <v>1920</v>
      </c>
      <c r="L1491" s="21">
        <f t="shared" si="58"/>
        <v>88.888888888888886</v>
      </c>
    </row>
    <row r="1492" spans="1:12" s="72" customFormat="1" ht="25.95" customHeight="1">
      <c r="A1492" s="12">
        <v>1490</v>
      </c>
      <c r="B1492" s="6">
        <v>20</v>
      </c>
      <c r="C1492" s="6">
        <v>313</v>
      </c>
      <c r="D1492" s="20" t="str">
        <f>IF(C1492&lt;&gt;"", IFERROR(INDEX('بنود العقد'!B$3:B$388,C1492), "⚠"), "")</f>
        <v>وحدة تحكم  )Control module( من النوع المعنون طبقا للمخططات  ومواصفات المشروع</v>
      </c>
      <c r="E1492" s="12" t="str">
        <f>IF(C1492&lt;&gt;"", IFERROR(INDEX('بنود العقد'!D$3:D$388,C1492), ""), "")</f>
        <v>عدد</v>
      </c>
      <c r="F1492" s="9">
        <f>IF(C1492&lt;&gt;"", IFERROR(INDEX('بنود العقد'!E$3:E$388,C1492), 0), "")</f>
        <v>420</v>
      </c>
      <c r="G1492" s="9">
        <f>IF(C1492&lt;&gt;"", IFERROR(INDEX('بنود العقد'!F$3:F$388,C1492), 0), "")</f>
        <v>69</v>
      </c>
      <c r="H1492" s="18">
        <f t="shared" si="59"/>
        <v>204</v>
      </c>
      <c r="I1492" s="7">
        <v>14</v>
      </c>
      <c r="J1492" s="18">
        <f t="shared" si="56"/>
        <v>218</v>
      </c>
      <c r="K1492" s="10">
        <f t="shared" si="57"/>
        <v>5880</v>
      </c>
      <c r="L1492" s="21">
        <f t="shared" si="58"/>
        <v>315.94202898550725</v>
      </c>
    </row>
    <row r="1493" spans="1:12" s="72" customFormat="1" ht="25.95" customHeight="1">
      <c r="A1493" s="12">
        <v>1491</v>
      </c>
      <c r="B1493" s="6">
        <v>20</v>
      </c>
      <c r="C1493" s="6">
        <v>314</v>
      </c>
      <c r="D1493" s="20" t="str">
        <f>IF(C1493&lt;&gt;"", IFERROR(INDEX('بنود العقد'!B$3:B$388,C1493), "⚠"), "")</f>
        <v>وحدة جرس إنذار حريق داخلى طبقا للمخططات  ومواصفات المشروع</v>
      </c>
      <c r="E1493" s="12" t="str">
        <f>IF(C1493&lt;&gt;"", IFERROR(INDEX('بنود العقد'!D$3:D$388,C1493), ""), "")</f>
        <v>عدد</v>
      </c>
      <c r="F1493" s="9">
        <f>IF(C1493&lt;&gt;"", IFERROR(INDEX('بنود العقد'!E$3:E$388,C1493), 0), "")</f>
        <v>576</v>
      </c>
      <c r="G1493" s="9">
        <f>IF(C1493&lt;&gt;"", IFERROR(INDEX('بنود العقد'!F$3:F$388,C1493), 0), "")</f>
        <v>24</v>
      </c>
      <c r="H1493" s="18">
        <f t="shared" si="59"/>
        <v>35</v>
      </c>
      <c r="I1493" s="7">
        <v>11</v>
      </c>
      <c r="J1493" s="18">
        <f t="shared" si="56"/>
        <v>46</v>
      </c>
      <c r="K1493" s="10">
        <f t="shared" si="57"/>
        <v>6336</v>
      </c>
      <c r="L1493" s="21">
        <f t="shared" si="58"/>
        <v>191.66666666666669</v>
      </c>
    </row>
    <row r="1494" spans="1:12" s="72" customFormat="1" ht="25.95" customHeight="1">
      <c r="A1494" s="12">
        <v>1492</v>
      </c>
      <c r="B1494" s="6">
        <v>20</v>
      </c>
      <c r="C1494" s="6">
        <v>315</v>
      </c>
      <c r="D1494" s="20" t="str">
        <f>IF(C1494&lt;&gt;"", IFERROR(INDEX('بنود العقد'!B$3:B$388,C1494), "⚠"), "")</f>
        <v>وحدة هاتف رجل الاطفاء حريق داخلى )fireman telephone Jack ( طبقا للمخططات  ومواصفات المشروع</v>
      </c>
      <c r="E1494" s="12" t="str">
        <f>IF(C1494&lt;&gt;"", IFERROR(INDEX('بنود العقد'!D$3:D$388,C1494), ""), "")</f>
        <v>عدد</v>
      </c>
      <c r="F1494" s="9">
        <f>IF(C1494&lt;&gt;"", IFERROR(INDEX('بنود العقد'!E$3:E$388,C1494), 0), "")</f>
        <v>960</v>
      </c>
      <c r="G1494" s="9">
        <f>IF(C1494&lt;&gt;"", IFERROR(INDEX('بنود العقد'!F$3:F$388,C1494), 0), "")</f>
        <v>24</v>
      </c>
      <c r="H1494" s="18">
        <f t="shared" si="59"/>
        <v>2</v>
      </c>
      <c r="I1494" s="7">
        <v>-2</v>
      </c>
      <c r="J1494" s="18">
        <f t="shared" si="56"/>
        <v>0</v>
      </c>
      <c r="K1494" s="10">
        <f t="shared" si="57"/>
        <v>-1920</v>
      </c>
      <c r="L1494" s="21">
        <f t="shared" si="58"/>
        <v>0</v>
      </c>
    </row>
    <row r="1495" spans="1:12" s="72" customFormat="1" ht="25.95" customHeight="1">
      <c r="A1495" s="12">
        <v>1493</v>
      </c>
      <c r="B1495" s="6">
        <v>20</v>
      </c>
      <c r="C1495" s="6">
        <v>316</v>
      </c>
      <c r="D1495" s="20" t="str">
        <f>IF(C1495&lt;&gt;"", IFERROR(INDEX('بنود العقد'!B$3:B$388,C1495), "⚠"), "")</f>
        <v>وحدات لاسلكية لتوفير خدمة شبكة المعلومات )Wireless Access Points(</v>
      </c>
      <c r="E1495" s="12" t="str">
        <f>IF(C1495&lt;&gt;"", IFERROR(INDEX('بنود العقد'!D$3:D$388,C1495), ""), "")</f>
        <v>عدد</v>
      </c>
      <c r="F1495" s="9">
        <f>IF(C1495&lt;&gt;"", IFERROR(INDEX('بنود العقد'!E$3:E$388,C1495), 0), "")</f>
        <v>1080</v>
      </c>
      <c r="G1495" s="9">
        <f>IF(C1495&lt;&gt;"", IFERROR(INDEX('بنود العقد'!F$3:F$388,C1495), 0), "")</f>
        <v>181</v>
      </c>
      <c r="H1495" s="18">
        <f t="shared" si="59"/>
        <v>146</v>
      </c>
      <c r="I1495" s="7">
        <v>25</v>
      </c>
      <c r="J1495" s="18">
        <f t="shared" si="56"/>
        <v>171</v>
      </c>
      <c r="K1495" s="10">
        <f t="shared" si="57"/>
        <v>27000</v>
      </c>
      <c r="L1495" s="21">
        <f t="shared" si="58"/>
        <v>94.475138121546962</v>
      </c>
    </row>
    <row r="1496" spans="1:12" s="72" customFormat="1" ht="25.95" customHeight="1">
      <c r="A1496" s="12">
        <v>1494</v>
      </c>
      <c r="B1496" s="6">
        <v>20</v>
      </c>
      <c r="C1496" s="6">
        <v>323</v>
      </c>
      <c r="D1496" s="20" t="str">
        <f>IF(C1496&lt;&gt;"", IFERROR(INDEX('بنود العقد'!B$3:B$388,C1496), "⚠"),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زر خروج من النوع button( )Push</v>
      </c>
      <c r="E1496" s="12" t="str">
        <f>IF(C1496&lt;&gt;"", IFERROR(INDEX('بنود العقد'!D$3:D$388,C1496), ""), "")</f>
        <v>عدد</v>
      </c>
      <c r="F1496" s="9">
        <f>IF(C1496&lt;&gt;"", IFERROR(INDEX('بنود العقد'!E$3:E$388,C1496), 0), "")</f>
        <v>606</v>
      </c>
      <c r="G1496" s="9">
        <f>IF(C1496&lt;&gt;"", IFERROR(INDEX('بنود العقد'!F$3:F$388,C1496), 0), "")</f>
        <v>218</v>
      </c>
      <c r="H1496" s="18">
        <f t="shared" si="59"/>
        <v>13</v>
      </c>
      <c r="I1496" s="7">
        <v>2</v>
      </c>
      <c r="J1496" s="18">
        <f t="shared" si="56"/>
        <v>15</v>
      </c>
      <c r="K1496" s="10">
        <f t="shared" si="57"/>
        <v>1212</v>
      </c>
      <c r="L1496" s="21">
        <f t="shared" si="58"/>
        <v>6.8807339449541285</v>
      </c>
    </row>
    <row r="1497" spans="1:12" s="72" customFormat="1" ht="25.95" customHeight="1">
      <c r="A1497" s="12">
        <v>1495</v>
      </c>
      <c r="B1497" s="6">
        <v>20</v>
      </c>
      <c r="C1497" s="6">
        <v>324</v>
      </c>
      <c r="D1497" s="20" t="str">
        <f>IF(C1497&lt;&gt;"", IFERROR(INDEX('بنود العقد'!B$3:B$388,C1497), "⚠"), "")</f>
        <v xml:space="preserve">توريد وتركيب وإختبار نظام النداء الصوتي العام يتضمن كافة الكابالت و المواسير و العلب و النهايات مع كامل اكسسوارات التركيب الالزمة وتشغيل تجهيزات الصوت و تركيب المعدات الرئيسية بغرفة التحكم حسب المخططات و المواصفات وتعليمات الشركة المصنعة مشتمال على كل ما يلزم التمام العمل
و ربطه مع نظام الحريق و ادارة المبنى و يتكون من االتي -:
سماعة سقفية 6 وات
</v>
      </c>
      <c r="E1497" s="12" t="str">
        <f>IF(C1497&lt;&gt;"", IFERROR(INDEX('بنود العقد'!D$3:D$388,C1497), ""), "")</f>
        <v>عدد</v>
      </c>
      <c r="F1497" s="9">
        <f>IF(C1497&lt;&gt;"", IFERROR(INDEX('بنود العقد'!E$3:E$388,C1497), 0), "")</f>
        <v>420</v>
      </c>
      <c r="G1497" s="9">
        <f>IF(C1497&lt;&gt;"", IFERROR(INDEX('بنود العقد'!F$3:F$388,C1497), 0), "")</f>
        <v>252</v>
      </c>
      <c r="H1497" s="18">
        <f t="shared" si="59"/>
        <v>146</v>
      </c>
      <c r="I1497" s="7">
        <v>7</v>
      </c>
      <c r="J1497" s="18">
        <f t="shared" si="56"/>
        <v>153</v>
      </c>
      <c r="K1497" s="10">
        <f t="shared" si="57"/>
        <v>2940</v>
      </c>
      <c r="L1497" s="21">
        <f t="shared" si="58"/>
        <v>60.714285714285708</v>
      </c>
    </row>
    <row r="1498" spans="1:12" s="72" customFormat="1" ht="25.95" customHeight="1">
      <c r="A1498" s="12">
        <v>1496</v>
      </c>
      <c r="B1498" s="6">
        <v>20</v>
      </c>
      <c r="C1498" s="6">
        <v>327</v>
      </c>
      <c r="D1498" s="20" t="str">
        <f>IF(C1498&lt;&gt;"", IFERROR(INDEX('بنود العقد'!B$3:B$388,C1498), "⚠"), "")</f>
        <v xml:space="preserve">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فردي حائطي مزود بعدد واحد مأخذ RJ-45
</v>
      </c>
      <c r="E1498" s="12" t="str">
        <f>IF(C1498&lt;&gt;"", IFERROR(INDEX('بنود العقد'!D$3:D$388,C1498), ""), "")</f>
        <v>عدد</v>
      </c>
      <c r="F1498" s="9">
        <f>IF(C1498&lt;&gt;"", IFERROR(INDEX('بنود العقد'!E$3:E$388,C1498), 0), "")</f>
        <v>432</v>
      </c>
      <c r="G1498" s="9">
        <f>IF(C1498&lt;&gt;"", IFERROR(INDEX('بنود العقد'!F$3:F$388,C1498), 0), "")</f>
        <v>206</v>
      </c>
      <c r="H1498" s="18">
        <f t="shared" si="59"/>
        <v>278</v>
      </c>
      <c r="I1498" s="7">
        <v>12</v>
      </c>
      <c r="J1498" s="18">
        <f t="shared" si="56"/>
        <v>290</v>
      </c>
      <c r="K1498" s="10">
        <f t="shared" si="57"/>
        <v>5184</v>
      </c>
      <c r="L1498" s="21">
        <f t="shared" si="58"/>
        <v>140.77669902912621</v>
      </c>
    </row>
    <row r="1499" spans="1:12" s="72" customFormat="1" ht="25.95" customHeight="1">
      <c r="A1499" s="12">
        <v>1497</v>
      </c>
      <c r="B1499" s="6">
        <v>20</v>
      </c>
      <c r="C1499" s="6">
        <v>328</v>
      </c>
      <c r="D1499" s="20" t="str">
        <f>IF(C1499&lt;&gt;"", IFERROR(INDEX('بنود العقد'!B$3:B$388,C1499), "⚠"), "")</f>
        <v>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HDMI مع الكوابل اللازمة</v>
      </c>
      <c r="E1499" s="12" t="str">
        <f>IF(C1499&lt;&gt;"", IFERROR(INDEX('بنود العقد'!D$3:D$388,C1499), ""), "")</f>
        <v>عدد</v>
      </c>
      <c r="F1499" s="9">
        <f>IF(C1499&lt;&gt;"", IFERROR(INDEX('بنود العقد'!E$3:E$388,C1499), 0), "")</f>
        <v>540</v>
      </c>
      <c r="G1499" s="9">
        <f>IF(C1499&lt;&gt;"", IFERROR(INDEX('بنود العقد'!F$3:F$388,C1499), 0), "")</f>
        <v>33</v>
      </c>
      <c r="H1499" s="18">
        <f t="shared" si="59"/>
        <v>45</v>
      </c>
      <c r="I1499" s="7">
        <v>4</v>
      </c>
      <c r="J1499" s="18">
        <f t="shared" si="56"/>
        <v>49</v>
      </c>
      <c r="K1499" s="10">
        <f t="shared" si="57"/>
        <v>2160</v>
      </c>
      <c r="L1499" s="21">
        <f t="shared" si="58"/>
        <v>148.4848484848485</v>
      </c>
    </row>
    <row r="1500" spans="1:12" s="72" customFormat="1" ht="25.95" customHeight="1">
      <c r="A1500" s="12">
        <v>1498</v>
      </c>
      <c r="B1500" s="6">
        <v>20</v>
      </c>
      <c r="C1500" s="6">
        <v>330</v>
      </c>
      <c r="D1500" s="20" t="str">
        <f>IF(C1500&lt;&gt;"", IFERROR(INDEX('بنود العقد'!B$3:B$388,C1500), "⚠"), "")</f>
        <v>خزانة تجهيزات 42 U مقاس 2000×1000×800 ملم من أجود األنواع العالمية مع جميع االكسسوارات الالزمة من قاطع رئيسي 32( أمبير) وموزعات و مراوح و منظمات مسير الكوابل و كل
ما يلزم التمام العمل وحسب مواصفات وتعليمات إدارة الـ IT بالوزارة.</v>
      </c>
      <c r="E1500" s="12" t="str">
        <f>IF(C1500&lt;&gt;"", IFERROR(INDEX('بنود العقد'!D$3:D$388,C1500), ""), "")</f>
        <v>عدد</v>
      </c>
      <c r="F1500" s="9">
        <f>IF(C1500&lt;&gt;"", IFERROR(INDEX('بنود العقد'!E$3:E$388,C1500), 0), "")</f>
        <v>66000</v>
      </c>
      <c r="G1500" s="9">
        <f>IF(C1500&lt;&gt;"", IFERROR(INDEX('بنود العقد'!F$3:F$388,C1500), 0), "")</f>
        <v>12</v>
      </c>
      <c r="H1500" s="18">
        <f t="shared" si="59"/>
        <v>11</v>
      </c>
      <c r="I1500" s="7">
        <v>1</v>
      </c>
      <c r="J1500" s="18">
        <f t="shared" si="56"/>
        <v>12</v>
      </c>
      <c r="K1500" s="10">
        <f t="shared" si="57"/>
        <v>66000</v>
      </c>
      <c r="L1500" s="21">
        <f t="shared" si="58"/>
        <v>100</v>
      </c>
    </row>
    <row r="1501" spans="1:12" s="72" customFormat="1" ht="25.95" customHeight="1">
      <c r="A1501" s="12">
        <v>1499</v>
      </c>
      <c r="B1501" s="6">
        <v>20</v>
      </c>
      <c r="C1501" s="6">
        <v>331</v>
      </c>
      <c r="D1501" s="20" t="str">
        <f>IF(C1501&lt;&gt;"", IFERROR(INDEX('بنود العقد'!B$3:B$388,C1501), "⚠"), "")</f>
        <v>لوحة توزيع رئيسية لنظام كابالت األلياف الضوئية Panel Patch Optical مزودة بعدد )12( موصل
من النوع Multimode</v>
      </c>
      <c r="E1501" s="12" t="str">
        <f>IF(C1501&lt;&gt;"", IFERROR(INDEX('بنود العقد'!D$3:D$388,C1501), ""), "")</f>
        <v>عدد</v>
      </c>
      <c r="F1501" s="9">
        <f>IF(C1501&lt;&gt;"", IFERROR(INDEX('بنود العقد'!E$3:E$388,C1501), 0), "")</f>
        <v>2640</v>
      </c>
      <c r="G1501" s="9">
        <f>IF(C1501&lt;&gt;"", IFERROR(INDEX('بنود العقد'!F$3:F$388,C1501), 0), "")</f>
        <v>12</v>
      </c>
      <c r="H1501" s="18">
        <f t="shared" si="59"/>
        <v>10</v>
      </c>
      <c r="I1501" s="7">
        <v>2</v>
      </c>
      <c r="J1501" s="18">
        <f t="shared" si="56"/>
        <v>12</v>
      </c>
      <c r="K1501" s="10">
        <f t="shared" si="57"/>
        <v>5280</v>
      </c>
      <c r="L1501" s="21">
        <f t="shared" si="58"/>
        <v>100</v>
      </c>
    </row>
    <row r="1502" spans="1:12" s="72" customFormat="1" ht="25.95" customHeight="1">
      <c r="A1502" s="12">
        <v>1500</v>
      </c>
      <c r="B1502" s="6">
        <v>20</v>
      </c>
      <c r="C1502" s="6">
        <v>332</v>
      </c>
      <c r="D1502" s="20" t="str">
        <f>IF(C1502&lt;&gt;"", IFERROR(INDEX('بنود العقد'!B$3:B$388,C1502), "⚠"), "")</f>
        <v>لوحات توزيع كابالت نحاسية Panel Patch a 6 CAT مع الوصالت لعدد 24 مخرج</v>
      </c>
      <c r="E1502" s="12" t="str">
        <f>IF(C1502&lt;&gt;"", IFERROR(INDEX('بنود العقد'!D$3:D$388,C1502), ""), "")</f>
        <v>عدد</v>
      </c>
      <c r="F1502" s="9">
        <f>IF(C1502&lt;&gt;"", IFERROR(INDEX('بنود العقد'!E$3:E$388,C1502), 0), "")</f>
        <v>2400</v>
      </c>
      <c r="G1502" s="9">
        <f>IF(C1502&lt;&gt;"", IFERROR(INDEX('بنود العقد'!F$3:F$388,C1502), 0), "")</f>
        <v>55</v>
      </c>
      <c r="H1502" s="18">
        <f t="shared" si="59"/>
        <v>72</v>
      </c>
      <c r="I1502" s="7">
        <v>1</v>
      </c>
      <c r="J1502" s="18">
        <f t="shared" si="56"/>
        <v>73</v>
      </c>
      <c r="K1502" s="10">
        <f t="shared" si="57"/>
        <v>2400</v>
      </c>
      <c r="L1502" s="21">
        <f t="shared" si="58"/>
        <v>132.72727272727275</v>
      </c>
    </row>
    <row r="1503" spans="1:12" s="72" customFormat="1" ht="25.95" customHeight="1">
      <c r="A1503" s="12">
        <v>1501</v>
      </c>
      <c r="B1503" s="6">
        <v>20</v>
      </c>
      <c r="C1503" s="6">
        <v>333</v>
      </c>
      <c r="D1503" s="20" t="str">
        <f>IF(C1503&lt;&gt;"", IFERROR(INDEX('بنود العقد'!B$3:B$388,C1503), "⚠"), "")</f>
        <v xml:space="preserve">توريد وتركيب وتوصيل جميع تمديدات كابالت األلياف الضوئية ( الفايبر) من نوع 12core - multimode من الموزعات الفرعية بكبائن األدوارإلى الموزع الرئيسى بغرفة الداتا الرئيسية وذلك حسب المواصفات القياسية والبند يشمل كافة وسائل وإكسسوارات التركيب والتثبيت و على المقاول تقديم
الحسابات لالعتمادها من قبل المهندس المشرف
</v>
      </c>
      <c r="E1503" s="12" t="str">
        <f>IF(C1503&lt;&gt;"", IFERROR(INDEX('بنود العقد'!D$3:D$388,C1503), ""), "")</f>
        <v>عدد</v>
      </c>
      <c r="F1503" s="9">
        <f>IF(C1503&lt;&gt;"", IFERROR(INDEX('بنود العقد'!E$3:E$388,C1503), 0), "")</f>
        <v>14400</v>
      </c>
      <c r="G1503" s="9">
        <f>IF(C1503&lt;&gt;"", IFERROR(INDEX('بنود العقد'!F$3:F$388,C1503), 0), "")</f>
        <v>6</v>
      </c>
      <c r="H1503" s="18">
        <f t="shared" si="59"/>
        <v>8</v>
      </c>
      <c r="I1503" s="7">
        <v>4</v>
      </c>
      <c r="J1503" s="18">
        <f t="shared" si="56"/>
        <v>12</v>
      </c>
      <c r="K1503" s="10">
        <f t="shared" si="57"/>
        <v>57600</v>
      </c>
      <c r="L1503" s="21">
        <f t="shared" si="58"/>
        <v>200</v>
      </c>
    </row>
    <row r="1504" spans="1:12" s="72" customFormat="1" ht="25.95" customHeight="1">
      <c r="A1504" s="12">
        <v>1502</v>
      </c>
      <c r="B1504" s="6">
        <v>20</v>
      </c>
      <c r="C1504" s="6">
        <v>334</v>
      </c>
      <c r="D1504" s="20" t="str">
        <f>IF(C1504&lt;&gt;"", IFERROR(INDEX('بنود العقد'!B$3:B$388,C1504), "⚠"), "")</f>
        <v xml:space="preserve">فك و تقطيع وتنزيل و ترحيل مواسير شبكة الصرف و التغذية القائمة و البند يشمل فك القطع والترحيل خارج الموقع وتسليم جميع مكونات شبكة الصرف و التغذية للجهة مالكة المشروع </v>
      </c>
      <c r="E1504" s="12" t="str">
        <f>IF(C1504&lt;&gt;"", IFERROR(INDEX('بنود العقد'!D$3:D$388,C1504), ""), "")</f>
        <v>م.ط</v>
      </c>
      <c r="F1504" s="9">
        <f>IF(C1504&lt;&gt;"", IFERROR(INDEX('بنود العقد'!E$3:E$388,C1504), 0), "")</f>
        <v>16.523</v>
      </c>
      <c r="G1504" s="9">
        <f>IF(C1504&lt;&gt;"", IFERROR(INDEX('بنود العقد'!F$3:F$388,C1504), 0), "")</f>
        <v>0</v>
      </c>
      <c r="H1504" s="18">
        <f t="shared" si="59"/>
        <v>4371</v>
      </c>
      <c r="I1504" s="7">
        <v>523.1</v>
      </c>
      <c r="J1504" s="18">
        <f t="shared" si="56"/>
        <v>4894.1000000000004</v>
      </c>
      <c r="K1504" s="10">
        <f t="shared" si="57"/>
        <v>8643.1813000000002</v>
      </c>
      <c r="L1504" s="21" t="str">
        <f t="shared" si="58"/>
        <v/>
      </c>
    </row>
    <row r="1505" spans="1:12" s="72" customFormat="1" ht="25.95" customHeight="1">
      <c r="A1505" s="12">
        <v>1503</v>
      </c>
      <c r="B1505" s="6">
        <v>20</v>
      </c>
      <c r="C1505" s="6">
        <v>335</v>
      </c>
      <c r="D1505" s="20" t="str">
        <f>IF(C1505&lt;&gt;"", IFERROR(INDEX('بنود العقد'!B$3:B$388,C1505), "⚠"), "")</f>
        <v xml:space="preserve"> توريد و تركيب خرسانة مسلحة ، لا يقل إجهاد كسرها عن 35 ميجا باسكال لزوم خرسانات  الأسقف ، بأسمنت من النوع (أ)، طبقاً للمخططات . ويشمل السعر القوالب  وحديد التسليح  و الربط مع الكمرات الحالية بالتكسير و المضافات الخرسانية و الخلط والنقل والصب والمعالجة والاختبار حسب المخططات لإنهاء الأعمال حسب اصول الصنع وتوجيهات المهندس المشرف </v>
      </c>
      <c r="E1505" s="12" t="str">
        <f>IF(C1505&lt;&gt;"", IFERROR(INDEX('بنود العقد'!D$3:D$388,C1505), ""), "")</f>
        <v>م³</v>
      </c>
      <c r="F1505" s="9">
        <f>IF(C1505&lt;&gt;"", IFERROR(INDEX('بنود العقد'!E$3:E$388,C1505), 0), "")</f>
        <v>1600</v>
      </c>
      <c r="G1505" s="9">
        <f>IF(C1505&lt;&gt;"", IFERROR(INDEX('بنود العقد'!F$3:F$388,C1505), 0), "")</f>
        <v>0</v>
      </c>
      <c r="H1505" s="18">
        <f t="shared" si="59"/>
        <v>4.17</v>
      </c>
      <c r="I1505" s="7">
        <v>40.83</v>
      </c>
      <c r="J1505" s="18">
        <f t="shared" si="56"/>
        <v>45</v>
      </c>
      <c r="K1505" s="10">
        <f t="shared" si="57"/>
        <v>65328</v>
      </c>
      <c r="L1505" s="21" t="str">
        <f t="shared" si="58"/>
        <v/>
      </c>
    </row>
    <row r="1506" spans="1:12" s="72" customFormat="1" ht="25.95" customHeight="1">
      <c r="A1506" s="12">
        <v>1504</v>
      </c>
      <c r="B1506" s="6">
        <v>20</v>
      </c>
      <c r="C1506" s="6">
        <v>340</v>
      </c>
      <c r="D1506" s="20" t="str">
        <f>IF(C1506&lt;&gt;"", IFERROR(INDEX('بنود العقد'!B$3:B$388,C1506), "⚠"), "")</f>
        <v>ازالة وتكسير وترحيل ارضيات الخرسانة</v>
      </c>
      <c r="E1506" s="12" t="str">
        <f>IF(C1506&lt;&gt;"", IFERROR(INDEX('بنود العقد'!D$3:D$388,C1506), ""), "")</f>
        <v>م²</v>
      </c>
      <c r="F1506" s="9">
        <f>IF(C1506&lt;&gt;"", IFERROR(INDEX('بنود العقد'!E$3:E$388,C1506), 0), "")</f>
        <v>69.42</v>
      </c>
      <c r="G1506" s="9">
        <f>IF(C1506&lt;&gt;"", IFERROR(INDEX('بنود العقد'!F$3:F$388,C1506), 0), "")</f>
        <v>0</v>
      </c>
      <c r="H1506" s="18">
        <f t="shared" si="59"/>
        <v>2900</v>
      </c>
      <c r="I1506" s="7">
        <v>660.14</v>
      </c>
      <c r="J1506" s="18">
        <f t="shared" si="56"/>
        <v>3560.14</v>
      </c>
      <c r="K1506" s="10">
        <f t="shared" si="57"/>
        <v>45826.918799999999</v>
      </c>
      <c r="L1506" s="21" t="str">
        <f t="shared" si="58"/>
        <v/>
      </c>
    </row>
    <row r="1507" spans="1:12" s="72" customFormat="1" ht="25.95" customHeight="1">
      <c r="A1507" s="12">
        <v>1505</v>
      </c>
      <c r="B1507" s="6">
        <v>20</v>
      </c>
      <c r="C1507" s="6">
        <v>341</v>
      </c>
      <c r="D1507" s="20" t="str">
        <f>IF(C1507&lt;&gt;"", IFERROR(INDEX('بنود العقد'!B$3:B$388,C1507), "⚠"), "")</f>
        <v xml:space="preserve">فك و تقطيع وتنزيل و ترحيل مواسير شبكة مكافحة الحريق القائمة و البند يشمل فك الرشاشات والترحيل خارج الموقع وتسليم جميع مكونات شبكة الحريق للجهة مالكة المشروع </v>
      </c>
      <c r="E1507" s="12" t="str">
        <f>IF(C1507&lt;&gt;"", IFERROR(INDEX('بنود العقد'!D$3:D$388,C1507), ""), "")</f>
        <v>م.ط</v>
      </c>
      <c r="F1507" s="9">
        <f>IF(C1507&lt;&gt;"", IFERROR(INDEX('بنود العقد'!E$3:E$388,C1507), 0), "")</f>
        <v>20.88</v>
      </c>
      <c r="G1507" s="9">
        <f>IF(C1507&lt;&gt;"", IFERROR(INDEX('بنود العقد'!F$3:F$388,C1507), 0), "")</f>
        <v>0</v>
      </c>
      <c r="H1507" s="18">
        <f t="shared" si="59"/>
        <v>14490</v>
      </c>
      <c r="I1507" s="7">
        <v>700.22</v>
      </c>
      <c r="J1507" s="18">
        <f t="shared" si="56"/>
        <v>15190.22</v>
      </c>
      <c r="K1507" s="10">
        <f t="shared" si="57"/>
        <v>14620.5936</v>
      </c>
      <c r="L1507" s="21" t="str">
        <f t="shared" si="58"/>
        <v/>
      </c>
    </row>
    <row r="1508" spans="1:12" s="72" customFormat="1" ht="25.95" customHeight="1">
      <c r="A1508" s="12">
        <v>1506</v>
      </c>
      <c r="B1508" s="6">
        <v>20</v>
      </c>
      <c r="C1508" s="6">
        <v>342</v>
      </c>
      <c r="D1508" s="20" t="str">
        <f>IF(C1508&lt;&gt;"", IFERROR(INDEX('بنود العقد'!B$3:B$388,C1508), "⚠"), "")</f>
        <v xml:space="preserve">فك وفحص و إختبار وحدات VAV القائمة بالمبنى و البند يشمل  الترحيل لمستودعات الجهة مالكة المشروع بمدينة الرياض </v>
      </c>
      <c r="E1508" s="12" t="str">
        <f>IF(C1508&lt;&gt;"", IFERROR(INDEX('بنود العقد'!D$3:D$388,C1508), ""), "")</f>
        <v>عدد</v>
      </c>
      <c r="F1508" s="9">
        <f>IF(C1508&lt;&gt;"", IFERROR(INDEX('بنود العقد'!E$3:E$388,C1508), 0), "")</f>
        <v>450</v>
      </c>
      <c r="G1508" s="9">
        <f>IF(C1508&lt;&gt;"", IFERROR(INDEX('بنود العقد'!F$3:F$388,C1508), 0), "")</f>
        <v>0</v>
      </c>
      <c r="H1508" s="18">
        <f t="shared" si="59"/>
        <v>194</v>
      </c>
      <c r="I1508" s="7">
        <v>81</v>
      </c>
      <c r="J1508" s="18">
        <f t="shared" si="56"/>
        <v>275</v>
      </c>
      <c r="K1508" s="10">
        <f t="shared" si="57"/>
        <v>36450</v>
      </c>
      <c r="L1508" s="21" t="str">
        <f t="shared" si="58"/>
        <v/>
      </c>
    </row>
    <row r="1509" spans="1:12" s="72" customFormat="1" ht="25.95" customHeight="1">
      <c r="A1509" s="12">
        <v>1507</v>
      </c>
      <c r="B1509" s="6">
        <v>20</v>
      </c>
      <c r="C1509" s="6">
        <v>343</v>
      </c>
      <c r="D1509" s="20" t="str">
        <f>IF(C1509&lt;&gt;"", IFERROR(INDEX('بنود العقد'!B$3:B$388,C1509), "⚠"), "")</f>
        <v xml:space="preserve">فك و إزالة  مجاري الهواء من الصفائح المعدنية المجلفنة شامل الاكواع و التفريعات و التحويله و العامة وحاملة التعليق و الترحيل إلى مستودعات الجهة مالكة المشروع بمدينة الرياض  </v>
      </c>
      <c r="E1509" s="12" t="str">
        <f>IF(C1509&lt;&gt;"", IFERROR(INDEX('بنود العقد'!D$3:D$388,C1509), ""), "")</f>
        <v>م.ط</v>
      </c>
      <c r="F1509" s="9">
        <f>IF(C1509&lt;&gt;"", IFERROR(INDEX('بنود العقد'!E$3:E$388,C1509), 0), "")</f>
        <v>106</v>
      </c>
      <c r="G1509" s="9">
        <f>IF(C1509&lt;&gt;"", IFERROR(INDEX('بنود العقد'!F$3:F$388,C1509), 0), "")</f>
        <v>0</v>
      </c>
      <c r="H1509" s="18">
        <f t="shared" si="59"/>
        <v>11914.42</v>
      </c>
      <c r="I1509" s="7">
        <v>993.88</v>
      </c>
      <c r="J1509" s="18">
        <f t="shared" si="56"/>
        <v>12908.3</v>
      </c>
      <c r="K1509" s="10">
        <f t="shared" si="57"/>
        <v>105351.28</v>
      </c>
      <c r="L1509" s="21" t="str">
        <f t="shared" si="58"/>
        <v/>
      </c>
    </row>
    <row r="1510" spans="1:12" s="72" customFormat="1" ht="25.95" customHeight="1">
      <c r="A1510" s="12">
        <v>1508</v>
      </c>
      <c r="B1510" s="6">
        <v>20</v>
      </c>
      <c r="C1510" s="6">
        <v>344</v>
      </c>
      <c r="D1510" s="20" t="str">
        <f>IF(C1510&lt;&gt;"", IFERROR(INDEX('بنود العقد'!B$3:B$388,C1510), "⚠"), "")</f>
        <v xml:space="preserve">تصنيع و توريد و تركيب شباك دبل أكشن (Tilt &amp;turn)مقاس
 (1.0متر *3.0متر ) ثابت مع مفصلات </v>
      </c>
      <c r="E1510" s="12" t="str">
        <f>IF(C1510&lt;&gt;"", IFERROR(INDEX('بنود العقد'!D$3:D$388,C1510), ""), "")</f>
        <v>م²</v>
      </c>
      <c r="F1510" s="9">
        <f>IF(C1510&lt;&gt;"", IFERROR(INDEX('بنود العقد'!E$3:E$388,C1510), 0), "")</f>
        <v>1665</v>
      </c>
      <c r="G1510" s="9">
        <f>IF(C1510&lt;&gt;"", IFERROR(INDEX('بنود العقد'!F$3:F$388,C1510), 0), "")</f>
        <v>0</v>
      </c>
      <c r="H1510" s="18">
        <f t="shared" si="59"/>
        <v>42</v>
      </c>
      <c r="I1510" s="7">
        <v>18</v>
      </c>
      <c r="J1510" s="18">
        <f t="shared" si="56"/>
        <v>60</v>
      </c>
      <c r="K1510" s="10">
        <f t="shared" si="57"/>
        <v>29970</v>
      </c>
      <c r="L1510" s="21" t="str">
        <f t="shared" si="58"/>
        <v/>
      </c>
    </row>
    <row r="1511" spans="1:12" s="72" customFormat="1" ht="25.95" customHeight="1">
      <c r="A1511" s="12">
        <v>1509</v>
      </c>
      <c r="B1511" s="6">
        <v>20</v>
      </c>
      <c r="C1511" s="6">
        <v>345</v>
      </c>
      <c r="D1511" s="20" t="str">
        <f>IF(C1511&lt;&gt;"", IFERROR(INDEX('بنود العقد'!B$3:B$388,C1511), "⚠"), "")</f>
        <v xml:space="preserve">تصنيع و توريد و تركيب شباك دبل أكشن (Tilt &amp;turn)مقاس
 1.0 متر * 4.40متر ) ثابت مع مفصلات </v>
      </c>
      <c r="E1511" s="12" t="str">
        <f>IF(C1511&lt;&gt;"", IFERROR(INDEX('بنود العقد'!D$3:D$388,C1511), ""), "")</f>
        <v>م²</v>
      </c>
      <c r="F1511" s="9">
        <f>IF(C1511&lt;&gt;"", IFERROR(INDEX('بنود العقد'!E$3:E$388,C1511), 0), "")</f>
        <v>1665</v>
      </c>
      <c r="G1511" s="9">
        <f>IF(C1511&lt;&gt;"", IFERROR(INDEX('بنود العقد'!F$3:F$388,C1511), 0), "")</f>
        <v>0</v>
      </c>
      <c r="H1511" s="18">
        <f t="shared" si="59"/>
        <v>8</v>
      </c>
      <c r="I1511" s="7">
        <v>0.8</v>
      </c>
      <c r="J1511" s="18">
        <f t="shared" si="56"/>
        <v>8.8000000000000007</v>
      </c>
      <c r="K1511" s="10">
        <f t="shared" si="57"/>
        <v>1332</v>
      </c>
      <c r="L1511" s="21" t="str">
        <f t="shared" si="58"/>
        <v/>
      </c>
    </row>
    <row r="1512" spans="1:12" s="72" customFormat="1" ht="25.95" customHeight="1">
      <c r="A1512" s="12">
        <v>1510</v>
      </c>
      <c r="B1512" s="6">
        <v>20</v>
      </c>
      <c r="C1512" s="6">
        <v>346</v>
      </c>
      <c r="D1512" s="20" t="str">
        <f>IF(C1512&lt;&gt;"", IFERROR(INDEX('بنود العقد'!B$3:B$388,C1512), "⚠"), "")</f>
        <v xml:space="preserve">
توريد وتركيب مرحاض افرنجي مثبت على الحائط  مع محبس دفق (Flush valve)  مع زر دفق من الكروم ، مع غطاء للمرحاض مقاوم للبكتريا من نوع soft closing</v>
      </c>
      <c r="E1512" s="12" t="str">
        <f>IF(C1512&lt;&gt;"", IFERROR(INDEX('بنود العقد'!D$3:D$388,C1512), ""), "")</f>
        <v>عدد</v>
      </c>
      <c r="F1512" s="9">
        <f>IF(C1512&lt;&gt;"", IFERROR(INDEX('بنود العقد'!E$3:E$388,C1512), 0), "")</f>
        <v>2408.39</v>
      </c>
      <c r="G1512" s="9">
        <f>IF(C1512&lt;&gt;"", IFERROR(INDEX('بنود العقد'!F$3:F$388,C1512), 0), "")</f>
        <v>0</v>
      </c>
      <c r="H1512" s="18">
        <f t="shared" si="59"/>
        <v>50</v>
      </c>
      <c r="I1512" s="7">
        <v>25</v>
      </c>
      <c r="J1512" s="18">
        <f t="shared" si="56"/>
        <v>75</v>
      </c>
      <c r="K1512" s="10">
        <f t="shared" si="57"/>
        <v>60209.75</v>
      </c>
      <c r="L1512" s="21" t="str">
        <f t="shared" si="58"/>
        <v/>
      </c>
    </row>
    <row r="1513" spans="1:12" s="72" customFormat="1" ht="25.95" customHeight="1">
      <c r="A1513" s="12">
        <v>1511</v>
      </c>
      <c r="B1513" s="6">
        <v>20</v>
      </c>
      <c r="C1513" s="6">
        <v>347</v>
      </c>
      <c r="D1513" s="20" t="str">
        <f>IF(C1513&lt;&gt;"", IFERROR(INDEX('بنود العقد'!B$3:B$388,C1513), "⚠"), "")</f>
        <v xml:space="preserve">
توريد وتركيب مرحاض افرنجي مثبت على الحائط  مع محبس دفق (Flush valve) مزود بحساس مع زر دفق من الكروم، مع غطاء للمرحاض مقاوم للبكتريا من نوع soft closing</v>
      </c>
      <c r="E1513" s="12" t="str">
        <f>IF(C1513&lt;&gt;"", IFERROR(INDEX('بنود العقد'!D$3:D$388,C1513), ""), "")</f>
        <v>عدد</v>
      </c>
      <c r="F1513" s="9">
        <f>IF(C1513&lt;&gt;"", IFERROR(INDEX('بنود العقد'!E$3:E$388,C1513), 0), "")</f>
        <v>4186.79</v>
      </c>
      <c r="G1513" s="9">
        <f>IF(C1513&lt;&gt;"", IFERROR(INDEX('بنود العقد'!F$3:F$388,C1513), 0), "")</f>
        <v>0</v>
      </c>
      <c r="H1513" s="18">
        <f t="shared" si="59"/>
        <v>14</v>
      </c>
      <c r="I1513" s="7">
        <v>10</v>
      </c>
      <c r="J1513" s="18">
        <f t="shared" si="56"/>
        <v>24</v>
      </c>
      <c r="K1513" s="10">
        <f t="shared" si="57"/>
        <v>41867.9</v>
      </c>
      <c r="L1513" s="21" t="str">
        <f t="shared" si="58"/>
        <v/>
      </c>
    </row>
    <row r="1514" spans="1:12" s="72" customFormat="1" ht="25.95" customHeight="1">
      <c r="A1514" s="12">
        <v>1512</v>
      </c>
      <c r="B1514" s="6">
        <v>20</v>
      </c>
      <c r="C1514" s="6">
        <v>348</v>
      </c>
      <c r="D1514" s="20" t="str">
        <f>IF(C1514&lt;&gt;"", IFERROR(INDEX('بنود العقد'!B$3:B$388,C1514), "⚠"), "")</f>
        <v>توريد وتركيب برادات مياة حسب العينة المعتمدة ويتم التركيب طبقاً للمخططات والمواصفات الفنية وبحسب توجيهات واعتماد المهندس المشرف.</v>
      </c>
      <c r="E1514" s="12" t="str">
        <f>IF(C1514&lt;&gt;"", IFERROR(INDEX('بنود العقد'!D$3:D$388,C1514), ""), "")</f>
        <v>عدد</v>
      </c>
      <c r="F1514" s="9">
        <f>IF(C1514&lt;&gt;"", IFERROR(INDEX('بنود العقد'!E$3:E$388,C1514), 0), "")</f>
        <v>12600</v>
      </c>
      <c r="G1514" s="9">
        <f>IF(C1514&lt;&gt;"", IFERROR(INDEX('بنود العقد'!F$3:F$388,C1514), 0), "")</f>
        <v>0</v>
      </c>
      <c r="H1514" s="18">
        <f t="shared" si="59"/>
        <v>21</v>
      </c>
      <c r="I1514" s="7">
        <v>2</v>
      </c>
      <c r="J1514" s="18">
        <f t="shared" si="56"/>
        <v>23</v>
      </c>
      <c r="K1514" s="10">
        <f t="shared" si="57"/>
        <v>25200</v>
      </c>
      <c r="L1514" s="21" t="str">
        <f t="shared" si="58"/>
        <v/>
      </c>
    </row>
    <row r="1515" spans="1:12" s="72" customFormat="1" ht="25.95" customHeight="1">
      <c r="A1515" s="12">
        <v>1513</v>
      </c>
      <c r="B1515" s="6">
        <v>20</v>
      </c>
      <c r="C1515" s="6">
        <v>349</v>
      </c>
      <c r="D1515" s="20" t="str">
        <f>IF(C1515&lt;&gt;"", IFERROR(INDEX('بنود العقد'!B$3:B$388,C1515), "⚠"), "")</f>
        <v xml:space="preserve"> توريد و تركيب مراوح سحب الهواء (AXIAL INLINE FAN)  تشمل عمليات التوريد و التركيب و الاختبار و التثبيت  سعة 100 قدم مكعب بالدقيقة بالدور الثالث والرابع والخامس</v>
      </c>
      <c r="E1515" s="12" t="str">
        <f>IF(C1515&lt;&gt;"", IFERROR(INDEX('بنود العقد'!D$3:D$388,C1515), ""), "")</f>
        <v>عدد</v>
      </c>
      <c r="F1515" s="9">
        <f>IF(C1515&lt;&gt;"", IFERROR(INDEX('بنود العقد'!E$3:E$388,C1515), 0), "")</f>
        <v>1160.4000000000001</v>
      </c>
      <c r="G1515" s="9">
        <f>IF(C1515&lt;&gt;"", IFERROR(INDEX('بنود العقد'!F$3:F$388,C1515), 0), "")</f>
        <v>0</v>
      </c>
      <c r="H1515" s="18">
        <f t="shared" si="59"/>
        <v>4</v>
      </c>
      <c r="I1515" s="7">
        <v>2</v>
      </c>
      <c r="J1515" s="18">
        <f t="shared" si="56"/>
        <v>6</v>
      </c>
      <c r="K1515" s="10">
        <f t="shared" si="57"/>
        <v>2320.8000000000002</v>
      </c>
      <c r="L1515" s="21" t="str">
        <f t="shared" si="58"/>
        <v/>
      </c>
    </row>
    <row r="1516" spans="1:12" s="72" customFormat="1" ht="25.95" customHeight="1">
      <c r="A1516" s="12">
        <v>1514</v>
      </c>
      <c r="B1516" s="6">
        <v>20</v>
      </c>
      <c r="C1516" s="6">
        <v>350</v>
      </c>
      <c r="D1516" s="20" t="str">
        <f>IF(C1516&lt;&gt;"", IFERROR(INDEX('بنود العقد'!B$3:B$388,C1516), "⚠"), "")</f>
        <v xml:space="preserve">توريد وتركيب  
سماعة معلقة 6 وات لون اسود مع الكابلات والتمديدات  حسب المخططات   والبند يشمل جميع التمديدات المواسير للسماعات قطر 3/4  بوصة من الEMT  وسحب الاسلاك  الخاصة بنظام الصوت. </v>
      </c>
      <c r="E1516" s="12" t="str">
        <f>IF(C1516&lt;&gt;"", IFERROR(INDEX('بنود العقد'!D$3:D$388,C1516), ""), "")</f>
        <v>عدد</v>
      </c>
      <c r="F1516" s="9">
        <f>IF(C1516&lt;&gt;"", IFERROR(INDEX('بنود العقد'!E$3:E$388,C1516), 0), "")</f>
        <v>1380</v>
      </c>
      <c r="G1516" s="9">
        <f>IF(C1516&lt;&gt;"", IFERROR(INDEX('بنود العقد'!F$3:F$388,C1516), 0), "")</f>
        <v>0</v>
      </c>
      <c r="H1516" s="18">
        <f t="shared" si="59"/>
        <v>116</v>
      </c>
      <c r="I1516" s="7">
        <v>17</v>
      </c>
      <c r="J1516" s="18">
        <f t="shared" si="56"/>
        <v>133</v>
      </c>
      <c r="K1516" s="10">
        <f t="shared" si="57"/>
        <v>23460</v>
      </c>
      <c r="L1516" s="21" t="str">
        <f t="shared" si="58"/>
        <v/>
      </c>
    </row>
    <row r="1517" spans="1:12" s="72" customFormat="1" ht="25.95" customHeight="1">
      <c r="A1517" s="12">
        <v>1515</v>
      </c>
      <c r="B1517" s="6">
        <v>20</v>
      </c>
      <c r="C1517" s="6">
        <v>351</v>
      </c>
      <c r="D1517" s="20" t="str">
        <f>IF(C1517&lt;&gt;"", IFERROR(INDEX('بنود العقد'!B$3:B$388,C1517), "⚠"), "")</f>
        <v>توريد وتركيب وفرد دهان ايبوكسي لزوم الدربزينات بالفناء الوسطي و البهو الداخلي بين الادوار و المدخل ويتم التركيب طبقاً للمخططات والمواصفات الفنية و المواد المعتمدة  .</v>
      </c>
      <c r="E1517" s="12" t="str">
        <f>IF(C1517&lt;&gt;"", IFERROR(INDEX('بنود العقد'!D$3:D$388,C1517), ""), "")</f>
        <v>م.ط</v>
      </c>
      <c r="F1517" s="9">
        <f>IF(C1517&lt;&gt;"", IFERROR(INDEX('بنود العقد'!E$3:E$388,C1517), 0), "")</f>
        <v>45</v>
      </c>
      <c r="G1517" s="9">
        <f>IF(C1517&lt;&gt;"", IFERROR(INDEX('بنود العقد'!F$3:F$388,C1517), 0), "")</f>
        <v>0</v>
      </c>
      <c r="H1517" s="18">
        <f t="shared" si="59"/>
        <v>784</v>
      </c>
      <c r="I1517" s="7">
        <v>76</v>
      </c>
      <c r="J1517" s="18">
        <f t="shared" si="56"/>
        <v>860</v>
      </c>
      <c r="K1517" s="10">
        <f t="shared" si="57"/>
        <v>3420</v>
      </c>
      <c r="L1517" s="21" t="str">
        <f t="shared" si="58"/>
        <v/>
      </c>
    </row>
    <row r="1518" spans="1:12" s="72" customFormat="1" ht="25.95" customHeight="1">
      <c r="A1518" s="12">
        <v>1516</v>
      </c>
      <c r="B1518" s="6">
        <v>20</v>
      </c>
      <c r="C1518" s="6">
        <v>353</v>
      </c>
      <c r="D1518" s="20" t="str">
        <f>IF(C1518&lt;&gt;"", IFERROR(INDEX('بنود العقد'!B$3:B$388,C1518),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والمنحنيات والتفريعات والدعامات ، كما هو مبين في المخططات لتركيب مايلي من الأقطار الداخلية مع ربطه بالشبكة الحالية لاقرب نقطة و على المقاول تقديم المخططات التنفيذية و الحسابات الهيدروليكية و اعتمادها قبل البدأ بتنفيذ الاعمال من المهندس المشرف للاقطار  الداخلية :
قطر 75 مم</v>
      </c>
      <c r="E1518" s="12" t="str">
        <f>IF(C1518&lt;&gt;"", IFERROR(INDEX('بنود العقد'!D$3:D$388,C1518), ""), "")</f>
        <v>م.ط</v>
      </c>
      <c r="F1518" s="9">
        <f>IF(C1518&lt;&gt;"", IFERROR(INDEX('بنود العقد'!E$3:E$388,C1518), 0), "")</f>
        <v>298</v>
      </c>
      <c r="G1518" s="9">
        <f>IF(C1518&lt;&gt;"", IFERROR(INDEX('بنود العقد'!F$3:F$388,C1518), 0), "")</f>
        <v>0</v>
      </c>
      <c r="H1518" s="18">
        <f t="shared" si="59"/>
        <v>71</v>
      </c>
      <c r="I1518" s="7">
        <v>9</v>
      </c>
      <c r="J1518" s="18">
        <f t="shared" si="56"/>
        <v>80</v>
      </c>
      <c r="K1518" s="10">
        <f t="shared" si="57"/>
        <v>2682</v>
      </c>
      <c r="L1518" s="21" t="str">
        <f t="shared" si="58"/>
        <v/>
      </c>
    </row>
    <row r="1519" spans="1:12" s="72" customFormat="1" ht="25.95" customHeight="1">
      <c r="A1519" s="12">
        <v>1517</v>
      </c>
      <c r="B1519" s="6">
        <v>20</v>
      </c>
      <c r="C1519" s="6">
        <v>354</v>
      </c>
      <c r="D1519" s="20" t="str">
        <f>IF(C1519&lt;&gt;"", IFERROR(INDEX('بنود العقد'!B$3:B$388,C1519),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والمنحنيات والتفريعات والدعامات ، كما هو مبين في المخططات لتركيب مايلي من الأقطار الداخلية مع ربطه بالشبكة الحالية لاقرب نقطة و على المقاول تقديم المخططات التنفيذية و الحسابات الهيدروليكية و اعتمادها قبل البدأ بتنفيذ الاعمال من المهندس المشرف للاقطار  الداخلية :
قطر 63 مم</v>
      </c>
      <c r="E1519" s="12" t="str">
        <f>IF(C1519&lt;&gt;"", IFERROR(INDEX('بنود العقد'!D$3:D$388,C1519), ""), "")</f>
        <v>م.ط</v>
      </c>
      <c r="F1519" s="9">
        <f>IF(C1519&lt;&gt;"", IFERROR(INDEX('بنود العقد'!E$3:E$388,C1519), 0), "")</f>
        <v>179</v>
      </c>
      <c r="G1519" s="9">
        <f>IF(C1519&lt;&gt;"", IFERROR(INDEX('بنود العقد'!F$3:F$388,C1519), 0), "")</f>
        <v>0</v>
      </c>
      <c r="H1519" s="18">
        <f t="shared" si="59"/>
        <v>39</v>
      </c>
      <c r="I1519" s="7">
        <v>1</v>
      </c>
      <c r="J1519" s="18">
        <f t="shared" si="56"/>
        <v>40</v>
      </c>
      <c r="K1519" s="10">
        <f t="shared" si="57"/>
        <v>179</v>
      </c>
      <c r="L1519" s="21" t="str">
        <f t="shared" si="58"/>
        <v/>
      </c>
    </row>
    <row r="1520" spans="1:12" s="72" customFormat="1" ht="25.95" customHeight="1">
      <c r="A1520" s="12">
        <v>1518</v>
      </c>
      <c r="B1520" s="6">
        <v>20</v>
      </c>
      <c r="C1520" s="6">
        <v>355</v>
      </c>
      <c r="D1520" s="20" t="str">
        <f>IF(C1520&lt;&gt;"", IFERROR(INDEX('بنود العقد'!B$3:B$388,C1520), "⚠"), "")</f>
        <v>توريد وتركيب محبس بوابة (GATE VALVE) يركب علي شبكة المواسير داخل المبني ، والبند يشمل جميع القطع والتوصيلات اللازمة للتركيب وذلك للأقطار التالية:
قطر 3 بوصة</v>
      </c>
      <c r="E1520" s="12" t="str">
        <f>IF(C1520&lt;&gt;"", IFERROR(INDEX('بنود العقد'!D$3:D$388,C1520), ""), "")</f>
        <v>عدد</v>
      </c>
      <c r="F1520" s="9">
        <f>IF(C1520&lt;&gt;"", IFERROR(INDEX('بنود العقد'!E$3:E$388,C1520), 0), "")</f>
        <v>2180</v>
      </c>
      <c r="G1520" s="9">
        <f>IF(C1520&lt;&gt;"", IFERROR(INDEX('بنود العقد'!F$3:F$388,C1520), 0), "")</f>
        <v>0</v>
      </c>
      <c r="H1520" s="18">
        <f t="shared" si="59"/>
        <v>39</v>
      </c>
      <c r="I1520" s="7">
        <v>-35</v>
      </c>
      <c r="J1520" s="18">
        <f t="shared" si="56"/>
        <v>4</v>
      </c>
      <c r="K1520" s="10">
        <f t="shared" si="57"/>
        <v>-76300</v>
      </c>
      <c r="L1520" s="21" t="str">
        <f t="shared" si="58"/>
        <v/>
      </c>
    </row>
    <row r="1521" spans="1:12" s="72" customFormat="1" ht="25.95" customHeight="1">
      <c r="A1521" s="12">
        <v>1519</v>
      </c>
      <c r="B1521" s="6">
        <v>20</v>
      </c>
      <c r="C1521" s="6">
        <v>356</v>
      </c>
      <c r="D1521" s="20" t="str">
        <f>IF(C1521&lt;&gt;"", IFERROR(INDEX('بنود العقد'!B$3:B$388,C1521), "⚠"), "")</f>
        <v>توريد وتركيب محبس بوابة (GATE VALVE) يركب علي شبكة المواسير داخل المبني ، والبند يشمل جميع القطع والتوصيلات اللازمة للتركيب وذلك للأقطار التالية:
قطر 2.5 بوصة</v>
      </c>
      <c r="E1521" s="12" t="str">
        <f>IF(C1521&lt;&gt;"", IFERROR(INDEX('بنود العقد'!D$3:D$388,C1521), ""), "")</f>
        <v>عدد</v>
      </c>
      <c r="F1521" s="9">
        <f>IF(C1521&lt;&gt;"", IFERROR(INDEX('بنود العقد'!E$3:E$388,C1521), 0), "")</f>
        <v>1663</v>
      </c>
      <c r="G1521" s="9">
        <f>IF(C1521&lt;&gt;"", IFERROR(INDEX('بنود العقد'!F$3:F$388,C1521), 0), "")</f>
        <v>0</v>
      </c>
      <c r="H1521" s="18">
        <f t="shared" si="59"/>
        <v>29</v>
      </c>
      <c r="I1521" s="7">
        <v>3</v>
      </c>
      <c r="J1521" s="18">
        <f t="shared" si="56"/>
        <v>32</v>
      </c>
      <c r="K1521" s="10">
        <f t="shared" si="57"/>
        <v>4989</v>
      </c>
      <c r="L1521" s="21" t="str">
        <f t="shared" si="58"/>
        <v/>
      </c>
    </row>
    <row r="1522" spans="1:12" s="72" customFormat="1" ht="25.95" customHeight="1">
      <c r="A1522" s="12">
        <v>1520</v>
      </c>
      <c r="B1522" s="6">
        <v>20</v>
      </c>
      <c r="C1522" s="6">
        <v>357</v>
      </c>
      <c r="D1522" s="20" t="str">
        <f>IF(C1522&lt;&gt;"", IFERROR(INDEX('بنود العقد'!B$3:B$388,C1522), "⚠"), "")</f>
        <v>توريد وتركيب محبس بوابة (GATE VALVE) يركب علي شبكة المواسير داخل المبني ، والبند يشمل جميع القطع والتوصيلات اللازمة للتركيب وذلك للأقطار التالية:
قطر 1.25 بوصة</v>
      </c>
      <c r="E1522" s="12" t="str">
        <f>IF(C1522&lt;&gt;"", IFERROR(INDEX('بنود العقد'!D$3:D$388,C1522), ""), "")</f>
        <v>عدد</v>
      </c>
      <c r="F1522" s="9">
        <f>IF(C1522&lt;&gt;"", IFERROR(INDEX('بنود العقد'!E$3:E$388,C1522), 0), "")</f>
        <v>621</v>
      </c>
      <c r="G1522" s="9">
        <f>IF(C1522&lt;&gt;"", IFERROR(INDEX('بنود العقد'!F$3:F$388,C1522), 0), "")</f>
        <v>0</v>
      </c>
      <c r="H1522" s="18">
        <f t="shared" si="59"/>
        <v>26</v>
      </c>
      <c r="I1522" s="7">
        <v>2</v>
      </c>
      <c r="J1522" s="18">
        <f t="shared" si="56"/>
        <v>28</v>
      </c>
      <c r="K1522" s="10">
        <f t="shared" si="57"/>
        <v>1242</v>
      </c>
      <c r="L1522" s="21" t="str">
        <f t="shared" si="58"/>
        <v/>
      </c>
    </row>
    <row r="1523" spans="1:12" s="72" customFormat="1" ht="25.95" customHeight="1">
      <c r="A1523" s="12">
        <v>1521</v>
      </c>
      <c r="B1523" s="6">
        <v>20</v>
      </c>
      <c r="C1523" s="6">
        <v>358</v>
      </c>
      <c r="D1523" s="20" t="str">
        <f>IF(C1523&lt;&gt;"", IFERROR(INDEX('بنود العقد'!B$3:B$388,C1523), "⚠"), "")</f>
        <v>توريد وتركيب محبس تخفيض ضغط (PRV) يركب علي شبكة المواسير داخل المبني ، والبند يشمل جميع القطع والتوصيلات اللازمة للتركيب وذلك للأقطار التالية:
قطر 2 بوصة</v>
      </c>
      <c r="E1523" s="12" t="str">
        <f>IF(C1523&lt;&gt;"", IFERROR(INDEX('بنود العقد'!D$3:D$388,C1523), ""), "")</f>
        <v>عدد</v>
      </c>
      <c r="F1523" s="9">
        <f>IF(C1523&lt;&gt;"", IFERROR(INDEX('بنود العقد'!E$3:E$388,C1523), 0), "")</f>
        <v>1772</v>
      </c>
      <c r="G1523" s="9">
        <f>IF(C1523&lt;&gt;"", IFERROR(INDEX('بنود العقد'!F$3:F$388,C1523), 0), "")</f>
        <v>0</v>
      </c>
      <c r="H1523" s="18">
        <f t="shared" si="59"/>
        <v>26</v>
      </c>
      <c r="I1523" s="7">
        <v>2</v>
      </c>
      <c r="J1523" s="18">
        <f t="shared" si="56"/>
        <v>28</v>
      </c>
      <c r="K1523" s="10">
        <f t="shared" si="57"/>
        <v>3544</v>
      </c>
      <c r="L1523" s="21" t="str">
        <f t="shared" si="58"/>
        <v/>
      </c>
    </row>
    <row r="1524" spans="1:12" s="72" customFormat="1" ht="25.95" customHeight="1">
      <c r="A1524" s="12">
        <v>1522</v>
      </c>
      <c r="B1524" s="6">
        <v>20</v>
      </c>
      <c r="C1524" s="6">
        <v>359</v>
      </c>
      <c r="D1524" s="20" t="str">
        <f>IF(C1524&lt;&gt;"", IFERROR(INDEX('بنود العقد'!B$3:B$388,C1524), "⚠"), "")</f>
        <v>توريد وتركيب محبس تخفيض ضغط (PRV) يركب علي شبكة المواسير داخل المبني ، والبند يشمل جميع القطع والتوصيلات اللازمة للتركيب وذلك للأقطار التالية:
قطر 1.25 بوصة</v>
      </c>
      <c r="E1524" s="12" t="str">
        <f>IF(C1524&lt;&gt;"", IFERROR(INDEX('بنود العقد'!D$3:D$388,C1524), ""), "")</f>
        <v>عدد</v>
      </c>
      <c r="F1524" s="9">
        <f>IF(C1524&lt;&gt;"", IFERROR(INDEX('بنود العقد'!E$3:E$388,C1524), 0), "")</f>
        <v>772</v>
      </c>
      <c r="G1524" s="9">
        <f>IF(C1524&lt;&gt;"", IFERROR(INDEX('بنود العقد'!F$3:F$388,C1524), 0), "")</f>
        <v>0</v>
      </c>
      <c r="H1524" s="18">
        <f t="shared" si="59"/>
        <v>26</v>
      </c>
      <c r="I1524" s="7">
        <v>2</v>
      </c>
      <c r="J1524" s="18">
        <f t="shared" si="56"/>
        <v>28</v>
      </c>
      <c r="K1524" s="10">
        <f t="shared" si="57"/>
        <v>1544</v>
      </c>
      <c r="L1524" s="21" t="str">
        <f t="shared" si="58"/>
        <v/>
      </c>
    </row>
    <row r="1525" spans="1:12" s="72" customFormat="1" ht="25.95" customHeight="1">
      <c r="A1525" s="12">
        <v>1523</v>
      </c>
      <c r="B1525" s="6">
        <v>20</v>
      </c>
      <c r="C1525" s="6">
        <v>360</v>
      </c>
      <c r="D1525" s="20" t="str">
        <f>IF(C1525&lt;&gt;"", IFERROR(INDEX('بنود العقد'!B$3:B$388,C1525), "⚠"), "")</f>
        <v>توريد وتركيب محبس تنفيس الهواء (AUTOMATIC AIR VENT) يركب علي شبكة المواسير داخل المبني ، والبند يشمل جميع القطع والتوصيلات اللازمة للتركيب وذلك للأقطار التالية:
قطر 1 بوصة</v>
      </c>
      <c r="E1525" s="12" t="str">
        <f>IF(C1525&lt;&gt;"", IFERROR(INDEX('بنود العقد'!D$3:D$388,C1525), ""), "")</f>
        <v>عدد</v>
      </c>
      <c r="F1525" s="9">
        <f>IF(C1525&lt;&gt;"", IFERROR(INDEX('بنود العقد'!E$3:E$388,C1525), 0), "")</f>
        <v>90</v>
      </c>
      <c r="G1525" s="9">
        <f>IF(C1525&lt;&gt;"", IFERROR(INDEX('بنود العقد'!F$3:F$388,C1525), 0), "")</f>
        <v>0</v>
      </c>
      <c r="H1525" s="18">
        <f t="shared" si="59"/>
        <v>7</v>
      </c>
      <c r="I1525" s="7">
        <v>1</v>
      </c>
      <c r="J1525" s="18">
        <f t="shared" si="56"/>
        <v>8</v>
      </c>
      <c r="K1525" s="10">
        <f t="shared" si="57"/>
        <v>90</v>
      </c>
      <c r="L1525" s="21" t="str">
        <f t="shared" si="58"/>
        <v/>
      </c>
    </row>
    <row r="1526" spans="1:12" s="72" customFormat="1" ht="25.95" customHeight="1">
      <c r="A1526" s="12">
        <v>1524</v>
      </c>
      <c r="B1526" s="6">
        <v>20</v>
      </c>
      <c r="C1526" s="6">
        <v>367</v>
      </c>
      <c r="D1526" s="20" t="str">
        <f>IF(C1526&lt;&gt;"", IFERROR(INDEX('بنود العقد'!B$3:B$388,C1526), "⚠"), "")</f>
        <v xml:space="preserve"> توريد و تركيب حوض خدمة  (JANITOR SINK) والبند يشمل كوع الصرف والخلاط وجميع ما يلزم للتركيب والتثبيت</v>
      </c>
      <c r="E1526" s="12" t="str">
        <f>IF(C1526&lt;&gt;"", IFERROR(INDEX('بنود العقد'!D$3:D$388,C1526), ""), "")</f>
        <v>عدد</v>
      </c>
      <c r="F1526" s="9">
        <f>IF(C1526&lt;&gt;"", IFERROR(INDEX('بنود العقد'!E$3:E$388,C1526), 0), "")</f>
        <v>2445</v>
      </c>
      <c r="G1526" s="9">
        <f>IF(C1526&lt;&gt;"", IFERROR(INDEX('بنود العقد'!F$3:F$388,C1526), 0), "")</f>
        <v>0</v>
      </c>
      <c r="H1526" s="18">
        <f t="shared" si="59"/>
        <v>25</v>
      </c>
      <c r="I1526" s="7">
        <v>2</v>
      </c>
      <c r="J1526" s="18">
        <f t="shared" si="56"/>
        <v>27</v>
      </c>
      <c r="K1526" s="10">
        <f t="shared" si="57"/>
        <v>4890</v>
      </c>
      <c r="L1526" s="21" t="str">
        <f t="shared" si="58"/>
        <v/>
      </c>
    </row>
    <row r="1527" spans="1:12" s="72" customFormat="1" ht="25.95" customHeight="1">
      <c r="A1527" s="12">
        <v>1525</v>
      </c>
      <c r="B1527" s="6">
        <v>20</v>
      </c>
      <c r="C1527" s="6">
        <v>370</v>
      </c>
      <c r="D1527" s="20" t="str">
        <f>IF(C1527&lt;&gt;"", IFERROR(INDEX('بنود العقد'!B$3:B$388,C1527), "⚠"), "")</f>
        <v xml:space="preserve">توريد وتركيب جدار خشبى مقاوم للحريق </v>
      </c>
      <c r="E1527" s="12" t="str">
        <f>IF(C1527&lt;&gt;"", IFERROR(INDEX('بنود العقد'!D$3:D$388,C1527), ""), "")</f>
        <v>م²</v>
      </c>
      <c r="F1527" s="9">
        <f>IF(C1527&lt;&gt;"", IFERROR(INDEX('بنود العقد'!E$3:E$388,C1527), 0), "")</f>
        <v>2634.65</v>
      </c>
      <c r="G1527" s="9">
        <f>IF(C1527&lt;&gt;"", IFERROR(INDEX('بنود العقد'!F$3:F$388,C1527), 0), "")</f>
        <v>0</v>
      </c>
      <c r="H1527" s="18">
        <f t="shared" si="59"/>
        <v>130</v>
      </c>
      <c r="I1527" s="7">
        <v>6.52</v>
      </c>
      <c r="J1527" s="18">
        <f t="shared" si="56"/>
        <v>136.52000000000001</v>
      </c>
      <c r="K1527" s="10">
        <f t="shared" si="57"/>
        <v>17177.917999999998</v>
      </c>
      <c r="L1527" s="21" t="str">
        <f t="shared" si="58"/>
        <v/>
      </c>
    </row>
    <row r="1528" spans="1:12" s="72" customFormat="1" ht="25.95" customHeight="1">
      <c r="A1528" s="12">
        <v>1526</v>
      </c>
      <c r="B1528" s="6">
        <v>20</v>
      </c>
      <c r="C1528" s="6">
        <v>372</v>
      </c>
      <c r="D1528" s="20" t="str">
        <f>IF(C1528&lt;&gt;"", IFERROR(INDEX('بنود العقد'!B$3:B$388,C1528), "⚠"), "")</f>
        <v>توريد وتركيب بورسلان للمبنى PW-01(A)-SUTILEGRIS PULIDO</v>
      </c>
      <c r="E1528" s="12" t="str">
        <f>IF(C1528&lt;&gt;"", IFERROR(INDEX('بنود العقد'!D$3:D$388,C1528), ""), "")</f>
        <v>م²</v>
      </c>
      <c r="F1528" s="9">
        <f>IF(C1528&lt;&gt;"", IFERROR(INDEX('بنود العقد'!E$3:E$388,C1528), 0), "")</f>
        <v>186.63</v>
      </c>
      <c r="G1528" s="9">
        <f>IF(C1528&lt;&gt;"", IFERROR(INDEX('بنود العقد'!F$3:F$388,C1528), 0), "")</f>
        <v>0</v>
      </c>
      <c r="H1528" s="18">
        <f t="shared" si="59"/>
        <v>660</v>
      </c>
      <c r="I1528" s="7">
        <v>14.32</v>
      </c>
      <c r="J1528" s="18">
        <f t="shared" si="56"/>
        <v>674.32</v>
      </c>
      <c r="K1528" s="10">
        <f t="shared" si="57"/>
        <v>2672.5416</v>
      </c>
      <c r="L1528" s="21" t="str">
        <f t="shared" si="58"/>
        <v/>
      </c>
    </row>
    <row r="1529" spans="1:12" s="72" customFormat="1" ht="25.95" customHeight="1">
      <c r="A1529" s="12">
        <v>1527</v>
      </c>
      <c r="B1529" s="6">
        <v>20</v>
      </c>
      <c r="C1529" s="6">
        <v>373</v>
      </c>
      <c r="D1529" s="20" t="str">
        <f>IF(C1529&lt;&gt;"", IFERROR(INDEX('بنود العقد'!B$3:B$388,C1529), "⚠"), "")</f>
        <v>توريد وتركيب بورسلان للمبنى PW-02-A(VANGLISH PULIDO)</v>
      </c>
      <c r="E1529" s="12" t="str">
        <f>IF(C1529&lt;&gt;"", IFERROR(INDEX('بنود العقد'!D$3:D$388,C1529), ""), "")</f>
        <v>م²</v>
      </c>
      <c r="F1529" s="9">
        <f>IF(C1529&lt;&gt;"", IFERROR(INDEX('بنود العقد'!E$3:E$388,C1529), 0), "")</f>
        <v>186.63</v>
      </c>
      <c r="G1529" s="9">
        <f>IF(C1529&lt;&gt;"", IFERROR(INDEX('بنود العقد'!F$3:F$388,C1529), 0), "")</f>
        <v>0</v>
      </c>
      <c r="H1529" s="18">
        <f t="shared" si="59"/>
        <v>860</v>
      </c>
      <c r="I1529" s="7">
        <v>31.92</v>
      </c>
      <c r="J1529" s="18">
        <f t="shared" si="56"/>
        <v>891.92</v>
      </c>
      <c r="K1529" s="10">
        <f t="shared" si="57"/>
        <v>5957.2296000000006</v>
      </c>
      <c r="L1529" s="21" t="str">
        <f t="shared" si="58"/>
        <v/>
      </c>
    </row>
    <row r="1530" spans="1:12" s="72" customFormat="1" ht="25.95" customHeight="1">
      <c r="A1530" s="12">
        <v>1528</v>
      </c>
      <c r="B1530" s="6">
        <v>20</v>
      </c>
      <c r="C1530" s="6">
        <v>374</v>
      </c>
      <c r="D1530" s="20" t="str">
        <f>IF(C1530&lt;&gt;"", IFERROR(INDEX('بنود العقد'!B$3:B$388,C1530), "⚠"), "")</f>
        <v>توريد وتركيب بورسلان للمبنى PW-03-B(ATLANTIDA)</v>
      </c>
      <c r="E1530" s="12" t="str">
        <f>IF(C1530&lt;&gt;"", IFERROR(INDEX('بنود العقد'!D$3:D$388,C1530), ""), "")</f>
        <v>م²</v>
      </c>
      <c r="F1530" s="9">
        <f>IF(C1530&lt;&gt;"", IFERROR(INDEX('بنود العقد'!E$3:E$388,C1530), 0), "")</f>
        <v>232.88</v>
      </c>
      <c r="G1530" s="9">
        <f>IF(C1530&lt;&gt;"", IFERROR(INDEX('بنود العقد'!F$3:F$388,C1530), 0), "")</f>
        <v>0</v>
      </c>
      <c r="H1530" s="18">
        <f t="shared" si="59"/>
        <v>705</v>
      </c>
      <c r="I1530" s="7">
        <v>7.54</v>
      </c>
      <c r="J1530" s="18">
        <f t="shared" si="56"/>
        <v>712.54</v>
      </c>
      <c r="K1530" s="10">
        <f t="shared" si="57"/>
        <v>1755.9151999999999</v>
      </c>
      <c r="L1530" s="21" t="str">
        <f t="shared" si="58"/>
        <v/>
      </c>
    </row>
    <row r="1531" spans="1:12" s="72" customFormat="1" ht="25.95" customHeight="1">
      <c r="A1531" s="12">
        <v>1529</v>
      </c>
      <c r="B1531" s="6">
        <v>20</v>
      </c>
      <c r="C1531" s="6">
        <v>375</v>
      </c>
      <c r="D1531" s="20" t="str">
        <f>IF(C1531&lt;&gt;"", IFERROR(INDEX('بنود العقد'!B$3:B$388,C1531), "⚠"), "")</f>
        <v xml:space="preserve">توريد وتركيب  SHOWER SET </v>
      </c>
      <c r="E1531" s="12" t="str">
        <f>IF(C1531&lt;&gt;"", IFERROR(INDEX('بنود العقد'!D$3:D$388,C1531), ""), "")</f>
        <v>عدد</v>
      </c>
      <c r="F1531" s="9">
        <f>IF(C1531&lt;&gt;"", IFERROR(INDEX('بنود العقد'!E$3:E$388,C1531), 0), "")</f>
        <v>2080.8000000000002</v>
      </c>
      <c r="G1531" s="9">
        <f>IF(C1531&lt;&gt;"", IFERROR(INDEX('بنود العقد'!F$3:F$388,C1531), 0), "")</f>
        <v>0</v>
      </c>
      <c r="H1531" s="18">
        <f t="shared" ref="H1531:H1537" si="60">IFERROR(SUMIFS(I$3:I$1805, B$3:B$1805, "&lt;"&amp;B1531, C$3:C$1805, C1531), 0)</f>
        <v>15</v>
      </c>
      <c r="I1531" s="7">
        <v>2</v>
      </c>
      <c r="J1531" s="18">
        <f t="shared" si="56"/>
        <v>17</v>
      </c>
      <c r="K1531" s="10">
        <f t="shared" si="57"/>
        <v>4161.6000000000004</v>
      </c>
      <c r="L1531" s="21" t="str">
        <f t="shared" si="58"/>
        <v/>
      </c>
    </row>
    <row r="1532" spans="1:12" s="72" customFormat="1" ht="25.95" customHeight="1">
      <c r="A1532" s="12">
        <v>1530</v>
      </c>
      <c r="B1532" s="6">
        <v>20</v>
      </c>
      <c r="C1532" s="6">
        <v>376</v>
      </c>
      <c r="D1532" s="20" t="str">
        <f>IF(C1532&lt;&gt;"", IFERROR(INDEX('بنود العقد'!B$3:B$388,C1532), "⚠"), "")</f>
        <v>توريد وتركيب واختبار وتشغيل DUCT SMOKE DEECTORS</v>
      </c>
      <c r="E1532" s="12" t="str">
        <f>IF(C1532&lt;&gt;"", IFERROR(INDEX('بنود العقد'!D$3:D$388,C1532), ""), "")</f>
        <v>عدد</v>
      </c>
      <c r="F1532" s="9">
        <f>IF(C1532&lt;&gt;"", IFERROR(INDEX('بنود العقد'!E$3:E$388,C1532), 0), "")</f>
        <v>1471.34</v>
      </c>
      <c r="G1532" s="9">
        <f>IF(C1532&lt;&gt;"", IFERROR(INDEX('بنود العقد'!F$3:F$388,C1532), 0), "")</f>
        <v>0</v>
      </c>
      <c r="H1532" s="18">
        <f t="shared" si="60"/>
        <v>0</v>
      </c>
      <c r="I1532" s="7">
        <v>24</v>
      </c>
      <c r="J1532" s="18">
        <f t="shared" si="56"/>
        <v>24</v>
      </c>
      <c r="K1532" s="10">
        <f t="shared" si="57"/>
        <v>35312.159999999996</v>
      </c>
      <c r="L1532" s="21" t="str">
        <f t="shared" si="58"/>
        <v/>
      </c>
    </row>
    <row r="1533" spans="1:12" s="72" customFormat="1" ht="25.95" customHeight="1">
      <c r="A1533" s="12">
        <v>1531</v>
      </c>
      <c r="B1533" s="6">
        <v>20</v>
      </c>
      <c r="C1533" s="6">
        <v>377</v>
      </c>
      <c r="D1533" s="20" t="str">
        <f>IF(C1533&lt;&gt;"", IFERROR(INDEX('بنود العقد'!B$3:B$388,C1533), "⚠"), "")</f>
        <v>توريد وتركيب واختبار وتشغيل MULTIDEECTORS</v>
      </c>
      <c r="E1533" s="12" t="str">
        <f>IF(C1533&lt;&gt;"", IFERROR(INDEX('بنود العقد'!D$3:D$388,C1533), ""), "")</f>
        <v>عدد</v>
      </c>
      <c r="F1533" s="9">
        <f>IF(C1533&lt;&gt;"", IFERROR(INDEX('بنود العقد'!E$3:E$388,C1533), 0), "")</f>
        <v>761</v>
      </c>
      <c r="G1533" s="9">
        <f>IF(C1533&lt;&gt;"", IFERROR(INDEX('بنود العقد'!F$3:F$388,C1533), 0), "")</f>
        <v>0</v>
      </c>
      <c r="H1533" s="18">
        <f t="shared" si="60"/>
        <v>0</v>
      </c>
      <c r="I1533" s="7">
        <v>36</v>
      </c>
      <c r="J1533" s="18">
        <f t="shared" si="56"/>
        <v>36</v>
      </c>
      <c r="K1533" s="10">
        <f t="shared" si="57"/>
        <v>27396</v>
      </c>
      <c r="L1533" s="21" t="str">
        <f t="shared" si="58"/>
        <v/>
      </c>
    </row>
    <row r="1534" spans="1:12" s="72" customFormat="1" ht="25.95" customHeight="1">
      <c r="A1534" s="12">
        <v>1532</v>
      </c>
      <c r="B1534" s="6">
        <v>20</v>
      </c>
      <c r="C1534" s="6">
        <v>378</v>
      </c>
      <c r="D1534" s="20" t="str">
        <f>IF(C1534&lt;&gt;"", IFERROR(INDEX('بنود العقد'!B$3:B$388,C1534), "⚠"), "")</f>
        <v xml:space="preserve">بالمتر المسطح توريد وتركيب قماش ستائر(Roller Blind)والسعر يشمل التوريد والتركيب </v>
      </c>
      <c r="E1534" s="12" t="str">
        <f>IF(C1534&lt;&gt;"", IFERROR(INDEX('بنود العقد'!D$3:D$388,C1534), ""), "")</f>
        <v>م²</v>
      </c>
      <c r="F1534" s="9">
        <f>IF(C1534&lt;&gt;"", IFERROR(INDEX('بنود العقد'!E$3:E$388,C1534), 0), "")</f>
        <v>77.099999999999994</v>
      </c>
      <c r="G1534" s="9">
        <f>IF(C1534&lt;&gt;"", IFERROR(INDEX('بنود العقد'!F$3:F$388,C1534), 0), "")</f>
        <v>0</v>
      </c>
      <c r="H1534" s="18">
        <f t="shared" si="60"/>
        <v>1100</v>
      </c>
      <c r="I1534" s="7">
        <v>27</v>
      </c>
      <c r="J1534" s="18">
        <f t="shared" si="56"/>
        <v>1127</v>
      </c>
      <c r="K1534" s="10">
        <f t="shared" si="57"/>
        <v>2081.6999999999998</v>
      </c>
      <c r="L1534" s="21" t="str">
        <f t="shared" si="58"/>
        <v/>
      </c>
    </row>
    <row r="1535" spans="1:12" s="72" customFormat="1" ht="25.95" customHeight="1">
      <c r="A1535" s="12">
        <v>1533</v>
      </c>
      <c r="B1535" s="6">
        <v>20</v>
      </c>
      <c r="C1535" s="6">
        <v>379</v>
      </c>
      <c r="D1535" s="20" t="str">
        <f>IF(C1535&lt;&gt;"", IFERROR(INDEX('بنود العقد'!B$3:B$388,C1535), "⚠"), "")</f>
        <v xml:space="preserve">بالعدد توريد موتور سومفي فرنسي والسعر يشعمل التوريد والتركيب </v>
      </c>
      <c r="E1535" s="12" t="str">
        <f>IF(C1535&lt;&gt;"", IFERROR(INDEX('بنود العقد'!D$3:D$388,C1535), ""), "")</f>
        <v>عدد</v>
      </c>
      <c r="F1535" s="9">
        <f>IF(C1535&lt;&gt;"", IFERROR(INDEX('بنود العقد'!E$3:E$388,C1535), 0), "")</f>
        <v>1409.26</v>
      </c>
      <c r="G1535" s="9">
        <f>IF(C1535&lt;&gt;"", IFERROR(INDEX('بنود العقد'!F$3:F$388,C1535), 0), "")</f>
        <v>0</v>
      </c>
      <c r="H1535" s="18">
        <f t="shared" si="60"/>
        <v>47</v>
      </c>
      <c r="I1535" s="7">
        <v>5</v>
      </c>
      <c r="J1535" s="18">
        <f t="shared" si="56"/>
        <v>52</v>
      </c>
      <c r="K1535" s="10">
        <f t="shared" si="57"/>
        <v>7046.3</v>
      </c>
      <c r="L1535" s="21" t="str">
        <f t="shared" si="58"/>
        <v/>
      </c>
    </row>
    <row r="1536" spans="1:12" s="72" customFormat="1" ht="25.95" customHeight="1">
      <c r="A1536" s="12">
        <v>1534</v>
      </c>
      <c r="B1536" s="6">
        <v>20</v>
      </c>
      <c r="C1536" s="6">
        <v>380</v>
      </c>
      <c r="D1536" s="20" t="str">
        <f>IF(C1536&lt;&gt;"", IFERROR(INDEX('بنود العقد'!B$3:B$388,C1536), "⚠"), "")</f>
        <v xml:space="preserve">بالعدد توريدریموت سومفي  5قناه والسعر يشعمل التوريد والتركيب </v>
      </c>
      <c r="E1536" s="12" t="str">
        <f>IF(C1536&lt;&gt;"", IFERROR(INDEX('بنود العقد'!D$3:D$388,C1536), ""), "")</f>
        <v>عدد</v>
      </c>
      <c r="F1536" s="9">
        <f>IF(C1536&lt;&gt;"", IFERROR(INDEX('بنود العقد'!E$3:E$388,C1536), 0), "")</f>
        <v>338.83</v>
      </c>
      <c r="G1536" s="9">
        <f>IF(C1536&lt;&gt;"", IFERROR(INDEX('بنود العقد'!F$3:F$388,C1536), 0), "")</f>
        <v>0</v>
      </c>
      <c r="H1536" s="18">
        <f t="shared" si="60"/>
        <v>10</v>
      </c>
      <c r="I1536" s="7">
        <v>3</v>
      </c>
      <c r="J1536" s="18">
        <f t="shared" si="56"/>
        <v>13</v>
      </c>
      <c r="K1536" s="10">
        <f t="shared" si="57"/>
        <v>1016.49</v>
      </c>
      <c r="L1536" s="21" t="str">
        <f t="shared" si="58"/>
        <v/>
      </c>
    </row>
    <row r="1537" spans="1:13" s="72" customFormat="1" ht="25.95" customHeight="1">
      <c r="A1537" s="12">
        <v>1535</v>
      </c>
      <c r="B1537" s="6">
        <v>20</v>
      </c>
      <c r="C1537" s="6">
        <v>381</v>
      </c>
      <c r="D1537" s="20" t="str">
        <f>IF(C1537&lt;&gt;"", IFERROR(INDEX('بنود العقد'!B$3:B$388,C1537), "⚠"), "")</f>
        <v xml:space="preserve">بالعدد توريدریموت سومفي  1قناه والسعر يشعمل التوريد والتركيب  </v>
      </c>
      <c r="E1537" s="12" t="str">
        <f>IF(C1537&lt;&gt;"", IFERROR(INDEX('بنود العقد'!D$3:D$388,C1537), ""), "")</f>
        <v>عدد</v>
      </c>
      <c r="F1537" s="9">
        <f>IF(C1537&lt;&gt;"", IFERROR(INDEX('بنود العقد'!E$3:E$388,C1537), 0), "")</f>
        <v>298.98</v>
      </c>
      <c r="G1537" s="9">
        <f>IF(C1537&lt;&gt;"", IFERROR(INDEX('بنود العقد'!F$3:F$388,C1537), 0), "")</f>
        <v>0</v>
      </c>
      <c r="H1537" s="18">
        <f t="shared" si="60"/>
        <v>10</v>
      </c>
      <c r="I1537" s="7">
        <v>3</v>
      </c>
      <c r="J1537" s="18">
        <f t="shared" si="56"/>
        <v>13</v>
      </c>
      <c r="K1537" s="10">
        <f t="shared" si="57"/>
        <v>896.94</v>
      </c>
      <c r="L1537" s="21" t="str">
        <f t="shared" si="58"/>
        <v/>
      </c>
    </row>
    <row r="1538" spans="1:13" s="72" customFormat="1" ht="25.95" customHeight="1">
      <c r="A1538" s="12">
        <v>1536</v>
      </c>
      <c r="B1538" s="6">
        <v>20</v>
      </c>
      <c r="C1538" s="6">
        <v>383</v>
      </c>
      <c r="D1538" s="20" t="str">
        <f>IF(C1538&lt;&gt;"", IFERROR(INDEX('بنود العقد'!B$3:B$388,C1538), "⚠"), "")</f>
        <v xml:space="preserve">توريد وتركيب رخام بيترا جراى للمينى سماكة 20 مم </v>
      </c>
      <c r="E1538" s="12" t="str">
        <f>IF(C1538&lt;&gt;"", IFERROR(INDEX('بنود العقد'!D$3:D$388,C1538), ""), "")</f>
        <v>عدد</v>
      </c>
      <c r="F1538" s="9">
        <f>IF(C1538&lt;&gt;"", IFERROR(INDEX('بنود العقد'!E$3:E$388,C1538), 0), "")</f>
        <v>6600</v>
      </c>
      <c r="G1538" s="9">
        <f>IF(C1538&lt;&gt;"", IFERROR(INDEX('بنود العقد'!F$3:F$388,C1538), 0), "")</f>
        <v>0</v>
      </c>
      <c r="H1538" s="18">
        <f t="shared" ref="H1538:H1605" si="61">IFERROR(SUMIFS(I$3:I$1805, B$3:B$1805, "&lt;"&amp;B1538, C$3:C$1805, C1538), 0)</f>
        <v>6</v>
      </c>
      <c r="I1538" s="7">
        <v>2</v>
      </c>
      <c r="J1538" s="18">
        <f t="shared" si="56"/>
        <v>8</v>
      </c>
      <c r="K1538" s="10">
        <f t="shared" si="57"/>
        <v>13200</v>
      </c>
      <c r="L1538" s="21" t="str">
        <f t="shared" si="58"/>
        <v/>
      </c>
    </row>
    <row r="1539" spans="1:13" s="72" customFormat="1" ht="25.95" customHeight="1">
      <c r="A1539" s="12">
        <v>1537</v>
      </c>
      <c r="B1539" s="6">
        <v>20</v>
      </c>
      <c r="C1539" s="6">
        <v>384</v>
      </c>
      <c r="D1539" s="20" t="str">
        <f>IF(C1539&lt;&gt;"", IFERROR(INDEX('بنود العقد'!B$3:B$388,C1539), "⚠"), "")</f>
        <v>توريد وتركيب واختبار كابل 4*10 مم2 مع عزل حرارى بلاستيك PVC/PVC</v>
      </c>
      <c r="E1539" s="12" t="str">
        <f>IF(C1539&lt;&gt;"", IFERROR(INDEX('بنود العقد'!D$3:D$388,C1539), ""), "")</f>
        <v>م.ط</v>
      </c>
      <c r="F1539" s="9">
        <f>IF(C1539&lt;&gt;"", IFERROR(INDEX('بنود العقد'!E$3:E$388,C1539), 0), "")</f>
        <v>55.37</v>
      </c>
      <c r="G1539" s="9">
        <f>IF(C1539&lt;&gt;"", IFERROR(INDEX('بنود العقد'!F$3:F$388,C1539), 0), "")</f>
        <v>0</v>
      </c>
      <c r="H1539" s="18">
        <f t="shared" si="61"/>
        <v>600</v>
      </c>
      <c r="I1539" s="7">
        <v>142</v>
      </c>
      <c r="J1539" s="18">
        <f t="shared" si="56"/>
        <v>742</v>
      </c>
      <c r="K1539" s="10">
        <f t="shared" si="57"/>
        <v>7862.54</v>
      </c>
      <c r="L1539" s="21" t="str">
        <f t="shared" si="58"/>
        <v/>
      </c>
    </row>
    <row r="1540" spans="1:13" s="72" customFormat="1" ht="25.95" customHeight="1">
      <c r="A1540" s="12">
        <v>1538</v>
      </c>
      <c r="B1540" s="6">
        <v>20</v>
      </c>
      <c r="C1540" s="6">
        <v>385</v>
      </c>
      <c r="D1540" s="20" t="str">
        <f>IF(C1540&lt;&gt;"", IFERROR(INDEX('بنود العقد'!B$3:B$388,C1540), "⚠"), "")</f>
        <v xml:space="preserve">توريد وتركيب ,واستبدال القواطع الخاصة بلوحة ال UPS </v>
      </c>
      <c r="E1540" s="12" t="str">
        <f>IF(C1540&lt;&gt;"", IFERROR(INDEX('بنود العقد'!D$3:D$388,C1540), ""), "")</f>
        <v>عدد</v>
      </c>
      <c r="F1540" s="9">
        <f>IF(C1540&lt;&gt;"", IFERROR(INDEX('بنود العقد'!E$3:E$388,C1540), 0), "")</f>
        <v>80</v>
      </c>
      <c r="G1540" s="9">
        <f>IF(C1540&lt;&gt;"", IFERROR(INDEX('بنود العقد'!F$3:F$388,C1540), 0), "")</f>
        <v>0</v>
      </c>
      <c r="H1540" s="18">
        <f t="shared" si="61"/>
        <v>0</v>
      </c>
      <c r="I1540" s="7">
        <v>34</v>
      </c>
      <c r="J1540" s="18">
        <f t="shared" si="56"/>
        <v>34</v>
      </c>
      <c r="K1540" s="10">
        <f t="shared" si="57"/>
        <v>2720</v>
      </c>
      <c r="L1540" s="21" t="str">
        <f t="shared" si="58"/>
        <v/>
      </c>
    </row>
    <row r="1541" spans="1:13" s="72" customFormat="1" ht="25.95" customHeight="1">
      <c r="A1541" s="12">
        <v>1539</v>
      </c>
      <c r="B1541" s="6">
        <v>20</v>
      </c>
      <c r="C1541" s="6">
        <v>386</v>
      </c>
      <c r="D1541" s="20" t="str">
        <f>IF(C1541&lt;&gt;"", IFERROR(INDEX('بنود العقد'!B$3:B$388,C1541), "⚠"), "")</f>
        <v>توريد وتركيب فيش صناعى 32 أمبير 2P+E</v>
      </c>
      <c r="E1541" s="12" t="str">
        <f>IF(C1541&lt;&gt;"", IFERROR(INDEX('بنود العقد'!D$3:D$388,C1541), ""), "")</f>
        <v>عدد</v>
      </c>
      <c r="F1541" s="9">
        <f>IF(C1541&lt;&gt;"", IFERROR(INDEX('بنود العقد'!E$3:E$388,C1541), 0), "")</f>
        <v>190.8</v>
      </c>
      <c r="G1541" s="9">
        <f>IF(C1541&lt;&gt;"", IFERROR(INDEX('بنود العقد'!F$3:F$388,C1541), 0), "")</f>
        <v>0</v>
      </c>
      <c r="H1541" s="18">
        <f t="shared" si="61"/>
        <v>0</v>
      </c>
      <c r="I1541" s="7">
        <v>28</v>
      </c>
      <c r="J1541" s="18">
        <f t="shared" si="56"/>
        <v>28</v>
      </c>
      <c r="K1541" s="10">
        <f t="shared" si="57"/>
        <v>5342.4000000000005</v>
      </c>
      <c r="L1541" s="21" t="str">
        <f t="shared" si="58"/>
        <v/>
      </c>
    </row>
    <row r="1542" spans="1:13" s="72" customFormat="1" ht="25.95" customHeight="1">
      <c r="A1542" s="12">
        <v>1540</v>
      </c>
      <c r="B1542" s="6">
        <v>21</v>
      </c>
      <c r="C1542" s="6">
        <v>178</v>
      </c>
      <c r="D1542" s="20" t="str">
        <f>IF(C1542&lt;&gt;"", IFERROR(INDEX('بنود العقد'!B$3:B$388,C1542),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32مم</v>
      </c>
      <c r="E1542" s="12" t="str">
        <f>IF(C1542&lt;&gt;"", IFERROR(INDEX('بنود العقد'!D$3:D$388,C1542), ""), "")</f>
        <v>م.ط</v>
      </c>
      <c r="F1542" s="9">
        <f>IF(C1542&lt;&gt;"", IFERROR(INDEX('بنود العقد'!E$3:E$388,C1542), 0), "")</f>
        <v>102</v>
      </c>
      <c r="G1542" s="9">
        <f>IF(C1542&lt;&gt;"", IFERROR(INDEX('بنود العقد'!F$3:F$388,C1542), 0), "")</f>
        <v>207</v>
      </c>
      <c r="H1542" s="18">
        <f t="shared" si="61"/>
        <v>330</v>
      </c>
      <c r="I1542" s="7">
        <v>85.83</v>
      </c>
      <c r="J1542" s="18">
        <f t="shared" si="56"/>
        <v>415.83</v>
      </c>
      <c r="K1542" s="10">
        <f t="shared" si="57"/>
        <v>8754.66</v>
      </c>
      <c r="L1542" s="21">
        <f t="shared" si="58"/>
        <v>200.8840579710145</v>
      </c>
      <c r="M1542" s="73"/>
    </row>
    <row r="1543" spans="1:13" s="72" customFormat="1" ht="25.95" customHeight="1">
      <c r="A1543" s="12">
        <v>1541</v>
      </c>
      <c r="B1543" s="6">
        <v>21</v>
      </c>
      <c r="C1543" s="6">
        <v>185</v>
      </c>
      <c r="D1543" s="20" t="str">
        <f>IF(C1543&lt;&gt;"", IFERROR(INDEX('بنود العقد'!B$3:B$388,C1543),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v>
      </c>
      <c r="E1543" s="12" t="str">
        <f>IF(C1543&lt;&gt;"", IFERROR(INDEX('بنود العقد'!D$3:D$388,C1543), ""), "")</f>
        <v>م.ط</v>
      </c>
      <c r="F1543" s="9">
        <f>IF(C1543&lt;&gt;"", IFERROR(INDEX('بنود العقد'!E$3:E$388,C1543), 0), "")</f>
        <v>75.599999999999994</v>
      </c>
      <c r="G1543" s="9">
        <f>IF(C1543&lt;&gt;"", IFERROR(INDEX('بنود العقد'!F$3:F$388,C1543), 0), "")</f>
        <v>426</v>
      </c>
      <c r="H1543" s="18">
        <f t="shared" si="61"/>
        <v>2507.2199999999998</v>
      </c>
      <c r="I1543" s="7">
        <v>0.96850000000000003</v>
      </c>
      <c r="J1543" s="18">
        <f t="shared" si="56"/>
        <v>2508.1884999999997</v>
      </c>
      <c r="K1543" s="10">
        <f t="shared" si="57"/>
        <v>73.218599999999995</v>
      </c>
      <c r="L1543" s="21">
        <f t="shared" si="58"/>
        <v>588.77664319248822</v>
      </c>
      <c r="M1543" s="73"/>
    </row>
    <row r="1544" spans="1:13" s="72" customFormat="1" ht="25.95" customHeight="1">
      <c r="A1544" s="12">
        <v>1542</v>
      </c>
      <c r="B1544" s="6">
        <v>21</v>
      </c>
      <c r="C1544" s="6">
        <v>219</v>
      </c>
      <c r="D1544" s="20" t="str">
        <f>IF(C1544&lt;&gt;"", IFERROR(INDEX('بنود العقد'!B$3:B$388,C1544), "⚠"), "")</f>
        <v>توريد و تركيب كبائن مكافحة الحريق class II مزوده بمحبس 5.1 بوصة و خرطوم قماشي من مادةمعتمدة و ايضا بها طفاية حريق ABC  سعة 6 كيلو</v>
      </c>
      <c r="E1544" s="12" t="str">
        <f>IF(C1544&lt;&gt;"", IFERROR(INDEX('بنود العقد'!D$3:D$388,C1544), ""), "")</f>
        <v>عدد</v>
      </c>
      <c r="F1544" s="9">
        <f>IF(C1544&lt;&gt;"", IFERROR(INDEX('بنود العقد'!E$3:E$388,C1544), 0), "")</f>
        <v>4800</v>
      </c>
      <c r="G1544" s="9">
        <f>IF(C1544&lt;&gt;"", IFERROR(INDEX('بنود العقد'!F$3:F$388,C1544), 0), "")</f>
        <v>30</v>
      </c>
      <c r="H1544" s="18">
        <f t="shared" si="61"/>
        <v>39</v>
      </c>
      <c r="I1544" s="7">
        <v>2</v>
      </c>
      <c r="J1544" s="18">
        <f t="shared" si="56"/>
        <v>41</v>
      </c>
      <c r="K1544" s="10">
        <f t="shared" si="57"/>
        <v>9600</v>
      </c>
      <c r="L1544" s="21">
        <f t="shared" si="58"/>
        <v>136.66666666666666</v>
      </c>
      <c r="M1544" s="73"/>
    </row>
    <row r="1545" spans="1:13" s="72" customFormat="1" ht="25.95" customHeight="1">
      <c r="A1545" s="12">
        <v>1543</v>
      </c>
      <c r="B1545" s="6">
        <v>21</v>
      </c>
      <c r="C1545" s="6">
        <v>222</v>
      </c>
      <c r="D1545" s="20" t="str">
        <f>IF(C1545&lt;&gt;"", IFERROR(INDEX('بنود العقد'!B$3:B$388,C1545),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02-VAV ، اجمالي الهواء 0-500 ) ق/د( استطاعة التخزين 2 )ك/و(</v>
      </c>
      <c r="E1545" s="12" t="str">
        <f>IF(C1545&lt;&gt;"", IFERROR(INDEX('بنود العقد'!D$3:D$388,C1545), ""), "")</f>
        <v>عدد</v>
      </c>
      <c r="F1545" s="9">
        <f>IF(C1545&lt;&gt;"", IFERROR(INDEX('بنود العقد'!E$3:E$388,C1545), 0), "")</f>
        <v>6960</v>
      </c>
      <c r="G1545" s="9">
        <f>IF(C1545&lt;&gt;"", IFERROR(INDEX('بنود العقد'!F$3:F$388,C1545), 0), "")</f>
        <v>127</v>
      </c>
      <c r="H1545" s="18">
        <f t="shared" si="61"/>
        <v>103</v>
      </c>
      <c r="I1545" s="7">
        <v>1</v>
      </c>
      <c r="J1545" s="18">
        <f t="shared" si="56"/>
        <v>104</v>
      </c>
      <c r="K1545" s="10">
        <f t="shared" si="57"/>
        <v>6960</v>
      </c>
      <c r="L1545" s="21">
        <f t="shared" si="58"/>
        <v>81.889763779527556</v>
      </c>
      <c r="M1545" s="73"/>
    </row>
    <row r="1546" spans="1:13" s="72" customFormat="1" ht="25.95" customHeight="1">
      <c r="A1546" s="12">
        <v>1544</v>
      </c>
      <c r="B1546" s="6">
        <v>21</v>
      </c>
      <c r="C1546" s="6">
        <v>223</v>
      </c>
      <c r="D1546" s="20" t="str">
        <f>IF(C1546&lt;&gt;"", IFERROR(INDEX('بنود العقد'!B$3:B$388,C1546), "⚠"), "")</f>
        <v xml:space="preserve">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03-VAV ، اجمالي الهواء 0-750 ) ق/د( استطاعة التخزين 3 )ك/و( </v>
      </c>
      <c r="E1546" s="12" t="str">
        <f>IF(C1546&lt;&gt;"", IFERROR(INDEX('بنود العقد'!D$3:D$388,C1546), ""), "")</f>
        <v>عدد</v>
      </c>
      <c r="F1546" s="9">
        <f>IF(C1546&lt;&gt;"", IFERROR(INDEX('بنود العقد'!E$3:E$388,C1546), 0), "")</f>
        <v>7200</v>
      </c>
      <c r="G1546" s="9">
        <f>IF(C1546&lt;&gt;"", IFERROR(INDEX('بنود العقد'!F$3:F$388,C1546), 0), "")</f>
        <v>51</v>
      </c>
      <c r="H1546" s="18">
        <f t="shared" si="61"/>
        <v>82</v>
      </c>
      <c r="I1546" s="7">
        <v>1</v>
      </c>
      <c r="J1546" s="18">
        <f t="shared" si="56"/>
        <v>83</v>
      </c>
      <c r="K1546" s="10">
        <f t="shared" si="57"/>
        <v>7200</v>
      </c>
      <c r="L1546" s="21">
        <f t="shared" si="58"/>
        <v>162.74509803921569</v>
      </c>
      <c r="M1546" s="73"/>
    </row>
    <row r="1547" spans="1:13" s="72" customFormat="1" ht="25.95" customHeight="1">
      <c r="A1547" s="12">
        <v>1545</v>
      </c>
      <c r="B1547" s="6">
        <v>21</v>
      </c>
      <c r="C1547" s="6">
        <v>224</v>
      </c>
      <c r="D1547" s="20" t="str">
        <f>IF(C1547&lt;&gt;"", IFERROR(INDEX('بنود العقد'!B$3:B$388,C1547),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04-VAV ، اجمالي الهواء 0-1000 ) ق/د( استطاعة التخزين 5.3 )ك/و(</v>
      </c>
      <c r="E1547" s="12" t="str">
        <f>IF(C1547&lt;&gt;"", IFERROR(INDEX('بنود العقد'!D$3:D$388,C1547), ""), "")</f>
        <v>عدد</v>
      </c>
      <c r="F1547" s="9">
        <f>IF(C1547&lt;&gt;"", IFERROR(INDEX('بنود العقد'!E$3:E$388,C1547), 0), "")</f>
        <v>7200</v>
      </c>
      <c r="G1547" s="9">
        <f>IF(C1547&lt;&gt;"", IFERROR(INDEX('بنود العقد'!F$3:F$388,C1547), 0), "")</f>
        <v>24</v>
      </c>
      <c r="H1547" s="18">
        <f t="shared" si="61"/>
        <v>37</v>
      </c>
      <c r="I1547" s="7">
        <v>1</v>
      </c>
      <c r="J1547" s="18">
        <f t="shared" si="56"/>
        <v>38</v>
      </c>
      <c r="K1547" s="10">
        <f t="shared" si="57"/>
        <v>7200</v>
      </c>
      <c r="L1547" s="21">
        <f t="shared" si="58"/>
        <v>158.33333333333331</v>
      </c>
      <c r="M1547" s="73"/>
    </row>
    <row r="1548" spans="1:13" s="72" customFormat="1" ht="25.95" customHeight="1">
      <c r="A1548" s="12">
        <v>1546</v>
      </c>
      <c r="B1548" s="6">
        <v>21</v>
      </c>
      <c r="C1548" s="6">
        <v>225</v>
      </c>
      <c r="D1548" s="20" t="str">
        <f>IF(C1548&lt;&gt;"", IFERROR(INDEX('بنود العقد'!B$3:B$388,C1548),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05-VAV ، اجمالي الهواء 0-1500 ) ق/د( استطاعة التخزين 5.3 )ك/و(</v>
      </c>
      <c r="E1548" s="12" t="str">
        <f>IF(C1548&lt;&gt;"", IFERROR(INDEX('بنود العقد'!D$3:D$388,C1548), ""), "")</f>
        <v>عدد</v>
      </c>
      <c r="F1548" s="9">
        <f>IF(C1548&lt;&gt;"", IFERROR(INDEX('بنود العقد'!E$3:E$388,C1548), 0), "")</f>
        <v>9000</v>
      </c>
      <c r="G1548" s="9">
        <f>IF(C1548&lt;&gt;"", IFERROR(INDEX('بنود العقد'!F$3:F$388,C1548), 0), "")</f>
        <v>44</v>
      </c>
      <c r="H1548" s="18">
        <f t="shared" si="61"/>
        <v>46</v>
      </c>
      <c r="I1548" s="7">
        <v>1</v>
      </c>
      <c r="J1548" s="18">
        <f t="shared" si="56"/>
        <v>47</v>
      </c>
      <c r="K1548" s="10">
        <f t="shared" si="57"/>
        <v>9000</v>
      </c>
      <c r="L1548" s="21">
        <f t="shared" si="58"/>
        <v>106.81818181818181</v>
      </c>
      <c r="M1548" s="73"/>
    </row>
    <row r="1549" spans="1:13" s="72" customFormat="1" ht="25.95" customHeight="1">
      <c r="A1549" s="12">
        <v>1547</v>
      </c>
      <c r="B1549" s="6">
        <v>21</v>
      </c>
      <c r="C1549" s="6">
        <v>226</v>
      </c>
      <c r="D1549" s="20" t="str">
        <f>IF(C1549&lt;&gt;"", IFERROR(INDEX('بنود العقد'!B$3:B$388,C1549),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06-VAV ، اجمالي الهواء 0-2000 ) ق/د( استطاعة التخزين 6.3 )ك/و(</v>
      </c>
      <c r="E1549" s="12" t="str">
        <f>IF(C1549&lt;&gt;"", IFERROR(INDEX('بنود العقد'!D$3:D$388,C1549), ""), "")</f>
        <v>عدد</v>
      </c>
      <c r="F1549" s="9">
        <f>IF(C1549&lt;&gt;"", IFERROR(INDEX('بنود العقد'!E$3:E$388,C1549), 0), "")</f>
        <v>10200</v>
      </c>
      <c r="G1549" s="9">
        <f>IF(C1549&lt;&gt;"", IFERROR(INDEX('بنود العقد'!F$3:F$388,C1549), 0), "")</f>
        <v>49</v>
      </c>
      <c r="H1549" s="18">
        <f t="shared" si="61"/>
        <v>31</v>
      </c>
      <c r="I1549" s="7">
        <v>1</v>
      </c>
      <c r="J1549" s="18">
        <f t="shared" si="56"/>
        <v>32</v>
      </c>
      <c r="K1549" s="10">
        <f t="shared" si="57"/>
        <v>10200</v>
      </c>
      <c r="L1549" s="21">
        <f t="shared" si="58"/>
        <v>65.306122448979593</v>
      </c>
      <c r="M1549" s="73"/>
    </row>
    <row r="1550" spans="1:13" s="72" customFormat="1" ht="25.95" customHeight="1">
      <c r="A1550" s="12">
        <v>1548</v>
      </c>
      <c r="B1550" s="6">
        <v>21</v>
      </c>
      <c r="C1550" s="6">
        <v>230</v>
      </c>
      <c r="D1550" s="20" t="str">
        <f>IF(C1550&lt;&gt;"", IFERROR(INDEX('بنود العقد'!B$3:B$388,C1550),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E1550" s="12" t="str">
        <f>IF(C1550&lt;&gt;"", IFERROR(INDEX('بنود العقد'!D$3:D$388,C1550), ""), "")</f>
        <v>م.ط</v>
      </c>
      <c r="F1550" s="9">
        <f>IF(C1550&lt;&gt;"", IFERROR(INDEX('بنود العقد'!E$3:E$388,C1550), 0), "")</f>
        <v>300</v>
      </c>
      <c r="G1550" s="9">
        <f>IF(C1550&lt;&gt;"", IFERROR(INDEX('بنود العقد'!F$3:F$388,C1550), 0), "")</f>
        <v>7000</v>
      </c>
      <c r="H1550" s="18">
        <f t="shared" si="61"/>
        <v>12968</v>
      </c>
      <c r="I1550" s="7">
        <v>46.4</v>
      </c>
      <c r="J1550" s="18">
        <f t="shared" si="56"/>
        <v>13014.4</v>
      </c>
      <c r="K1550" s="10">
        <f t="shared" si="57"/>
        <v>13920</v>
      </c>
      <c r="L1550" s="21">
        <f t="shared" si="58"/>
        <v>185.92</v>
      </c>
      <c r="M1550" s="73"/>
    </row>
    <row r="1551" spans="1:13" s="72" customFormat="1" ht="25.95" customHeight="1">
      <c r="A1551" s="12">
        <v>1549</v>
      </c>
      <c r="B1551" s="6">
        <v>21</v>
      </c>
      <c r="C1551" s="6">
        <v>242</v>
      </c>
      <c r="D1551" s="20" t="str">
        <f>IF(C1551&lt;&gt;"", IFERROR(INDEX('بنود العقد'!B$3:B$388,C1551), "⚠"), "")</f>
        <v>الموازنة والضبط والتهيئة لتشغيل أنظمة تكييف الهواء ،و يجب ان تحتوي على جميع التجهيزات والادوات المطلوبة لإجراء الاختبار والتهيئة للتشغيل والتشغيل مع ضبط كميات الهواء وموازنة الهواء  لنظام التكييف، ويجب ايضا ان تكون مد ة الاختبار حسب متطلبات المنظمات العالمية مثل )NEBB( كما هو  مطلوب بالكود السعودي و اشري ASHREE ويجب ان يكون المقاول المختص عضوا فى احد المنظمات مع تقديم الشهادة لذلك.</v>
      </c>
      <c r="E1551" s="12" t="str">
        <f>IF(C1551&lt;&gt;"", IFERROR(INDEX('بنود العقد'!D$3:D$388,C1551), ""), "")</f>
        <v>عدد</v>
      </c>
      <c r="F1551" s="9">
        <f>IF(C1551&lt;&gt;"", IFERROR(INDEX('بنود العقد'!E$3:E$388,C1551), 0), "")</f>
        <v>216000</v>
      </c>
      <c r="G1551" s="9">
        <f>IF(C1551&lt;&gt;"", IFERROR(INDEX('بنود العقد'!F$3:F$388,C1551), 0), "")</f>
        <v>1</v>
      </c>
      <c r="H1551" s="18">
        <f t="shared" si="61"/>
        <v>0</v>
      </c>
      <c r="I1551" s="7">
        <v>0.17199999999999999</v>
      </c>
      <c r="J1551" s="18">
        <f t="shared" si="56"/>
        <v>0.17199999999999999</v>
      </c>
      <c r="K1551" s="10">
        <f t="shared" si="57"/>
        <v>37152</v>
      </c>
      <c r="L1551" s="21">
        <f t="shared" si="58"/>
        <v>17.2</v>
      </c>
      <c r="M1551" s="73"/>
    </row>
    <row r="1552" spans="1:13" s="72" customFormat="1" ht="25.95" customHeight="1">
      <c r="A1552" s="12">
        <v>1550</v>
      </c>
      <c r="B1552" s="6">
        <v>21</v>
      </c>
      <c r="C1552" s="6">
        <v>243</v>
      </c>
      <c r="D1552" s="20" t="str">
        <f>IF(C1552&lt;&gt;"", IFERROR(INDEX('بنود العقد'!B$3:B$388,C1552), "⚠"), "")</f>
        <v>نظام إدارة المبنى BMS    تصميم وتوريد وتركيب نظام لإدارة المبنى أتوماتيكياً على أن يكون نظام التشغيل )OPEN PROTOCOL ( حسب توصيات الاستشارى المشرف وذلك للتحكم في تشغيل ومراقبة الانظمة الميكانيكية والكهربائية التالية :                                                  ـ التشلرات والمراوح ووحدات مناولة الهواء ووحدات ملف المروحة ومضخات المياه ووحدة ضخ الهواء وإنظمة الحريق والتحكم في الأنظمة والمعدات الميكانيكية بالمبنى - والتحكم في تشغيل ومتابعة حالة اللوحات الكهربائية الرئيسية والثانوية والمصاعد وكل الأنظمة التي يراها الاستشاري لأزمة مع الأخذ في الاعتبار قابلية التوسع في المباني المستقبلية .توريد وتركيب وتوصيل نظام إدارة المباني ) BMS ( لأنظمة HVAC ، وأنظمة السباكة ، ونظام الحريق ، والأنظمة الكهربائية والخدمات الخارجية ، كاملة بما في ذلك وحدات التحكم ونقاط التحكم والأسلاك والقنوات وصناديق السحب وصناديق التوصيل الثانوية وجميع عمليات التثبيت الضرورية مستلزمات؛ كل ما هو محدد ومفصل على الرسومات والموصوفة في المواصفات. والنظام يجب ان يتضمن البرامج واجهزة التحكم واجهزة المواقع ونقاط التحكم والاسلاك المتصلة بباقي الانظمة والمواسير وعلب السحب وعلب التوصيل الثانوية وجميع اكسسوارات ومتطلبات التركيبات الضرورية وهذه الاجهزة يجب ان يتم توصيلها مع جميع انظمة شبكة IP سواء من خلال تمكين اجهزة IP او من خلال بوابة IP او الموزع ويجب ان تشمل وحدات التحكم الطرفية التركيبات الضرورية والبرمجة والدمج عند اللزوم لتأسيس الاتصال والتعامل بين اجهزة التركيبات الالكتروميكانيكية وانظمة السلامة وانظمة الامن حسب اوامر ونظام التشغيل ووفقا لنظام وحسب تعليمات مهندس المشرف و يجب ان يتوافق النظام مع الانظمة الحالية للترشيد و المراقبة و يكون النظام لكامل المبني</v>
      </c>
      <c r="E1552" s="12" t="str">
        <f>IF(C1552&lt;&gt;"", IFERROR(INDEX('بنود العقد'!D$3:D$388,C1552), ""), "")</f>
        <v>عدد</v>
      </c>
      <c r="F1552" s="9">
        <f>IF(C1552&lt;&gt;"", IFERROR(INDEX('بنود العقد'!E$3:E$388,C1552), 0), "")</f>
        <v>2520000</v>
      </c>
      <c r="G1552" s="9">
        <f>IF(C1552&lt;&gt;"", IFERROR(INDEX('بنود العقد'!F$3:F$388,C1552), 0), "")</f>
        <v>1</v>
      </c>
      <c r="H1552" s="18">
        <f t="shared" si="61"/>
        <v>0.86</v>
      </c>
      <c r="I1552" s="7">
        <v>5.7000000000000002E-2</v>
      </c>
      <c r="J1552" s="18">
        <f t="shared" si="56"/>
        <v>0.91700000000000004</v>
      </c>
      <c r="K1552" s="10">
        <f t="shared" si="57"/>
        <v>143640</v>
      </c>
      <c r="L1552" s="21">
        <f t="shared" si="58"/>
        <v>91.7</v>
      </c>
      <c r="M1552" s="73"/>
    </row>
    <row r="1553" spans="1:13" s="72" customFormat="1" ht="25.95" customHeight="1">
      <c r="A1553" s="12">
        <v>1551</v>
      </c>
      <c r="B1553" s="6">
        <v>21</v>
      </c>
      <c r="C1553" s="6">
        <v>288</v>
      </c>
      <c r="D1553" s="20" t="str">
        <f>IF(C1553&lt;&gt;"", IFERROR(INDEX('بنود العقد'!B$3:B$388,C1553),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LB1</v>
      </c>
      <c r="E1553" s="12" t="str">
        <f>IF(C1553&lt;&gt;"", IFERROR(INDEX('بنود العقد'!D$3:D$388,C1553), ""), "")</f>
        <v>م.ط</v>
      </c>
      <c r="F1553" s="9">
        <f>IF(C1553&lt;&gt;"", IFERROR(INDEX('بنود العقد'!E$3:E$388,C1553), 0), "")</f>
        <v>170.4</v>
      </c>
      <c r="G1553" s="9">
        <f>IF(C1553&lt;&gt;"", IFERROR(INDEX('بنود العقد'!F$3:F$388,C1553), 0), "")</f>
        <v>5772</v>
      </c>
      <c r="H1553" s="18">
        <f t="shared" si="61"/>
        <v>6402</v>
      </c>
      <c r="I1553" s="7">
        <v>475.75</v>
      </c>
      <c r="J1553" s="18">
        <f t="shared" si="56"/>
        <v>6877.75</v>
      </c>
      <c r="K1553" s="10">
        <f t="shared" si="57"/>
        <v>81067.8</v>
      </c>
      <c r="L1553" s="21">
        <f t="shared" si="58"/>
        <v>119.15713790713791</v>
      </c>
      <c r="M1553" s="73"/>
    </row>
    <row r="1554" spans="1:13" s="72" customFormat="1" ht="25.95" customHeight="1">
      <c r="A1554" s="12">
        <v>1552</v>
      </c>
      <c r="B1554" s="6">
        <v>21</v>
      </c>
      <c r="C1554" s="6">
        <v>289</v>
      </c>
      <c r="D1554" s="20" t="str">
        <f>IF(C1554&lt;&gt;"", IFERROR(INDEX('بنود العقد'!B$3:B$388,C1554),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LB2</v>
      </c>
      <c r="E1554" s="12" t="str">
        <f>IF(C1554&lt;&gt;"", IFERROR(INDEX('بنود العقد'!D$3:D$388,C1554), ""), "")</f>
        <v>عدد</v>
      </c>
      <c r="F1554" s="9">
        <f>IF(C1554&lt;&gt;"", IFERROR(INDEX('بنود العقد'!E$3:E$388,C1554), 0), "")</f>
        <v>13800</v>
      </c>
      <c r="G1554" s="9">
        <f>IF(C1554&lt;&gt;"", IFERROR(INDEX('بنود العقد'!F$3:F$388,C1554), 0), "")</f>
        <v>14</v>
      </c>
      <c r="H1554" s="18">
        <f t="shared" si="61"/>
        <v>7</v>
      </c>
      <c r="I1554" s="7">
        <v>3</v>
      </c>
      <c r="J1554" s="18">
        <f t="shared" si="56"/>
        <v>10</v>
      </c>
      <c r="K1554" s="10">
        <f t="shared" si="57"/>
        <v>41400</v>
      </c>
      <c r="L1554" s="21">
        <f t="shared" si="58"/>
        <v>71.428571428571431</v>
      </c>
      <c r="M1554" s="73"/>
    </row>
    <row r="1555" spans="1:13" s="72" customFormat="1" ht="25.95" customHeight="1">
      <c r="A1555" s="12">
        <v>1553</v>
      </c>
      <c r="B1555" s="6">
        <v>21</v>
      </c>
      <c r="C1555" s="6">
        <v>290</v>
      </c>
      <c r="D1555" s="20" t="str">
        <f>IF(C1555&lt;&gt;"", IFERROR(INDEX('بنود العقد'!B$3:B$388,C1555),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LB3</v>
      </c>
      <c r="E1555" s="12" t="str">
        <f>IF(C1555&lt;&gt;"", IFERROR(INDEX('بنود العقد'!D$3:D$388,C1555), ""), "")</f>
        <v>عدد</v>
      </c>
      <c r="F1555" s="9">
        <f>IF(C1555&lt;&gt;"", IFERROR(INDEX('بنود العقد'!E$3:E$388,C1555), 0), "")</f>
        <v>900</v>
      </c>
      <c r="G1555" s="9">
        <f>IF(C1555&lt;&gt;"", IFERROR(INDEX('بنود العقد'!F$3:F$388,C1555), 0), "")</f>
        <v>237</v>
      </c>
      <c r="H1555" s="18">
        <f t="shared" si="61"/>
        <v>128</v>
      </c>
      <c r="I1555" s="7">
        <v>59</v>
      </c>
      <c r="J1555" s="18">
        <f t="shared" si="56"/>
        <v>187</v>
      </c>
      <c r="K1555" s="10">
        <f t="shared" si="57"/>
        <v>53100</v>
      </c>
      <c r="L1555" s="21">
        <f t="shared" si="58"/>
        <v>78.902953586497887</v>
      </c>
      <c r="M1555" s="73"/>
    </row>
    <row r="1556" spans="1:13" s="72" customFormat="1" ht="25.95" customHeight="1">
      <c r="A1556" s="12">
        <v>1554</v>
      </c>
      <c r="B1556" s="6">
        <v>21</v>
      </c>
      <c r="C1556" s="6">
        <v>291</v>
      </c>
      <c r="D1556" s="20" t="str">
        <f>IF(C1556&lt;&gt;"", IFERROR(INDEX('بنود العقد'!B$3:B$388,C1556),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LB4</v>
      </c>
      <c r="E1556" s="12" t="str">
        <f>IF(C1556&lt;&gt;"", IFERROR(INDEX('بنود العقد'!D$3:D$388,C1556), ""), "")</f>
        <v>عدد</v>
      </c>
      <c r="F1556" s="9">
        <f>IF(C1556&lt;&gt;"", IFERROR(INDEX('بنود العقد'!E$3:E$388,C1556), 0), "")</f>
        <v>1104</v>
      </c>
      <c r="G1556" s="9">
        <f>IF(C1556&lt;&gt;"", IFERROR(INDEX('بنود العقد'!F$3:F$388,C1556), 0), "")</f>
        <v>132</v>
      </c>
      <c r="H1556" s="18">
        <f t="shared" si="61"/>
        <v>113</v>
      </c>
      <c r="I1556" s="7">
        <v>31</v>
      </c>
      <c r="J1556" s="18">
        <f t="shared" si="56"/>
        <v>144</v>
      </c>
      <c r="K1556" s="10">
        <f t="shared" si="57"/>
        <v>34224</v>
      </c>
      <c r="L1556" s="21">
        <f t="shared" si="58"/>
        <v>109.09090909090908</v>
      </c>
      <c r="M1556" s="73"/>
    </row>
    <row r="1557" spans="1:13" s="72" customFormat="1" ht="25.95" customHeight="1">
      <c r="A1557" s="12">
        <v>1555</v>
      </c>
      <c r="B1557" s="6">
        <v>21</v>
      </c>
      <c r="C1557" s="6">
        <v>295</v>
      </c>
      <c r="D1557" s="20" t="str">
        <f>IF(C1557&lt;&gt;"", IFERROR(INDEX('بنود العقد'!B$3:B$388,C1557),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ES-1</v>
      </c>
      <c r="E1557" s="12" t="str">
        <f>IF(C1557&lt;&gt;"", IFERROR(INDEX('بنود العقد'!D$3:D$388,C1557), ""), "")</f>
        <v>عدد</v>
      </c>
      <c r="F1557" s="9">
        <f>IF(C1557&lt;&gt;"", IFERROR(INDEX('بنود العقد'!E$3:E$388,C1557), 0), "")</f>
        <v>360</v>
      </c>
      <c r="G1557" s="9">
        <f>IF(C1557&lt;&gt;"", IFERROR(INDEX('بنود العقد'!F$3:F$388,C1557), 0), "")</f>
        <v>430</v>
      </c>
      <c r="H1557" s="18">
        <f t="shared" si="61"/>
        <v>312</v>
      </c>
      <c r="I1557" s="7">
        <v>22</v>
      </c>
      <c r="J1557" s="18">
        <f t="shared" si="56"/>
        <v>334</v>
      </c>
      <c r="K1557" s="10">
        <f t="shared" si="57"/>
        <v>7920</v>
      </c>
      <c r="L1557" s="21">
        <f t="shared" si="58"/>
        <v>77.674418604651166</v>
      </c>
      <c r="M1557" s="73"/>
    </row>
    <row r="1558" spans="1:13" s="72" customFormat="1" ht="25.95" customHeight="1">
      <c r="A1558" s="12">
        <v>1556</v>
      </c>
      <c r="B1558" s="6">
        <v>21</v>
      </c>
      <c r="C1558" s="6">
        <v>317</v>
      </c>
      <c r="D1558" s="20" t="str">
        <f>IF(C1558&lt;&gt;"", IFERROR(INDEX('بنود العقد'!B$3:B$388,C1558), "⚠"), "")</f>
        <v>عن طريق مقاول متخصص ذو خبرة كبيرة في هذا المجال ويقدم للاعتماد من إدارة الـ IT بالوزارة و يربط النظام مع الانظمة المعنية بالتحكم و الموازنة و يشمل البند جميع الوصلات و الكابلات و غيرها من المتطلبات الخاصة بنهو النظام كاملا توريد وتركيب واختبارنقاط كاميرا مراقبة داخلية سقفية و جميع ما يلزم من توصيلات و تركيبات و خلافة  لنهو النظام .</v>
      </c>
      <c r="E1558" s="12" t="str">
        <f>IF(C1558&lt;&gt;"", IFERROR(INDEX('بنود العقد'!D$3:D$388,C1558), ""), "")</f>
        <v>عدد</v>
      </c>
      <c r="F1558" s="9">
        <f>IF(C1558&lt;&gt;"", IFERROR(INDEX('بنود العقد'!E$3:E$388,C1558), 0), "")</f>
        <v>2640</v>
      </c>
      <c r="G1558" s="9">
        <f>IF(C1558&lt;&gt;"", IFERROR(INDEX('بنود العقد'!F$3:F$388,C1558), 0), "")</f>
        <v>258</v>
      </c>
      <c r="H1558" s="18">
        <f t="shared" si="61"/>
        <v>228</v>
      </c>
      <c r="I1558" s="7">
        <v>25</v>
      </c>
      <c r="J1558" s="18">
        <f t="shared" si="56"/>
        <v>253</v>
      </c>
      <c r="K1558" s="10">
        <f t="shared" si="57"/>
        <v>66000</v>
      </c>
      <c r="L1558" s="21">
        <f t="shared" si="58"/>
        <v>98.062015503875969</v>
      </c>
      <c r="M1558" s="73"/>
    </row>
    <row r="1559" spans="1:13" s="72" customFormat="1" ht="25.95" customHeight="1">
      <c r="A1559" s="12">
        <v>1557</v>
      </c>
      <c r="B1559" s="6">
        <v>21</v>
      </c>
      <c r="C1559" s="6">
        <v>332</v>
      </c>
      <c r="D1559" s="20" t="str">
        <f>IF(C1559&lt;&gt;"", IFERROR(INDEX('بنود العقد'!B$3:B$388,C1559), "⚠"), "")</f>
        <v>لوحات توزيع كابالت نحاسية Panel Patch a 6 CAT مع الوصالت لعدد 24 مخرج</v>
      </c>
      <c r="E1559" s="12" t="str">
        <f>IF(C1559&lt;&gt;"", IFERROR(INDEX('بنود العقد'!D$3:D$388,C1559), ""), "")</f>
        <v>عدد</v>
      </c>
      <c r="F1559" s="9">
        <f>IF(C1559&lt;&gt;"", IFERROR(INDEX('بنود العقد'!E$3:E$388,C1559), 0), "")</f>
        <v>2400</v>
      </c>
      <c r="G1559" s="9">
        <f>IF(C1559&lt;&gt;"", IFERROR(INDEX('بنود العقد'!F$3:F$388,C1559), 0), "")</f>
        <v>55</v>
      </c>
      <c r="H1559" s="18">
        <f t="shared" si="61"/>
        <v>73</v>
      </c>
      <c r="I1559" s="7">
        <v>4</v>
      </c>
      <c r="J1559" s="18">
        <f t="shared" si="56"/>
        <v>77</v>
      </c>
      <c r="K1559" s="10">
        <f t="shared" si="57"/>
        <v>9600</v>
      </c>
      <c r="L1559" s="21">
        <f t="shared" si="58"/>
        <v>140</v>
      </c>
      <c r="M1559" s="73"/>
    </row>
    <row r="1560" spans="1:13" s="72" customFormat="1" ht="25.95" customHeight="1">
      <c r="A1560" s="12">
        <v>1558</v>
      </c>
      <c r="B1560" s="6">
        <v>21</v>
      </c>
      <c r="C1560" s="6">
        <v>361</v>
      </c>
      <c r="D1560" s="20" t="str">
        <f>IF(C1560&lt;&gt;"", IFERROR(INDEX('بنود العقد'!B$3:B$388,C1560), "⚠"), "")</f>
        <v>01-MT 02&amp; MT رخام مون ستون غراي رمادي فاتح و رمادي غامق 
مقاس  1200× 300 مم لمنطقة القهوة و المدخل سماكة 16مم .</v>
      </c>
      <c r="E1560" s="12" t="str">
        <f>IF(C1560&lt;&gt;"", IFERROR(INDEX('بنود العقد'!D$3:D$388,C1560), ""), "")</f>
        <v>م²</v>
      </c>
      <c r="F1560" s="9">
        <f>IF(C1560&lt;&gt;"", IFERROR(INDEX('بنود العقد'!E$3:E$388,C1560), 0), "")</f>
        <v>454</v>
      </c>
      <c r="G1560" s="9">
        <f>IF(C1560&lt;&gt;"", IFERROR(INDEX('بنود العقد'!F$3:F$388,C1560), 0), "")</f>
        <v>0</v>
      </c>
      <c r="H1560" s="18">
        <f t="shared" si="61"/>
        <v>1163.3499999999999</v>
      </c>
      <c r="I1560" s="7">
        <v>43.65</v>
      </c>
      <c r="J1560" s="18">
        <f t="shared" si="56"/>
        <v>1207</v>
      </c>
      <c r="K1560" s="10">
        <f t="shared" si="57"/>
        <v>19817.099999999999</v>
      </c>
      <c r="L1560" s="21" t="str">
        <f t="shared" si="58"/>
        <v/>
      </c>
      <c r="M1560" s="73"/>
    </row>
    <row r="1561" spans="1:13" s="72" customFormat="1" ht="25.95" customHeight="1">
      <c r="A1561" s="12">
        <v>1559</v>
      </c>
      <c r="B1561" s="6">
        <v>21</v>
      </c>
      <c r="C1561" s="6">
        <v>362</v>
      </c>
      <c r="D1561" s="20" t="str">
        <f>IF(C1561&lt;&gt;"", IFERROR(INDEX('بنود العقد'!B$3:B$388,C1561), "⚠"), "")</f>
        <v>01-MT 02&amp; MT رخام مون ستون غراي رمادي فاتح و رمادي غامق 
مقاس  1200× 300 مم لمنطقة القهوة و المدخل سماكة 30مم .</v>
      </c>
      <c r="E1561" s="12" t="str">
        <f>IF(C1561&lt;&gt;"", IFERROR(INDEX('بنود العقد'!D$3:D$388,C1561), ""), "")</f>
        <v>م²</v>
      </c>
      <c r="F1561" s="9">
        <f>IF(C1561&lt;&gt;"", IFERROR(INDEX('بنود العقد'!E$3:E$388,C1561), 0), "")</f>
        <v>609</v>
      </c>
      <c r="G1561" s="9">
        <f>IF(C1561&lt;&gt;"", IFERROR(INDEX('بنود العقد'!F$3:F$388,C1561), 0), "")</f>
        <v>0</v>
      </c>
      <c r="H1561" s="18">
        <f t="shared" si="61"/>
        <v>794</v>
      </c>
      <c r="I1561" s="7">
        <v>60.22</v>
      </c>
      <c r="J1561" s="18">
        <f t="shared" si="56"/>
        <v>854.22</v>
      </c>
      <c r="K1561" s="10">
        <f t="shared" si="57"/>
        <v>36673.979999999996</v>
      </c>
      <c r="L1561" s="21" t="str">
        <f t="shared" si="58"/>
        <v/>
      </c>
      <c r="M1561" s="73"/>
    </row>
    <row r="1562" spans="1:13" s="72" customFormat="1" ht="25.95" customHeight="1">
      <c r="A1562" s="12">
        <v>1560</v>
      </c>
      <c r="B1562" s="6">
        <v>21</v>
      </c>
      <c r="C1562" s="6">
        <v>364</v>
      </c>
      <c r="D1562" s="20" t="str">
        <f>IF(C1562&lt;&gt;"", IFERROR(INDEX('بنود العقد'!B$3:B$388,C1562), "⚠"), "")</f>
        <v>رخام رمادي بيترا غراي للدور السادس ألواح مقاس 1000× 1000 مم بحسب اعتماد المهندس سماكة 30مم</v>
      </c>
      <c r="E1562" s="12" t="str">
        <f>IF(C1562&lt;&gt;"", IFERROR(INDEX('بنود العقد'!D$3:D$388,C1562), ""), "")</f>
        <v>م²</v>
      </c>
      <c r="F1562" s="9">
        <f>IF(C1562&lt;&gt;"", IFERROR(INDEX('بنود العقد'!E$3:E$388,C1562), 0), "")</f>
        <v>717</v>
      </c>
      <c r="G1562" s="9">
        <f>IF(C1562&lt;&gt;"", IFERROR(INDEX('بنود العقد'!F$3:F$388,C1562), 0), "")</f>
        <v>0</v>
      </c>
      <c r="H1562" s="18">
        <f t="shared" si="61"/>
        <v>1252</v>
      </c>
      <c r="I1562" s="7">
        <v>103</v>
      </c>
      <c r="J1562" s="18">
        <f t="shared" si="56"/>
        <v>1355</v>
      </c>
      <c r="K1562" s="10">
        <f t="shared" si="57"/>
        <v>73851</v>
      </c>
      <c r="L1562" s="21" t="str">
        <f t="shared" si="58"/>
        <v/>
      </c>
      <c r="M1562" s="73"/>
    </row>
    <row r="1563" spans="1:13" s="72" customFormat="1" ht="25.95" customHeight="1">
      <c r="A1563" s="12">
        <v>1561</v>
      </c>
      <c r="B1563" s="6">
        <v>21</v>
      </c>
      <c r="C1563" s="6">
        <v>368</v>
      </c>
      <c r="D1563" s="20" t="str">
        <f>IF(C1563&lt;&gt;"", IFERROR(INDEX('بنود العقد'!B$3:B$388,C1563), "⚠"), "")</f>
        <v>توريد وتركيب واختبار محبس LANDING VALVE مزود بمخفض ضغط داخلي قطر 2.5 بوصة</v>
      </c>
      <c r="E1563" s="12" t="str">
        <f>IF(C1563&lt;&gt;"", IFERROR(INDEX('بنود العقد'!D$3:D$388,C1563), ""), "")</f>
        <v>عدد</v>
      </c>
      <c r="F1563" s="9">
        <f>IF(C1563&lt;&gt;"", IFERROR(INDEX('بنود العقد'!E$3:E$388,C1563), 0), "")</f>
        <v>1380</v>
      </c>
      <c r="G1563" s="9">
        <f>IF(C1563&lt;&gt;"", IFERROR(INDEX('بنود العقد'!F$3:F$388,C1563), 0), "")</f>
        <v>0</v>
      </c>
      <c r="H1563" s="18">
        <f t="shared" si="61"/>
        <v>27</v>
      </c>
      <c r="I1563" s="7">
        <v>5</v>
      </c>
      <c r="J1563" s="18">
        <f t="shared" si="56"/>
        <v>32</v>
      </c>
      <c r="K1563" s="10">
        <f t="shared" si="57"/>
        <v>6900</v>
      </c>
      <c r="L1563" s="21" t="str">
        <f t="shared" si="58"/>
        <v/>
      </c>
      <c r="M1563" s="73"/>
    </row>
    <row r="1564" spans="1:13" s="72" customFormat="1" ht="25.95" customHeight="1">
      <c r="A1564" s="12">
        <v>1562</v>
      </c>
      <c r="B1564" s="6">
        <v>21</v>
      </c>
      <c r="C1564" s="6">
        <v>369</v>
      </c>
      <c r="D1564" s="20" t="str">
        <f>IF(C1564&lt;&gt;"", IFERROR(INDEX('بنود العقد'!B$3:B$388,C1564), "⚠"), "")</f>
        <v xml:space="preserve">توريد وتركيب صندوق غاطس يوضع بداخله محبس 
LANDING VALVE </v>
      </c>
      <c r="E1564" s="12" t="str">
        <f>IF(C1564&lt;&gt;"", IFERROR(INDEX('بنود العقد'!D$3:D$388,C1564), ""), "")</f>
        <v>عدد</v>
      </c>
      <c r="F1564" s="9">
        <f>IF(C1564&lt;&gt;"", IFERROR(INDEX('بنود العقد'!E$3:E$388,C1564), 0), "")</f>
        <v>1176</v>
      </c>
      <c r="G1564" s="9">
        <f>IF(C1564&lt;&gt;"", IFERROR(INDEX('بنود العقد'!F$3:F$388,C1564), 0), "")</f>
        <v>0</v>
      </c>
      <c r="H1564" s="18">
        <f t="shared" si="61"/>
        <v>27</v>
      </c>
      <c r="I1564" s="7">
        <v>5</v>
      </c>
      <c r="J1564" s="18">
        <f t="shared" si="56"/>
        <v>32</v>
      </c>
      <c r="K1564" s="10">
        <f t="shared" si="57"/>
        <v>5880</v>
      </c>
      <c r="L1564" s="21" t="str">
        <f t="shared" si="58"/>
        <v/>
      </c>
      <c r="M1564" s="73"/>
    </row>
    <row r="1565" spans="1:13" s="72" customFormat="1" ht="25.95" customHeight="1">
      <c r="A1565" s="12">
        <v>1563</v>
      </c>
      <c r="B1565" s="6">
        <v>21</v>
      </c>
      <c r="C1565" s="6"/>
      <c r="D1565" s="20" t="str">
        <f>IF(C1565&lt;&gt;"", IFERROR(INDEX('بنود العقد'!B$3:B$388,C1565), "⚠"), "")</f>
        <v/>
      </c>
      <c r="E1565" s="12" t="str">
        <f>IF(C1565&lt;&gt;"", IFERROR(INDEX('بنود العقد'!D$3:D$388,C1565), ""), "")</f>
        <v/>
      </c>
      <c r="F1565" s="9" t="str">
        <f>IF(C1565&lt;&gt;"", IFERROR(INDEX('بنود العقد'!E$3:E$388,C1565), 0), "")</f>
        <v/>
      </c>
      <c r="G1565" s="9" t="str">
        <f>IF(C1565&lt;&gt;"", IFERROR(INDEX('بنود العقد'!F$3:F$388,C1565), 0), "")</f>
        <v/>
      </c>
      <c r="H1565" s="18">
        <f t="shared" si="61"/>
        <v>0</v>
      </c>
      <c r="I1565" s="7"/>
      <c r="J1565" s="18">
        <f t="shared" si="56"/>
        <v>0</v>
      </c>
      <c r="K1565" s="10" t="str">
        <f t="shared" si="57"/>
        <v/>
      </c>
      <c r="L1565" s="21" t="str">
        <f t="shared" si="58"/>
        <v/>
      </c>
    </row>
    <row r="1566" spans="1:13" s="72" customFormat="1" ht="25.95" customHeight="1">
      <c r="A1566" s="12">
        <v>1564</v>
      </c>
      <c r="B1566" s="6">
        <v>21</v>
      </c>
      <c r="C1566" s="6"/>
      <c r="D1566" s="20" t="str">
        <f>IF(C1566&lt;&gt;"", IFERROR(INDEX('بنود العقد'!B$3:B$388,C1566), "⚠"), "")</f>
        <v/>
      </c>
      <c r="E1566" s="12" t="str">
        <f>IF(C1566&lt;&gt;"", IFERROR(INDEX('بنود العقد'!D$3:D$388,C1566), ""), "")</f>
        <v/>
      </c>
      <c r="F1566" s="9" t="str">
        <f>IF(C1566&lt;&gt;"", IFERROR(INDEX('بنود العقد'!E$3:E$388,C1566), 0), "")</f>
        <v/>
      </c>
      <c r="G1566" s="9" t="str">
        <f>IF(C1566&lt;&gt;"", IFERROR(INDEX('بنود العقد'!F$3:F$388,C1566), 0), "")</f>
        <v/>
      </c>
      <c r="H1566" s="18">
        <f t="shared" si="61"/>
        <v>0</v>
      </c>
      <c r="I1566" s="7"/>
      <c r="J1566" s="18">
        <f t="shared" si="56"/>
        <v>0</v>
      </c>
      <c r="K1566" s="10" t="str">
        <f t="shared" si="57"/>
        <v/>
      </c>
      <c r="L1566" s="21" t="str">
        <f t="shared" si="58"/>
        <v/>
      </c>
    </row>
    <row r="1567" spans="1:13" s="72" customFormat="1" ht="25.95" customHeight="1">
      <c r="A1567" s="12">
        <v>1565</v>
      </c>
      <c r="B1567" s="6">
        <v>21</v>
      </c>
      <c r="C1567" s="6"/>
      <c r="D1567" s="20" t="str">
        <f>IF(C1567&lt;&gt;"", IFERROR(INDEX('بنود العقد'!B$3:B$388,C1567), "⚠"), "")</f>
        <v/>
      </c>
      <c r="E1567" s="12" t="str">
        <f>IF(C1567&lt;&gt;"", IFERROR(INDEX('بنود العقد'!D$3:D$388,C1567), ""), "")</f>
        <v/>
      </c>
      <c r="F1567" s="9" t="str">
        <f>IF(C1567&lt;&gt;"", IFERROR(INDEX('بنود العقد'!E$3:E$388,C1567), 0), "")</f>
        <v/>
      </c>
      <c r="G1567" s="9" t="str">
        <f>IF(C1567&lt;&gt;"", IFERROR(INDEX('بنود العقد'!F$3:F$388,C1567), 0), "")</f>
        <v/>
      </c>
      <c r="H1567" s="18">
        <f t="shared" si="61"/>
        <v>0</v>
      </c>
      <c r="I1567" s="7"/>
      <c r="J1567" s="18">
        <f t="shared" si="56"/>
        <v>0</v>
      </c>
      <c r="K1567" s="10" t="str">
        <f t="shared" si="57"/>
        <v/>
      </c>
      <c r="L1567" s="21" t="str">
        <f t="shared" si="58"/>
        <v/>
      </c>
    </row>
    <row r="1568" spans="1:13" s="72" customFormat="1" ht="25.95" customHeight="1">
      <c r="A1568" s="12">
        <v>1566</v>
      </c>
      <c r="B1568" s="6">
        <v>21</v>
      </c>
      <c r="C1568" s="6"/>
      <c r="D1568" s="20" t="str">
        <f>IF(C1568&lt;&gt;"", IFERROR(INDEX('بنود العقد'!B$3:B$388,C1568), "⚠"), "")</f>
        <v/>
      </c>
      <c r="E1568" s="12" t="str">
        <f>IF(C1568&lt;&gt;"", IFERROR(INDEX('بنود العقد'!D$3:D$388,C1568), ""), "")</f>
        <v/>
      </c>
      <c r="F1568" s="9" t="str">
        <f>IF(C1568&lt;&gt;"", IFERROR(INDEX('بنود العقد'!E$3:E$388,C1568), 0), "")</f>
        <v/>
      </c>
      <c r="G1568" s="9" t="str">
        <f>IF(C1568&lt;&gt;"", IFERROR(INDEX('بنود العقد'!F$3:F$388,C1568), 0), "")</f>
        <v/>
      </c>
      <c r="H1568" s="18">
        <f t="shared" si="61"/>
        <v>0</v>
      </c>
      <c r="I1568" s="7"/>
      <c r="J1568" s="18">
        <f t="shared" si="56"/>
        <v>0</v>
      </c>
      <c r="K1568" s="10" t="str">
        <f t="shared" si="57"/>
        <v/>
      </c>
      <c r="L1568" s="21" t="str">
        <f t="shared" si="58"/>
        <v/>
      </c>
    </row>
    <row r="1569" spans="1:12" s="72" customFormat="1" ht="25.95" customHeight="1">
      <c r="A1569" s="12">
        <v>1567</v>
      </c>
      <c r="B1569" s="6">
        <v>21</v>
      </c>
      <c r="C1569" s="6"/>
      <c r="D1569" s="20" t="str">
        <f>IF(C1569&lt;&gt;"", IFERROR(INDEX('بنود العقد'!B$3:B$388,C1569), "⚠"), "")</f>
        <v/>
      </c>
      <c r="E1569" s="12" t="str">
        <f>IF(C1569&lt;&gt;"", IFERROR(INDEX('بنود العقد'!D$3:D$388,C1569), ""), "")</f>
        <v/>
      </c>
      <c r="F1569" s="9" t="str">
        <f>IF(C1569&lt;&gt;"", IFERROR(INDEX('بنود العقد'!E$3:E$388,C1569), 0), "")</f>
        <v/>
      </c>
      <c r="G1569" s="9" t="str">
        <f>IF(C1569&lt;&gt;"", IFERROR(INDEX('بنود العقد'!F$3:F$388,C1569), 0), "")</f>
        <v/>
      </c>
      <c r="H1569" s="18">
        <f t="shared" si="61"/>
        <v>0</v>
      </c>
      <c r="I1569" s="7"/>
      <c r="J1569" s="18">
        <f t="shared" si="56"/>
        <v>0</v>
      </c>
      <c r="K1569" s="10" t="str">
        <f t="shared" si="57"/>
        <v/>
      </c>
      <c r="L1569" s="21" t="str">
        <f t="shared" si="58"/>
        <v/>
      </c>
    </row>
    <row r="1570" spans="1:12" s="72" customFormat="1" ht="25.95" customHeight="1">
      <c r="A1570" s="12">
        <v>1568</v>
      </c>
      <c r="B1570" s="6">
        <v>21</v>
      </c>
      <c r="C1570" s="6"/>
      <c r="D1570" s="20" t="str">
        <f>IF(C1570&lt;&gt;"", IFERROR(INDEX('بنود العقد'!B$3:B$388,C1570), "⚠"), "")</f>
        <v/>
      </c>
      <c r="E1570" s="12" t="str">
        <f>IF(C1570&lt;&gt;"", IFERROR(INDEX('بنود العقد'!D$3:D$388,C1570), ""), "")</f>
        <v/>
      </c>
      <c r="F1570" s="9" t="str">
        <f>IF(C1570&lt;&gt;"", IFERROR(INDEX('بنود العقد'!E$3:E$388,C1570), 0), "")</f>
        <v/>
      </c>
      <c r="G1570" s="9" t="str">
        <f>IF(C1570&lt;&gt;"", IFERROR(INDEX('بنود العقد'!F$3:F$388,C1570), 0), "")</f>
        <v/>
      </c>
      <c r="H1570" s="18">
        <f t="shared" si="61"/>
        <v>0</v>
      </c>
      <c r="I1570" s="7"/>
      <c r="J1570" s="18">
        <f t="shared" si="56"/>
        <v>0</v>
      </c>
      <c r="K1570" s="10" t="str">
        <f t="shared" si="57"/>
        <v/>
      </c>
      <c r="L1570" s="21" t="str">
        <f t="shared" si="58"/>
        <v/>
      </c>
    </row>
    <row r="1571" spans="1:12" s="72" customFormat="1" ht="25.95" customHeight="1">
      <c r="A1571" s="12">
        <v>1569</v>
      </c>
      <c r="B1571" s="6">
        <v>21</v>
      </c>
      <c r="C1571" s="6"/>
      <c r="D1571" s="20" t="str">
        <f>IF(C1571&lt;&gt;"", IFERROR(INDEX('بنود العقد'!B$3:B$388,C1571), "⚠"), "")</f>
        <v/>
      </c>
      <c r="E1571" s="12" t="str">
        <f>IF(C1571&lt;&gt;"", IFERROR(INDEX('بنود العقد'!D$3:D$388,C1571), ""), "")</f>
        <v/>
      </c>
      <c r="F1571" s="9" t="str">
        <f>IF(C1571&lt;&gt;"", IFERROR(INDEX('بنود العقد'!E$3:E$388,C1571), 0), "")</f>
        <v/>
      </c>
      <c r="G1571" s="9" t="str">
        <f>IF(C1571&lt;&gt;"", IFERROR(INDEX('بنود العقد'!F$3:F$388,C1571), 0), "")</f>
        <v/>
      </c>
      <c r="H1571" s="18">
        <f t="shared" si="61"/>
        <v>0</v>
      </c>
      <c r="I1571" s="7"/>
      <c r="J1571" s="18">
        <f t="shared" si="56"/>
        <v>0</v>
      </c>
      <c r="K1571" s="10" t="str">
        <f t="shared" si="57"/>
        <v/>
      </c>
      <c r="L1571" s="21" t="str">
        <f t="shared" si="58"/>
        <v/>
      </c>
    </row>
    <row r="1572" spans="1:12" s="72" customFormat="1" ht="25.95" customHeight="1">
      <c r="A1572" s="12">
        <v>1570</v>
      </c>
      <c r="B1572" s="6">
        <v>21</v>
      </c>
      <c r="C1572" s="6"/>
      <c r="D1572" s="20" t="str">
        <f>IF(C1572&lt;&gt;"", IFERROR(INDEX('بنود العقد'!B$3:B$388,C1572), "⚠"), "")</f>
        <v/>
      </c>
      <c r="E1572" s="12" t="str">
        <f>IF(C1572&lt;&gt;"", IFERROR(INDEX('بنود العقد'!D$3:D$388,C1572), ""), "")</f>
        <v/>
      </c>
      <c r="F1572" s="9" t="str">
        <f>IF(C1572&lt;&gt;"", IFERROR(INDEX('بنود العقد'!E$3:E$388,C1572), 0), "")</f>
        <v/>
      </c>
      <c r="G1572" s="9" t="str">
        <f>IF(C1572&lt;&gt;"", IFERROR(INDEX('بنود العقد'!F$3:F$388,C1572), 0), "")</f>
        <v/>
      </c>
      <c r="H1572" s="18">
        <f t="shared" si="61"/>
        <v>0</v>
      </c>
      <c r="I1572" s="7"/>
      <c r="J1572" s="18">
        <f t="shared" si="56"/>
        <v>0</v>
      </c>
      <c r="K1572" s="10" t="str">
        <f t="shared" si="57"/>
        <v/>
      </c>
      <c r="L1572" s="21" t="str">
        <f t="shared" si="58"/>
        <v/>
      </c>
    </row>
    <row r="1573" spans="1:12" s="72" customFormat="1" ht="25.95" customHeight="1">
      <c r="A1573" s="12">
        <v>1571</v>
      </c>
      <c r="B1573" s="6">
        <v>21</v>
      </c>
      <c r="C1573" s="6"/>
      <c r="D1573" s="20" t="str">
        <f>IF(C1573&lt;&gt;"", IFERROR(INDEX('بنود العقد'!B$3:B$388,C1573), "⚠"), "")</f>
        <v/>
      </c>
      <c r="E1573" s="12" t="str">
        <f>IF(C1573&lt;&gt;"", IFERROR(INDEX('بنود العقد'!D$3:D$388,C1573), ""), "")</f>
        <v/>
      </c>
      <c r="F1573" s="9" t="str">
        <f>IF(C1573&lt;&gt;"", IFERROR(INDEX('بنود العقد'!E$3:E$388,C1573), 0), "")</f>
        <v/>
      </c>
      <c r="G1573" s="9" t="str">
        <f>IF(C1573&lt;&gt;"", IFERROR(INDEX('بنود العقد'!F$3:F$388,C1573), 0), "")</f>
        <v/>
      </c>
      <c r="H1573" s="18">
        <f t="shared" si="61"/>
        <v>0</v>
      </c>
      <c r="I1573" s="7"/>
      <c r="J1573" s="18">
        <f t="shared" si="56"/>
        <v>0</v>
      </c>
      <c r="K1573" s="10" t="str">
        <f t="shared" si="57"/>
        <v/>
      </c>
      <c r="L1573" s="21" t="str">
        <f t="shared" si="58"/>
        <v/>
      </c>
    </row>
    <row r="1574" spans="1:12" s="72" customFormat="1" ht="25.95" customHeight="1">
      <c r="A1574" s="12">
        <v>1572</v>
      </c>
      <c r="B1574" s="6">
        <v>21</v>
      </c>
      <c r="C1574" s="6"/>
      <c r="D1574" s="20" t="str">
        <f>IF(C1574&lt;&gt;"", IFERROR(INDEX('بنود العقد'!B$3:B$388,C1574), "⚠"), "")</f>
        <v/>
      </c>
      <c r="E1574" s="12" t="str">
        <f>IF(C1574&lt;&gt;"", IFERROR(INDEX('بنود العقد'!D$3:D$388,C1574), ""), "")</f>
        <v/>
      </c>
      <c r="F1574" s="9" t="str">
        <f>IF(C1574&lt;&gt;"", IFERROR(INDEX('بنود العقد'!E$3:E$388,C1574), 0), "")</f>
        <v/>
      </c>
      <c r="G1574" s="9" t="str">
        <f>IF(C1574&lt;&gt;"", IFERROR(INDEX('بنود العقد'!F$3:F$388,C1574), 0), "")</f>
        <v/>
      </c>
      <c r="H1574" s="18">
        <f t="shared" si="61"/>
        <v>0</v>
      </c>
      <c r="I1574" s="7"/>
      <c r="J1574" s="18">
        <f t="shared" si="56"/>
        <v>0</v>
      </c>
      <c r="K1574" s="10" t="str">
        <f t="shared" si="57"/>
        <v/>
      </c>
      <c r="L1574" s="21" t="str">
        <f t="shared" si="58"/>
        <v/>
      </c>
    </row>
    <row r="1575" spans="1:12" s="72" customFormat="1" ht="25.95" customHeight="1">
      <c r="A1575" s="12">
        <v>1573</v>
      </c>
      <c r="B1575" s="6">
        <v>21</v>
      </c>
      <c r="C1575" s="6"/>
      <c r="D1575" s="20" t="str">
        <f>IF(C1575&lt;&gt;"", IFERROR(INDEX('بنود العقد'!B$3:B$388,C1575), "⚠"), "")</f>
        <v/>
      </c>
      <c r="E1575" s="12" t="str">
        <f>IF(C1575&lt;&gt;"", IFERROR(INDEX('بنود العقد'!D$3:D$388,C1575), ""), "")</f>
        <v/>
      </c>
      <c r="F1575" s="9" t="str">
        <f>IF(C1575&lt;&gt;"", IFERROR(INDEX('بنود العقد'!E$3:E$388,C1575), 0), "")</f>
        <v/>
      </c>
      <c r="G1575" s="9" t="str">
        <f>IF(C1575&lt;&gt;"", IFERROR(INDEX('بنود العقد'!F$3:F$388,C1575), 0), "")</f>
        <v/>
      </c>
      <c r="H1575" s="18">
        <f t="shared" si="61"/>
        <v>0</v>
      </c>
      <c r="I1575" s="7"/>
      <c r="J1575" s="18">
        <f t="shared" si="56"/>
        <v>0</v>
      </c>
      <c r="K1575" s="10" t="str">
        <f t="shared" si="57"/>
        <v/>
      </c>
      <c r="L1575" s="21" t="str">
        <f t="shared" si="58"/>
        <v/>
      </c>
    </row>
    <row r="1576" spans="1:12" s="72" customFormat="1" ht="25.95" customHeight="1">
      <c r="A1576" s="12">
        <v>1574</v>
      </c>
      <c r="B1576" s="6">
        <v>21</v>
      </c>
      <c r="C1576" s="6"/>
      <c r="D1576" s="20" t="str">
        <f>IF(C1576&lt;&gt;"", IFERROR(INDEX('بنود العقد'!B$3:B$388,C1576), "⚠"), "")</f>
        <v/>
      </c>
      <c r="E1576" s="12" t="str">
        <f>IF(C1576&lt;&gt;"", IFERROR(INDEX('بنود العقد'!D$3:D$388,C1576), ""), "")</f>
        <v/>
      </c>
      <c r="F1576" s="9" t="str">
        <f>IF(C1576&lt;&gt;"", IFERROR(INDEX('بنود العقد'!E$3:E$388,C1576), 0), "")</f>
        <v/>
      </c>
      <c r="G1576" s="9" t="str">
        <f>IF(C1576&lt;&gt;"", IFERROR(INDEX('بنود العقد'!F$3:F$388,C1576), 0), "")</f>
        <v/>
      </c>
      <c r="H1576" s="18">
        <f t="shared" si="61"/>
        <v>0</v>
      </c>
      <c r="I1576" s="7"/>
      <c r="J1576" s="18">
        <f t="shared" si="56"/>
        <v>0</v>
      </c>
      <c r="K1576" s="10" t="str">
        <f t="shared" si="57"/>
        <v/>
      </c>
      <c r="L1576" s="21" t="str">
        <f t="shared" si="58"/>
        <v/>
      </c>
    </row>
    <row r="1577" spans="1:12" s="72" customFormat="1" ht="25.95" customHeight="1">
      <c r="A1577" s="12">
        <v>1575</v>
      </c>
      <c r="B1577" s="6">
        <v>21</v>
      </c>
      <c r="C1577" s="6"/>
      <c r="D1577" s="20" t="str">
        <f>IF(C1577&lt;&gt;"", IFERROR(INDEX('بنود العقد'!B$3:B$388,C1577), "⚠"), "")</f>
        <v/>
      </c>
      <c r="E1577" s="12" t="str">
        <f>IF(C1577&lt;&gt;"", IFERROR(INDEX('بنود العقد'!D$3:D$388,C1577), ""), "")</f>
        <v/>
      </c>
      <c r="F1577" s="9" t="str">
        <f>IF(C1577&lt;&gt;"", IFERROR(INDEX('بنود العقد'!E$3:E$388,C1577), 0), "")</f>
        <v/>
      </c>
      <c r="G1577" s="9" t="str">
        <f>IF(C1577&lt;&gt;"", IFERROR(INDEX('بنود العقد'!F$3:F$388,C1577), 0), "")</f>
        <v/>
      </c>
      <c r="H1577" s="18">
        <f t="shared" si="61"/>
        <v>0</v>
      </c>
      <c r="I1577" s="7"/>
      <c r="J1577" s="18">
        <f t="shared" si="56"/>
        <v>0</v>
      </c>
      <c r="K1577" s="10" t="str">
        <f t="shared" si="57"/>
        <v/>
      </c>
      <c r="L1577" s="21" t="str">
        <f t="shared" si="58"/>
        <v/>
      </c>
    </row>
    <row r="1578" spans="1:12" s="72" customFormat="1" ht="25.95" customHeight="1">
      <c r="A1578" s="12">
        <v>1576</v>
      </c>
      <c r="B1578" s="6">
        <v>21</v>
      </c>
      <c r="C1578" s="6"/>
      <c r="D1578" s="20" t="str">
        <f>IF(C1578&lt;&gt;"", IFERROR(INDEX('بنود العقد'!B$3:B$388,C1578), "⚠"), "")</f>
        <v/>
      </c>
      <c r="E1578" s="12" t="str">
        <f>IF(C1578&lt;&gt;"", IFERROR(INDEX('بنود العقد'!D$3:D$388,C1578), ""), "")</f>
        <v/>
      </c>
      <c r="F1578" s="9" t="str">
        <f>IF(C1578&lt;&gt;"", IFERROR(INDEX('بنود العقد'!E$3:E$388,C1578), 0), "")</f>
        <v/>
      </c>
      <c r="G1578" s="9" t="str">
        <f>IF(C1578&lt;&gt;"", IFERROR(INDEX('بنود العقد'!F$3:F$388,C1578), 0), "")</f>
        <v/>
      </c>
      <c r="H1578" s="18">
        <f t="shared" si="61"/>
        <v>0</v>
      </c>
      <c r="I1578" s="7"/>
      <c r="J1578" s="18">
        <f t="shared" si="56"/>
        <v>0</v>
      </c>
      <c r="K1578" s="10" t="str">
        <f t="shared" si="57"/>
        <v/>
      </c>
      <c r="L1578" s="21" t="str">
        <f t="shared" si="58"/>
        <v/>
      </c>
    </row>
    <row r="1579" spans="1:12" s="72" customFormat="1" ht="25.95" customHeight="1">
      <c r="A1579" s="12">
        <v>1577</v>
      </c>
      <c r="B1579" s="6">
        <v>21</v>
      </c>
      <c r="C1579" s="6"/>
      <c r="D1579" s="20" t="str">
        <f>IF(C1579&lt;&gt;"", IFERROR(INDEX('بنود العقد'!B$3:B$388,C1579), "⚠"), "")</f>
        <v/>
      </c>
      <c r="E1579" s="12" t="str">
        <f>IF(C1579&lt;&gt;"", IFERROR(INDEX('بنود العقد'!D$3:D$388,C1579), ""), "")</f>
        <v/>
      </c>
      <c r="F1579" s="9" t="str">
        <f>IF(C1579&lt;&gt;"", IFERROR(INDEX('بنود العقد'!E$3:E$388,C1579), 0), "")</f>
        <v/>
      </c>
      <c r="G1579" s="9" t="str">
        <f>IF(C1579&lt;&gt;"", IFERROR(INDEX('بنود العقد'!F$3:F$388,C1579), 0), "")</f>
        <v/>
      </c>
      <c r="H1579" s="18">
        <f t="shared" si="61"/>
        <v>0</v>
      </c>
      <c r="I1579" s="7"/>
      <c r="J1579" s="18">
        <f t="shared" si="56"/>
        <v>0</v>
      </c>
      <c r="K1579" s="10" t="str">
        <f t="shared" si="57"/>
        <v/>
      </c>
      <c r="L1579" s="21" t="str">
        <f t="shared" si="58"/>
        <v/>
      </c>
    </row>
    <row r="1580" spans="1:12" s="72" customFormat="1" ht="25.95" customHeight="1">
      <c r="A1580" s="12">
        <v>1578</v>
      </c>
      <c r="B1580" s="6">
        <v>21</v>
      </c>
      <c r="C1580" s="6"/>
      <c r="D1580" s="20" t="str">
        <f>IF(C1580&lt;&gt;"", IFERROR(INDEX('بنود العقد'!B$3:B$388,C1580), "⚠"), "")</f>
        <v/>
      </c>
      <c r="E1580" s="12" t="str">
        <f>IF(C1580&lt;&gt;"", IFERROR(INDEX('بنود العقد'!D$3:D$388,C1580), ""), "")</f>
        <v/>
      </c>
      <c r="F1580" s="9" t="str">
        <f>IF(C1580&lt;&gt;"", IFERROR(INDEX('بنود العقد'!E$3:E$388,C1580), 0), "")</f>
        <v/>
      </c>
      <c r="G1580" s="9" t="str">
        <f>IF(C1580&lt;&gt;"", IFERROR(INDEX('بنود العقد'!F$3:F$388,C1580), 0), "")</f>
        <v/>
      </c>
      <c r="H1580" s="18">
        <f t="shared" si="61"/>
        <v>0</v>
      </c>
      <c r="I1580" s="7"/>
      <c r="J1580" s="18">
        <f t="shared" si="56"/>
        <v>0</v>
      </c>
      <c r="K1580" s="10" t="str">
        <f t="shared" si="57"/>
        <v/>
      </c>
      <c r="L1580" s="21" t="str">
        <f t="shared" si="58"/>
        <v/>
      </c>
    </row>
    <row r="1581" spans="1:12" s="72" customFormat="1" ht="25.95" customHeight="1">
      <c r="A1581" s="12">
        <v>1579</v>
      </c>
      <c r="B1581" s="6">
        <v>21</v>
      </c>
      <c r="C1581" s="6"/>
      <c r="D1581" s="20" t="str">
        <f>IF(C1581&lt;&gt;"", IFERROR(INDEX('بنود العقد'!B$3:B$388,C1581), "⚠"), "")</f>
        <v/>
      </c>
      <c r="E1581" s="12" t="str">
        <f>IF(C1581&lt;&gt;"", IFERROR(INDEX('بنود العقد'!D$3:D$388,C1581), ""), "")</f>
        <v/>
      </c>
      <c r="F1581" s="9" t="str">
        <f>IF(C1581&lt;&gt;"", IFERROR(INDEX('بنود العقد'!E$3:E$388,C1581), 0), "")</f>
        <v/>
      </c>
      <c r="G1581" s="9" t="str">
        <f>IF(C1581&lt;&gt;"", IFERROR(INDEX('بنود العقد'!F$3:F$388,C1581), 0), "")</f>
        <v/>
      </c>
      <c r="H1581" s="18">
        <f t="shared" si="61"/>
        <v>0</v>
      </c>
      <c r="I1581" s="7"/>
      <c r="J1581" s="18">
        <f t="shared" si="56"/>
        <v>0</v>
      </c>
      <c r="K1581" s="10" t="str">
        <f t="shared" si="57"/>
        <v/>
      </c>
      <c r="L1581" s="21" t="str">
        <f t="shared" si="58"/>
        <v/>
      </c>
    </row>
    <row r="1582" spans="1:12" s="72" customFormat="1" ht="25.95" customHeight="1">
      <c r="A1582" s="12">
        <v>1580</v>
      </c>
      <c r="B1582" s="6">
        <v>21</v>
      </c>
      <c r="C1582" s="6"/>
      <c r="D1582" s="20" t="str">
        <f>IF(C1582&lt;&gt;"", IFERROR(INDEX('بنود العقد'!B$3:B$388,C1582), "⚠"), "")</f>
        <v/>
      </c>
      <c r="E1582" s="12" t="str">
        <f>IF(C1582&lt;&gt;"", IFERROR(INDEX('بنود العقد'!D$3:D$388,C1582), ""), "")</f>
        <v/>
      </c>
      <c r="F1582" s="9" t="str">
        <f>IF(C1582&lt;&gt;"", IFERROR(INDEX('بنود العقد'!E$3:E$388,C1582), 0), "")</f>
        <v/>
      </c>
      <c r="G1582" s="9" t="str">
        <f>IF(C1582&lt;&gt;"", IFERROR(INDEX('بنود العقد'!F$3:F$388,C1582), 0), "")</f>
        <v/>
      </c>
      <c r="H1582" s="18">
        <f t="shared" si="61"/>
        <v>0</v>
      </c>
      <c r="I1582" s="7"/>
      <c r="J1582" s="18">
        <f t="shared" si="56"/>
        <v>0</v>
      </c>
      <c r="K1582" s="10" t="str">
        <f t="shared" si="57"/>
        <v/>
      </c>
      <c r="L1582" s="21" t="str">
        <f t="shared" si="58"/>
        <v/>
      </c>
    </row>
    <row r="1583" spans="1:12" s="72" customFormat="1" ht="25.95" customHeight="1">
      <c r="A1583" s="12">
        <v>1581</v>
      </c>
      <c r="B1583" s="6">
        <v>21</v>
      </c>
      <c r="C1583" s="6"/>
      <c r="D1583" s="20" t="str">
        <f>IF(C1583&lt;&gt;"", IFERROR(INDEX('بنود العقد'!B$3:B$388,C1583), "⚠"), "")</f>
        <v/>
      </c>
      <c r="E1583" s="12" t="str">
        <f>IF(C1583&lt;&gt;"", IFERROR(INDEX('بنود العقد'!D$3:D$388,C1583), ""), "")</f>
        <v/>
      </c>
      <c r="F1583" s="9" t="str">
        <f>IF(C1583&lt;&gt;"", IFERROR(INDEX('بنود العقد'!E$3:E$388,C1583), 0), "")</f>
        <v/>
      </c>
      <c r="G1583" s="9" t="str">
        <f>IF(C1583&lt;&gt;"", IFERROR(INDEX('بنود العقد'!F$3:F$388,C1583), 0), "")</f>
        <v/>
      </c>
      <c r="H1583" s="18">
        <f t="shared" si="61"/>
        <v>0</v>
      </c>
      <c r="I1583" s="7"/>
      <c r="J1583" s="18">
        <f t="shared" si="56"/>
        <v>0</v>
      </c>
      <c r="K1583" s="10" t="str">
        <f t="shared" si="57"/>
        <v/>
      </c>
      <c r="L1583" s="21" t="str">
        <f t="shared" si="58"/>
        <v/>
      </c>
    </row>
    <row r="1584" spans="1:12" s="72" customFormat="1" ht="25.95" customHeight="1">
      <c r="A1584" s="12">
        <v>1582</v>
      </c>
      <c r="B1584" s="6">
        <v>21</v>
      </c>
      <c r="C1584" s="6"/>
      <c r="D1584" s="20" t="str">
        <f>IF(C1584&lt;&gt;"", IFERROR(INDEX('بنود العقد'!B$3:B$388,C1584), "⚠"), "")</f>
        <v/>
      </c>
      <c r="E1584" s="12" t="str">
        <f>IF(C1584&lt;&gt;"", IFERROR(INDEX('بنود العقد'!D$3:D$388,C1584), ""), "")</f>
        <v/>
      </c>
      <c r="F1584" s="9" t="str">
        <f>IF(C1584&lt;&gt;"", IFERROR(INDEX('بنود العقد'!E$3:E$388,C1584), 0), "")</f>
        <v/>
      </c>
      <c r="G1584" s="9" t="str">
        <f>IF(C1584&lt;&gt;"", IFERROR(INDEX('بنود العقد'!F$3:F$388,C1584), 0), "")</f>
        <v/>
      </c>
      <c r="H1584" s="18">
        <f t="shared" si="61"/>
        <v>0</v>
      </c>
      <c r="I1584" s="7"/>
      <c r="J1584" s="18">
        <f t="shared" si="56"/>
        <v>0</v>
      </c>
      <c r="K1584" s="10" t="str">
        <f t="shared" si="57"/>
        <v/>
      </c>
      <c r="L1584" s="21" t="str">
        <f t="shared" si="58"/>
        <v/>
      </c>
    </row>
    <row r="1585" spans="1:12" s="72" customFormat="1" ht="25.95" customHeight="1">
      <c r="A1585" s="12">
        <v>1583</v>
      </c>
      <c r="B1585" s="6">
        <v>21</v>
      </c>
      <c r="C1585" s="6"/>
      <c r="D1585" s="20" t="str">
        <f>IF(C1585&lt;&gt;"", IFERROR(INDEX('بنود العقد'!B$3:B$388,C1585), "⚠"), "")</f>
        <v/>
      </c>
      <c r="E1585" s="12" t="str">
        <f>IF(C1585&lt;&gt;"", IFERROR(INDEX('بنود العقد'!D$3:D$388,C1585), ""), "")</f>
        <v/>
      </c>
      <c r="F1585" s="9" t="str">
        <f>IF(C1585&lt;&gt;"", IFERROR(INDEX('بنود العقد'!E$3:E$388,C1585), 0), "")</f>
        <v/>
      </c>
      <c r="G1585" s="9" t="str">
        <f>IF(C1585&lt;&gt;"", IFERROR(INDEX('بنود العقد'!F$3:F$388,C1585), 0), "")</f>
        <v/>
      </c>
      <c r="H1585" s="18">
        <f t="shared" si="61"/>
        <v>0</v>
      </c>
      <c r="I1585" s="7"/>
      <c r="J1585" s="18">
        <f t="shared" si="56"/>
        <v>0</v>
      </c>
      <c r="K1585" s="10" t="str">
        <f t="shared" si="57"/>
        <v/>
      </c>
      <c r="L1585" s="21" t="str">
        <f t="shared" si="58"/>
        <v/>
      </c>
    </row>
    <row r="1586" spans="1:12" s="72" customFormat="1" ht="25.95" customHeight="1">
      <c r="A1586" s="12">
        <v>1584</v>
      </c>
      <c r="B1586" s="6">
        <v>21</v>
      </c>
      <c r="C1586" s="6"/>
      <c r="D1586" s="20" t="str">
        <f>IF(C1586&lt;&gt;"", IFERROR(INDEX('بنود العقد'!B$3:B$388,C1586), "⚠"), "")</f>
        <v/>
      </c>
      <c r="E1586" s="12" t="str">
        <f>IF(C1586&lt;&gt;"", IFERROR(INDEX('بنود العقد'!D$3:D$388,C1586), ""), "")</f>
        <v/>
      </c>
      <c r="F1586" s="9" t="str">
        <f>IF(C1586&lt;&gt;"", IFERROR(INDEX('بنود العقد'!E$3:E$388,C1586), 0), "")</f>
        <v/>
      </c>
      <c r="G1586" s="9" t="str">
        <f>IF(C1586&lt;&gt;"", IFERROR(INDEX('بنود العقد'!F$3:F$388,C1586), 0), "")</f>
        <v/>
      </c>
      <c r="H1586" s="18">
        <f t="shared" si="61"/>
        <v>0</v>
      </c>
      <c r="I1586" s="7"/>
      <c r="J1586" s="18">
        <f t="shared" si="56"/>
        <v>0</v>
      </c>
      <c r="K1586" s="10" t="str">
        <f t="shared" si="57"/>
        <v/>
      </c>
      <c r="L1586" s="21" t="str">
        <f t="shared" si="58"/>
        <v/>
      </c>
    </row>
    <row r="1587" spans="1:12" s="72" customFormat="1" ht="25.95" customHeight="1">
      <c r="A1587" s="12">
        <v>1585</v>
      </c>
      <c r="B1587" s="6">
        <v>21</v>
      </c>
      <c r="C1587" s="6"/>
      <c r="D1587" s="20" t="str">
        <f>IF(C1587&lt;&gt;"", IFERROR(INDEX('بنود العقد'!B$3:B$388,C1587), "⚠"), "")</f>
        <v/>
      </c>
      <c r="E1587" s="12" t="str">
        <f>IF(C1587&lt;&gt;"", IFERROR(INDEX('بنود العقد'!D$3:D$388,C1587), ""), "")</f>
        <v/>
      </c>
      <c r="F1587" s="9" t="str">
        <f>IF(C1587&lt;&gt;"", IFERROR(INDEX('بنود العقد'!E$3:E$388,C1587), 0), "")</f>
        <v/>
      </c>
      <c r="G1587" s="9" t="str">
        <f>IF(C1587&lt;&gt;"", IFERROR(INDEX('بنود العقد'!F$3:F$388,C1587), 0), "")</f>
        <v/>
      </c>
      <c r="H1587" s="18">
        <f t="shared" si="61"/>
        <v>0</v>
      </c>
      <c r="I1587" s="7"/>
      <c r="J1587" s="18">
        <f t="shared" si="56"/>
        <v>0</v>
      </c>
      <c r="K1587" s="10" t="str">
        <f t="shared" si="57"/>
        <v/>
      </c>
      <c r="L1587" s="21" t="str">
        <f t="shared" si="58"/>
        <v/>
      </c>
    </row>
    <row r="1588" spans="1:12" s="72" customFormat="1" ht="25.95" customHeight="1">
      <c r="A1588" s="12">
        <v>1586</v>
      </c>
      <c r="B1588" s="6">
        <v>21</v>
      </c>
      <c r="C1588" s="6"/>
      <c r="D1588" s="20" t="str">
        <f>IF(C1588&lt;&gt;"", IFERROR(INDEX('بنود العقد'!B$3:B$388,C1588), "⚠"), "")</f>
        <v/>
      </c>
      <c r="E1588" s="12" t="str">
        <f>IF(C1588&lt;&gt;"", IFERROR(INDEX('بنود العقد'!D$3:D$388,C1588), ""), "")</f>
        <v/>
      </c>
      <c r="F1588" s="9" t="str">
        <f>IF(C1588&lt;&gt;"", IFERROR(INDEX('بنود العقد'!E$3:E$388,C1588), 0), "")</f>
        <v/>
      </c>
      <c r="G1588" s="9" t="str">
        <f>IF(C1588&lt;&gt;"", IFERROR(INDEX('بنود العقد'!F$3:F$388,C1588), 0), "")</f>
        <v/>
      </c>
      <c r="H1588" s="18">
        <f t="shared" si="61"/>
        <v>0</v>
      </c>
      <c r="I1588" s="7"/>
      <c r="J1588" s="18">
        <f t="shared" si="56"/>
        <v>0</v>
      </c>
      <c r="K1588" s="10" t="str">
        <f t="shared" si="57"/>
        <v/>
      </c>
      <c r="L1588" s="21" t="str">
        <f t="shared" si="58"/>
        <v/>
      </c>
    </row>
    <row r="1589" spans="1:12" s="72" customFormat="1" ht="25.95" customHeight="1">
      <c r="A1589" s="12">
        <v>1587</v>
      </c>
      <c r="B1589" s="6">
        <v>21</v>
      </c>
      <c r="C1589" s="6"/>
      <c r="D1589" s="20" t="str">
        <f>IF(C1589&lt;&gt;"", IFERROR(INDEX('بنود العقد'!B$3:B$388,C1589), "⚠"), "")</f>
        <v/>
      </c>
      <c r="E1589" s="12" t="str">
        <f>IF(C1589&lt;&gt;"", IFERROR(INDEX('بنود العقد'!D$3:D$388,C1589), ""), "")</f>
        <v/>
      </c>
      <c r="F1589" s="9" t="str">
        <f>IF(C1589&lt;&gt;"", IFERROR(INDEX('بنود العقد'!E$3:E$388,C1589), 0), "")</f>
        <v/>
      </c>
      <c r="G1589" s="9" t="str">
        <f>IF(C1589&lt;&gt;"", IFERROR(INDEX('بنود العقد'!F$3:F$388,C1589), 0), "")</f>
        <v/>
      </c>
      <c r="H1589" s="18">
        <f t="shared" si="61"/>
        <v>0</v>
      </c>
      <c r="I1589" s="7"/>
      <c r="J1589" s="18">
        <f t="shared" si="56"/>
        <v>0</v>
      </c>
      <c r="K1589" s="10" t="str">
        <f t="shared" si="57"/>
        <v/>
      </c>
      <c r="L1589" s="21" t="str">
        <f t="shared" si="58"/>
        <v/>
      </c>
    </row>
    <row r="1590" spans="1:12" s="72" customFormat="1" ht="25.95" customHeight="1">
      <c r="A1590" s="12">
        <v>1588</v>
      </c>
      <c r="B1590" s="6">
        <v>21</v>
      </c>
      <c r="C1590" s="6"/>
      <c r="D1590" s="20" t="str">
        <f>IF(C1590&lt;&gt;"", IFERROR(INDEX('بنود العقد'!B$3:B$388,C1590), "⚠"), "")</f>
        <v/>
      </c>
      <c r="E1590" s="12" t="str">
        <f>IF(C1590&lt;&gt;"", IFERROR(INDEX('بنود العقد'!D$3:D$388,C1590), ""), "")</f>
        <v/>
      </c>
      <c r="F1590" s="9" t="str">
        <f>IF(C1590&lt;&gt;"", IFERROR(INDEX('بنود العقد'!E$3:E$388,C1590), 0), "")</f>
        <v/>
      </c>
      <c r="G1590" s="9" t="str">
        <f>IF(C1590&lt;&gt;"", IFERROR(INDEX('بنود العقد'!F$3:F$388,C1590), 0), "")</f>
        <v/>
      </c>
      <c r="H1590" s="18">
        <f t="shared" si="61"/>
        <v>0</v>
      </c>
      <c r="I1590" s="7"/>
      <c r="J1590" s="18">
        <f t="shared" si="56"/>
        <v>0</v>
      </c>
      <c r="K1590" s="10" t="str">
        <f t="shared" si="57"/>
        <v/>
      </c>
      <c r="L1590" s="21" t="str">
        <f t="shared" si="58"/>
        <v/>
      </c>
    </row>
    <row r="1591" spans="1:12" s="72" customFormat="1" ht="25.95" customHeight="1">
      <c r="A1591" s="12">
        <v>1589</v>
      </c>
      <c r="B1591" s="6">
        <v>21</v>
      </c>
      <c r="C1591" s="6"/>
      <c r="D1591" s="20" t="str">
        <f>IF(C1591&lt;&gt;"", IFERROR(INDEX('بنود العقد'!B$3:B$388,C1591), "⚠"), "")</f>
        <v/>
      </c>
      <c r="E1591" s="12" t="str">
        <f>IF(C1591&lt;&gt;"", IFERROR(INDEX('بنود العقد'!D$3:D$388,C1591), ""), "")</f>
        <v/>
      </c>
      <c r="F1591" s="9" t="str">
        <f>IF(C1591&lt;&gt;"", IFERROR(INDEX('بنود العقد'!E$3:E$388,C1591), 0), "")</f>
        <v/>
      </c>
      <c r="G1591" s="9" t="str">
        <f>IF(C1591&lt;&gt;"", IFERROR(INDEX('بنود العقد'!F$3:F$388,C1591), 0), "")</f>
        <v/>
      </c>
      <c r="H1591" s="18">
        <f t="shared" si="61"/>
        <v>0</v>
      </c>
      <c r="I1591" s="7"/>
      <c r="J1591" s="18">
        <f t="shared" si="56"/>
        <v>0</v>
      </c>
      <c r="K1591" s="10" t="str">
        <f t="shared" si="57"/>
        <v/>
      </c>
      <c r="L1591" s="21" t="str">
        <f t="shared" si="58"/>
        <v/>
      </c>
    </row>
    <row r="1592" spans="1:12" s="72" customFormat="1" ht="25.95" customHeight="1">
      <c r="A1592" s="12">
        <v>1590</v>
      </c>
      <c r="B1592" s="6">
        <v>21</v>
      </c>
      <c r="C1592" s="6"/>
      <c r="D1592" s="20" t="str">
        <f>IF(C1592&lt;&gt;"", IFERROR(INDEX('بنود العقد'!B$3:B$388,C1592), "⚠"), "")</f>
        <v/>
      </c>
      <c r="E1592" s="12" t="str">
        <f>IF(C1592&lt;&gt;"", IFERROR(INDEX('بنود العقد'!D$3:D$388,C1592), ""), "")</f>
        <v/>
      </c>
      <c r="F1592" s="9" t="str">
        <f>IF(C1592&lt;&gt;"", IFERROR(INDEX('بنود العقد'!E$3:E$388,C1592), 0), "")</f>
        <v/>
      </c>
      <c r="G1592" s="9" t="str">
        <f>IF(C1592&lt;&gt;"", IFERROR(INDEX('بنود العقد'!F$3:F$388,C1592), 0), "")</f>
        <v/>
      </c>
      <c r="H1592" s="18">
        <f t="shared" si="61"/>
        <v>0</v>
      </c>
      <c r="I1592" s="7"/>
      <c r="J1592" s="18">
        <f t="shared" si="56"/>
        <v>0</v>
      </c>
      <c r="K1592" s="10" t="str">
        <f t="shared" si="57"/>
        <v/>
      </c>
      <c r="L1592" s="21" t="str">
        <f t="shared" si="58"/>
        <v/>
      </c>
    </row>
    <row r="1593" spans="1:12" s="72" customFormat="1" ht="25.95" customHeight="1">
      <c r="A1593" s="12">
        <v>1591</v>
      </c>
      <c r="B1593" s="6">
        <v>21</v>
      </c>
      <c r="C1593" s="6"/>
      <c r="D1593" s="20" t="str">
        <f>IF(C1593&lt;&gt;"", IFERROR(INDEX('بنود العقد'!B$3:B$388,C1593), "⚠"), "")</f>
        <v/>
      </c>
      <c r="E1593" s="12" t="str">
        <f>IF(C1593&lt;&gt;"", IFERROR(INDEX('بنود العقد'!D$3:D$388,C1593), ""), "")</f>
        <v/>
      </c>
      <c r="F1593" s="9" t="str">
        <f>IF(C1593&lt;&gt;"", IFERROR(INDEX('بنود العقد'!E$3:E$388,C1593), 0), "")</f>
        <v/>
      </c>
      <c r="G1593" s="9" t="str">
        <f>IF(C1593&lt;&gt;"", IFERROR(INDEX('بنود العقد'!F$3:F$388,C1593), 0), "")</f>
        <v/>
      </c>
      <c r="H1593" s="18">
        <f t="shared" si="61"/>
        <v>0</v>
      </c>
      <c r="I1593" s="7"/>
      <c r="J1593" s="18">
        <f t="shared" si="56"/>
        <v>0</v>
      </c>
      <c r="K1593" s="10" t="str">
        <f t="shared" si="57"/>
        <v/>
      </c>
      <c r="L1593" s="21" t="str">
        <f t="shared" si="58"/>
        <v/>
      </c>
    </row>
    <row r="1594" spans="1:12" s="72" customFormat="1" ht="25.95" customHeight="1">
      <c r="A1594" s="12">
        <v>1592</v>
      </c>
      <c r="B1594" s="6">
        <v>21</v>
      </c>
      <c r="C1594" s="6"/>
      <c r="D1594" s="20" t="str">
        <f>IF(C1594&lt;&gt;"", IFERROR(INDEX('بنود العقد'!B$3:B$388,C1594), "⚠"), "")</f>
        <v/>
      </c>
      <c r="E1594" s="12" t="str">
        <f>IF(C1594&lt;&gt;"", IFERROR(INDEX('بنود العقد'!D$3:D$388,C1594), ""), "")</f>
        <v/>
      </c>
      <c r="F1594" s="9" t="str">
        <f>IF(C1594&lt;&gt;"", IFERROR(INDEX('بنود العقد'!E$3:E$388,C1594), 0), "")</f>
        <v/>
      </c>
      <c r="G1594" s="9" t="str">
        <f>IF(C1594&lt;&gt;"", IFERROR(INDEX('بنود العقد'!F$3:F$388,C1594), 0), "")</f>
        <v/>
      </c>
      <c r="H1594" s="18">
        <f t="shared" si="61"/>
        <v>0</v>
      </c>
      <c r="I1594" s="7"/>
      <c r="J1594" s="18">
        <f t="shared" si="56"/>
        <v>0</v>
      </c>
      <c r="K1594" s="10" t="str">
        <f t="shared" si="57"/>
        <v/>
      </c>
      <c r="L1594" s="21" t="str">
        <f t="shared" si="58"/>
        <v/>
      </c>
    </row>
    <row r="1595" spans="1:12" s="72" customFormat="1" ht="25.95" customHeight="1">
      <c r="A1595" s="12">
        <v>1593</v>
      </c>
      <c r="B1595" s="6">
        <v>21</v>
      </c>
      <c r="C1595" s="6"/>
      <c r="D1595" s="20" t="str">
        <f>IF(C1595&lt;&gt;"", IFERROR(INDEX('بنود العقد'!B$3:B$388,C1595), "⚠"), "")</f>
        <v/>
      </c>
      <c r="E1595" s="12" t="str">
        <f>IF(C1595&lt;&gt;"", IFERROR(INDEX('بنود العقد'!D$3:D$388,C1595), ""), "")</f>
        <v/>
      </c>
      <c r="F1595" s="9" t="str">
        <f>IF(C1595&lt;&gt;"", IFERROR(INDEX('بنود العقد'!E$3:E$388,C1595), 0), "")</f>
        <v/>
      </c>
      <c r="G1595" s="9" t="str">
        <f>IF(C1595&lt;&gt;"", IFERROR(INDEX('بنود العقد'!F$3:F$388,C1595), 0), "")</f>
        <v/>
      </c>
      <c r="H1595" s="18">
        <f t="shared" si="61"/>
        <v>0</v>
      </c>
      <c r="I1595" s="7"/>
      <c r="J1595" s="18">
        <f t="shared" si="56"/>
        <v>0</v>
      </c>
      <c r="K1595" s="10" t="str">
        <f t="shared" si="57"/>
        <v/>
      </c>
      <c r="L1595" s="21" t="str">
        <f t="shared" si="58"/>
        <v/>
      </c>
    </row>
    <row r="1596" spans="1:12" s="72" customFormat="1" ht="25.95" customHeight="1">
      <c r="A1596" s="12">
        <v>1594</v>
      </c>
      <c r="B1596" s="6">
        <v>21</v>
      </c>
      <c r="C1596" s="6"/>
      <c r="D1596" s="20" t="str">
        <f>IF(C1596&lt;&gt;"", IFERROR(INDEX('بنود العقد'!B$3:B$388,C1596), "⚠"), "")</f>
        <v/>
      </c>
      <c r="E1596" s="12" t="str">
        <f>IF(C1596&lt;&gt;"", IFERROR(INDEX('بنود العقد'!D$3:D$388,C1596), ""), "")</f>
        <v/>
      </c>
      <c r="F1596" s="9" t="str">
        <f>IF(C1596&lt;&gt;"", IFERROR(INDEX('بنود العقد'!E$3:E$388,C1596), 0), "")</f>
        <v/>
      </c>
      <c r="G1596" s="9" t="str">
        <f>IF(C1596&lt;&gt;"", IFERROR(INDEX('بنود العقد'!F$3:F$388,C1596), 0), "")</f>
        <v/>
      </c>
      <c r="H1596" s="18">
        <f t="shared" si="61"/>
        <v>0</v>
      </c>
      <c r="I1596" s="7"/>
      <c r="J1596" s="18">
        <f t="shared" si="56"/>
        <v>0</v>
      </c>
      <c r="K1596" s="10" t="str">
        <f t="shared" si="57"/>
        <v/>
      </c>
      <c r="L1596" s="21" t="str">
        <f t="shared" si="58"/>
        <v/>
      </c>
    </row>
    <row r="1597" spans="1:12" s="72" customFormat="1" ht="25.95" customHeight="1">
      <c r="A1597" s="12">
        <v>1595</v>
      </c>
      <c r="B1597" s="6">
        <v>21</v>
      </c>
      <c r="C1597" s="6"/>
      <c r="D1597" s="20" t="str">
        <f>IF(C1597&lt;&gt;"", IFERROR(INDEX('بنود العقد'!B$3:B$388,C1597), "⚠"), "")</f>
        <v/>
      </c>
      <c r="E1597" s="12" t="str">
        <f>IF(C1597&lt;&gt;"", IFERROR(INDEX('بنود العقد'!D$3:D$388,C1597), ""), "")</f>
        <v/>
      </c>
      <c r="F1597" s="9" t="str">
        <f>IF(C1597&lt;&gt;"", IFERROR(INDEX('بنود العقد'!E$3:E$388,C1597), 0), "")</f>
        <v/>
      </c>
      <c r="G1597" s="9" t="str">
        <f>IF(C1597&lt;&gt;"", IFERROR(INDEX('بنود العقد'!F$3:F$388,C1597), 0), "")</f>
        <v/>
      </c>
      <c r="H1597" s="18">
        <f t="shared" si="61"/>
        <v>0</v>
      </c>
      <c r="I1597" s="7"/>
      <c r="J1597" s="18">
        <f t="shared" si="56"/>
        <v>0</v>
      </c>
      <c r="K1597" s="10" t="str">
        <f t="shared" si="57"/>
        <v/>
      </c>
      <c r="L1597" s="21" t="str">
        <f t="shared" si="58"/>
        <v/>
      </c>
    </row>
    <row r="1598" spans="1:12" s="72" customFormat="1" ht="25.95" customHeight="1">
      <c r="A1598" s="12">
        <v>1596</v>
      </c>
      <c r="B1598" s="6">
        <v>21</v>
      </c>
      <c r="C1598" s="6"/>
      <c r="D1598" s="20" t="str">
        <f>IF(C1598&lt;&gt;"", IFERROR(INDEX('بنود العقد'!B$3:B$388,C1598), "⚠"), "")</f>
        <v/>
      </c>
      <c r="E1598" s="12" t="str">
        <f>IF(C1598&lt;&gt;"", IFERROR(INDEX('بنود العقد'!D$3:D$388,C1598), ""), "")</f>
        <v/>
      </c>
      <c r="F1598" s="9" t="str">
        <f>IF(C1598&lt;&gt;"", IFERROR(INDEX('بنود العقد'!E$3:E$388,C1598), 0), "")</f>
        <v/>
      </c>
      <c r="G1598" s="9" t="str">
        <f>IF(C1598&lt;&gt;"", IFERROR(INDEX('بنود العقد'!F$3:F$388,C1598), 0), "")</f>
        <v/>
      </c>
      <c r="H1598" s="18">
        <f t="shared" si="61"/>
        <v>0</v>
      </c>
      <c r="I1598" s="7"/>
      <c r="J1598" s="18">
        <f t="shared" si="56"/>
        <v>0</v>
      </c>
      <c r="K1598" s="10" t="str">
        <f t="shared" si="57"/>
        <v/>
      </c>
      <c r="L1598" s="21" t="str">
        <f t="shared" si="58"/>
        <v/>
      </c>
    </row>
    <row r="1599" spans="1:12" s="72" customFormat="1" ht="25.95" customHeight="1">
      <c r="A1599" s="12">
        <v>1597</v>
      </c>
      <c r="B1599" s="6">
        <v>21</v>
      </c>
      <c r="C1599" s="6"/>
      <c r="D1599" s="20" t="str">
        <f>IF(C1599&lt;&gt;"", IFERROR(INDEX('بنود العقد'!B$3:B$388,C1599), "⚠"), "")</f>
        <v/>
      </c>
      <c r="E1599" s="12" t="str">
        <f>IF(C1599&lt;&gt;"", IFERROR(INDEX('بنود العقد'!D$3:D$388,C1599), ""), "")</f>
        <v/>
      </c>
      <c r="F1599" s="9" t="str">
        <f>IF(C1599&lt;&gt;"", IFERROR(INDEX('بنود العقد'!E$3:E$388,C1599), 0), "")</f>
        <v/>
      </c>
      <c r="G1599" s="9" t="str">
        <f>IF(C1599&lt;&gt;"", IFERROR(INDEX('بنود العقد'!F$3:F$388,C1599), 0), "")</f>
        <v/>
      </c>
      <c r="H1599" s="18">
        <f t="shared" si="61"/>
        <v>0</v>
      </c>
      <c r="I1599" s="7"/>
      <c r="J1599" s="18">
        <f t="shared" si="56"/>
        <v>0</v>
      </c>
      <c r="K1599" s="10" t="str">
        <f t="shared" si="57"/>
        <v/>
      </c>
      <c r="L1599" s="21" t="str">
        <f t="shared" si="58"/>
        <v/>
      </c>
    </row>
    <row r="1600" spans="1:12" s="72" customFormat="1" ht="25.95" customHeight="1">
      <c r="A1600" s="12">
        <v>1598</v>
      </c>
      <c r="B1600" s="6">
        <v>21</v>
      </c>
      <c r="C1600" s="6"/>
      <c r="D1600" s="20" t="str">
        <f>IF(C1600&lt;&gt;"", IFERROR(INDEX('بنود العقد'!B$3:B$388,C1600), "⚠"), "")</f>
        <v/>
      </c>
      <c r="E1600" s="12" t="str">
        <f>IF(C1600&lt;&gt;"", IFERROR(INDEX('بنود العقد'!D$3:D$388,C1600), ""), "")</f>
        <v/>
      </c>
      <c r="F1600" s="9" t="str">
        <f>IF(C1600&lt;&gt;"", IFERROR(INDEX('بنود العقد'!E$3:E$388,C1600), 0), "")</f>
        <v/>
      </c>
      <c r="G1600" s="9" t="str">
        <f>IF(C1600&lt;&gt;"", IFERROR(INDEX('بنود العقد'!F$3:F$388,C1600), 0), "")</f>
        <v/>
      </c>
      <c r="H1600" s="18">
        <f t="shared" si="61"/>
        <v>0</v>
      </c>
      <c r="I1600" s="7"/>
      <c r="J1600" s="18">
        <f t="shared" si="56"/>
        <v>0</v>
      </c>
      <c r="K1600" s="10" t="str">
        <f t="shared" si="57"/>
        <v/>
      </c>
      <c r="L1600" s="21" t="str">
        <f t="shared" si="58"/>
        <v/>
      </c>
    </row>
    <row r="1601" spans="1:12" s="72" customFormat="1" ht="25.95" customHeight="1">
      <c r="A1601" s="12">
        <v>1599</v>
      </c>
      <c r="B1601" s="6">
        <v>21</v>
      </c>
      <c r="C1601" s="6"/>
      <c r="D1601" s="20" t="str">
        <f>IF(C1601&lt;&gt;"", IFERROR(INDEX('بنود العقد'!B$3:B$388,C1601), "⚠"), "")</f>
        <v/>
      </c>
      <c r="E1601" s="12" t="str">
        <f>IF(C1601&lt;&gt;"", IFERROR(INDEX('بنود العقد'!D$3:D$388,C1601), ""), "")</f>
        <v/>
      </c>
      <c r="F1601" s="9" t="str">
        <f>IF(C1601&lt;&gt;"", IFERROR(INDEX('بنود العقد'!E$3:E$388,C1601), 0), "")</f>
        <v/>
      </c>
      <c r="G1601" s="9" t="str">
        <f>IF(C1601&lt;&gt;"", IFERROR(INDEX('بنود العقد'!F$3:F$388,C1601), 0), "")</f>
        <v/>
      </c>
      <c r="H1601" s="18">
        <f t="shared" si="61"/>
        <v>0</v>
      </c>
      <c r="I1601" s="7"/>
      <c r="J1601" s="18">
        <f t="shared" si="56"/>
        <v>0</v>
      </c>
      <c r="K1601" s="10" t="str">
        <f t="shared" si="57"/>
        <v/>
      </c>
      <c r="L1601" s="21" t="str">
        <f t="shared" si="58"/>
        <v/>
      </c>
    </row>
    <row r="1602" spans="1:12" s="72" customFormat="1" ht="25.95" customHeight="1">
      <c r="A1602" s="12">
        <v>1600</v>
      </c>
      <c r="B1602" s="6">
        <v>21</v>
      </c>
      <c r="C1602" s="6"/>
      <c r="D1602" s="20" t="str">
        <f>IF(C1602&lt;&gt;"", IFERROR(INDEX('بنود العقد'!B$3:B$388,C1602), "⚠"), "")</f>
        <v/>
      </c>
      <c r="E1602" s="12" t="str">
        <f>IF(C1602&lt;&gt;"", IFERROR(INDEX('بنود العقد'!D$3:D$388,C1602), ""), "")</f>
        <v/>
      </c>
      <c r="F1602" s="9" t="str">
        <f>IF(C1602&lt;&gt;"", IFERROR(INDEX('بنود العقد'!E$3:E$388,C1602), 0), "")</f>
        <v/>
      </c>
      <c r="G1602" s="9" t="str">
        <f>IF(C1602&lt;&gt;"", IFERROR(INDEX('بنود العقد'!F$3:F$388,C1602), 0), "")</f>
        <v/>
      </c>
      <c r="H1602" s="18">
        <f t="shared" si="61"/>
        <v>0</v>
      </c>
      <c r="I1602" s="7"/>
      <c r="J1602" s="18">
        <f t="shared" si="56"/>
        <v>0</v>
      </c>
      <c r="K1602" s="10" t="str">
        <f t="shared" si="57"/>
        <v/>
      </c>
      <c r="L1602" s="21" t="str">
        <f t="shared" si="58"/>
        <v/>
      </c>
    </row>
    <row r="1603" spans="1:12" s="72" customFormat="1" ht="25.95" customHeight="1">
      <c r="A1603" s="12">
        <v>1601</v>
      </c>
      <c r="B1603" s="6">
        <v>21</v>
      </c>
      <c r="C1603" s="6"/>
      <c r="D1603" s="20" t="str">
        <f>IF(C1603&lt;&gt;"", IFERROR(INDEX('بنود العقد'!B$3:B$388,C1603), "⚠"), "")</f>
        <v/>
      </c>
      <c r="E1603" s="12" t="str">
        <f>IF(C1603&lt;&gt;"", IFERROR(INDEX('بنود العقد'!D$3:D$388,C1603), ""), "")</f>
        <v/>
      </c>
      <c r="F1603" s="9" t="str">
        <f>IF(C1603&lt;&gt;"", IFERROR(INDEX('بنود العقد'!E$3:E$388,C1603), 0), "")</f>
        <v/>
      </c>
      <c r="G1603" s="9" t="str">
        <f>IF(C1603&lt;&gt;"", IFERROR(INDEX('بنود العقد'!F$3:F$388,C1603), 0), "")</f>
        <v/>
      </c>
      <c r="H1603" s="18">
        <f t="shared" si="61"/>
        <v>0</v>
      </c>
      <c r="I1603" s="7"/>
      <c r="J1603" s="18">
        <f t="shared" si="56"/>
        <v>0</v>
      </c>
      <c r="K1603" s="10" t="str">
        <f t="shared" si="57"/>
        <v/>
      </c>
      <c r="L1603" s="21" t="str">
        <f t="shared" si="58"/>
        <v/>
      </c>
    </row>
    <row r="1604" spans="1:12" ht="25.95" customHeight="1">
      <c r="A1604" s="12">
        <v>1602</v>
      </c>
      <c r="B1604" s="6">
        <v>21</v>
      </c>
      <c r="C1604" s="6"/>
      <c r="D1604" s="20" t="str">
        <f>IF(C1604&lt;&gt;"", IFERROR(INDEX('بنود العقد'!B$3:B$388,C1604), "⚠"), "")</f>
        <v/>
      </c>
      <c r="E1604" s="12" t="str">
        <f>IF(C1604&lt;&gt;"", IFERROR(INDEX('بنود العقد'!D$3:D$388,C1604), ""), "")</f>
        <v/>
      </c>
      <c r="F1604" s="9" t="str">
        <f>IF(C1604&lt;&gt;"", IFERROR(INDEX('بنود العقد'!E$3:E$388,C1604), 0), "")</f>
        <v/>
      </c>
      <c r="G1604" s="9" t="str">
        <f>IF(C1604&lt;&gt;"", IFERROR(INDEX('بنود العقد'!F$3:F$388,C1604), 0), "")</f>
        <v/>
      </c>
      <c r="H1604" s="18">
        <f t="shared" si="61"/>
        <v>0</v>
      </c>
      <c r="I1604" s="7"/>
      <c r="J1604" s="18">
        <f t="shared" si="56"/>
        <v>0</v>
      </c>
      <c r="K1604" s="10" t="str">
        <f t="shared" si="57"/>
        <v/>
      </c>
      <c r="L1604" s="21" t="str">
        <f t="shared" si="58"/>
        <v/>
      </c>
    </row>
    <row r="1605" spans="1:12" ht="25.95" customHeight="1">
      <c r="A1605" s="12">
        <v>1603</v>
      </c>
      <c r="B1605" s="6">
        <v>21</v>
      </c>
      <c r="C1605" s="6"/>
      <c r="D1605" s="20" t="str">
        <f>IF(C1605&lt;&gt;"", IFERROR(INDEX('بنود العقد'!B$3:B$388,C1605), "⚠"), "")</f>
        <v/>
      </c>
      <c r="E1605" s="12" t="str">
        <f>IF(C1605&lt;&gt;"", IFERROR(INDEX('بنود العقد'!D$3:D$388,C1605), ""), "")</f>
        <v/>
      </c>
      <c r="F1605" s="9" t="str">
        <f>IF(C1605&lt;&gt;"", IFERROR(INDEX('بنود العقد'!E$3:E$388,C1605), 0), "")</f>
        <v/>
      </c>
      <c r="G1605" s="9" t="str">
        <f>IF(C1605&lt;&gt;"", IFERROR(INDEX('بنود العقد'!F$3:F$388,C1605), 0), "")</f>
        <v/>
      </c>
      <c r="H1605" s="18">
        <f t="shared" si="61"/>
        <v>0</v>
      </c>
      <c r="I1605" s="7"/>
      <c r="J1605" s="18">
        <f t="shared" si="56"/>
        <v>0</v>
      </c>
      <c r="K1605" s="10" t="str">
        <f t="shared" si="57"/>
        <v/>
      </c>
      <c r="L1605" s="21" t="str">
        <f t="shared" si="58"/>
        <v/>
      </c>
    </row>
    <row r="1606" spans="1:12" ht="25.95" hidden="1" customHeight="1">
      <c r="A1606" s="12">
        <v>1604</v>
      </c>
      <c r="B1606" s="6">
        <v>20</v>
      </c>
      <c r="C1606" s="6"/>
      <c r="D1606" s="20" t="str">
        <f>IF(C1606&lt;&gt;"", IFERROR(INDEX('بنود العقد'!B$3:B$388,C1606), "⚠"), "")</f>
        <v/>
      </c>
      <c r="E1606" s="12" t="str">
        <f>IF(C1606&lt;&gt;"", IFERROR(INDEX('بنود العقد'!D$3:D$388,C1606), ""), "")</f>
        <v/>
      </c>
      <c r="F1606" s="9" t="str">
        <f>IF(C1606&lt;&gt;"", IFERROR(INDEX('بنود العقد'!E$3:E$388,C1606), 0), "")</f>
        <v/>
      </c>
      <c r="G1606" s="9" t="str">
        <f>IF(C1606&lt;&gt;"", IFERROR(INDEX('بنود العقد'!F$3:F$388,C1606), 0), "")</f>
        <v/>
      </c>
      <c r="H1606" s="18">
        <f t="shared" ref="H1606:H1669" si="62">IFERROR(SUMIFS(I$3:I$1805, B$3:B$1805, "&lt;"&amp;B1606, C$3:C$1805, C1606), 0)</f>
        <v>0</v>
      </c>
      <c r="I1606" s="7"/>
      <c r="J1606" s="18">
        <f t="shared" si="56"/>
        <v>0</v>
      </c>
      <c r="K1606" s="10" t="str">
        <f t="shared" si="57"/>
        <v/>
      </c>
      <c r="L1606" s="21" t="str">
        <f t="shared" si="58"/>
        <v/>
      </c>
    </row>
    <row r="1607" spans="1:12" ht="25.95" hidden="1" customHeight="1">
      <c r="A1607" s="12">
        <v>1282</v>
      </c>
      <c r="B1607" s="6">
        <v>20</v>
      </c>
      <c r="C1607" s="6"/>
      <c r="D1607" s="20" t="str">
        <f>IF(C1607&lt;&gt;"", IFERROR(INDEX('بنود العقد'!B$3:B$388,C1607), "⚠"), "")</f>
        <v/>
      </c>
      <c r="E1607" s="12" t="str">
        <f>IF(C1607&lt;&gt;"", IFERROR(INDEX('بنود العقد'!D$3:D$388,C1607), ""), "")</f>
        <v/>
      </c>
      <c r="F1607" s="9" t="str">
        <f>IF(C1607&lt;&gt;"", IFERROR(INDEX('بنود العقد'!E$3:E$388,C1607), 0), "")</f>
        <v/>
      </c>
      <c r="G1607" s="9" t="str">
        <f>IF(C1607&lt;&gt;"", IFERROR(INDEX('بنود العقد'!F$3:F$388,C1607), 0), "")</f>
        <v/>
      </c>
      <c r="H1607" s="18">
        <f t="shared" si="62"/>
        <v>0</v>
      </c>
      <c r="I1607" s="7"/>
      <c r="J1607" s="18">
        <f t="shared" si="56"/>
        <v>0</v>
      </c>
      <c r="K1607" s="10" t="str">
        <f t="shared" si="57"/>
        <v/>
      </c>
      <c r="L1607" s="21" t="str">
        <f t="shared" si="58"/>
        <v/>
      </c>
    </row>
    <row r="1608" spans="1:12" ht="25.95" hidden="1" customHeight="1">
      <c r="A1608" s="12">
        <v>1283</v>
      </c>
      <c r="B1608" s="6">
        <v>20</v>
      </c>
      <c r="C1608" s="6"/>
      <c r="D1608" s="20" t="str">
        <f>IF(C1608&lt;&gt;"", IFERROR(INDEX('بنود العقد'!B$3:B$388,C1608), "⚠"), "")</f>
        <v/>
      </c>
      <c r="E1608" s="12" t="str">
        <f>IF(C1608&lt;&gt;"", IFERROR(INDEX('بنود العقد'!D$3:D$388,C1608), ""), "")</f>
        <v/>
      </c>
      <c r="F1608" s="9" t="str">
        <f>IF(C1608&lt;&gt;"", IFERROR(INDEX('بنود العقد'!E$3:E$388,C1608), 0), "")</f>
        <v/>
      </c>
      <c r="G1608" s="9" t="str">
        <f>IF(C1608&lt;&gt;"", IFERROR(INDEX('بنود العقد'!F$3:F$388,C1608), 0), "")</f>
        <v/>
      </c>
      <c r="H1608" s="18">
        <f t="shared" si="62"/>
        <v>0</v>
      </c>
      <c r="I1608" s="7"/>
      <c r="J1608" s="18">
        <f t="shared" si="56"/>
        <v>0</v>
      </c>
      <c r="K1608" s="10" t="str">
        <f t="shared" si="57"/>
        <v/>
      </c>
      <c r="L1608" s="21" t="str">
        <f t="shared" si="58"/>
        <v/>
      </c>
    </row>
    <row r="1609" spans="1:12" ht="25.95" hidden="1" customHeight="1">
      <c r="A1609" s="12">
        <v>1284</v>
      </c>
      <c r="B1609" s="6">
        <v>20</v>
      </c>
      <c r="C1609" s="6"/>
      <c r="D1609" s="20" t="str">
        <f>IF(C1609&lt;&gt;"", IFERROR(INDEX('بنود العقد'!B$3:B$388,C1609), "⚠"), "")</f>
        <v/>
      </c>
      <c r="E1609" s="12" t="str">
        <f>IF(C1609&lt;&gt;"", IFERROR(INDEX('بنود العقد'!D$3:D$388,C1609), ""), "")</f>
        <v/>
      </c>
      <c r="F1609" s="9" t="str">
        <f>IF(C1609&lt;&gt;"", IFERROR(INDEX('بنود العقد'!E$3:E$388,C1609), 0), "")</f>
        <v/>
      </c>
      <c r="G1609" s="9" t="str">
        <f>IF(C1609&lt;&gt;"", IFERROR(INDEX('بنود العقد'!F$3:F$388,C1609), 0), "")</f>
        <v/>
      </c>
      <c r="H1609" s="18">
        <f t="shared" si="62"/>
        <v>0</v>
      </c>
      <c r="I1609" s="7"/>
      <c r="J1609" s="18">
        <f t="shared" si="56"/>
        <v>0</v>
      </c>
      <c r="K1609" s="10" t="str">
        <f t="shared" si="57"/>
        <v/>
      </c>
      <c r="L1609" s="21" t="str">
        <f t="shared" si="58"/>
        <v/>
      </c>
    </row>
    <row r="1610" spans="1:12" ht="25.95" hidden="1" customHeight="1">
      <c r="A1610" s="12">
        <v>1285</v>
      </c>
      <c r="B1610" s="6">
        <v>20</v>
      </c>
      <c r="C1610" s="6"/>
      <c r="D1610" s="20" t="str">
        <f>IF(C1610&lt;&gt;"", IFERROR(INDEX('بنود العقد'!B$3:B$388,C1610), "⚠"), "")</f>
        <v/>
      </c>
      <c r="E1610" s="12" t="str">
        <f>IF(C1610&lt;&gt;"", IFERROR(INDEX('بنود العقد'!D$3:D$388,C1610), ""), "")</f>
        <v/>
      </c>
      <c r="F1610" s="9" t="str">
        <f>IF(C1610&lt;&gt;"", IFERROR(INDEX('بنود العقد'!E$3:E$388,C1610), 0), "")</f>
        <v/>
      </c>
      <c r="G1610" s="9" t="str">
        <f>IF(C1610&lt;&gt;"", IFERROR(INDEX('بنود العقد'!F$3:F$388,C1610), 0), "")</f>
        <v/>
      </c>
      <c r="H1610" s="18">
        <f t="shared" si="62"/>
        <v>0</v>
      </c>
      <c r="I1610" s="7"/>
      <c r="J1610" s="18">
        <f t="shared" si="56"/>
        <v>0</v>
      </c>
      <c r="K1610" s="10" t="str">
        <f t="shared" si="57"/>
        <v/>
      </c>
      <c r="L1610" s="21" t="str">
        <f t="shared" si="58"/>
        <v/>
      </c>
    </row>
    <row r="1611" spans="1:12" ht="25.95" hidden="1" customHeight="1">
      <c r="A1611" s="12">
        <v>1286</v>
      </c>
      <c r="B1611" s="6">
        <v>20</v>
      </c>
      <c r="C1611" s="6"/>
      <c r="D1611" s="20" t="str">
        <f>IF(C1611&lt;&gt;"", IFERROR(INDEX('بنود العقد'!B$3:B$388,C1611), "⚠"), "")</f>
        <v/>
      </c>
      <c r="E1611" s="12" t="str">
        <f>IF(C1611&lt;&gt;"", IFERROR(INDEX('بنود العقد'!D$3:D$388,C1611), ""), "")</f>
        <v/>
      </c>
      <c r="F1611" s="9" t="str">
        <f>IF(C1611&lt;&gt;"", IFERROR(INDEX('بنود العقد'!E$3:E$388,C1611), 0), "")</f>
        <v/>
      </c>
      <c r="G1611" s="9" t="str">
        <f>IF(C1611&lt;&gt;"", IFERROR(INDEX('بنود العقد'!F$3:F$388,C1611), 0), "")</f>
        <v/>
      </c>
      <c r="H1611" s="18">
        <f t="shared" si="62"/>
        <v>0</v>
      </c>
      <c r="I1611" s="7"/>
      <c r="J1611" s="18">
        <f t="shared" si="56"/>
        <v>0</v>
      </c>
      <c r="K1611" s="10" t="str">
        <f t="shared" si="57"/>
        <v/>
      </c>
      <c r="L1611" s="21" t="str">
        <f t="shared" si="58"/>
        <v/>
      </c>
    </row>
    <row r="1612" spans="1:12" ht="25.95" hidden="1" customHeight="1">
      <c r="A1612" s="12">
        <v>1287</v>
      </c>
      <c r="B1612" s="6">
        <v>20</v>
      </c>
      <c r="C1612" s="6"/>
      <c r="D1612" s="20" t="str">
        <f>IF(C1612&lt;&gt;"", IFERROR(INDEX('بنود العقد'!B$3:B$388,C1612), "⚠"), "")</f>
        <v/>
      </c>
      <c r="E1612" s="12" t="str">
        <f>IF(C1612&lt;&gt;"", IFERROR(INDEX('بنود العقد'!D$3:D$388,C1612), ""), "")</f>
        <v/>
      </c>
      <c r="F1612" s="9" t="str">
        <f>IF(C1612&lt;&gt;"", IFERROR(INDEX('بنود العقد'!E$3:E$388,C1612), 0), "")</f>
        <v/>
      </c>
      <c r="G1612" s="9" t="str">
        <f>IF(C1612&lt;&gt;"", IFERROR(INDEX('بنود العقد'!F$3:F$388,C1612), 0), "")</f>
        <v/>
      </c>
      <c r="H1612" s="18">
        <f t="shared" si="62"/>
        <v>0</v>
      </c>
      <c r="I1612" s="7"/>
      <c r="J1612" s="18">
        <f t="shared" si="56"/>
        <v>0</v>
      </c>
      <c r="K1612" s="10" t="str">
        <f t="shared" si="57"/>
        <v/>
      </c>
      <c r="L1612" s="21" t="str">
        <f t="shared" si="58"/>
        <v/>
      </c>
    </row>
    <row r="1613" spans="1:12" ht="25.95" hidden="1" customHeight="1">
      <c r="A1613" s="12">
        <v>1288</v>
      </c>
      <c r="B1613" s="6">
        <v>20</v>
      </c>
      <c r="C1613" s="6"/>
      <c r="D1613" s="20" t="str">
        <f>IF(C1613&lt;&gt;"", IFERROR(INDEX('بنود العقد'!B$3:B$388,C1613), "⚠"), "")</f>
        <v/>
      </c>
      <c r="E1613" s="12" t="str">
        <f>IF(C1613&lt;&gt;"", IFERROR(INDEX('بنود العقد'!D$3:D$388,C1613), ""), "")</f>
        <v/>
      </c>
      <c r="F1613" s="9" t="str">
        <f>IF(C1613&lt;&gt;"", IFERROR(INDEX('بنود العقد'!E$3:E$388,C1613), 0), "")</f>
        <v/>
      </c>
      <c r="G1613" s="9" t="str">
        <f>IF(C1613&lt;&gt;"", IFERROR(INDEX('بنود العقد'!F$3:F$388,C1613), 0), "")</f>
        <v/>
      </c>
      <c r="H1613" s="18">
        <f t="shared" si="62"/>
        <v>0</v>
      </c>
      <c r="I1613" s="7"/>
      <c r="J1613" s="18">
        <f t="shared" si="56"/>
        <v>0</v>
      </c>
      <c r="K1613" s="10" t="str">
        <f t="shared" si="57"/>
        <v/>
      </c>
      <c r="L1613" s="21" t="str">
        <f t="shared" si="58"/>
        <v/>
      </c>
    </row>
    <row r="1614" spans="1:12" ht="25.95" hidden="1" customHeight="1">
      <c r="A1614" s="12">
        <v>1289</v>
      </c>
      <c r="B1614" s="6">
        <v>20</v>
      </c>
      <c r="C1614" s="6"/>
      <c r="D1614" s="20" t="str">
        <f>IF(C1614&lt;&gt;"", IFERROR(INDEX('بنود العقد'!B$3:B$388,C1614), "⚠"), "")</f>
        <v/>
      </c>
      <c r="E1614" s="12" t="str">
        <f>IF(C1614&lt;&gt;"", IFERROR(INDEX('بنود العقد'!D$3:D$388,C1614), ""), "")</f>
        <v/>
      </c>
      <c r="F1614" s="9" t="str">
        <f>IF(C1614&lt;&gt;"", IFERROR(INDEX('بنود العقد'!E$3:E$388,C1614), 0), "")</f>
        <v/>
      </c>
      <c r="G1614" s="9" t="str">
        <f>IF(C1614&lt;&gt;"", IFERROR(INDEX('بنود العقد'!F$3:F$388,C1614), 0), "")</f>
        <v/>
      </c>
      <c r="H1614" s="18">
        <f t="shared" si="62"/>
        <v>0</v>
      </c>
      <c r="I1614" s="7"/>
      <c r="J1614" s="18">
        <f t="shared" si="56"/>
        <v>0</v>
      </c>
      <c r="K1614" s="10" t="str">
        <f t="shared" si="57"/>
        <v/>
      </c>
      <c r="L1614" s="21" t="str">
        <f t="shared" si="58"/>
        <v/>
      </c>
    </row>
    <row r="1615" spans="1:12" ht="25.95" hidden="1" customHeight="1">
      <c r="A1615" s="12">
        <v>1290</v>
      </c>
      <c r="B1615" s="6">
        <v>20</v>
      </c>
      <c r="C1615" s="6"/>
      <c r="D1615" s="20" t="str">
        <f>IF(C1615&lt;&gt;"", IFERROR(INDEX('بنود العقد'!B$3:B$388,C1615), "⚠"), "")</f>
        <v/>
      </c>
      <c r="E1615" s="12" t="str">
        <f>IF(C1615&lt;&gt;"", IFERROR(INDEX('بنود العقد'!D$3:D$388,C1615), ""), "")</f>
        <v/>
      </c>
      <c r="F1615" s="9" t="str">
        <f>IF(C1615&lt;&gt;"", IFERROR(INDEX('بنود العقد'!E$3:E$388,C1615), 0), "")</f>
        <v/>
      </c>
      <c r="G1615" s="9" t="str">
        <f>IF(C1615&lt;&gt;"", IFERROR(INDEX('بنود العقد'!F$3:F$388,C1615), 0), "")</f>
        <v/>
      </c>
      <c r="H1615" s="18">
        <f t="shared" si="62"/>
        <v>0</v>
      </c>
      <c r="I1615" s="7"/>
      <c r="J1615" s="18">
        <f t="shared" si="56"/>
        <v>0</v>
      </c>
      <c r="K1615" s="10" t="str">
        <f t="shared" si="57"/>
        <v/>
      </c>
      <c r="L1615" s="21" t="str">
        <f t="shared" si="58"/>
        <v/>
      </c>
    </row>
    <row r="1616" spans="1:12" ht="25.95" hidden="1" customHeight="1">
      <c r="A1616" s="12">
        <v>1291</v>
      </c>
      <c r="B1616" s="6">
        <v>20</v>
      </c>
      <c r="C1616" s="6"/>
      <c r="D1616" s="20" t="str">
        <f>IF(C1616&lt;&gt;"", IFERROR(INDEX('بنود العقد'!B$3:B$388,C1616), "⚠"), "")</f>
        <v/>
      </c>
      <c r="E1616" s="12" t="str">
        <f>IF(C1616&lt;&gt;"", IFERROR(INDEX('بنود العقد'!D$3:D$388,C1616), ""), "")</f>
        <v/>
      </c>
      <c r="F1616" s="9" t="str">
        <f>IF(C1616&lt;&gt;"", IFERROR(INDEX('بنود العقد'!E$3:E$388,C1616), 0), "")</f>
        <v/>
      </c>
      <c r="G1616" s="9" t="str">
        <f>IF(C1616&lt;&gt;"", IFERROR(INDEX('بنود العقد'!F$3:F$388,C1616), 0), "")</f>
        <v/>
      </c>
      <c r="H1616" s="18">
        <f t="shared" si="62"/>
        <v>0</v>
      </c>
      <c r="I1616" s="7"/>
      <c r="J1616" s="18">
        <f t="shared" si="56"/>
        <v>0</v>
      </c>
      <c r="K1616" s="10" t="str">
        <f t="shared" si="57"/>
        <v/>
      </c>
      <c r="L1616" s="21" t="str">
        <f t="shared" si="58"/>
        <v/>
      </c>
    </row>
    <row r="1617" spans="1:12" ht="25.95" hidden="1" customHeight="1">
      <c r="A1617" s="12">
        <v>1292</v>
      </c>
      <c r="B1617" s="6">
        <v>20</v>
      </c>
      <c r="C1617" s="6"/>
      <c r="D1617" s="20" t="str">
        <f>IF(C1617&lt;&gt;"", IFERROR(INDEX('بنود العقد'!B$3:B$388,C1617), "⚠"), "")</f>
        <v/>
      </c>
      <c r="E1617" s="12" t="str">
        <f>IF(C1617&lt;&gt;"", IFERROR(INDEX('بنود العقد'!D$3:D$388,C1617), ""), "")</f>
        <v/>
      </c>
      <c r="F1617" s="9" t="str">
        <f>IF(C1617&lt;&gt;"", IFERROR(INDEX('بنود العقد'!E$3:E$388,C1617), 0), "")</f>
        <v/>
      </c>
      <c r="G1617" s="9" t="str">
        <f>IF(C1617&lt;&gt;"", IFERROR(INDEX('بنود العقد'!F$3:F$388,C1617), 0), "")</f>
        <v/>
      </c>
      <c r="H1617" s="18">
        <f t="shared" si="62"/>
        <v>0</v>
      </c>
      <c r="I1617" s="7"/>
      <c r="J1617" s="18">
        <f t="shared" si="56"/>
        <v>0</v>
      </c>
      <c r="K1617" s="10" t="str">
        <f t="shared" si="57"/>
        <v/>
      </c>
      <c r="L1617" s="21" t="str">
        <f t="shared" si="58"/>
        <v/>
      </c>
    </row>
    <row r="1618" spans="1:12" ht="25.95" hidden="1" customHeight="1">
      <c r="A1618" s="12">
        <v>1293</v>
      </c>
      <c r="B1618" s="6">
        <v>20</v>
      </c>
      <c r="C1618" s="6"/>
      <c r="D1618" s="20" t="str">
        <f>IF(C1618&lt;&gt;"", IFERROR(INDEX('بنود العقد'!B$3:B$388,C1618), "⚠"), "")</f>
        <v/>
      </c>
      <c r="E1618" s="12" t="str">
        <f>IF(C1618&lt;&gt;"", IFERROR(INDEX('بنود العقد'!D$3:D$388,C1618), ""), "")</f>
        <v/>
      </c>
      <c r="F1618" s="9" t="str">
        <f>IF(C1618&lt;&gt;"", IFERROR(INDEX('بنود العقد'!E$3:E$388,C1618), 0), "")</f>
        <v/>
      </c>
      <c r="G1618" s="9" t="str">
        <f>IF(C1618&lt;&gt;"", IFERROR(INDEX('بنود العقد'!F$3:F$388,C1618), 0), "")</f>
        <v/>
      </c>
      <c r="H1618" s="18">
        <f t="shared" si="62"/>
        <v>0</v>
      </c>
      <c r="I1618" s="7"/>
      <c r="J1618" s="18">
        <f t="shared" si="56"/>
        <v>0</v>
      </c>
      <c r="K1618" s="10" t="str">
        <f t="shared" si="57"/>
        <v/>
      </c>
      <c r="L1618" s="21" t="str">
        <f t="shared" si="58"/>
        <v/>
      </c>
    </row>
    <row r="1619" spans="1:12" ht="25.95" hidden="1" customHeight="1">
      <c r="A1619" s="12">
        <v>1294</v>
      </c>
      <c r="B1619" s="6">
        <v>20</v>
      </c>
      <c r="C1619" s="6"/>
      <c r="D1619" s="20" t="str">
        <f>IF(C1619&lt;&gt;"", IFERROR(INDEX('بنود العقد'!B$3:B$388,C1619), "⚠"), "")</f>
        <v/>
      </c>
      <c r="E1619" s="12" t="str">
        <f>IF(C1619&lt;&gt;"", IFERROR(INDEX('بنود العقد'!D$3:D$388,C1619), ""), "")</f>
        <v/>
      </c>
      <c r="F1619" s="9" t="str">
        <f>IF(C1619&lt;&gt;"", IFERROR(INDEX('بنود العقد'!E$3:E$388,C1619), 0), "")</f>
        <v/>
      </c>
      <c r="G1619" s="9" t="str">
        <f>IF(C1619&lt;&gt;"", IFERROR(INDEX('بنود العقد'!F$3:F$388,C1619), 0), "")</f>
        <v/>
      </c>
      <c r="H1619" s="18">
        <f t="shared" si="62"/>
        <v>0</v>
      </c>
      <c r="I1619" s="7"/>
      <c r="J1619" s="18">
        <f t="shared" si="56"/>
        <v>0</v>
      </c>
      <c r="K1619" s="10" t="str">
        <f t="shared" si="57"/>
        <v/>
      </c>
      <c r="L1619" s="21" t="str">
        <f t="shared" si="58"/>
        <v/>
      </c>
    </row>
    <row r="1620" spans="1:12" ht="25.95" hidden="1" customHeight="1">
      <c r="A1620" s="12">
        <v>1295</v>
      </c>
      <c r="B1620" s="6">
        <v>20</v>
      </c>
      <c r="C1620" s="6"/>
      <c r="D1620" s="20" t="str">
        <f>IF(C1620&lt;&gt;"", IFERROR(INDEX('بنود العقد'!B$3:B$388,C1620), "⚠"), "")</f>
        <v/>
      </c>
      <c r="E1620" s="12" t="str">
        <f>IF(C1620&lt;&gt;"", IFERROR(INDEX('بنود العقد'!D$3:D$388,C1620), ""), "")</f>
        <v/>
      </c>
      <c r="F1620" s="9" t="str">
        <f>IF(C1620&lt;&gt;"", IFERROR(INDEX('بنود العقد'!E$3:E$388,C1620), 0), "")</f>
        <v/>
      </c>
      <c r="G1620" s="9" t="str">
        <f>IF(C1620&lt;&gt;"", IFERROR(INDEX('بنود العقد'!F$3:F$388,C1620), 0), "")</f>
        <v/>
      </c>
      <c r="H1620" s="18">
        <f t="shared" si="62"/>
        <v>0</v>
      </c>
      <c r="I1620" s="7"/>
      <c r="J1620" s="18">
        <f t="shared" si="56"/>
        <v>0</v>
      </c>
      <c r="K1620" s="10" t="str">
        <f t="shared" si="57"/>
        <v/>
      </c>
      <c r="L1620" s="21" t="str">
        <f t="shared" si="58"/>
        <v/>
      </c>
    </row>
    <row r="1621" spans="1:12" ht="25.95" hidden="1" customHeight="1">
      <c r="A1621" s="12">
        <v>1296</v>
      </c>
      <c r="B1621" s="6">
        <v>20</v>
      </c>
      <c r="C1621" s="6"/>
      <c r="D1621" s="20" t="str">
        <f>IF(C1621&lt;&gt;"", IFERROR(INDEX('بنود العقد'!B$3:B$388,C1621), "⚠"), "")</f>
        <v/>
      </c>
      <c r="E1621" s="12" t="str">
        <f>IF(C1621&lt;&gt;"", IFERROR(INDEX('بنود العقد'!D$3:D$388,C1621), ""), "")</f>
        <v/>
      </c>
      <c r="F1621" s="9" t="str">
        <f>IF(C1621&lt;&gt;"", IFERROR(INDEX('بنود العقد'!E$3:E$388,C1621), 0), "")</f>
        <v/>
      </c>
      <c r="G1621" s="9" t="str">
        <f>IF(C1621&lt;&gt;"", IFERROR(INDEX('بنود العقد'!F$3:F$388,C1621), 0), "")</f>
        <v/>
      </c>
      <c r="H1621" s="18">
        <f t="shared" si="62"/>
        <v>0</v>
      </c>
      <c r="I1621" s="7"/>
      <c r="J1621" s="18">
        <f t="shared" si="56"/>
        <v>0</v>
      </c>
      <c r="K1621" s="10" t="str">
        <f t="shared" si="57"/>
        <v/>
      </c>
      <c r="L1621" s="21" t="str">
        <f t="shared" si="58"/>
        <v/>
      </c>
    </row>
    <row r="1622" spans="1:12" ht="25.95" hidden="1" customHeight="1">
      <c r="A1622" s="12">
        <v>1297</v>
      </c>
      <c r="B1622" s="6">
        <v>20</v>
      </c>
      <c r="C1622" s="6"/>
      <c r="D1622" s="20" t="str">
        <f>IF(C1622&lt;&gt;"", IFERROR(INDEX('بنود العقد'!B$3:B$388,C1622), "⚠"), "")</f>
        <v/>
      </c>
      <c r="E1622" s="12" t="str">
        <f>IF(C1622&lt;&gt;"", IFERROR(INDEX('بنود العقد'!D$3:D$388,C1622), ""), "")</f>
        <v/>
      </c>
      <c r="F1622" s="9" t="str">
        <f>IF(C1622&lt;&gt;"", IFERROR(INDEX('بنود العقد'!E$3:E$388,C1622), 0), "")</f>
        <v/>
      </c>
      <c r="G1622" s="9" t="str">
        <f>IF(C1622&lt;&gt;"", IFERROR(INDEX('بنود العقد'!F$3:F$388,C1622), 0), "")</f>
        <v/>
      </c>
      <c r="H1622" s="18">
        <f t="shared" si="62"/>
        <v>0</v>
      </c>
      <c r="I1622" s="7"/>
      <c r="J1622" s="18">
        <f t="shared" si="56"/>
        <v>0</v>
      </c>
      <c r="K1622" s="10" t="str">
        <f t="shared" si="57"/>
        <v/>
      </c>
      <c r="L1622" s="21" t="str">
        <f t="shared" si="58"/>
        <v/>
      </c>
    </row>
    <row r="1623" spans="1:12" ht="25.95" hidden="1" customHeight="1">
      <c r="A1623" s="12">
        <v>1298</v>
      </c>
      <c r="B1623" s="6">
        <v>20</v>
      </c>
      <c r="C1623" s="6"/>
      <c r="D1623" s="20" t="str">
        <f>IF(C1623&lt;&gt;"", IFERROR(INDEX('بنود العقد'!B$3:B$388,C1623), "⚠"), "")</f>
        <v/>
      </c>
      <c r="E1623" s="12" t="str">
        <f>IF(C1623&lt;&gt;"", IFERROR(INDEX('بنود العقد'!D$3:D$388,C1623), ""), "")</f>
        <v/>
      </c>
      <c r="F1623" s="9" t="str">
        <f>IF(C1623&lt;&gt;"", IFERROR(INDEX('بنود العقد'!E$3:E$388,C1623), 0), "")</f>
        <v/>
      </c>
      <c r="G1623" s="9" t="str">
        <f>IF(C1623&lt;&gt;"", IFERROR(INDEX('بنود العقد'!F$3:F$388,C1623), 0), "")</f>
        <v/>
      </c>
      <c r="H1623" s="18">
        <f t="shared" si="62"/>
        <v>0</v>
      </c>
      <c r="I1623" s="7"/>
      <c r="J1623" s="18">
        <f t="shared" si="56"/>
        <v>0</v>
      </c>
      <c r="K1623" s="10" t="str">
        <f t="shared" si="57"/>
        <v/>
      </c>
      <c r="L1623" s="21" t="str">
        <f t="shared" si="58"/>
        <v/>
      </c>
    </row>
    <row r="1624" spans="1:12" ht="25.95" hidden="1" customHeight="1">
      <c r="A1624" s="12">
        <v>1299</v>
      </c>
      <c r="B1624" s="6">
        <v>20</v>
      </c>
      <c r="C1624" s="6"/>
      <c r="D1624" s="20" t="str">
        <f>IF(C1624&lt;&gt;"", IFERROR(INDEX('بنود العقد'!B$3:B$388,C1624), "⚠"), "")</f>
        <v/>
      </c>
      <c r="E1624" s="12" t="str">
        <f>IF(C1624&lt;&gt;"", IFERROR(INDEX('بنود العقد'!D$3:D$388,C1624), ""), "")</f>
        <v/>
      </c>
      <c r="F1624" s="9" t="str">
        <f>IF(C1624&lt;&gt;"", IFERROR(INDEX('بنود العقد'!E$3:E$388,C1624), 0), "")</f>
        <v/>
      </c>
      <c r="G1624" s="9" t="str">
        <f>IF(C1624&lt;&gt;"", IFERROR(INDEX('بنود العقد'!F$3:F$388,C1624), 0), "")</f>
        <v/>
      </c>
      <c r="H1624" s="18">
        <f t="shared" si="62"/>
        <v>0</v>
      </c>
      <c r="I1624" s="7"/>
      <c r="J1624" s="18">
        <f t="shared" si="56"/>
        <v>0</v>
      </c>
      <c r="K1624" s="10" t="str">
        <f t="shared" si="57"/>
        <v/>
      </c>
      <c r="L1624" s="21" t="str">
        <f t="shared" si="58"/>
        <v/>
      </c>
    </row>
    <row r="1625" spans="1:12" ht="25.95" hidden="1" customHeight="1">
      <c r="A1625" s="12">
        <v>1300</v>
      </c>
      <c r="B1625" s="6">
        <v>20</v>
      </c>
      <c r="C1625" s="6"/>
      <c r="D1625" s="20" t="str">
        <f>IF(C1625&lt;&gt;"", IFERROR(INDEX('بنود العقد'!B$3:B$388,C1625), "⚠"), "")</f>
        <v/>
      </c>
      <c r="E1625" s="12" t="str">
        <f>IF(C1625&lt;&gt;"", IFERROR(INDEX('بنود العقد'!D$3:D$388,C1625), ""), "")</f>
        <v/>
      </c>
      <c r="F1625" s="9" t="str">
        <f>IF(C1625&lt;&gt;"", IFERROR(INDEX('بنود العقد'!E$3:E$388,C1625), 0), "")</f>
        <v/>
      </c>
      <c r="G1625" s="9" t="str">
        <f>IF(C1625&lt;&gt;"", IFERROR(INDEX('بنود العقد'!F$3:F$388,C1625), 0), "")</f>
        <v/>
      </c>
      <c r="H1625" s="18">
        <f t="shared" si="62"/>
        <v>0</v>
      </c>
      <c r="I1625" s="7"/>
      <c r="J1625" s="18">
        <f t="shared" si="56"/>
        <v>0</v>
      </c>
      <c r="K1625" s="10" t="str">
        <f t="shared" si="57"/>
        <v/>
      </c>
      <c r="L1625" s="21" t="str">
        <f t="shared" si="58"/>
        <v/>
      </c>
    </row>
    <row r="1626" spans="1:12" ht="25.95" hidden="1" customHeight="1">
      <c r="A1626" s="12">
        <v>1301</v>
      </c>
      <c r="B1626" s="6">
        <v>20</v>
      </c>
      <c r="C1626" s="6"/>
      <c r="D1626" s="20" t="str">
        <f>IF(C1626&lt;&gt;"", IFERROR(INDEX('بنود العقد'!B$3:B$388,C1626), "⚠"), "")</f>
        <v/>
      </c>
      <c r="E1626" s="12" t="str">
        <f>IF(C1626&lt;&gt;"", IFERROR(INDEX('بنود العقد'!D$3:D$388,C1626), ""), "")</f>
        <v/>
      </c>
      <c r="F1626" s="9" t="str">
        <f>IF(C1626&lt;&gt;"", IFERROR(INDEX('بنود العقد'!E$3:E$388,C1626), 0), "")</f>
        <v/>
      </c>
      <c r="G1626" s="9" t="str">
        <f>IF(C1626&lt;&gt;"", IFERROR(INDEX('بنود العقد'!F$3:F$388,C1626), 0), "")</f>
        <v/>
      </c>
      <c r="H1626" s="18">
        <f t="shared" si="62"/>
        <v>0</v>
      </c>
      <c r="I1626" s="7"/>
      <c r="J1626" s="18">
        <f t="shared" si="56"/>
        <v>0</v>
      </c>
      <c r="K1626" s="10" t="str">
        <f t="shared" si="57"/>
        <v/>
      </c>
      <c r="L1626" s="21" t="str">
        <f t="shared" si="58"/>
        <v/>
      </c>
    </row>
    <row r="1627" spans="1:12" ht="25.95" hidden="1" customHeight="1">
      <c r="A1627" s="12">
        <v>1302</v>
      </c>
      <c r="B1627" s="6">
        <v>20</v>
      </c>
      <c r="C1627" s="6"/>
      <c r="D1627" s="20" t="str">
        <f>IF(C1627&lt;&gt;"", IFERROR(INDEX('بنود العقد'!B$3:B$388,C1627), "⚠"), "")</f>
        <v/>
      </c>
      <c r="E1627" s="12" t="str">
        <f>IF(C1627&lt;&gt;"", IFERROR(INDEX('بنود العقد'!D$3:D$388,C1627), ""), "")</f>
        <v/>
      </c>
      <c r="F1627" s="9" t="str">
        <f>IF(C1627&lt;&gt;"", IFERROR(INDEX('بنود العقد'!E$3:E$388,C1627), 0), "")</f>
        <v/>
      </c>
      <c r="G1627" s="9" t="str">
        <f>IF(C1627&lt;&gt;"", IFERROR(INDEX('بنود العقد'!F$3:F$388,C1627), 0), "")</f>
        <v/>
      </c>
      <c r="H1627" s="18">
        <f t="shared" si="62"/>
        <v>0</v>
      </c>
      <c r="I1627" s="7"/>
      <c r="J1627" s="18">
        <f t="shared" si="56"/>
        <v>0</v>
      </c>
      <c r="K1627" s="10" t="str">
        <f t="shared" si="57"/>
        <v/>
      </c>
      <c r="L1627" s="21" t="str">
        <f t="shared" si="58"/>
        <v/>
      </c>
    </row>
    <row r="1628" spans="1:12" ht="25.95" hidden="1" customHeight="1">
      <c r="A1628" s="12">
        <v>1303</v>
      </c>
      <c r="B1628" s="6">
        <v>20</v>
      </c>
      <c r="C1628" s="6"/>
      <c r="D1628" s="20" t="str">
        <f>IF(C1628&lt;&gt;"", IFERROR(INDEX('بنود العقد'!B$3:B$388,C1628), "⚠"), "")</f>
        <v/>
      </c>
      <c r="E1628" s="12" t="str">
        <f>IF(C1628&lt;&gt;"", IFERROR(INDEX('بنود العقد'!D$3:D$388,C1628), ""), "")</f>
        <v/>
      </c>
      <c r="F1628" s="9" t="str">
        <f>IF(C1628&lt;&gt;"", IFERROR(INDEX('بنود العقد'!E$3:E$388,C1628), 0), "")</f>
        <v/>
      </c>
      <c r="G1628" s="9" t="str">
        <f>IF(C1628&lt;&gt;"", IFERROR(INDEX('بنود العقد'!F$3:F$388,C1628), 0), "")</f>
        <v/>
      </c>
      <c r="H1628" s="18">
        <f t="shared" si="62"/>
        <v>0</v>
      </c>
      <c r="I1628" s="7"/>
      <c r="J1628" s="18">
        <f t="shared" si="56"/>
        <v>0</v>
      </c>
      <c r="K1628" s="10" t="str">
        <f t="shared" si="57"/>
        <v/>
      </c>
      <c r="L1628" s="21" t="str">
        <f t="shared" si="58"/>
        <v/>
      </c>
    </row>
    <row r="1629" spans="1:12" ht="25.95" hidden="1" customHeight="1">
      <c r="A1629" s="12">
        <v>1304</v>
      </c>
      <c r="B1629" s="6">
        <v>20</v>
      </c>
      <c r="C1629" s="6"/>
      <c r="D1629" s="20" t="str">
        <f>IF(C1629&lt;&gt;"", IFERROR(INDEX('بنود العقد'!B$3:B$388,C1629), "⚠"), "")</f>
        <v/>
      </c>
      <c r="E1629" s="12" t="str">
        <f>IF(C1629&lt;&gt;"", IFERROR(INDEX('بنود العقد'!D$3:D$388,C1629), ""), "")</f>
        <v/>
      </c>
      <c r="F1629" s="9" t="str">
        <f>IF(C1629&lt;&gt;"", IFERROR(INDEX('بنود العقد'!E$3:E$388,C1629), 0), "")</f>
        <v/>
      </c>
      <c r="G1629" s="9" t="str">
        <f>IF(C1629&lt;&gt;"", IFERROR(INDEX('بنود العقد'!F$3:F$388,C1629), 0), "")</f>
        <v/>
      </c>
      <c r="H1629" s="18">
        <f t="shared" si="62"/>
        <v>0</v>
      </c>
      <c r="I1629" s="7"/>
      <c r="J1629" s="18">
        <f t="shared" si="56"/>
        <v>0</v>
      </c>
      <c r="K1629" s="10" t="str">
        <f t="shared" si="57"/>
        <v/>
      </c>
      <c r="L1629" s="21" t="str">
        <f t="shared" si="58"/>
        <v/>
      </c>
    </row>
    <row r="1630" spans="1:12" ht="25.95" hidden="1" customHeight="1">
      <c r="A1630" s="12">
        <v>1305</v>
      </c>
      <c r="B1630" s="6">
        <v>20</v>
      </c>
      <c r="C1630" s="6"/>
      <c r="D1630" s="20" t="str">
        <f>IF(C1630&lt;&gt;"", IFERROR(INDEX('بنود العقد'!B$3:B$388,C1630), "⚠"), "")</f>
        <v/>
      </c>
      <c r="E1630" s="12" t="str">
        <f>IF(C1630&lt;&gt;"", IFERROR(INDEX('بنود العقد'!D$3:D$388,C1630), ""), "")</f>
        <v/>
      </c>
      <c r="F1630" s="9" t="str">
        <f>IF(C1630&lt;&gt;"", IFERROR(INDEX('بنود العقد'!E$3:E$388,C1630), 0), "")</f>
        <v/>
      </c>
      <c r="G1630" s="9" t="str">
        <f>IF(C1630&lt;&gt;"", IFERROR(INDEX('بنود العقد'!F$3:F$388,C1630), 0), "")</f>
        <v/>
      </c>
      <c r="H1630" s="18">
        <f t="shared" si="62"/>
        <v>0</v>
      </c>
      <c r="I1630" s="7"/>
      <c r="J1630" s="18">
        <f t="shared" si="56"/>
        <v>0</v>
      </c>
      <c r="K1630" s="10" t="str">
        <f t="shared" si="57"/>
        <v/>
      </c>
      <c r="L1630" s="21" t="str">
        <f t="shared" si="58"/>
        <v/>
      </c>
    </row>
    <row r="1631" spans="1:12" ht="25.95" hidden="1" customHeight="1">
      <c r="A1631" s="12">
        <v>1306</v>
      </c>
      <c r="B1631" s="6">
        <v>20</v>
      </c>
      <c r="C1631" s="6"/>
      <c r="D1631" s="20" t="str">
        <f>IF(C1631&lt;&gt;"", IFERROR(INDEX('بنود العقد'!B$3:B$388,C1631), "⚠"), "")</f>
        <v/>
      </c>
      <c r="E1631" s="12" t="str">
        <f>IF(C1631&lt;&gt;"", IFERROR(INDEX('بنود العقد'!D$3:D$388,C1631), ""), "")</f>
        <v/>
      </c>
      <c r="F1631" s="9" t="str">
        <f>IF(C1631&lt;&gt;"", IFERROR(INDEX('بنود العقد'!E$3:E$388,C1631), 0), "")</f>
        <v/>
      </c>
      <c r="G1631" s="9" t="str">
        <f>IF(C1631&lt;&gt;"", IFERROR(INDEX('بنود العقد'!F$3:F$388,C1631), 0), "")</f>
        <v/>
      </c>
      <c r="H1631" s="18">
        <f t="shared" si="62"/>
        <v>0</v>
      </c>
      <c r="I1631" s="7"/>
      <c r="J1631" s="18">
        <f t="shared" si="56"/>
        <v>0</v>
      </c>
      <c r="K1631" s="10" t="str">
        <f t="shared" si="57"/>
        <v/>
      </c>
      <c r="L1631" s="21" t="str">
        <f t="shared" si="58"/>
        <v/>
      </c>
    </row>
    <row r="1632" spans="1:12" ht="25.95" hidden="1" customHeight="1">
      <c r="A1632" s="12">
        <v>1307</v>
      </c>
      <c r="B1632" s="6">
        <v>20</v>
      </c>
      <c r="C1632" s="6"/>
      <c r="D1632" s="20" t="str">
        <f>IF(C1632&lt;&gt;"", IFERROR(INDEX('بنود العقد'!B$3:B$388,C1632), "⚠"), "")</f>
        <v/>
      </c>
      <c r="E1632" s="12" t="str">
        <f>IF(C1632&lt;&gt;"", IFERROR(INDEX('بنود العقد'!D$3:D$388,C1632), ""), "")</f>
        <v/>
      </c>
      <c r="F1632" s="9" t="str">
        <f>IF(C1632&lt;&gt;"", IFERROR(INDEX('بنود العقد'!E$3:E$388,C1632), 0), "")</f>
        <v/>
      </c>
      <c r="G1632" s="9" t="str">
        <f>IF(C1632&lt;&gt;"", IFERROR(INDEX('بنود العقد'!F$3:F$388,C1632), 0), "")</f>
        <v/>
      </c>
      <c r="H1632" s="18">
        <f t="shared" si="62"/>
        <v>0</v>
      </c>
      <c r="I1632" s="7"/>
      <c r="J1632" s="18">
        <f t="shared" si="56"/>
        <v>0</v>
      </c>
      <c r="K1632" s="10" t="str">
        <f t="shared" si="57"/>
        <v/>
      </c>
      <c r="L1632" s="21" t="str">
        <f t="shared" si="58"/>
        <v/>
      </c>
    </row>
    <row r="1633" spans="1:12" ht="25.95" hidden="1" customHeight="1">
      <c r="A1633" s="12">
        <v>1308</v>
      </c>
      <c r="B1633" s="6">
        <v>20</v>
      </c>
      <c r="C1633" s="6"/>
      <c r="D1633" s="20" t="str">
        <f>IF(C1633&lt;&gt;"", IFERROR(INDEX('بنود العقد'!B$3:B$388,C1633), "⚠"), "")</f>
        <v/>
      </c>
      <c r="E1633" s="12" t="str">
        <f>IF(C1633&lt;&gt;"", IFERROR(INDEX('بنود العقد'!D$3:D$388,C1633), ""), "")</f>
        <v/>
      </c>
      <c r="F1633" s="9" t="str">
        <f>IF(C1633&lt;&gt;"", IFERROR(INDEX('بنود العقد'!E$3:E$388,C1633), 0), "")</f>
        <v/>
      </c>
      <c r="G1633" s="9" t="str">
        <f>IF(C1633&lt;&gt;"", IFERROR(INDEX('بنود العقد'!F$3:F$388,C1633), 0), "")</f>
        <v/>
      </c>
      <c r="H1633" s="18">
        <f t="shared" si="62"/>
        <v>0</v>
      </c>
      <c r="I1633" s="7"/>
      <c r="J1633" s="18">
        <f t="shared" si="56"/>
        <v>0</v>
      </c>
      <c r="K1633" s="10" t="str">
        <f t="shared" si="57"/>
        <v/>
      </c>
      <c r="L1633" s="21" t="str">
        <f t="shared" si="58"/>
        <v/>
      </c>
    </row>
    <row r="1634" spans="1:12" ht="25.95" hidden="1" customHeight="1">
      <c r="A1634" s="12">
        <v>1309</v>
      </c>
      <c r="B1634" s="6">
        <v>20</v>
      </c>
      <c r="C1634" s="6"/>
      <c r="D1634" s="20" t="str">
        <f>IF(C1634&lt;&gt;"", IFERROR(INDEX('بنود العقد'!B$3:B$388,C1634), "⚠"), "")</f>
        <v/>
      </c>
      <c r="E1634" s="12" t="str">
        <f>IF(C1634&lt;&gt;"", IFERROR(INDEX('بنود العقد'!D$3:D$388,C1634), ""), "")</f>
        <v/>
      </c>
      <c r="F1634" s="9" t="str">
        <f>IF(C1634&lt;&gt;"", IFERROR(INDEX('بنود العقد'!E$3:E$388,C1634), 0), "")</f>
        <v/>
      </c>
      <c r="G1634" s="9" t="str">
        <f>IF(C1634&lt;&gt;"", IFERROR(INDEX('بنود العقد'!F$3:F$388,C1634), 0), "")</f>
        <v/>
      </c>
      <c r="H1634" s="18">
        <f t="shared" si="62"/>
        <v>0</v>
      </c>
      <c r="I1634" s="7"/>
      <c r="J1634" s="18">
        <f t="shared" si="56"/>
        <v>0</v>
      </c>
      <c r="K1634" s="10" t="str">
        <f t="shared" si="57"/>
        <v/>
      </c>
      <c r="L1634" s="21" t="str">
        <f t="shared" si="58"/>
        <v/>
      </c>
    </row>
    <row r="1635" spans="1:12" ht="25.95" hidden="1" customHeight="1">
      <c r="A1635" s="12">
        <v>1310</v>
      </c>
      <c r="B1635" s="6">
        <v>20</v>
      </c>
      <c r="C1635" s="6"/>
      <c r="D1635" s="20" t="str">
        <f>IF(C1635&lt;&gt;"", IFERROR(INDEX('بنود العقد'!B$3:B$388,C1635), "⚠"), "")</f>
        <v/>
      </c>
      <c r="E1635" s="12" t="str">
        <f>IF(C1635&lt;&gt;"", IFERROR(INDEX('بنود العقد'!D$3:D$388,C1635), ""), "")</f>
        <v/>
      </c>
      <c r="F1635" s="9" t="str">
        <f>IF(C1635&lt;&gt;"", IFERROR(INDEX('بنود العقد'!E$3:E$388,C1635), 0), "")</f>
        <v/>
      </c>
      <c r="G1635" s="9" t="str">
        <f>IF(C1635&lt;&gt;"", IFERROR(INDEX('بنود العقد'!F$3:F$388,C1635), 0), "")</f>
        <v/>
      </c>
      <c r="H1635" s="18">
        <f t="shared" si="62"/>
        <v>0</v>
      </c>
      <c r="I1635" s="7"/>
      <c r="J1635" s="18">
        <f t="shared" si="56"/>
        <v>0</v>
      </c>
      <c r="K1635" s="10" t="str">
        <f t="shared" si="57"/>
        <v/>
      </c>
      <c r="L1635" s="21" t="str">
        <f t="shared" si="58"/>
        <v/>
      </c>
    </row>
    <row r="1636" spans="1:12" ht="25.95" hidden="1" customHeight="1">
      <c r="A1636" s="12">
        <v>1311</v>
      </c>
      <c r="B1636" s="6">
        <v>20</v>
      </c>
      <c r="C1636" s="6"/>
      <c r="D1636" s="20" t="str">
        <f>IF(C1636&lt;&gt;"", IFERROR(INDEX('بنود العقد'!B$3:B$388,C1636), "⚠"), "")</f>
        <v/>
      </c>
      <c r="E1636" s="12" t="str">
        <f>IF(C1636&lt;&gt;"", IFERROR(INDEX('بنود العقد'!D$3:D$388,C1636), ""), "")</f>
        <v/>
      </c>
      <c r="F1636" s="9" t="str">
        <f>IF(C1636&lt;&gt;"", IFERROR(INDEX('بنود العقد'!E$3:E$388,C1636), 0), "")</f>
        <v/>
      </c>
      <c r="G1636" s="9" t="str">
        <f>IF(C1636&lt;&gt;"", IFERROR(INDEX('بنود العقد'!F$3:F$388,C1636), 0), "")</f>
        <v/>
      </c>
      <c r="H1636" s="18">
        <f t="shared" si="62"/>
        <v>0</v>
      </c>
      <c r="I1636" s="7"/>
      <c r="J1636" s="18">
        <f t="shared" si="56"/>
        <v>0</v>
      </c>
      <c r="K1636" s="10" t="str">
        <f t="shared" si="57"/>
        <v/>
      </c>
      <c r="L1636" s="21" t="str">
        <f t="shared" si="58"/>
        <v/>
      </c>
    </row>
    <row r="1637" spans="1:12" ht="25.95" hidden="1" customHeight="1">
      <c r="A1637" s="12">
        <v>1312</v>
      </c>
      <c r="B1637" s="6">
        <v>20</v>
      </c>
      <c r="C1637" s="6"/>
      <c r="D1637" s="20" t="str">
        <f>IF(C1637&lt;&gt;"", IFERROR(INDEX('بنود العقد'!B$3:B$388,C1637), "⚠"), "")</f>
        <v/>
      </c>
      <c r="E1637" s="12" t="str">
        <f>IF(C1637&lt;&gt;"", IFERROR(INDEX('بنود العقد'!D$3:D$388,C1637), ""), "")</f>
        <v/>
      </c>
      <c r="F1637" s="9" t="str">
        <f>IF(C1637&lt;&gt;"", IFERROR(INDEX('بنود العقد'!E$3:E$388,C1637), 0), "")</f>
        <v/>
      </c>
      <c r="G1637" s="9" t="str">
        <f>IF(C1637&lt;&gt;"", IFERROR(INDEX('بنود العقد'!F$3:F$388,C1637), 0), "")</f>
        <v/>
      </c>
      <c r="H1637" s="18">
        <f t="shared" si="62"/>
        <v>0</v>
      </c>
      <c r="I1637" s="7"/>
      <c r="J1637" s="18">
        <f t="shared" si="56"/>
        <v>0</v>
      </c>
      <c r="K1637" s="10" t="str">
        <f t="shared" si="57"/>
        <v/>
      </c>
      <c r="L1637" s="21" t="str">
        <f t="shared" si="58"/>
        <v/>
      </c>
    </row>
    <row r="1638" spans="1:12" ht="25.95" hidden="1" customHeight="1">
      <c r="A1638" s="12">
        <v>1313</v>
      </c>
      <c r="B1638" s="6">
        <v>20</v>
      </c>
      <c r="C1638" s="6"/>
      <c r="D1638" s="20" t="str">
        <f>IF(C1638&lt;&gt;"", IFERROR(INDEX('بنود العقد'!B$3:B$388,C1638), "⚠"), "")</f>
        <v/>
      </c>
      <c r="E1638" s="12" t="str">
        <f>IF(C1638&lt;&gt;"", IFERROR(INDEX('بنود العقد'!D$3:D$388,C1638), ""), "")</f>
        <v/>
      </c>
      <c r="F1638" s="9" t="str">
        <f>IF(C1638&lt;&gt;"", IFERROR(INDEX('بنود العقد'!E$3:E$388,C1638), 0), "")</f>
        <v/>
      </c>
      <c r="G1638" s="9" t="str">
        <f>IF(C1638&lt;&gt;"", IFERROR(INDEX('بنود العقد'!F$3:F$388,C1638), 0), "")</f>
        <v/>
      </c>
      <c r="H1638" s="18">
        <f t="shared" si="62"/>
        <v>0</v>
      </c>
      <c r="I1638" s="7"/>
      <c r="J1638" s="18">
        <f t="shared" si="56"/>
        <v>0</v>
      </c>
      <c r="K1638" s="10" t="str">
        <f t="shared" si="57"/>
        <v/>
      </c>
      <c r="L1638" s="21" t="str">
        <f t="shared" si="58"/>
        <v/>
      </c>
    </row>
    <row r="1639" spans="1:12" ht="25.95" hidden="1" customHeight="1">
      <c r="A1639" s="12">
        <v>1314</v>
      </c>
      <c r="B1639" s="6">
        <v>20</v>
      </c>
      <c r="C1639" s="6"/>
      <c r="D1639" s="20" t="str">
        <f>IF(C1639&lt;&gt;"", IFERROR(INDEX('بنود العقد'!B$3:B$388,C1639), "⚠"), "")</f>
        <v/>
      </c>
      <c r="E1639" s="12" t="str">
        <f>IF(C1639&lt;&gt;"", IFERROR(INDEX('بنود العقد'!D$3:D$388,C1639), ""), "")</f>
        <v/>
      </c>
      <c r="F1639" s="9" t="str">
        <f>IF(C1639&lt;&gt;"", IFERROR(INDEX('بنود العقد'!E$3:E$388,C1639), 0), "")</f>
        <v/>
      </c>
      <c r="G1639" s="9" t="str">
        <f>IF(C1639&lt;&gt;"", IFERROR(INDEX('بنود العقد'!F$3:F$388,C1639), 0), "")</f>
        <v/>
      </c>
      <c r="H1639" s="18">
        <f t="shared" si="62"/>
        <v>0</v>
      </c>
      <c r="I1639" s="7"/>
      <c r="J1639" s="18">
        <f t="shared" si="56"/>
        <v>0</v>
      </c>
      <c r="K1639" s="10" t="str">
        <f t="shared" si="57"/>
        <v/>
      </c>
      <c r="L1639" s="21" t="str">
        <f t="shared" si="58"/>
        <v/>
      </c>
    </row>
    <row r="1640" spans="1:12" ht="25.95" hidden="1" customHeight="1">
      <c r="A1640" s="12">
        <v>1315</v>
      </c>
      <c r="B1640" s="6">
        <v>20</v>
      </c>
      <c r="C1640" s="6"/>
      <c r="D1640" s="20" t="str">
        <f>IF(C1640&lt;&gt;"", IFERROR(INDEX('بنود العقد'!B$3:B$388,C1640), "⚠"), "")</f>
        <v/>
      </c>
      <c r="E1640" s="12" t="str">
        <f>IF(C1640&lt;&gt;"", IFERROR(INDEX('بنود العقد'!D$3:D$388,C1640), ""), "")</f>
        <v/>
      </c>
      <c r="F1640" s="9" t="str">
        <f>IF(C1640&lt;&gt;"", IFERROR(INDEX('بنود العقد'!E$3:E$388,C1640), 0), "")</f>
        <v/>
      </c>
      <c r="G1640" s="9" t="str">
        <f>IF(C1640&lt;&gt;"", IFERROR(INDEX('بنود العقد'!F$3:F$388,C1640), 0), "")</f>
        <v/>
      </c>
      <c r="H1640" s="18">
        <f t="shared" si="62"/>
        <v>0</v>
      </c>
      <c r="I1640" s="7"/>
      <c r="J1640" s="18">
        <f t="shared" si="56"/>
        <v>0</v>
      </c>
      <c r="K1640" s="10" t="str">
        <f t="shared" si="57"/>
        <v/>
      </c>
      <c r="L1640" s="21" t="str">
        <f t="shared" si="58"/>
        <v/>
      </c>
    </row>
    <row r="1641" spans="1:12" ht="25.95" hidden="1" customHeight="1">
      <c r="A1641" s="12">
        <v>1316</v>
      </c>
      <c r="B1641" s="6">
        <v>20</v>
      </c>
      <c r="C1641" s="6"/>
      <c r="D1641" s="20" t="str">
        <f>IF(C1641&lt;&gt;"", IFERROR(INDEX('بنود العقد'!B$3:B$388,C1641), "⚠"), "")</f>
        <v/>
      </c>
      <c r="E1641" s="12" t="str">
        <f>IF(C1641&lt;&gt;"", IFERROR(INDEX('بنود العقد'!D$3:D$388,C1641), ""), "")</f>
        <v/>
      </c>
      <c r="F1641" s="9" t="str">
        <f>IF(C1641&lt;&gt;"", IFERROR(INDEX('بنود العقد'!E$3:E$388,C1641), 0), "")</f>
        <v/>
      </c>
      <c r="G1641" s="9" t="str">
        <f>IF(C1641&lt;&gt;"", IFERROR(INDEX('بنود العقد'!F$3:F$388,C1641), 0), "")</f>
        <v/>
      </c>
      <c r="H1641" s="18">
        <f t="shared" si="62"/>
        <v>0</v>
      </c>
      <c r="I1641" s="7"/>
      <c r="J1641" s="18">
        <f t="shared" si="56"/>
        <v>0</v>
      </c>
      <c r="K1641" s="10" t="str">
        <f t="shared" si="57"/>
        <v/>
      </c>
      <c r="L1641" s="21" t="str">
        <f t="shared" si="58"/>
        <v/>
      </c>
    </row>
    <row r="1642" spans="1:12" ht="25.95" hidden="1" customHeight="1">
      <c r="A1642" s="12">
        <v>1317</v>
      </c>
      <c r="B1642" s="6">
        <v>20</v>
      </c>
      <c r="C1642" s="6"/>
      <c r="D1642" s="20" t="str">
        <f>IF(C1642&lt;&gt;"", IFERROR(INDEX('بنود العقد'!B$3:B$388,C1642), "⚠"), "")</f>
        <v/>
      </c>
      <c r="E1642" s="12" t="str">
        <f>IF(C1642&lt;&gt;"", IFERROR(INDEX('بنود العقد'!D$3:D$388,C1642), ""), "")</f>
        <v/>
      </c>
      <c r="F1642" s="9" t="str">
        <f>IF(C1642&lt;&gt;"", IFERROR(INDEX('بنود العقد'!E$3:E$388,C1642), 0), "")</f>
        <v/>
      </c>
      <c r="G1642" s="9" t="str">
        <f>IF(C1642&lt;&gt;"", IFERROR(INDEX('بنود العقد'!F$3:F$388,C1642), 0), "")</f>
        <v/>
      </c>
      <c r="H1642" s="18">
        <f t="shared" si="62"/>
        <v>0</v>
      </c>
      <c r="I1642" s="7"/>
      <c r="J1642" s="18">
        <f t="shared" si="56"/>
        <v>0</v>
      </c>
      <c r="K1642" s="10" t="str">
        <f t="shared" si="57"/>
        <v/>
      </c>
      <c r="L1642" s="21" t="str">
        <f t="shared" si="58"/>
        <v/>
      </c>
    </row>
    <row r="1643" spans="1:12" ht="25.95" hidden="1" customHeight="1">
      <c r="A1643" s="12">
        <v>1318</v>
      </c>
      <c r="B1643" s="6">
        <v>20</v>
      </c>
      <c r="C1643" s="6"/>
      <c r="D1643" s="20" t="str">
        <f>IF(C1643&lt;&gt;"", IFERROR(INDEX('بنود العقد'!B$3:B$388,C1643), "⚠"), "")</f>
        <v/>
      </c>
      <c r="E1643" s="12" t="str">
        <f>IF(C1643&lt;&gt;"", IFERROR(INDEX('بنود العقد'!D$3:D$388,C1643), ""), "")</f>
        <v/>
      </c>
      <c r="F1643" s="9" t="str">
        <f>IF(C1643&lt;&gt;"", IFERROR(INDEX('بنود العقد'!E$3:E$388,C1643), 0), "")</f>
        <v/>
      </c>
      <c r="G1643" s="9" t="str">
        <f>IF(C1643&lt;&gt;"", IFERROR(INDEX('بنود العقد'!F$3:F$388,C1643), 0), "")</f>
        <v/>
      </c>
      <c r="H1643" s="18">
        <f t="shared" si="62"/>
        <v>0</v>
      </c>
      <c r="I1643" s="7"/>
      <c r="J1643" s="18">
        <f t="shared" si="56"/>
        <v>0</v>
      </c>
      <c r="K1643" s="10" t="str">
        <f t="shared" si="57"/>
        <v/>
      </c>
      <c r="L1643" s="21" t="str">
        <f t="shared" si="58"/>
        <v/>
      </c>
    </row>
    <row r="1644" spans="1:12" ht="25.95" hidden="1" customHeight="1">
      <c r="A1644" s="12">
        <v>1319</v>
      </c>
      <c r="B1644" s="6">
        <v>20</v>
      </c>
      <c r="C1644" s="6"/>
      <c r="D1644" s="20" t="str">
        <f>IF(C1644&lt;&gt;"", IFERROR(INDEX('بنود العقد'!B$3:B$388,C1644), "⚠"), "")</f>
        <v/>
      </c>
      <c r="E1644" s="12" t="str">
        <f>IF(C1644&lt;&gt;"", IFERROR(INDEX('بنود العقد'!D$3:D$388,C1644), ""), "")</f>
        <v/>
      </c>
      <c r="F1644" s="9" t="str">
        <f>IF(C1644&lt;&gt;"", IFERROR(INDEX('بنود العقد'!E$3:E$388,C1644), 0), "")</f>
        <v/>
      </c>
      <c r="G1644" s="9" t="str">
        <f>IF(C1644&lt;&gt;"", IFERROR(INDEX('بنود العقد'!F$3:F$388,C1644), 0), "")</f>
        <v/>
      </c>
      <c r="H1644" s="18">
        <f t="shared" si="62"/>
        <v>0</v>
      </c>
      <c r="I1644" s="7"/>
      <c r="J1644" s="18">
        <f t="shared" si="56"/>
        <v>0</v>
      </c>
      <c r="K1644" s="10" t="str">
        <f t="shared" si="57"/>
        <v/>
      </c>
      <c r="L1644" s="21" t="str">
        <f t="shared" si="58"/>
        <v/>
      </c>
    </row>
    <row r="1645" spans="1:12" ht="25.95" hidden="1" customHeight="1">
      <c r="A1645" s="12">
        <v>1320</v>
      </c>
      <c r="B1645" s="6">
        <v>20</v>
      </c>
      <c r="C1645" s="6"/>
      <c r="D1645" s="20" t="str">
        <f>IF(C1645&lt;&gt;"", IFERROR(INDEX('بنود العقد'!B$3:B$388,C1645), "⚠"), "")</f>
        <v/>
      </c>
      <c r="E1645" s="12" t="str">
        <f>IF(C1645&lt;&gt;"", IFERROR(INDEX('بنود العقد'!D$3:D$388,C1645), ""), "")</f>
        <v/>
      </c>
      <c r="F1645" s="9" t="str">
        <f>IF(C1645&lt;&gt;"", IFERROR(INDEX('بنود العقد'!E$3:E$388,C1645), 0), "")</f>
        <v/>
      </c>
      <c r="G1645" s="9" t="str">
        <f>IF(C1645&lt;&gt;"", IFERROR(INDEX('بنود العقد'!F$3:F$388,C1645), 0), "")</f>
        <v/>
      </c>
      <c r="H1645" s="18">
        <f t="shared" si="62"/>
        <v>0</v>
      </c>
      <c r="I1645" s="7"/>
      <c r="J1645" s="18">
        <f t="shared" si="56"/>
        <v>0</v>
      </c>
      <c r="K1645" s="10" t="str">
        <f t="shared" si="57"/>
        <v/>
      </c>
      <c r="L1645" s="21" t="str">
        <f t="shared" si="58"/>
        <v/>
      </c>
    </row>
    <row r="1646" spans="1:12" ht="25.95" hidden="1" customHeight="1">
      <c r="A1646" s="12">
        <v>1321</v>
      </c>
      <c r="B1646" s="6">
        <v>20</v>
      </c>
      <c r="C1646" s="6"/>
      <c r="D1646" s="20" t="str">
        <f>IF(C1646&lt;&gt;"", IFERROR(INDEX('بنود العقد'!B$3:B$388,C1646), "⚠"), "")</f>
        <v/>
      </c>
      <c r="E1646" s="12" t="str">
        <f>IF(C1646&lt;&gt;"", IFERROR(INDEX('بنود العقد'!D$3:D$388,C1646), ""), "")</f>
        <v/>
      </c>
      <c r="F1646" s="9" t="str">
        <f>IF(C1646&lt;&gt;"", IFERROR(INDEX('بنود العقد'!E$3:E$388,C1646), 0), "")</f>
        <v/>
      </c>
      <c r="G1646" s="9" t="str">
        <f>IF(C1646&lt;&gt;"", IFERROR(INDEX('بنود العقد'!F$3:F$388,C1646), 0), "")</f>
        <v/>
      </c>
      <c r="H1646" s="18">
        <f t="shared" si="62"/>
        <v>0</v>
      </c>
      <c r="I1646" s="7"/>
      <c r="J1646" s="18">
        <f t="shared" si="56"/>
        <v>0</v>
      </c>
      <c r="K1646" s="10" t="str">
        <f t="shared" si="57"/>
        <v/>
      </c>
      <c r="L1646" s="21" t="str">
        <f t="shared" si="58"/>
        <v/>
      </c>
    </row>
    <row r="1647" spans="1:12" ht="25.95" hidden="1" customHeight="1">
      <c r="A1647" s="12">
        <v>1322</v>
      </c>
      <c r="B1647" s="6">
        <v>20</v>
      </c>
      <c r="C1647" s="6"/>
      <c r="D1647" s="20" t="str">
        <f>IF(C1647&lt;&gt;"", IFERROR(INDEX('بنود العقد'!B$3:B$388,C1647), "⚠"), "")</f>
        <v/>
      </c>
      <c r="E1647" s="12" t="str">
        <f>IF(C1647&lt;&gt;"", IFERROR(INDEX('بنود العقد'!D$3:D$388,C1647), ""), "")</f>
        <v/>
      </c>
      <c r="F1647" s="9" t="str">
        <f>IF(C1647&lt;&gt;"", IFERROR(INDEX('بنود العقد'!E$3:E$388,C1647), 0), "")</f>
        <v/>
      </c>
      <c r="G1647" s="9" t="str">
        <f>IF(C1647&lt;&gt;"", IFERROR(INDEX('بنود العقد'!F$3:F$388,C1647), 0), "")</f>
        <v/>
      </c>
      <c r="H1647" s="18">
        <f t="shared" si="62"/>
        <v>0</v>
      </c>
      <c r="I1647" s="7"/>
      <c r="J1647" s="18">
        <f t="shared" si="56"/>
        <v>0</v>
      </c>
      <c r="K1647" s="10" t="str">
        <f t="shared" si="57"/>
        <v/>
      </c>
      <c r="L1647" s="21" t="str">
        <f t="shared" si="58"/>
        <v/>
      </c>
    </row>
    <row r="1648" spans="1:12" ht="25.95" hidden="1" customHeight="1">
      <c r="A1648" s="12">
        <v>1323</v>
      </c>
      <c r="B1648" s="6">
        <v>20</v>
      </c>
      <c r="C1648" s="6"/>
      <c r="D1648" s="20" t="str">
        <f>IF(C1648&lt;&gt;"", IFERROR(INDEX('بنود العقد'!B$3:B$388,C1648), "⚠"), "")</f>
        <v/>
      </c>
      <c r="E1648" s="12" t="str">
        <f>IF(C1648&lt;&gt;"", IFERROR(INDEX('بنود العقد'!D$3:D$388,C1648), ""), "")</f>
        <v/>
      </c>
      <c r="F1648" s="9" t="str">
        <f>IF(C1648&lt;&gt;"", IFERROR(INDEX('بنود العقد'!E$3:E$388,C1648), 0), "")</f>
        <v/>
      </c>
      <c r="G1648" s="9" t="str">
        <f>IF(C1648&lt;&gt;"", IFERROR(INDEX('بنود العقد'!F$3:F$388,C1648), 0), "")</f>
        <v/>
      </c>
      <c r="H1648" s="18">
        <f t="shared" si="62"/>
        <v>0</v>
      </c>
      <c r="I1648" s="7"/>
      <c r="J1648" s="18">
        <f t="shared" si="56"/>
        <v>0</v>
      </c>
      <c r="K1648" s="10" t="str">
        <f t="shared" si="57"/>
        <v/>
      </c>
      <c r="L1648" s="21" t="str">
        <f t="shared" si="58"/>
        <v/>
      </c>
    </row>
    <row r="1649" spans="1:12" ht="25.95" hidden="1" customHeight="1">
      <c r="A1649" s="12">
        <v>1324</v>
      </c>
      <c r="B1649" s="6">
        <v>20</v>
      </c>
      <c r="C1649" s="6"/>
      <c r="D1649" s="20" t="str">
        <f>IF(C1649&lt;&gt;"", IFERROR(INDEX('بنود العقد'!B$3:B$388,C1649), "⚠"), "")</f>
        <v/>
      </c>
      <c r="E1649" s="12" t="str">
        <f>IF(C1649&lt;&gt;"", IFERROR(INDEX('بنود العقد'!D$3:D$388,C1649), ""), "")</f>
        <v/>
      </c>
      <c r="F1649" s="9" t="str">
        <f>IF(C1649&lt;&gt;"", IFERROR(INDEX('بنود العقد'!E$3:E$388,C1649), 0), "")</f>
        <v/>
      </c>
      <c r="G1649" s="9" t="str">
        <f>IF(C1649&lt;&gt;"", IFERROR(INDEX('بنود العقد'!F$3:F$388,C1649), 0), "")</f>
        <v/>
      </c>
      <c r="H1649" s="18">
        <f t="shared" si="62"/>
        <v>0</v>
      </c>
      <c r="I1649" s="7"/>
      <c r="J1649" s="18">
        <f t="shared" ref="J1649:J1712" si="63">IF(I1649&lt;&gt;"", H1649+I1649, 0)</f>
        <v>0</v>
      </c>
      <c r="K1649" s="10" t="str">
        <f t="shared" ref="K1649:K1712" si="64">IF(AND(I1649&lt;&gt;"",F1649&lt;&gt;""), I1649*F1649, "")</f>
        <v/>
      </c>
      <c r="L1649" s="21" t="str">
        <f t="shared" ref="L1649:L1712" si="65">IF(AND(J1649&lt;&gt;"",G1649&lt;&gt;"",G1649&gt;0), J1649/G1649*100, "")</f>
        <v/>
      </c>
    </row>
    <row r="1650" spans="1:12" ht="25.95" hidden="1" customHeight="1">
      <c r="A1650" s="12">
        <v>1325</v>
      </c>
      <c r="B1650" s="6">
        <v>20</v>
      </c>
      <c r="C1650" s="6"/>
      <c r="D1650" s="20" t="str">
        <f>IF(C1650&lt;&gt;"", IFERROR(INDEX('بنود العقد'!B$3:B$388,C1650), "⚠"), "")</f>
        <v/>
      </c>
      <c r="E1650" s="12" t="str">
        <f>IF(C1650&lt;&gt;"", IFERROR(INDEX('بنود العقد'!D$3:D$388,C1650), ""), "")</f>
        <v/>
      </c>
      <c r="F1650" s="9" t="str">
        <f>IF(C1650&lt;&gt;"", IFERROR(INDEX('بنود العقد'!E$3:E$388,C1650), 0), "")</f>
        <v/>
      </c>
      <c r="G1650" s="9" t="str">
        <f>IF(C1650&lt;&gt;"", IFERROR(INDEX('بنود العقد'!F$3:F$388,C1650), 0), "")</f>
        <v/>
      </c>
      <c r="H1650" s="18">
        <f t="shared" si="62"/>
        <v>0</v>
      </c>
      <c r="I1650" s="7"/>
      <c r="J1650" s="18">
        <f t="shared" si="63"/>
        <v>0</v>
      </c>
      <c r="K1650" s="10" t="str">
        <f t="shared" si="64"/>
        <v/>
      </c>
      <c r="L1650" s="21" t="str">
        <f t="shared" si="65"/>
        <v/>
      </c>
    </row>
    <row r="1651" spans="1:12" ht="25.95" hidden="1" customHeight="1">
      <c r="A1651" s="12">
        <v>1326</v>
      </c>
      <c r="B1651" s="6">
        <v>20</v>
      </c>
      <c r="C1651" s="6"/>
      <c r="D1651" s="20" t="str">
        <f>IF(C1651&lt;&gt;"", IFERROR(INDEX('بنود العقد'!B$3:B$388,C1651), "⚠"), "")</f>
        <v/>
      </c>
      <c r="E1651" s="12" t="str">
        <f>IF(C1651&lt;&gt;"", IFERROR(INDEX('بنود العقد'!D$3:D$388,C1651), ""), "")</f>
        <v/>
      </c>
      <c r="F1651" s="9" t="str">
        <f>IF(C1651&lt;&gt;"", IFERROR(INDEX('بنود العقد'!E$3:E$388,C1651), 0), "")</f>
        <v/>
      </c>
      <c r="G1651" s="9" t="str">
        <f>IF(C1651&lt;&gt;"", IFERROR(INDEX('بنود العقد'!F$3:F$388,C1651), 0), "")</f>
        <v/>
      </c>
      <c r="H1651" s="18">
        <f t="shared" si="62"/>
        <v>0</v>
      </c>
      <c r="I1651" s="7"/>
      <c r="J1651" s="18">
        <f t="shared" si="63"/>
        <v>0</v>
      </c>
      <c r="K1651" s="10" t="str">
        <f t="shared" si="64"/>
        <v/>
      </c>
      <c r="L1651" s="21" t="str">
        <f t="shared" si="65"/>
        <v/>
      </c>
    </row>
    <row r="1652" spans="1:12" ht="25.95" hidden="1" customHeight="1">
      <c r="A1652" s="12">
        <v>1327</v>
      </c>
      <c r="B1652" s="6">
        <v>20</v>
      </c>
      <c r="C1652" s="6"/>
      <c r="D1652" s="20" t="str">
        <f>IF(C1652&lt;&gt;"", IFERROR(INDEX('بنود العقد'!B$3:B$388,C1652), "⚠"), "")</f>
        <v/>
      </c>
      <c r="E1652" s="12" t="str">
        <f>IF(C1652&lt;&gt;"", IFERROR(INDEX('بنود العقد'!D$3:D$388,C1652), ""), "")</f>
        <v/>
      </c>
      <c r="F1652" s="9" t="str">
        <f>IF(C1652&lt;&gt;"", IFERROR(INDEX('بنود العقد'!E$3:E$388,C1652), 0), "")</f>
        <v/>
      </c>
      <c r="G1652" s="9" t="str">
        <f>IF(C1652&lt;&gt;"", IFERROR(INDEX('بنود العقد'!F$3:F$388,C1652), 0), "")</f>
        <v/>
      </c>
      <c r="H1652" s="18">
        <f t="shared" si="62"/>
        <v>0</v>
      </c>
      <c r="I1652" s="7"/>
      <c r="J1652" s="18">
        <f t="shared" si="63"/>
        <v>0</v>
      </c>
      <c r="K1652" s="10" t="str">
        <f t="shared" si="64"/>
        <v/>
      </c>
      <c r="L1652" s="21" t="str">
        <f t="shared" si="65"/>
        <v/>
      </c>
    </row>
    <row r="1653" spans="1:12" ht="25.95" hidden="1" customHeight="1">
      <c r="A1653" s="12">
        <v>1328</v>
      </c>
      <c r="B1653" s="6">
        <v>20</v>
      </c>
      <c r="C1653" s="6"/>
      <c r="D1653" s="20" t="str">
        <f>IF(C1653&lt;&gt;"", IFERROR(INDEX('بنود العقد'!B$3:B$388,C1653), "⚠"), "")</f>
        <v/>
      </c>
      <c r="E1653" s="12" t="str">
        <f>IF(C1653&lt;&gt;"", IFERROR(INDEX('بنود العقد'!D$3:D$388,C1653), ""), "")</f>
        <v/>
      </c>
      <c r="F1653" s="9" t="str">
        <f>IF(C1653&lt;&gt;"", IFERROR(INDEX('بنود العقد'!E$3:E$388,C1653), 0), "")</f>
        <v/>
      </c>
      <c r="G1653" s="9" t="str">
        <f>IF(C1653&lt;&gt;"", IFERROR(INDEX('بنود العقد'!F$3:F$388,C1653), 0), "")</f>
        <v/>
      </c>
      <c r="H1653" s="18">
        <f t="shared" si="62"/>
        <v>0</v>
      </c>
      <c r="I1653" s="7"/>
      <c r="J1653" s="18">
        <f t="shared" si="63"/>
        <v>0</v>
      </c>
      <c r="K1653" s="10" t="str">
        <f t="shared" si="64"/>
        <v/>
      </c>
      <c r="L1653" s="21" t="str">
        <f t="shared" si="65"/>
        <v/>
      </c>
    </row>
    <row r="1654" spans="1:12" ht="25.95" hidden="1" customHeight="1">
      <c r="A1654" s="12">
        <v>1329</v>
      </c>
      <c r="B1654" s="6">
        <v>20</v>
      </c>
      <c r="C1654" s="6"/>
      <c r="D1654" s="20" t="str">
        <f>IF(C1654&lt;&gt;"", IFERROR(INDEX('بنود العقد'!B$3:B$388,C1654), "⚠"), "")</f>
        <v/>
      </c>
      <c r="E1654" s="12" t="str">
        <f>IF(C1654&lt;&gt;"", IFERROR(INDEX('بنود العقد'!D$3:D$388,C1654), ""), "")</f>
        <v/>
      </c>
      <c r="F1654" s="9" t="str">
        <f>IF(C1654&lt;&gt;"", IFERROR(INDEX('بنود العقد'!E$3:E$388,C1654), 0), "")</f>
        <v/>
      </c>
      <c r="G1654" s="9" t="str">
        <f>IF(C1654&lt;&gt;"", IFERROR(INDEX('بنود العقد'!F$3:F$388,C1654), 0), "")</f>
        <v/>
      </c>
      <c r="H1654" s="18">
        <f t="shared" si="62"/>
        <v>0</v>
      </c>
      <c r="I1654" s="7"/>
      <c r="J1654" s="18">
        <f t="shared" si="63"/>
        <v>0</v>
      </c>
      <c r="K1654" s="10" t="str">
        <f t="shared" si="64"/>
        <v/>
      </c>
      <c r="L1654" s="21" t="str">
        <f t="shared" si="65"/>
        <v/>
      </c>
    </row>
    <row r="1655" spans="1:12" ht="25.95" hidden="1" customHeight="1">
      <c r="A1655" s="12">
        <v>1330</v>
      </c>
      <c r="B1655" s="6">
        <v>20</v>
      </c>
      <c r="C1655" s="6"/>
      <c r="D1655" s="20" t="str">
        <f>IF(C1655&lt;&gt;"", IFERROR(INDEX('بنود العقد'!B$3:B$388,C1655), "⚠"), "")</f>
        <v/>
      </c>
      <c r="E1655" s="12" t="str">
        <f>IF(C1655&lt;&gt;"", IFERROR(INDEX('بنود العقد'!D$3:D$388,C1655), ""), "")</f>
        <v/>
      </c>
      <c r="F1655" s="9" t="str">
        <f>IF(C1655&lt;&gt;"", IFERROR(INDEX('بنود العقد'!E$3:E$388,C1655), 0), "")</f>
        <v/>
      </c>
      <c r="G1655" s="9" t="str">
        <f>IF(C1655&lt;&gt;"", IFERROR(INDEX('بنود العقد'!F$3:F$388,C1655), 0), "")</f>
        <v/>
      </c>
      <c r="H1655" s="18">
        <f t="shared" si="62"/>
        <v>0</v>
      </c>
      <c r="I1655" s="7"/>
      <c r="J1655" s="18">
        <f t="shared" si="63"/>
        <v>0</v>
      </c>
      <c r="K1655" s="10" t="str">
        <f t="shared" si="64"/>
        <v/>
      </c>
      <c r="L1655" s="21" t="str">
        <f t="shared" si="65"/>
        <v/>
      </c>
    </row>
    <row r="1656" spans="1:12" ht="25.95" hidden="1" customHeight="1">
      <c r="A1656" s="12">
        <v>1331</v>
      </c>
      <c r="B1656" s="6">
        <v>20</v>
      </c>
      <c r="C1656" s="6"/>
      <c r="D1656" s="20" t="str">
        <f>IF(C1656&lt;&gt;"", IFERROR(INDEX('بنود العقد'!B$3:B$388,C1656), "⚠"), "")</f>
        <v/>
      </c>
      <c r="E1656" s="12" t="str">
        <f>IF(C1656&lt;&gt;"", IFERROR(INDEX('بنود العقد'!D$3:D$388,C1656), ""), "")</f>
        <v/>
      </c>
      <c r="F1656" s="9" t="str">
        <f>IF(C1656&lt;&gt;"", IFERROR(INDEX('بنود العقد'!E$3:E$388,C1656), 0), "")</f>
        <v/>
      </c>
      <c r="G1656" s="9" t="str">
        <f>IF(C1656&lt;&gt;"", IFERROR(INDEX('بنود العقد'!F$3:F$388,C1656), 0), "")</f>
        <v/>
      </c>
      <c r="H1656" s="18">
        <f t="shared" si="62"/>
        <v>0</v>
      </c>
      <c r="I1656" s="7"/>
      <c r="J1656" s="18">
        <f t="shared" si="63"/>
        <v>0</v>
      </c>
      <c r="K1656" s="10" t="str">
        <f t="shared" si="64"/>
        <v/>
      </c>
      <c r="L1656" s="21" t="str">
        <f t="shared" si="65"/>
        <v/>
      </c>
    </row>
    <row r="1657" spans="1:12" ht="25.95" hidden="1" customHeight="1">
      <c r="A1657" s="12">
        <v>1332</v>
      </c>
      <c r="B1657" s="6">
        <v>20</v>
      </c>
      <c r="C1657" s="6"/>
      <c r="D1657" s="20" t="str">
        <f>IF(C1657&lt;&gt;"", IFERROR(INDEX('بنود العقد'!B$3:B$388,C1657), "⚠"), "")</f>
        <v/>
      </c>
      <c r="E1657" s="12" t="str">
        <f>IF(C1657&lt;&gt;"", IFERROR(INDEX('بنود العقد'!D$3:D$388,C1657), ""), "")</f>
        <v/>
      </c>
      <c r="F1657" s="9" t="str">
        <f>IF(C1657&lt;&gt;"", IFERROR(INDEX('بنود العقد'!E$3:E$388,C1657), 0), "")</f>
        <v/>
      </c>
      <c r="G1657" s="9" t="str">
        <f>IF(C1657&lt;&gt;"", IFERROR(INDEX('بنود العقد'!F$3:F$388,C1657), 0), "")</f>
        <v/>
      </c>
      <c r="H1657" s="18">
        <f t="shared" si="62"/>
        <v>0</v>
      </c>
      <c r="I1657" s="7"/>
      <c r="J1657" s="18">
        <f t="shared" si="63"/>
        <v>0</v>
      </c>
      <c r="K1657" s="10" t="str">
        <f t="shared" si="64"/>
        <v/>
      </c>
      <c r="L1657" s="21" t="str">
        <f t="shared" si="65"/>
        <v/>
      </c>
    </row>
    <row r="1658" spans="1:12" ht="25.95" hidden="1" customHeight="1">
      <c r="A1658" s="12">
        <v>1333</v>
      </c>
      <c r="B1658" s="6">
        <v>20</v>
      </c>
      <c r="C1658" s="6"/>
      <c r="D1658" s="20" t="str">
        <f>IF(C1658&lt;&gt;"", IFERROR(INDEX('بنود العقد'!B$3:B$388,C1658), "⚠"), "")</f>
        <v/>
      </c>
      <c r="E1658" s="12" t="str">
        <f>IF(C1658&lt;&gt;"", IFERROR(INDEX('بنود العقد'!D$3:D$388,C1658), ""), "")</f>
        <v/>
      </c>
      <c r="F1658" s="9" t="str">
        <f>IF(C1658&lt;&gt;"", IFERROR(INDEX('بنود العقد'!E$3:E$388,C1658), 0), "")</f>
        <v/>
      </c>
      <c r="G1658" s="9" t="str">
        <f>IF(C1658&lt;&gt;"", IFERROR(INDEX('بنود العقد'!F$3:F$388,C1658), 0), "")</f>
        <v/>
      </c>
      <c r="H1658" s="18">
        <f t="shared" si="62"/>
        <v>0</v>
      </c>
      <c r="I1658" s="7"/>
      <c r="J1658" s="18">
        <f t="shared" si="63"/>
        <v>0</v>
      </c>
      <c r="K1658" s="10" t="str">
        <f t="shared" si="64"/>
        <v/>
      </c>
      <c r="L1658" s="21" t="str">
        <f t="shared" si="65"/>
        <v/>
      </c>
    </row>
    <row r="1659" spans="1:12" ht="25.95" hidden="1" customHeight="1">
      <c r="A1659" s="12">
        <v>1334</v>
      </c>
      <c r="B1659" s="6">
        <v>20</v>
      </c>
      <c r="C1659" s="6"/>
      <c r="D1659" s="20" t="str">
        <f>IF(C1659&lt;&gt;"", IFERROR(INDEX('بنود العقد'!B$3:B$388,C1659), "⚠"), "")</f>
        <v/>
      </c>
      <c r="E1659" s="12" t="str">
        <f>IF(C1659&lt;&gt;"", IFERROR(INDEX('بنود العقد'!D$3:D$388,C1659), ""), "")</f>
        <v/>
      </c>
      <c r="F1659" s="9" t="str">
        <f>IF(C1659&lt;&gt;"", IFERROR(INDEX('بنود العقد'!E$3:E$388,C1659), 0), "")</f>
        <v/>
      </c>
      <c r="G1659" s="9" t="str">
        <f>IF(C1659&lt;&gt;"", IFERROR(INDEX('بنود العقد'!F$3:F$388,C1659), 0), "")</f>
        <v/>
      </c>
      <c r="H1659" s="18">
        <f t="shared" si="62"/>
        <v>0</v>
      </c>
      <c r="I1659" s="7"/>
      <c r="J1659" s="18">
        <f t="shared" si="63"/>
        <v>0</v>
      </c>
      <c r="K1659" s="10" t="str">
        <f t="shared" si="64"/>
        <v/>
      </c>
      <c r="L1659" s="21" t="str">
        <f t="shared" si="65"/>
        <v/>
      </c>
    </row>
    <row r="1660" spans="1:12" ht="25.95" hidden="1" customHeight="1">
      <c r="A1660" s="12">
        <v>1335</v>
      </c>
      <c r="B1660" s="6">
        <v>20</v>
      </c>
      <c r="C1660" s="6"/>
      <c r="D1660" s="20" t="str">
        <f>IF(C1660&lt;&gt;"", IFERROR(INDEX('بنود العقد'!B$3:B$388,C1660), "⚠"), "")</f>
        <v/>
      </c>
      <c r="E1660" s="12" t="str">
        <f>IF(C1660&lt;&gt;"", IFERROR(INDEX('بنود العقد'!D$3:D$388,C1660), ""), "")</f>
        <v/>
      </c>
      <c r="F1660" s="9" t="str">
        <f>IF(C1660&lt;&gt;"", IFERROR(INDEX('بنود العقد'!E$3:E$388,C1660), 0), "")</f>
        <v/>
      </c>
      <c r="G1660" s="9" t="str">
        <f>IF(C1660&lt;&gt;"", IFERROR(INDEX('بنود العقد'!F$3:F$388,C1660), 0), "")</f>
        <v/>
      </c>
      <c r="H1660" s="18">
        <f t="shared" si="62"/>
        <v>0</v>
      </c>
      <c r="I1660" s="7"/>
      <c r="J1660" s="18">
        <f t="shared" si="63"/>
        <v>0</v>
      </c>
      <c r="K1660" s="10" t="str">
        <f t="shared" si="64"/>
        <v/>
      </c>
      <c r="L1660" s="21" t="str">
        <f t="shared" si="65"/>
        <v/>
      </c>
    </row>
    <row r="1661" spans="1:12" ht="25.95" hidden="1" customHeight="1">
      <c r="A1661" s="12">
        <v>1336</v>
      </c>
      <c r="B1661" s="6">
        <v>20</v>
      </c>
      <c r="C1661" s="6"/>
      <c r="D1661" s="20" t="str">
        <f>IF(C1661&lt;&gt;"", IFERROR(INDEX('بنود العقد'!B$3:B$388,C1661), "⚠"), "")</f>
        <v/>
      </c>
      <c r="E1661" s="12" t="str">
        <f>IF(C1661&lt;&gt;"", IFERROR(INDEX('بنود العقد'!D$3:D$388,C1661), ""), "")</f>
        <v/>
      </c>
      <c r="F1661" s="9" t="str">
        <f>IF(C1661&lt;&gt;"", IFERROR(INDEX('بنود العقد'!E$3:E$388,C1661), 0), "")</f>
        <v/>
      </c>
      <c r="G1661" s="9" t="str">
        <f>IF(C1661&lt;&gt;"", IFERROR(INDEX('بنود العقد'!F$3:F$388,C1661), 0), "")</f>
        <v/>
      </c>
      <c r="H1661" s="18">
        <f t="shared" si="62"/>
        <v>0</v>
      </c>
      <c r="I1661" s="7"/>
      <c r="J1661" s="18">
        <f t="shared" si="63"/>
        <v>0</v>
      </c>
      <c r="K1661" s="10" t="str">
        <f t="shared" si="64"/>
        <v/>
      </c>
      <c r="L1661" s="21" t="str">
        <f t="shared" si="65"/>
        <v/>
      </c>
    </row>
    <row r="1662" spans="1:12" ht="25.95" hidden="1" customHeight="1">
      <c r="A1662" s="12">
        <v>1337</v>
      </c>
      <c r="B1662" s="6">
        <v>20</v>
      </c>
      <c r="C1662" s="6"/>
      <c r="D1662" s="20" t="str">
        <f>IF(C1662&lt;&gt;"", IFERROR(INDEX('بنود العقد'!B$3:B$388,C1662), "⚠"), "")</f>
        <v/>
      </c>
      <c r="E1662" s="12" t="str">
        <f>IF(C1662&lt;&gt;"", IFERROR(INDEX('بنود العقد'!D$3:D$388,C1662), ""), "")</f>
        <v/>
      </c>
      <c r="F1662" s="9" t="str">
        <f>IF(C1662&lt;&gt;"", IFERROR(INDEX('بنود العقد'!E$3:E$388,C1662), 0), "")</f>
        <v/>
      </c>
      <c r="G1662" s="9" t="str">
        <f>IF(C1662&lt;&gt;"", IFERROR(INDEX('بنود العقد'!F$3:F$388,C1662), 0), "")</f>
        <v/>
      </c>
      <c r="H1662" s="18">
        <f t="shared" si="62"/>
        <v>0</v>
      </c>
      <c r="I1662" s="7"/>
      <c r="J1662" s="18">
        <f t="shared" si="63"/>
        <v>0</v>
      </c>
      <c r="K1662" s="10" t="str">
        <f t="shared" si="64"/>
        <v/>
      </c>
      <c r="L1662" s="21" t="str">
        <f t="shared" si="65"/>
        <v/>
      </c>
    </row>
    <row r="1663" spans="1:12" ht="25.95" hidden="1" customHeight="1">
      <c r="A1663" s="12">
        <v>1338</v>
      </c>
      <c r="B1663" s="6">
        <v>20</v>
      </c>
      <c r="C1663" s="6"/>
      <c r="D1663" s="20" t="str">
        <f>IF(C1663&lt;&gt;"", IFERROR(INDEX('بنود العقد'!B$3:B$388,C1663), "⚠"), "")</f>
        <v/>
      </c>
      <c r="E1663" s="12" t="str">
        <f>IF(C1663&lt;&gt;"", IFERROR(INDEX('بنود العقد'!D$3:D$388,C1663), ""), "")</f>
        <v/>
      </c>
      <c r="F1663" s="9" t="str">
        <f>IF(C1663&lt;&gt;"", IFERROR(INDEX('بنود العقد'!E$3:E$388,C1663), 0), "")</f>
        <v/>
      </c>
      <c r="G1663" s="9" t="str">
        <f>IF(C1663&lt;&gt;"", IFERROR(INDEX('بنود العقد'!F$3:F$388,C1663), 0), "")</f>
        <v/>
      </c>
      <c r="H1663" s="18">
        <f t="shared" si="62"/>
        <v>0</v>
      </c>
      <c r="I1663" s="7"/>
      <c r="J1663" s="18">
        <f t="shared" si="63"/>
        <v>0</v>
      </c>
      <c r="K1663" s="10" t="str">
        <f t="shared" si="64"/>
        <v/>
      </c>
      <c r="L1663" s="21" t="str">
        <f t="shared" si="65"/>
        <v/>
      </c>
    </row>
    <row r="1664" spans="1:12" ht="25.95" hidden="1" customHeight="1">
      <c r="A1664" s="12">
        <v>1339</v>
      </c>
      <c r="B1664" s="6">
        <v>20</v>
      </c>
      <c r="C1664" s="6"/>
      <c r="D1664" s="20" t="str">
        <f>IF(C1664&lt;&gt;"", IFERROR(INDEX('بنود العقد'!B$3:B$388,C1664), "⚠"), "")</f>
        <v/>
      </c>
      <c r="E1664" s="12" t="str">
        <f>IF(C1664&lt;&gt;"", IFERROR(INDEX('بنود العقد'!D$3:D$388,C1664), ""), "")</f>
        <v/>
      </c>
      <c r="F1664" s="9" t="str">
        <f>IF(C1664&lt;&gt;"", IFERROR(INDEX('بنود العقد'!E$3:E$388,C1664), 0), "")</f>
        <v/>
      </c>
      <c r="G1664" s="9" t="str">
        <f>IF(C1664&lt;&gt;"", IFERROR(INDEX('بنود العقد'!F$3:F$388,C1664), 0), "")</f>
        <v/>
      </c>
      <c r="H1664" s="18">
        <f t="shared" si="62"/>
        <v>0</v>
      </c>
      <c r="I1664" s="7"/>
      <c r="J1664" s="18">
        <f t="shared" si="63"/>
        <v>0</v>
      </c>
      <c r="K1664" s="10" t="str">
        <f t="shared" si="64"/>
        <v/>
      </c>
      <c r="L1664" s="21" t="str">
        <f t="shared" si="65"/>
        <v/>
      </c>
    </row>
    <row r="1665" spans="1:12" ht="25.95" hidden="1" customHeight="1">
      <c r="A1665" s="12">
        <v>1340</v>
      </c>
      <c r="B1665" s="6">
        <v>20</v>
      </c>
      <c r="C1665" s="6"/>
      <c r="D1665" s="20" t="str">
        <f>IF(C1665&lt;&gt;"", IFERROR(INDEX('بنود العقد'!B$3:B$388,C1665), "⚠"), "")</f>
        <v/>
      </c>
      <c r="E1665" s="12" t="str">
        <f>IF(C1665&lt;&gt;"", IFERROR(INDEX('بنود العقد'!D$3:D$388,C1665), ""), "")</f>
        <v/>
      </c>
      <c r="F1665" s="9" t="str">
        <f>IF(C1665&lt;&gt;"", IFERROR(INDEX('بنود العقد'!E$3:E$388,C1665), 0), "")</f>
        <v/>
      </c>
      <c r="G1665" s="9" t="str">
        <f>IF(C1665&lt;&gt;"", IFERROR(INDEX('بنود العقد'!F$3:F$388,C1665), 0), "")</f>
        <v/>
      </c>
      <c r="H1665" s="18">
        <f t="shared" si="62"/>
        <v>0</v>
      </c>
      <c r="I1665" s="7"/>
      <c r="J1665" s="18">
        <f t="shared" si="63"/>
        <v>0</v>
      </c>
      <c r="K1665" s="10" t="str">
        <f t="shared" si="64"/>
        <v/>
      </c>
      <c r="L1665" s="21" t="str">
        <f t="shared" si="65"/>
        <v/>
      </c>
    </row>
    <row r="1666" spans="1:12" ht="25.95" hidden="1" customHeight="1">
      <c r="A1666" s="12">
        <v>1341</v>
      </c>
      <c r="B1666" s="6">
        <v>20</v>
      </c>
      <c r="C1666" s="6"/>
      <c r="D1666" s="20" t="str">
        <f>IF(C1666&lt;&gt;"", IFERROR(INDEX('بنود العقد'!B$3:B$388,C1666), "⚠"), "")</f>
        <v/>
      </c>
      <c r="E1666" s="12" t="str">
        <f>IF(C1666&lt;&gt;"", IFERROR(INDEX('بنود العقد'!D$3:D$388,C1666), ""), "")</f>
        <v/>
      </c>
      <c r="F1666" s="9" t="str">
        <f>IF(C1666&lt;&gt;"", IFERROR(INDEX('بنود العقد'!E$3:E$388,C1666), 0), "")</f>
        <v/>
      </c>
      <c r="G1666" s="9" t="str">
        <f>IF(C1666&lt;&gt;"", IFERROR(INDEX('بنود العقد'!F$3:F$388,C1666), 0), "")</f>
        <v/>
      </c>
      <c r="H1666" s="18">
        <f t="shared" si="62"/>
        <v>0</v>
      </c>
      <c r="I1666" s="7"/>
      <c r="J1666" s="18">
        <f t="shared" si="63"/>
        <v>0</v>
      </c>
      <c r="K1666" s="10" t="str">
        <f t="shared" si="64"/>
        <v/>
      </c>
      <c r="L1666" s="21" t="str">
        <f t="shared" si="65"/>
        <v/>
      </c>
    </row>
    <row r="1667" spans="1:12" ht="25.95" hidden="1" customHeight="1">
      <c r="A1667" s="12">
        <v>1342</v>
      </c>
      <c r="B1667" s="6">
        <v>20</v>
      </c>
      <c r="C1667" s="6"/>
      <c r="D1667" s="20" t="str">
        <f>IF(C1667&lt;&gt;"", IFERROR(INDEX('بنود العقد'!B$3:B$388,C1667), "⚠"), "")</f>
        <v/>
      </c>
      <c r="E1667" s="12" t="str">
        <f>IF(C1667&lt;&gt;"", IFERROR(INDEX('بنود العقد'!D$3:D$388,C1667), ""), "")</f>
        <v/>
      </c>
      <c r="F1667" s="9" t="str">
        <f>IF(C1667&lt;&gt;"", IFERROR(INDEX('بنود العقد'!E$3:E$388,C1667), 0), "")</f>
        <v/>
      </c>
      <c r="G1667" s="9" t="str">
        <f>IF(C1667&lt;&gt;"", IFERROR(INDEX('بنود العقد'!F$3:F$388,C1667), 0), "")</f>
        <v/>
      </c>
      <c r="H1667" s="18">
        <f t="shared" si="62"/>
        <v>0</v>
      </c>
      <c r="I1667" s="7"/>
      <c r="J1667" s="18">
        <f t="shared" si="63"/>
        <v>0</v>
      </c>
      <c r="K1667" s="10" t="str">
        <f t="shared" si="64"/>
        <v/>
      </c>
      <c r="L1667" s="21" t="str">
        <f t="shared" si="65"/>
        <v/>
      </c>
    </row>
    <row r="1668" spans="1:12" ht="25.95" hidden="1" customHeight="1">
      <c r="A1668" s="12">
        <v>1343</v>
      </c>
      <c r="B1668" s="6">
        <v>20</v>
      </c>
      <c r="C1668" s="6"/>
      <c r="D1668" s="20" t="str">
        <f>IF(C1668&lt;&gt;"", IFERROR(INDEX('بنود العقد'!B$3:B$388,C1668), "⚠"), "")</f>
        <v/>
      </c>
      <c r="E1668" s="12" t="str">
        <f>IF(C1668&lt;&gt;"", IFERROR(INDEX('بنود العقد'!D$3:D$388,C1668), ""), "")</f>
        <v/>
      </c>
      <c r="F1668" s="9" t="str">
        <f>IF(C1668&lt;&gt;"", IFERROR(INDEX('بنود العقد'!E$3:E$388,C1668), 0), "")</f>
        <v/>
      </c>
      <c r="G1668" s="9" t="str">
        <f>IF(C1668&lt;&gt;"", IFERROR(INDEX('بنود العقد'!F$3:F$388,C1668), 0), "")</f>
        <v/>
      </c>
      <c r="H1668" s="18">
        <f t="shared" si="62"/>
        <v>0</v>
      </c>
      <c r="I1668" s="7"/>
      <c r="J1668" s="18">
        <f t="shared" si="63"/>
        <v>0</v>
      </c>
      <c r="K1668" s="10" t="str">
        <f t="shared" si="64"/>
        <v/>
      </c>
      <c r="L1668" s="21" t="str">
        <f t="shared" si="65"/>
        <v/>
      </c>
    </row>
    <row r="1669" spans="1:12" ht="25.95" hidden="1" customHeight="1">
      <c r="A1669" s="12">
        <v>1344</v>
      </c>
      <c r="B1669" s="6">
        <v>20</v>
      </c>
      <c r="C1669" s="6"/>
      <c r="D1669" s="20" t="str">
        <f>IF(C1669&lt;&gt;"", IFERROR(INDEX('بنود العقد'!B$3:B$388,C1669), "⚠"), "")</f>
        <v/>
      </c>
      <c r="E1669" s="12" t="str">
        <f>IF(C1669&lt;&gt;"", IFERROR(INDEX('بنود العقد'!D$3:D$388,C1669), ""), "")</f>
        <v/>
      </c>
      <c r="F1669" s="9" t="str">
        <f>IF(C1669&lt;&gt;"", IFERROR(INDEX('بنود العقد'!E$3:E$388,C1669), 0), "")</f>
        <v/>
      </c>
      <c r="G1669" s="9" t="str">
        <f>IF(C1669&lt;&gt;"", IFERROR(INDEX('بنود العقد'!F$3:F$388,C1669), 0), "")</f>
        <v/>
      </c>
      <c r="H1669" s="18">
        <f t="shared" si="62"/>
        <v>0</v>
      </c>
      <c r="I1669" s="7"/>
      <c r="J1669" s="18">
        <f t="shared" si="63"/>
        <v>0</v>
      </c>
      <c r="K1669" s="10" t="str">
        <f t="shared" si="64"/>
        <v/>
      </c>
      <c r="L1669" s="21" t="str">
        <f t="shared" si="65"/>
        <v/>
      </c>
    </row>
    <row r="1670" spans="1:12" ht="25.95" hidden="1" customHeight="1">
      <c r="A1670" s="12">
        <v>1345</v>
      </c>
      <c r="B1670" s="6">
        <v>20</v>
      </c>
      <c r="C1670" s="6"/>
      <c r="D1670" s="20" t="str">
        <f>IF(C1670&lt;&gt;"", IFERROR(INDEX('بنود العقد'!B$3:B$388,C1670), "⚠"), "")</f>
        <v/>
      </c>
      <c r="E1670" s="12" t="str">
        <f>IF(C1670&lt;&gt;"", IFERROR(INDEX('بنود العقد'!D$3:D$388,C1670), ""), "")</f>
        <v/>
      </c>
      <c r="F1670" s="9" t="str">
        <f>IF(C1670&lt;&gt;"", IFERROR(INDEX('بنود العقد'!E$3:E$388,C1670), 0), "")</f>
        <v/>
      </c>
      <c r="G1670" s="9" t="str">
        <f>IF(C1670&lt;&gt;"", IFERROR(INDEX('بنود العقد'!F$3:F$388,C1670), 0), "")</f>
        <v/>
      </c>
      <c r="H1670" s="18">
        <f t="shared" ref="H1670:H1733" si="66">IFERROR(SUMIFS(I$3:I$1805, B$3:B$1805, "&lt;"&amp;B1670, C$3:C$1805, C1670), 0)</f>
        <v>0</v>
      </c>
      <c r="I1670" s="7"/>
      <c r="J1670" s="18">
        <f t="shared" si="63"/>
        <v>0</v>
      </c>
      <c r="K1670" s="10" t="str">
        <f t="shared" si="64"/>
        <v/>
      </c>
      <c r="L1670" s="21" t="str">
        <f t="shared" si="65"/>
        <v/>
      </c>
    </row>
    <row r="1671" spans="1:12" ht="25.95" hidden="1" customHeight="1">
      <c r="A1671" s="12">
        <v>1346</v>
      </c>
      <c r="B1671" s="6">
        <v>20</v>
      </c>
      <c r="C1671" s="6"/>
      <c r="D1671" s="20" t="str">
        <f>IF(C1671&lt;&gt;"", IFERROR(INDEX('بنود العقد'!B$3:B$388,C1671), "⚠"), "")</f>
        <v/>
      </c>
      <c r="E1671" s="12" t="str">
        <f>IF(C1671&lt;&gt;"", IFERROR(INDEX('بنود العقد'!D$3:D$388,C1671), ""), "")</f>
        <v/>
      </c>
      <c r="F1671" s="9" t="str">
        <f>IF(C1671&lt;&gt;"", IFERROR(INDEX('بنود العقد'!E$3:E$388,C1671), 0), "")</f>
        <v/>
      </c>
      <c r="G1671" s="9" t="str">
        <f>IF(C1671&lt;&gt;"", IFERROR(INDEX('بنود العقد'!F$3:F$388,C1671), 0), "")</f>
        <v/>
      </c>
      <c r="H1671" s="18">
        <f t="shared" si="66"/>
        <v>0</v>
      </c>
      <c r="I1671" s="7"/>
      <c r="J1671" s="18">
        <f t="shared" si="63"/>
        <v>0</v>
      </c>
      <c r="K1671" s="10" t="str">
        <f t="shared" si="64"/>
        <v/>
      </c>
      <c r="L1671" s="21" t="str">
        <f t="shared" si="65"/>
        <v/>
      </c>
    </row>
    <row r="1672" spans="1:12" ht="25.95" hidden="1" customHeight="1">
      <c r="A1672" s="12">
        <v>1347</v>
      </c>
      <c r="B1672" s="6">
        <v>20</v>
      </c>
      <c r="C1672" s="6"/>
      <c r="D1672" s="20" t="str">
        <f>IF(C1672&lt;&gt;"", IFERROR(INDEX('بنود العقد'!B$3:B$388,C1672), "⚠"), "")</f>
        <v/>
      </c>
      <c r="E1672" s="12" t="str">
        <f>IF(C1672&lt;&gt;"", IFERROR(INDEX('بنود العقد'!D$3:D$388,C1672), ""), "")</f>
        <v/>
      </c>
      <c r="F1672" s="9" t="str">
        <f>IF(C1672&lt;&gt;"", IFERROR(INDEX('بنود العقد'!E$3:E$388,C1672), 0), "")</f>
        <v/>
      </c>
      <c r="G1672" s="9" t="str">
        <f>IF(C1672&lt;&gt;"", IFERROR(INDEX('بنود العقد'!F$3:F$388,C1672), 0), "")</f>
        <v/>
      </c>
      <c r="H1672" s="18">
        <f t="shared" si="66"/>
        <v>0</v>
      </c>
      <c r="I1672" s="7"/>
      <c r="J1672" s="18">
        <f t="shared" si="63"/>
        <v>0</v>
      </c>
      <c r="K1672" s="10" t="str">
        <f t="shared" si="64"/>
        <v/>
      </c>
      <c r="L1672" s="21" t="str">
        <f t="shared" si="65"/>
        <v/>
      </c>
    </row>
    <row r="1673" spans="1:12" ht="25.95" hidden="1" customHeight="1">
      <c r="A1673" s="12">
        <v>1348</v>
      </c>
      <c r="B1673" s="6">
        <v>20</v>
      </c>
      <c r="C1673" s="6"/>
      <c r="D1673" s="20" t="str">
        <f>IF(C1673&lt;&gt;"", IFERROR(INDEX('بنود العقد'!B$3:B$388,C1673), "⚠"), "")</f>
        <v/>
      </c>
      <c r="E1673" s="12" t="str">
        <f>IF(C1673&lt;&gt;"", IFERROR(INDEX('بنود العقد'!D$3:D$388,C1673), ""), "")</f>
        <v/>
      </c>
      <c r="F1673" s="9" t="str">
        <f>IF(C1673&lt;&gt;"", IFERROR(INDEX('بنود العقد'!E$3:E$388,C1673), 0), "")</f>
        <v/>
      </c>
      <c r="G1673" s="9" t="str">
        <f>IF(C1673&lt;&gt;"", IFERROR(INDEX('بنود العقد'!F$3:F$388,C1673), 0), "")</f>
        <v/>
      </c>
      <c r="H1673" s="18">
        <f t="shared" si="66"/>
        <v>0</v>
      </c>
      <c r="I1673" s="7"/>
      <c r="J1673" s="18">
        <f t="shared" si="63"/>
        <v>0</v>
      </c>
      <c r="K1673" s="10" t="str">
        <f t="shared" si="64"/>
        <v/>
      </c>
      <c r="L1673" s="21" t="str">
        <f t="shared" si="65"/>
        <v/>
      </c>
    </row>
    <row r="1674" spans="1:12" ht="25.95" hidden="1" customHeight="1">
      <c r="A1674" s="12">
        <v>1349</v>
      </c>
      <c r="B1674" s="6">
        <v>20</v>
      </c>
      <c r="C1674" s="6"/>
      <c r="D1674" s="20" t="str">
        <f>IF(C1674&lt;&gt;"", IFERROR(INDEX('بنود العقد'!B$3:B$388,C1674), "⚠"), "")</f>
        <v/>
      </c>
      <c r="E1674" s="12" t="str">
        <f>IF(C1674&lt;&gt;"", IFERROR(INDEX('بنود العقد'!D$3:D$388,C1674), ""), "")</f>
        <v/>
      </c>
      <c r="F1674" s="9" t="str">
        <f>IF(C1674&lt;&gt;"", IFERROR(INDEX('بنود العقد'!E$3:E$388,C1674), 0), "")</f>
        <v/>
      </c>
      <c r="G1674" s="9" t="str">
        <f>IF(C1674&lt;&gt;"", IFERROR(INDEX('بنود العقد'!F$3:F$388,C1674), 0), "")</f>
        <v/>
      </c>
      <c r="H1674" s="18">
        <f t="shared" si="66"/>
        <v>0</v>
      </c>
      <c r="I1674" s="7"/>
      <c r="J1674" s="18">
        <f t="shared" si="63"/>
        <v>0</v>
      </c>
      <c r="K1674" s="10" t="str">
        <f t="shared" si="64"/>
        <v/>
      </c>
      <c r="L1674" s="21" t="str">
        <f t="shared" si="65"/>
        <v/>
      </c>
    </row>
    <row r="1675" spans="1:12" ht="25.95" hidden="1" customHeight="1">
      <c r="A1675" s="12">
        <v>1350</v>
      </c>
      <c r="B1675" s="6">
        <v>20</v>
      </c>
      <c r="C1675" s="6"/>
      <c r="D1675" s="20" t="str">
        <f>IF(C1675&lt;&gt;"", IFERROR(INDEX('بنود العقد'!B$3:B$388,C1675), "⚠"), "")</f>
        <v/>
      </c>
      <c r="E1675" s="12" t="str">
        <f>IF(C1675&lt;&gt;"", IFERROR(INDEX('بنود العقد'!D$3:D$388,C1675), ""), "")</f>
        <v/>
      </c>
      <c r="F1675" s="9" t="str">
        <f>IF(C1675&lt;&gt;"", IFERROR(INDEX('بنود العقد'!E$3:E$388,C1675), 0), "")</f>
        <v/>
      </c>
      <c r="G1675" s="9" t="str">
        <f>IF(C1675&lt;&gt;"", IFERROR(INDEX('بنود العقد'!F$3:F$388,C1675), 0), "")</f>
        <v/>
      </c>
      <c r="H1675" s="18">
        <f t="shared" si="66"/>
        <v>0</v>
      </c>
      <c r="I1675" s="7"/>
      <c r="J1675" s="18">
        <f t="shared" si="63"/>
        <v>0</v>
      </c>
      <c r="K1675" s="10" t="str">
        <f t="shared" si="64"/>
        <v/>
      </c>
      <c r="L1675" s="21" t="str">
        <f t="shared" si="65"/>
        <v/>
      </c>
    </row>
    <row r="1676" spans="1:12" ht="25.95" hidden="1" customHeight="1">
      <c r="A1676" s="12">
        <v>1351</v>
      </c>
      <c r="B1676" s="6">
        <v>20</v>
      </c>
      <c r="C1676" s="6"/>
      <c r="D1676" s="20" t="str">
        <f>IF(C1676&lt;&gt;"", IFERROR(INDEX('بنود العقد'!B$3:B$388,C1676), "⚠"), "")</f>
        <v/>
      </c>
      <c r="E1676" s="12" t="str">
        <f>IF(C1676&lt;&gt;"", IFERROR(INDEX('بنود العقد'!D$3:D$388,C1676), ""), "")</f>
        <v/>
      </c>
      <c r="F1676" s="9" t="str">
        <f>IF(C1676&lt;&gt;"", IFERROR(INDEX('بنود العقد'!E$3:E$388,C1676), 0), "")</f>
        <v/>
      </c>
      <c r="G1676" s="9" t="str">
        <f>IF(C1676&lt;&gt;"", IFERROR(INDEX('بنود العقد'!F$3:F$388,C1676), 0), "")</f>
        <v/>
      </c>
      <c r="H1676" s="18">
        <f t="shared" si="66"/>
        <v>0</v>
      </c>
      <c r="I1676" s="7"/>
      <c r="J1676" s="18">
        <f t="shared" si="63"/>
        <v>0</v>
      </c>
      <c r="K1676" s="10" t="str">
        <f t="shared" si="64"/>
        <v/>
      </c>
      <c r="L1676" s="21" t="str">
        <f t="shared" si="65"/>
        <v/>
      </c>
    </row>
    <row r="1677" spans="1:12" ht="25.95" hidden="1" customHeight="1">
      <c r="A1677" s="12">
        <v>1352</v>
      </c>
      <c r="B1677" s="6">
        <v>20</v>
      </c>
      <c r="C1677" s="6"/>
      <c r="D1677" s="20" t="str">
        <f>IF(C1677&lt;&gt;"", IFERROR(INDEX('بنود العقد'!B$3:B$388,C1677), "⚠"), "")</f>
        <v/>
      </c>
      <c r="E1677" s="12" t="str">
        <f>IF(C1677&lt;&gt;"", IFERROR(INDEX('بنود العقد'!D$3:D$388,C1677), ""), "")</f>
        <v/>
      </c>
      <c r="F1677" s="9" t="str">
        <f>IF(C1677&lt;&gt;"", IFERROR(INDEX('بنود العقد'!E$3:E$388,C1677), 0), "")</f>
        <v/>
      </c>
      <c r="G1677" s="9" t="str">
        <f>IF(C1677&lt;&gt;"", IFERROR(INDEX('بنود العقد'!F$3:F$388,C1677), 0), "")</f>
        <v/>
      </c>
      <c r="H1677" s="18">
        <f t="shared" si="66"/>
        <v>0</v>
      </c>
      <c r="I1677" s="7"/>
      <c r="J1677" s="18">
        <f t="shared" si="63"/>
        <v>0</v>
      </c>
      <c r="K1677" s="10" t="str">
        <f t="shared" si="64"/>
        <v/>
      </c>
      <c r="L1677" s="21" t="str">
        <f t="shared" si="65"/>
        <v/>
      </c>
    </row>
    <row r="1678" spans="1:12" ht="25.95" hidden="1" customHeight="1">
      <c r="A1678" s="12">
        <v>1353</v>
      </c>
      <c r="B1678" s="6">
        <v>20</v>
      </c>
      <c r="C1678" s="6"/>
      <c r="D1678" s="20" t="str">
        <f>IF(C1678&lt;&gt;"", IFERROR(INDEX('بنود العقد'!B$3:B$388,C1678), "⚠"), "")</f>
        <v/>
      </c>
      <c r="E1678" s="12" t="str">
        <f>IF(C1678&lt;&gt;"", IFERROR(INDEX('بنود العقد'!D$3:D$388,C1678), ""), "")</f>
        <v/>
      </c>
      <c r="F1678" s="9" t="str">
        <f>IF(C1678&lt;&gt;"", IFERROR(INDEX('بنود العقد'!E$3:E$388,C1678), 0), "")</f>
        <v/>
      </c>
      <c r="G1678" s="9" t="str">
        <f>IF(C1678&lt;&gt;"", IFERROR(INDEX('بنود العقد'!F$3:F$388,C1678), 0), "")</f>
        <v/>
      </c>
      <c r="H1678" s="18">
        <f t="shared" si="66"/>
        <v>0</v>
      </c>
      <c r="I1678" s="7"/>
      <c r="J1678" s="18">
        <f t="shared" si="63"/>
        <v>0</v>
      </c>
      <c r="K1678" s="10" t="str">
        <f t="shared" si="64"/>
        <v/>
      </c>
      <c r="L1678" s="21" t="str">
        <f t="shared" si="65"/>
        <v/>
      </c>
    </row>
    <row r="1679" spans="1:12" ht="25.95" hidden="1" customHeight="1">
      <c r="A1679" s="12">
        <v>1354</v>
      </c>
      <c r="B1679" s="6">
        <v>20</v>
      </c>
      <c r="C1679" s="6"/>
      <c r="D1679" s="20" t="str">
        <f>IF(C1679&lt;&gt;"", IFERROR(INDEX('بنود العقد'!B$3:B$388,C1679), "⚠"), "")</f>
        <v/>
      </c>
      <c r="E1679" s="12" t="str">
        <f>IF(C1679&lt;&gt;"", IFERROR(INDEX('بنود العقد'!D$3:D$388,C1679), ""), "")</f>
        <v/>
      </c>
      <c r="F1679" s="9" t="str">
        <f>IF(C1679&lt;&gt;"", IFERROR(INDEX('بنود العقد'!E$3:E$388,C1679), 0), "")</f>
        <v/>
      </c>
      <c r="G1679" s="9" t="str">
        <f>IF(C1679&lt;&gt;"", IFERROR(INDEX('بنود العقد'!F$3:F$388,C1679), 0), "")</f>
        <v/>
      </c>
      <c r="H1679" s="18">
        <f t="shared" si="66"/>
        <v>0</v>
      </c>
      <c r="I1679" s="7"/>
      <c r="J1679" s="18">
        <f t="shared" si="63"/>
        <v>0</v>
      </c>
      <c r="K1679" s="10" t="str">
        <f t="shared" si="64"/>
        <v/>
      </c>
      <c r="L1679" s="21" t="str">
        <f t="shared" si="65"/>
        <v/>
      </c>
    </row>
    <row r="1680" spans="1:12" ht="25.95" hidden="1" customHeight="1">
      <c r="A1680" s="12">
        <v>1355</v>
      </c>
      <c r="B1680" s="6">
        <v>20</v>
      </c>
      <c r="C1680" s="6"/>
      <c r="D1680" s="20" t="str">
        <f>IF(C1680&lt;&gt;"", IFERROR(INDEX('بنود العقد'!B$3:B$388,C1680), "⚠"), "")</f>
        <v/>
      </c>
      <c r="E1680" s="12" t="str">
        <f>IF(C1680&lt;&gt;"", IFERROR(INDEX('بنود العقد'!D$3:D$388,C1680), ""), "")</f>
        <v/>
      </c>
      <c r="F1680" s="9" t="str">
        <f>IF(C1680&lt;&gt;"", IFERROR(INDEX('بنود العقد'!E$3:E$388,C1680), 0), "")</f>
        <v/>
      </c>
      <c r="G1680" s="9" t="str">
        <f>IF(C1680&lt;&gt;"", IFERROR(INDEX('بنود العقد'!F$3:F$388,C1680), 0), "")</f>
        <v/>
      </c>
      <c r="H1680" s="18">
        <f t="shared" si="66"/>
        <v>0</v>
      </c>
      <c r="I1680" s="7"/>
      <c r="J1680" s="18">
        <f t="shared" si="63"/>
        <v>0</v>
      </c>
      <c r="K1680" s="10" t="str">
        <f t="shared" si="64"/>
        <v/>
      </c>
      <c r="L1680" s="21" t="str">
        <f t="shared" si="65"/>
        <v/>
      </c>
    </row>
    <row r="1681" spans="1:12" ht="25.95" hidden="1" customHeight="1">
      <c r="A1681" s="12">
        <v>1356</v>
      </c>
      <c r="B1681" s="6">
        <v>20</v>
      </c>
      <c r="C1681" s="6"/>
      <c r="D1681" s="20" t="str">
        <f>IF(C1681&lt;&gt;"", IFERROR(INDEX('بنود العقد'!B$3:B$388,C1681), "⚠"), "")</f>
        <v/>
      </c>
      <c r="E1681" s="12" t="str">
        <f>IF(C1681&lt;&gt;"", IFERROR(INDEX('بنود العقد'!D$3:D$388,C1681), ""), "")</f>
        <v/>
      </c>
      <c r="F1681" s="9" t="str">
        <f>IF(C1681&lt;&gt;"", IFERROR(INDEX('بنود العقد'!E$3:E$388,C1681), 0), "")</f>
        <v/>
      </c>
      <c r="G1681" s="9" t="str">
        <f>IF(C1681&lt;&gt;"", IFERROR(INDEX('بنود العقد'!F$3:F$388,C1681), 0), "")</f>
        <v/>
      </c>
      <c r="H1681" s="18">
        <f t="shared" si="66"/>
        <v>0</v>
      </c>
      <c r="I1681" s="7"/>
      <c r="J1681" s="18">
        <f t="shared" si="63"/>
        <v>0</v>
      </c>
      <c r="K1681" s="10" t="str">
        <f t="shared" si="64"/>
        <v/>
      </c>
      <c r="L1681" s="21" t="str">
        <f t="shared" si="65"/>
        <v/>
      </c>
    </row>
    <row r="1682" spans="1:12" ht="25.95" hidden="1" customHeight="1">
      <c r="A1682" s="12">
        <v>1357</v>
      </c>
      <c r="B1682" s="6">
        <v>20</v>
      </c>
      <c r="C1682" s="6"/>
      <c r="D1682" s="20" t="str">
        <f>IF(C1682&lt;&gt;"", IFERROR(INDEX('بنود العقد'!B$3:B$388,C1682), "⚠"), "")</f>
        <v/>
      </c>
      <c r="E1682" s="12" t="str">
        <f>IF(C1682&lt;&gt;"", IFERROR(INDEX('بنود العقد'!D$3:D$388,C1682), ""), "")</f>
        <v/>
      </c>
      <c r="F1682" s="9" t="str">
        <f>IF(C1682&lt;&gt;"", IFERROR(INDEX('بنود العقد'!E$3:E$388,C1682), 0), "")</f>
        <v/>
      </c>
      <c r="G1682" s="9" t="str">
        <f>IF(C1682&lt;&gt;"", IFERROR(INDEX('بنود العقد'!F$3:F$388,C1682), 0), "")</f>
        <v/>
      </c>
      <c r="H1682" s="18">
        <f t="shared" si="66"/>
        <v>0</v>
      </c>
      <c r="I1682" s="7"/>
      <c r="J1682" s="18">
        <f t="shared" si="63"/>
        <v>0</v>
      </c>
      <c r="K1682" s="10" t="str">
        <f t="shared" si="64"/>
        <v/>
      </c>
      <c r="L1682" s="21" t="str">
        <f t="shared" si="65"/>
        <v/>
      </c>
    </row>
    <row r="1683" spans="1:12" ht="25.95" hidden="1" customHeight="1">
      <c r="A1683" s="12">
        <v>1358</v>
      </c>
      <c r="B1683" s="6">
        <v>20</v>
      </c>
      <c r="C1683" s="6"/>
      <c r="D1683" s="20" t="str">
        <f>IF(C1683&lt;&gt;"", IFERROR(INDEX('بنود العقد'!B$3:B$388,C1683), "⚠"), "")</f>
        <v/>
      </c>
      <c r="E1683" s="12" t="str">
        <f>IF(C1683&lt;&gt;"", IFERROR(INDEX('بنود العقد'!D$3:D$388,C1683), ""), "")</f>
        <v/>
      </c>
      <c r="F1683" s="9" t="str">
        <f>IF(C1683&lt;&gt;"", IFERROR(INDEX('بنود العقد'!E$3:E$388,C1683), 0), "")</f>
        <v/>
      </c>
      <c r="G1683" s="9" t="str">
        <f>IF(C1683&lt;&gt;"", IFERROR(INDEX('بنود العقد'!F$3:F$388,C1683), 0), "")</f>
        <v/>
      </c>
      <c r="H1683" s="18">
        <f t="shared" si="66"/>
        <v>0</v>
      </c>
      <c r="I1683" s="7"/>
      <c r="J1683" s="18">
        <f t="shared" si="63"/>
        <v>0</v>
      </c>
      <c r="K1683" s="10" t="str">
        <f t="shared" si="64"/>
        <v/>
      </c>
      <c r="L1683" s="21" t="str">
        <f t="shared" si="65"/>
        <v/>
      </c>
    </row>
    <row r="1684" spans="1:12" ht="25.95" hidden="1" customHeight="1">
      <c r="A1684" s="12">
        <v>1359</v>
      </c>
      <c r="B1684" s="6">
        <v>20</v>
      </c>
      <c r="C1684" s="6"/>
      <c r="D1684" s="20" t="str">
        <f>IF(C1684&lt;&gt;"", IFERROR(INDEX('بنود العقد'!B$3:B$388,C1684), "⚠"), "")</f>
        <v/>
      </c>
      <c r="E1684" s="12" t="str">
        <f>IF(C1684&lt;&gt;"", IFERROR(INDEX('بنود العقد'!D$3:D$388,C1684), ""), "")</f>
        <v/>
      </c>
      <c r="F1684" s="9" t="str">
        <f>IF(C1684&lt;&gt;"", IFERROR(INDEX('بنود العقد'!E$3:E$388,C1684), 0), "")</f>
        <v/>
      </c>
      <c r="G1684" s="9" t="str">
        <f>IF(C1684&lt;&gt;"", IFERROR(INDEX('بنود العقد'!F$3:F$388,C1684), 0), "")</f>
        <v/>
      </c>
      <c r="H1684" s="18">
        <f t="shared" si="66"/>
        <v>0</v>
      </c>
      <c r="I1684" s="7"/>
      <c r="J1684" s="18">
        <f t="shared" si="63"/>
        <v>0</v>
      </c>
      <c r="K1684" s="10" t="str">
        <f t="shared" si="64"/>
        <v/>
      </c>
      <c r="L1684" s="21" t="str">
        <f t="shared" si="65"/>
        <v/>
      </c>
    </row>
    <row r="1685" spans="1:12" ht="25.95" hidden="1" customHeight="1">
      <c r="A1685" s="12">
        <v>1360</v>
      </c>
      <c r="B1685" s="6">
        <v>20</v>
      </c>
      <c r="C1685" s="6"/>
      <c r="D1685" s="20" t="str">
        <f>IF(C1685&lt;&gt;"", IFERROR(INDEX('بنود العقد'!B$3:B$388,C1685), "⚠"), "")</f>
        <v/>
      </c>
      <c r="E1685" s="12" t="str">
        <f>IF(C1685&lt;&gt;"", IFERROR(INDEX('بنود العقد'!D$3:D$388,C1685), ""), "")</f>
        <v/>
      </c>
      <c r="F1685" s="9" t="str">
        <f>IF(C1685&lt;&gt;"", IFERROR(INDEX('بنود العقد'!E$3:E$388,C1685), 0), "")</f>
        <v/>
      </c>
      <c r="G1685" s="9" t="str">
        <f>IF(C1685&lt;&gt;"", IFERROR(INDEX('بنود العقد'!F$3:F$388,C1685), 0), "")</f>
        <v/>
      </c>
      <c r="H1685" s="18">
        <f t="shared" si="66"/>
        <v>0</v>
      </c>
      <c r="I1685" s="7"/>
      <c r="J1685" s="18">
        <f t="shared" si="63"/>
        <v>0</v>
      </c>
      <c r="K1685" s="10" t="str">
        <f t="shared" si="64"/>
        <v/>
      </c>
      <c r="L1685" s="21" t="str">
        <f t="shared" si="65"/>
        <v/>
      </c>
    </row>
    <row r="1686" spans="1:12" ht="25.95" hidden="1" customHeight="1">
      <c r="A1686" s="12">
        <v>1361</v>
      </c>
      <c r="B1686" s="6">
        <v>20</v>
      </c>
      <c r="C1686" s="6"/>
      <c r="D1686" s="20" t="str">
        <f>IF(C1686&lt;&gt;"", IFERROR(INDEX('بنود العقد'!B$3:B$388,C1686), "⚠"), "")</f>
        <v/>
      </c>
      <c r="E1686" s="12" t="str">
        <f>IF(C1686&lt;&gt;"", IFERROR(INDEX('بنود العقد'!D$3:D$388,C1686), ""), "")</f>
        <v/>
      </c>
      <c r="F1686" s="9" t="str">
        <f>IF(C1686&lt;&gt;"", IFERROR(INDEX('بنود العقد'!E$3:E$388,C1686), 0), "")</f>
        <v/>
      </c>
      <c r="G1686" s="9" t="str">
        <f>IF(C1686&lt;&gt;"", IFERROR(INDEX('بنود العقد'!F$3:F$388,C1686), 0), "")</f>
        <v/>
      </c>
      <c r="H1686" s="18">
        <f t="shared" si="66"/>
        <v>0</v>
      </c>
      <c r="I1686" s="7"/>
      <c r="J1686" s="18">
        <f t="shared" si="63"/>
        <v>0</v>
      </c>
      <c r="K1686" s="10" t="str">
        <f t="shared" si="64"/>
        <v/>
      </c>
      <c r="L1686" s="21" t="str">
        <f t="shared" si="65"/>
        <v/>
      </c>
    </row>
    <row r="1687" spans="1:12" ht="25.95" hidden="1" customHeight="1">
      <c r="A1687" s="12">
        <v>1362</v>
      </c>
      <c r="B1687" s="6">
        <v>20</v>
      </c>
      <c r="C1687" s="6"/>
      <c r="D1687" s="20" t="str">
        <f>IF(C1687&lt;&gt;"", IFERROR(INDEX('بنود العقد'!B$3:B$388,C1687), "⚠"), "")</f>
        <v/>
      </c>
      <c r="E1687" s="12" t="str">
        <f>IF(C1687&lt;&gt;"", IFERROR(INDEX('بنود العقد'!D$3:D$388,C1687), ""), "")</f>
        <v/>
      </c>
      <c r="F1687" s="9" t="str">
        <f>IF(C1687&lt;&gt;"", IFERROR(INDEX('بنود العقد'!E$3:E$388,C1687), 0), "")</f>
        <v/>
      </c>
      <c r="G1687" s="9" t="str">
        <f>IF(C1687&lt;&gt;"", IFERROR(INDEX('بنود العقد'!F$3:F$388,C1687), 0), "")</f>
        <v/>
      </c>
      <c r="H1687" s="18">
        <f t="shared" si="66"/>
        <v>0</v>
      </c>
      <c r="I1687" s="7"/>
      <c r="J1687" s="18">
        <f t="shared" si="63"/>
        <v>0</v>
      </c>
      <c r="K1687" s="10" t="str">
        <f t="shared" si="64"/>
        <v/>
      </c>
      <c r="L1687" s="21" t="str">
        <f t="shared" si="65"/>
        <v/>
      </c>
    </row>
    <row r="1688" spans="1:12" ht="25.95" hidden="1" customHeight="1">
      <c r="A1688" s="12">
        <v>1363</v>
      </c>
      <c r="B1688" s="6">
        <v>20</v>
      </c>
      <c r="C1688" s="6"/>
      <c r="D1688" s="20" t="str">
        <f>IF(C1688&lt;&gt;"", IFERROR(INDEX('بنود العقد'!B$3:B$388,C1688), "⚠"), "")</f>
        <v/>
      </c>
      <c r="E1688" s="12" t="str">
        <f>IF(C1688&lt;&gt;"", IFERROR(INDEX('بنود العقد'!D$3:D$388,C1688), ""), "")</f>
        <v/>
      </c>
      <c r="F1688" s="9" t="str">
        <f>IF(C1688&lt;&gt;"", IFERROR(INDEX('بنود العقد'!E$3:E$388,C1688), 0), "")</f>
        <v/>
      </c>
      <c r="G1688" s="9" t="str">
        <f>IF(C1688&lt;&gt;"", IFERROR(INDEX('بنود العقد'!F$3:F$388,C1688), 0), "")</f>
        <v/>
      </c>
      <c r="H1688" s="18">
        <f t="shared" si="66"/>
        <v>0</v>
      </c>
      <c r="I1688" s="7"/>
      <c r="J1688" s="18">
        <f t="shared" si="63"/>
        <v>0</v>
      </c>
      <c r="K1688" s="10" t="str">
        <f t="shared" si="64"/>
        <v/>
      </c>
      <c r="L1688" s="21" t="str">
        <f t="shared" si="65"/>
        <v/>
      </c>
    </row>
    <row r="1689" spans="1:12" ht="25.95" hidden="1" customHeight="1">
      <c r="A1689" s="12">
        <v>1364</v>
      </c>
      <c r="B1689" s="6">
        <v>20</v>
      </c>
      <c r="C1689" s="6"/>
      <c r="D1689" s="20" t="str">
        <f>IF(C1689&lt;&gt;"", IFERROR(INDEX('بنود العقد'!B$3:B$388,C1689), "⚠"), "")</f>
        <v/>
      </c>
      <c r="E1689" s="12" t="str">
        <f>IF(C1689&lt;&gt;"", IFERROR(INDEX('بنود العقد'!D$3:D$388,C1689), ""), "")</f>
        <v/>
      </c>
      <c r="F1689" s="9" t="str">
        <f>IF(C1689&lt;&gt;"", IFERROR(INDEX('بنود العقد'!E$3:E$388,C1689), 0), "")</f>
        <v/>
      </c>
      <c r="G1689" s="9" t="str">
        <f>IF(C1689&lt;&gt;"", IFERROR(INDEX('بنود العقد'!F$3:F$388,C1689), 0), "")</f>
        <v/>
      </c>
      <c r="H1689" s="18">
        <f t="shared" si="66"/>
        <v>0</v>
      </c>
      <c r="I1689" s="7"/>
      <c r="J1689" s="18">
        <f t="shared" si="63"/>
        <v>0</v>
      </c>
      <c r="K1689" s="10" t="str">
        <f t="shared" si="64"/>
        <v/>
      </c>
      <c r="L1689" s="21" t="str">
        <f t="shared" si="65"/>
        <v/>
      </c>
    </row>
    <row r="1690" spans="1:12" ht="25.95" hidden="1" customHeight="1">
      <c r="A1690" s="12">
        <v>1365</v>
      </c>
      <c r="B1690" s="6">
        <v>20</v>
      </c>
      <c r="C1690" s="6"/>
      <c r="D1690" s="20" t="str">
        <f>IF(C1690&lt;&gt;"", IFERROR(INDEX('بنود العقد'!B$3:B$388,C1690), "⚠"), "")</f>
        <v/>
      </c>
      <c r="E1690" s="12" t="str">
        <f>IF(C1690&lt;&gt;"", IFERROR(INDEX('بنود العقد'!D$3:D$388,C1690), ""), "")</f>
        <v/>
      </c>
      <c r="F1690" s="9" t="str">
        <f>IF(C1690&lt;&gt;"", IFERROR(INDEX('بنود العقد'!E$3:E$388,C1690), 0), "")</f>
        <v/>
      </c>
      <c r="G1690" s="9" t="str">
        <f>IF(C1690&lt;&gt;"", IFERROR(INDEX('بنود العقد'!F$3:F$388,C1690), 0), "")</f>
        <v/>
      </c>
      <c r="H1690" s="18">
        <f t="shared" si="66"/>
        <v>0</v>
      </c>
      <c r="I1690" s="7"/>
      <c r="J1690" s="18">
        <f t="shared" si="63"/>
        <v>0</v>
      </c>
      <c r="K1690" s="10" t="str">
        <f t="shared" si="64"/>
        <v/>
      </c>
      <c r="L1690" s="21" t="str">
        <f t="shared" si="65"/>
        <v/>
      </c>
    </row>
    <row r="1691" spans="1:12" ht="25.95" hidden="1" customHeight="1">
      <c r="A1691" s="12">
        <v>1366</v>
      </c>
      <c r="B1691" s="6">
        <v>20</v>
      </c>
      <c r="C1691" s="6"/>
      <c r="D1691" s="20" t="str">
        <f>IF(C1691&lt;&gt;"", IFERROR(INDEX('بنود العقد'!B$3:B$388,C1691), "⚠"), "")</f>
        <v/>
      </c>
      <c r="E1691" s="12" t="str">
        <f>IF(C1691&lt;&gt;"", IFERROR(INDEX('بنود العقد'!D$3:D$388,C1691), ""), "")</f>
        <v/>
      </c>
      <c r="F1691" s="9" t="str">
        <f>IF(C1691&lt;&gt;"", IFERROR(INDEX('بنود العقد'!E$3:E$388,C1691), 0), "")</f>
        <v/>
      </c>
      <c r="G1691" s="9" t="str">
        <f>IF(C1691&lt;&gt;"", IFERROR(INDEX('بنود العقد'!F$3:F$388,C1691), 0), "")</f>
        <v/>
      </c>
      <c r="H1691" s="18">
        <f t="shared" si="66"/>
        <v>0</v>
      </c>
      <c r="I1691" s="7"/>
      <c r="J1691" s="18">
        <f t="shared" si="63"/>
        <v>0</v>
      </c>
      <c r="K1691" s="10" t="str">
        <f t="shared" si="64"/>
        <v/>
      </c>
      <c r="L1691" s="21" t="str">
        <f t="shared" si="65"/>
        <v/>
      </c>
    </row>
    <row r="1692" spans="1:12" ht="25.95" hidden="1" customHeight="1">
      <c r="A1692" s="12">
        <v>1367</v>
      </c>
      <c r="B1692" s="6">
        <v>20</v>
      </c>
      <c r="C1692" s="6"/>
      <c r="D1692" s="20" t="str">
        <f>IF(C1692&lt;&gt;"", IFERROR(INDEX('بنود العقد'!B$3:B$388,C1692), "⚠"), "")</f>
        <v/>
      </c>
      <c r="E1692" s="12" t="str">
        <f>IF(C1692&lt;&gt;"", IFERROR(INDEX('بنود العقد'!D$3:D$388,C1692), ""), "")</f>
        <v/>
      </c>
      <c r="F1692" s="9" t="str">
        <f>IF(C1692&lt;&gt;"", IFERROR(INDEX('بنود العقد'!E$3:E$388,C1692), 0), "")</f>
        <v/>
      </c>
      <c r="G1692" s="9" t="str">
        <f>IF(C1692&lt;&gt;"", IFERROR(INDEX('بنود العقد'!F$3:F$388,C1692), 0), "")</f>
        <v/>
      </c>
      <c r="H1692" s="18">
        <f t="shared" si="66"/>
        <v>0</v>
      </c>
      <c r="I1692" s="7"/>
      <c r="J1692" s="18">
        <f t="shared" si="63"/>
        <v>0</v>
      </c>
      <c r="K1692" s="10" t="str">
        <f t="shared" si="64"/>
        <v/>
      </c>
      <c r="L1692" s="21" t="str">
        <f t="shared" si="65"/>
        <v/>
      </c>
    </row>
    <row r="1693" spans="1:12" ht="25.95" hidden="1" customHeight="1">
      <c r="A1693" s="12">
        <v>1368</v>
      </c>
      <c r="B1693" s="6">
        <v>20</v>
      </c>
      <c r="C1693" s="6"/>
      <c r="D1693" s="20" t="str">
        <f>IF(C1693&lt;&gt;"", IFERROR(INDEX('بنود العقد'!B$3:B$388,C1693), "⚠"), "")</f>
        <v/>
      </c>
      <c r="E1693" s="12" t="str">
        <f>IF(C1693&lt;&gt;"", IFERROR(INDEX('بنود العقد'!D$3:D$388,C1693), ""), "")</f>
        <v/>
      </c>
      <c r="F1693" s="9" t="str">
        <f>IF(C1693&lt;&gt;"", IFERROR(INDEX('بنود العقد'!E$3:E$388,C1693), 0), "")</f>
        <v/>
      </c>
      <c r="G1693" s="9" t="str">
        <f>IF(C1693&lt;&gt;"", IFERROR(INDEX('بنود العقد'!F$3:F$388,C1693), 0), "")</f>
        <v/>
      </c>
      <c r="H1693" s="18">
        <f t="shared" si="66"/>
        <v>0</v>
      </c>
      <c r="I1693" s="7"/>
      <c r="J1693" s="18">
        <f t="shared" si="63"/>
        <v>0</v>
      </c>
      <c r="K1693" s="10" t="str">
        <f t="shared" si="64"/>
        <v/>
      </c>
      <c r="L1693" s="21" t="str">
        <f t="shared" si="65"/>
        <v/>
      </c>
    </row>
    <row r="1694" spans="1:12" ht="25.95" hidden="1" customHeight="1">
      <c r="A1694" s="12">
        <v>1369</v>
      </c>
      <c r="B1694" s="6">
        <v>20</v>
      </c>
      <c r="C1694" s="6"/>
      <c r="D1694" s="20" t="str">
        <f>IF(C1694&lt;&gt;"", IFERROR(INDEX('بنود العقد'!B$3:B$388,C1694), "⚠"), "")</f>
        <v/>
      </c>
      <c r="E1694" s="12" t="str">
        <f>IF(C1694&lt;&gt;"", IFERROR(INDEX('بنود العقد'!D$3:D$388,C1694), ""), "")</f>
        <v/>
      </c>
      <c r="F1694" s="9" t="str">
        <f>IF(C1694&lt;&gt;"", IFERROR(INDEX('بنود العقد'!E$3:E$388,C1694), 0), "")</f>
        <v/>
      </c>
      <c r="G1694" s="9" t="str">
        <f>IF(C1694&lt;&gt;"", IFERROR(INDEX('بنود العقد'!F$3:F$388,C1694), 0), "")</f>
        <v/>
      </c>
      <c r="H1694" s="18">
        <f t="shared" si="66"/>
        <v>0</v>
      </c>
      <c r="I1694" s="7"/>
      <c r="J1694" s="18">
        <f t="shared" si="63"/>
        <v>0</v>
      </c>
      <c r="K1694" s="10" t="str">
        <f t="shared" si="64"/>
        <v/>
      </c>
      <c r="L1694" s="21" t="str">
        <f t="shared" si="65"/>
        <v/>
      </c>
    </row>
    <row r="1695" spans="1:12" ht="25.95" hidden="1" customHeight="1">
      <c r="A1695" s="12">
        <v>1370</v>
      </c>
      <c r="B1695" s="6">
        <v>20</v>
      </c>
      <c r="C1695" s="6"/>
      <c r="D1695" s="20" t="str">
        <f>IF(C1695&lt;&gt;"", IFERROR(INDEX('بنود العقد'!B$3:B$388,C1695), "⚠"), "")</f>
        <v/>
      </c>
      <c r="E1695" s="12" t="str">
        <f>IF(C1695&lt;&gt;"", IFERROR(INDEX('بنود العقد'!D$3:D$388,C1695), ""), "")</f>
        <v/>
      </c>
      <c r="F1695" s="9" t="str">
        <f>IF(C1695&lt;&gt;"", IFERROR(INDEX('بنود العقد'!E$3:E$388,C1695), 0), "")</f>
        <v/>
      </c>
      <c r="G1695" s="9" t="str">
        <f>IF(C1695&lt;&gt;"", IFERROR(INDEX('بنود العقد'!F$3:F$388,C1695), 0), "")</f>
        <v/>
      </c>
      <c r="H1695" s="18">
        <f t="shared" si="66"/>
        <v>0</v>
      </c>
      <c r="I1695" s="7"/>
      <c r="J1695" s="18">
        <f t="shared" si="63"/>
        <v>0</v>
      </c>
      <c r="K1695" s="10" t="str">
        <f t="shared" si="64"/>
        <v/>
      </c>
      <c r="L1695" s="21" t="str">
        <f t="shared" si="65"/>
        <v/>
      </c>
    </row>
    <row r="1696" spans="1:12" ht="25.95" hidden="1" customHeight="1">
      <c r="A1696" s="12">
        <v>1371</v>
      </c>
      <c r="B1696" s="6">
        <v>20</v>
      </c>
      <c r="C1696" s="6"/>
      <c r="D1696" s="20" t="str">
        <f>IF(C1696&lt;&gt;"", IFERROR(INDEX('بنود العقد'!B$3:B$388,C1696), "⚠"), "")</f>
        <v/>
      </c>
      <c r="E1696" s="12" t="str">
        <f>IF(C1696&lt;&gt;"", IFERROR(INDEX('بنود العقد'!D$3:D$388,C1696), ""), "")</f>
        <v/>
      </c>
      <c r="F1696" s="9" t="str">
        <f>IF(C1696&lt;&gt;"", IFERROR(INDEX('بنود العقد'!E$3:E$388,C1696), 0), "")</f>
        <v/>
      </c>
      <c r="G1696" s="9" t="str">
        <f>IF(C1696&lt;&gt;"", IFERROR(INDEX('بنود العقد'!F$3:F$388,C1696), 0), "")</f>
        <v/>
      </c>
      <c r="H1696" s="18">
        <f t="shared" si="66"/>
        <v>0</v>
      </c>
      <c r="I1696" s="7"/>
      <c r="J1696" s="18">
        <f t="shared" si="63"/>
        <v>0</v>
      </c>
      <c r="K1696" s="10" t="str">
        <f t="shared" si="64"/>
        <v/>
      </c>
      <c r="L1696" s="21" t="str">
        <f t="shared" si="65"/>
        <v/>
      </c>
    </row>
    <row r="1697" spans="1:12" ht="25.95" hidden="1" customHeight="1">
      <c r="A1697" s="12">
        <v>1372</v>
      </c>
      <c r="B1697" s="6">
        <v>20</v>
      </c>
      <c r="C1697" s="6"/>
      <c r="D1697" s="20" t="str">
        <f>IF(C1697&lt;&gt;"", IFERROR(INDEX('بنود العقد'!B$3:B$388,C1697), "⚠"), "")</f>
        <v/>
      </c>
      <c r="E1697" s="12" t="str">
        <f>IF(C1697&lt;&gt;"", IFERROR(INDEX('بنود العقد'!D$3:D$388,C1697), ""), "")</f>
        <v/>
      </c>
      <c r="F1697" s="9" t="str">
        <f>IF(C1697&lt;&gt;"", IFERROR(INDEX('بنود العقد'!E$3:E$388,C1697), 0), "")</f>
        <v/>
      </c>
      <c r="G1697" s="9" t="str">
        <f>IF(C1697&lt;&gt;"", IFERROR(INDEX('بنود العقد'!F$3:F$388,C1697), 0), "")</f>
        <v/>
      </c>
      <c r="H1697" s="18">
        <f t="shared" si="66"/>
        <v>0</v>
      </c>
      <c r="I1697" s="7"/>
      <c r="J1697" s="18">
        <f t="shared" si="63"/>
        <v>0</v>
      </c>
      <c r="K1697" s="10" t="str">
        <f t="shared" si="64"/>
        <v/>
      </c>
      <c r="L1697" s="21" t="str">
        <f t="shared" si="65"/>
        <v/>
      </c>
    </row>
    <row r="1698" spans="1:12" ht="25.95" hidden="1" customHeight="1">
      <c r="A1698" s="12">
        <v>1373</v>
      </c>
      <c r="B1698" s="6">
        <v>20</v>
      </c>
      <c r="C1698" s="6"/>
      <c r="D1698" s="20" t="str">
        <f>IF(C1698&lt;&gt;"", IFERROR(INDEX('بنود العقد'!B$3:B$388,C1698), "⚠"), "")</f>
        <v/>
      </c>
      <c r="E1698" s="12" t="str">
        <f>IF(C1698&lt;&gt;"", IFERROR(INDEX('بنود العقد'!D$3:D$388,C1698), ""), "")</f>
        <v/>
      </c>
      <c r="F1698" s="9" t="str">
        <f>IF(C1698&lt;&gt;"", IFERROR(INDEX('بنود العقد'!E$3:E$388,C1698), 0), "")</f>
        <v/>
      </c>
      <c r="G1698" s="9" t="str">
        <f>IF(C1698&lt;&gt;"", IFERROR(INDEX('بنود العقد'!F$3:F$388,C1698), 0), "")</f>
        <v/>
      </c>
      <c r="H1698" s="18">
        <f t="shared" si="66"/>
        <v>0</v>
      </c>
      <c r="I1698" s="7"/>
      <c r="J1698" s="18">
        <f t="shared" si="63"/>
        <v>0</v>
      </c>
      <c r="K1698" s="10" t="str">
        <f t="shared" si="64"/>
        <v/>
      </c>
      <c r="L1698" s="21" t="str">
        <f t="shared" si="65"/>
        <v/>
      </c>
    </row>
    <row r="1699" spans="1:12" ht="25.95" hidden="1" customHeight="1">
      <c r="A1699" s="12">
        <v>1374</v>
      </c>
      <c r="B1699" s="6">
        <v>20</v>
      </c>
      <c r="C1699" s="6"/>
      <c r="D1699" s="20" t="str">
        <f>IF(C1699&lt;&gt;"", IFERROR(INDEX('بنود العقد'!B$3:B$388,C1699), "⚠"), "")</f>
        <v/>
      </c>
      <c r="E1699" s="12" t="str">
        <f>IF(C1699&lt;&gt;"", IFERROR(INDEX('بنود العقد'!D$3:D$388,C1699), ""), "")</f>
        <v/>
      </c>
      <c r="F1699" s="9" t="str">
        <f>IF(C1699&lt;&gt;"", IFERROR(INDEX('بنود العقد'!E$3:E$388,C1699), 0), "")</f>
        <v/>
      </c>
      <c r="G1699" s="9" t="str">
        <f>IF(C1699&lt;&gt;"", IFERROR(INDEX('بنود العقد'!F$3:F$388,C1699), 0), "")</f>
        <v/>
      </c>
      <c r="H1699" s="18">
        <f t="shared" si="66"/>
        <v>0</v>
      </c>
      <c r="I1699" s="7"/>
      <c r="J1699" s="18">
        <f t="shared" si="63"/>
        <v>0</v>
      </c>
      <c r="K1699" s="10" t="str">
        <f t="shared" si="64"/>
        <v/>
      </c>
      <c r="L1699" s="21" t="str">
        <f t="shared" si="65"/>
        <v/>
      </c>
    </row>
    <row r="1700" spans="1:12" ht="25.95" hidden="1" customHeight="1">
      <c r="A1700" s="12">
        <v>1375</v>
      </c>
      <c r="B1700" s="6">
        <v>20</v>
      </c>
      <c r="C1700" s="6"/>
      <c r="D1700" s="20" t="str">
        <f>IF(C1700&lt;&gt;"", IFERROR(INDEX('بنود العقد'!B$3:B$388,C1700), "⚠"), "")</f>
        <v/>
      </c>
      <c r="E1700" s="12" t="str">
        <f>IF(C1700&lt;&gt;"", IFERROR(INDEX('بنود العقد'!D$3:D$388,C1700), ""), "")</f>
        <v/>
      </c>
      <c r="F1700" s="9" t="str">
        <f>IF(C1700&lt;&gt;"", IFERROR(INDEX('بنود العقد'!E$3:E$388,C1700), 0), "")</f>
        <v/>
      </c>
      <c r="G1700" s="9" t="str">
        <f>IF(C1700&lt;&gt;"", IFERROR(INDEX('بنود العقد'!F$3:F$388,C1700), 0), "")</f>
        <v/>
      </c>
      <c r="H1700" s="18">
        <f t="shared" si="66"/>
        <v>0</v>
      </c>
      <c r="I1700" s="7"/>
      <c r="J1700" s="18">
        <f t="shared" si="63"/>
        <v>0</v>
      </c>
      <c r="K1700" s="10" t="str">
        <f t="shared" si="64"/>
        <v/>
      </c>
      <c r="L1700" s="21" t="str">
        <f t="shared" si="65"/>
        <v/>
      </c>
    </row>
    <row r="1701" spans="1:12" ht="25.95" hidden="1" customHeight="1">
      <c r="A1701" s="12">
        <v>1376</v>
      </c>
      <c r="B1701" s="6">
        <v>20</v>
      </c>
      <c r="C1701" s="6"/>
      <c r="D1701" s="20" t="str">
        <f>IF(C1701&lt;&gt;"", IFERROR(INDEX('بنود العقد'!B$3:B$388,C1701), "⚠"), "")</f>
        <v/>
      </c>
      <c r="E1701" s="12" t="str">
        <f>IF(C1701&lt;&gt;"", IFERROR(INDEX('بنود العقد'!D$3:D$388,C1701), ""), "")</f>
        <v/>
      </c>
      <c r="F1701" s="9" t="str">
        <f>IF(C1701&lt;&gt;"", IFERROR(INDEX('بنود العقد'!E$3:E$388,C1701), 0), "")</f>
        <v/>
      </c>
      <c r="G1701" s="9" t="str">
        <f>IF(C1701&lt;&gt;"", IFERROR(INDEX('بنود العقد'!F$3:F$388,C1701), 0), "")</f>
        <v/>
      </c>
      <c r="H1701" s="18">
        <f t="shared" si="66"/>
        <v>0</v>
      </c>
      <c r="I1701" s="7"/>
      <c r="J1701" s="18">
        <f t="shared" si="63"/>
        <v>0</v>
      </c>
      <c r="K1701" s="10" t="str">
        <f t="shared" si="64"/>
        <v/>
      </c>
      <c r="L1701" s="21" t="str">
        <f t="shared" si="65"/>
        <v/>
      </c>
    </row>
    <row r="1702" spans="1:12" ht="25.95" hidden="1" customHeight="1">
      <c r="A1702" s="12">
        <v>1377</v>
      </c>
      <c r="B1702" s="6">
        <v>20</v>
      </c>
      <c r="C1702" s="6"/>
      <c r="D1702" s="20" t="str">
        <f>IF(C1702&lt;&gt;"", IFERROR(INDEX('بنود العقد'!B$3:B$388,C1702), "⚠"), "")</f>
        <v/>
      </c>
      <c r="E1702" s="12" t="str">
        <f>IF(C1702&lt;&gt;"", IFERROR(INDEX('بنود العقد'!D$3:D$388,C1702), ""), "")</f>
        <v/>
      </c>
      <c r="F1702" s="9" t="str">
        <f>IF(C1702&lt;&gt;"", IFERROR(INDEX('بنود العقد'!E$3:E$388,C1702), 0), "")</f>
        <v/>
      </c>
      <c r="G1702" s="9" t="str">
        <f>IF(C1702&lt;&gt;"", IFERROR(INDEX('بنود العقد'!F$3:F$388,C1702), 0), "")</f>
        <v/>
      </c>
      <c r="H1702" s="18">
        <f t="shared" si="66"/>
        <v>0</v>
      </c>
      <c r="I1702" s="7"/>
      <c r="J1702" s="18">
        <f t="shared" si="63"/>
        <v>0</v>
      </c>
      <c r="K1702" s="10" t="str">
        <f t="shared" si="64"/>
        <v/>
      </c>
      <c r="L1702" s="21" t="str">
        <f t="shared" si="65"/>
        <v/>
      </c>
    </row>
    <row r="1703" spans="1:12" ht="25.95" hidden="1" customHeight="1">
      <c r="A1703" s="12">
        <v>1378</v>
      </c>
      <c r="B1703" s="6">
        <v>20</v>
      </c>
      <c r="C1703" s="6"/>
      <c r="D1703" s="20" t="str">
        <f>IF(C1703&lt;&gt;"", IFERROR(INDEX('بنود العقد'!B$3:B$388,C1703), "⚠"), "")</f>
        <v/>
      </c>
      <c r="E1703" s="12" t="str">
        <f>IF(C1703&lt;&gt;"", IFERROR(INDEX('بنود العقد'!D$3:D$388,C1703), ""), "")</f>
        <v/>
      </c>
      <c r="F1703" s="9" t="str">
        <f>IF(C1703&lt;&gt;"", IFERROR(INDEX('بنود العقد'!E$3:E$388,C1703), 0), "")</f>
        <v/>
      </c>
      <c r="G1703" s="9" t="str">
        <f>IF(C1703&lt;&gt;"", IFERROR(INDEX('بنود العقد'!F$3:F$388,C1703), 0), "")</f>
        <v/>
      </c>
      <c r="H1703" s="18">
        <f t="shared" si="66"/>
        <v>0</v>
      </c>
      <c r="I1703" s="7"/>
      <c r="J1703" s="18">
        <f t="shared" si="63"/>
        <v>0</v>
      </c>
      <c r="K1703" s="10" t="str">
        <f t="shared" si="64"/>
        <v/>
      </c>
      <c r="L1703" s="21" t="str">
        <f t="shared" si="65"/>
        <v/>
      </c>
    </row>
    <row r="1704" spans="1:12" ht="25.95" hidden="1" customHeight="1">
      <c r="A1704" s="12">
        <v>1379</v>
      </c>
      <c r="B1704" s="6">
        <v>20</v>
      </c>
      <c r="C1704" s="6"/>
      <c r="D1704" s="20" t="str">
        <f>IF(C1704&lt;&gt;"", IFERROR(INDEX('بنود العقد'!B$3:B$388,C1704), "⚠"), "")</f>
        <v/>
      </c>
      <c r="E1704" s="12" t="str">
        <f>IF(C1704&lt;&gt;"", IFERROR(INDEX('بنود العقد'!D$3:D$388,C1704), ""), "")</f>
        <v/>
      </c>
      <c r="F1704" s="9" t="str">
        <f>IF(C1704&lt;&gt;"", IFERROR(INDEX('بنود العقد'!E$3:E$388,C1704), 0), "")</f>
        <v/>
      </c>
      <c r="G1704" s="9" t="str">
        <f>IF(C1704&lt;&gt;"", IFERROR(INDEX('بنود العقد'!F$3:F$388,C1704), 0), "")</f>
        <v/>
      </c>
      <c r="H1704" s="18">
        <f t="shared" si="66"/>
        <v>0</v>
      </c>
      <c r="I1704" s="7"/>
      <c r="J1704" s="18">
        <f t="shared" si="63"/>
        <v>0</v>
      </c>
      <c r="K1704" s="10" t="str">
        <f t="shared" si="64"/>
        <v/>
      </c>
      <c r="L1704" s="21" t="str">
        <f t="shared" si="65"/>
        <v/>
      </c>
    </row>
    <row r="1705" spans="1:12" ht="25.95" hidden="1" customHeight="1">
      <c r="A1705" s="12">
        <v>1380</v>
      </c>
      <c r="B1705" s="6">
        <v>20</v>
      </c>
      <c r="C1705" s="6"/>
      <c r="D1705" s="20" t="str">
        <f>IF(C1705&lt;&gt;"", IFERROR(INDEX('بنود العقد'!B$3:B$388,C1705), "⚠"), "")</f>
        <v/>
      </c>
      <c r="E1705" s="12" t="str">
        <f>IF(C1705&lt;&gt;"", IFERROR(INDEX('بنود العقد'!D$3:D$388,C1705), ""), "")</f>
        <v/>
      </c>
      <c r="F1705" s="9" t="str">
        <f>IF(C1705&lt;&gt;"", IFERROR(INDEX('بنود العقد'!E$3:E$388,C1705), 0), "")</f>
        <v/>
      </c>
      <c r="G1705" s="9" t="str">
        <f>IF(C1705&lt;&gt;"", IFERROR(INDEX('بنود العقد'!F$3:F$388,C1705), 0), "")</f>
        <v/>
      </c>
      <c r="H1705" s="18">
        <f t="shared" si="66"/>
        <v>0</v>
      </c>
      <c r="I1705" s="7"/>
      <c r="J1705" s="18">
        <f t="shared" si="63"/>
        <v>0</v>
      </c>
      <c r="K1705" s="10" t="str">
        <f t="shared" si="64"/>
        <v/>
      </c>
      <c r="L1705" s="21" t="str">
        <f t="shared" si="65"/>
        <v/>
      </c>
    </row>
    <row r="1706" spans="1:12" ht="25.95" hidden="1" customHeight="1">
      <c r="A1706" s="12">
        <v>1381</v>
      </c>
      <c r="B1706" s="6">
        <v>20</v>
      </c>
      <c r="C1706" s="6"/>
      <c r="D1706" s="20" t="str">
        <f>IF(C1706&lt;&gt;"", IFERROR(INDEX('بنود العقد'!B$3:B$388,C1706), "⚠"), "")</f>
        <v/>
      </c>
      <c r="E1706" s="12" t="str">
        <f>IF(C1706&lt;&gt;"", IFERROR(INDEX('بنود العقد'!D$3:D$388,C1706), ""), "")</f>
        <v/>
      </c>
      <c r="F1706" s="9" t="str">
        <f>IF(C1706&lt;&gt;"", IFERROR(INDEX('بنود العقد'!E$3:E$388,C1706), 0), "")</f>
        <v/>
      </c>
      <c r="G1706" s="9" t="str">
        <f>IF(C1706&lt;&gt;"", IFERROR(INDEX('بنود العقد'!F$3:F$388,C1706), 0), "")</f>
        <v/>
      </c>
      <c r="H1706" s="18">
        <f t="shared" si="66"/>
        <v>0</v>
      </c>
      <c r="I1706" s="7"/>
      <c r="J1706" s="18">
        <f t="shared" si="63"/>
        <v>0</v>
      </c>
      <c r="K1706" s="10" t="str">
        <f t="shared" si="64"/>
        <v/>
      </c>
      <c r="L1706" s="21" t="str">
        <f t="shared" si="65"/>
        <v/>
      </c>
    </row>
    <row r="1707" spans="1:12" ht="25.95" hidden="1" customHeight="1">
      <c r="A1707" s="12">
        <v>1382</v>
      </c>
      <c r="B1707" s="6">
        <v>20</v>
      </c>
      <c r="C1707" s="6"/>
      <c r="D1707" s="20" t="str">
        <f>IF(C1707&lt;&gt;"", IFERROR(INDEX('بنود العقد'!B$3:B$388,C1707), "⚠"), "")</f>
        <v/>
      </c>
      <c r="E1707" s="12" t="str">
        <f>IF(C1707&lt;&gt;"", IFERROR(INDEX('بنود العقد'!D$3:D$388,C1707), ""), "")</f>
        <v/>
      </c>
      <c r="F1707" s="9" t="str">
        <f>IF(C1707&lt;&gt;"", IFERROR(INDEX('بنود العقد'!E$3:E$388,C1707), 0), "")</f>
        <v/>
      </c>
      <c r="G1707" s="9" t="str">
        <f>IF(C1707&lt;&gt;"", IFERROR(INDEX('بنود العقد'!F$3:F$388,C1707), 0), "")</f>
        <v/>
      </c>
      <c r="H1707" s="18">
        <f t="shared" si="66"/>
        <v>0</v>
      </c>
      <c r="I1707" s="7"/>
      <c r="J1707" s="18">
        <f t="shared" si="63"/>
        <v>0</v>
      </c>
      <c r="K1707" s="10" t="str">
        <f t="shared" si="64"/>
        <v/>
      </c>
      <c r="L1707" s="21" t="str">
        <f t="shared" si="65"/>
        <v/>
      </c>
    </row>
    <row r="1708" spans="1:12" ht="25.95" hidden="1" customHeight="1">
      <c r="A1708" s="12">
        <v>1383</v>
      </c>
      <c r="B1708" s="6">
        <v>20</v>
      </c>
      <c r="C1708" s="6"/>
      <c r="D1708" s="20" t="str">
        <f>IF(C1708&lt;&gt;"", IFERROR(INDEX('بنود العقد'!B$3:B$388,C1708), "⚠"), "")</f>
        <v/>
      </c>
      <c r="E1708" s="12" t="str">
        <f>IF(C1708&lt;&gt;"", IFERROR(INDEX('بنود العقد'!D$3:D$388,C1708), ""), "")</f>
        <v/>
      </c>
      <c r="F1708" s="9" t="str">
        <f>IF(C1708&lt;&gt;"", IFERROR(INDEX('بنود العقد'!E$3:E$388,C1708), 0), "")</f>
        <v/>
      </c>
      <c r="G1708" s="9" t="str">
        <f>IF(C1708&lt;&gt;"", IFERROR(INDEX('بنود العقد'!F$3:F$388,C1708), 0), "")</f>
        <v/>
      </c>
      <c r="H1708" s="18">
        <f t="shared" si="66"/>
        <v>0</v>
      </c>
      <c r="I1708" s="7"/>
      <c r="J1708" s="18">
        <f t="shared" si="63"/>
        <v>0</v>
      </c>
      <c r="K1708" s="10" t="str">
        <f t="shared" si="64"/>
        <v/>
      </c>
      <c r="L1708" s="21" t="str">
        <f t="shared" si="65"/>
        <v/>
      </c>
    </row>
    <row r="1709" spans="1:12" ht="25.95" hidden="1" customHeight="1">
      <c r="A1709" s="12">
        <v>1384</v>
      </c>
      <c r="B1709" s="6">
        <v>20</v>
      </c>
      <c r="C1709" s="6"/>
      <c r="D1709" s="20" t="str">
        <f>IF(C1709&lt;&gt;"", IFERROR(INDEX('بنود العقد'!B$3:B$388,C1709), "⚠"), "")</f>
        <v/>
      </c>
      <c r="E1709" s="12" t="str">
        <f>IF(C1709&lt;&gt;"", IFERROR(INDEX('بنود العقد'!D$3:D$388,C1709), ""), "")</f>
        <v/>
      </c>
      <c r="F1709" s="9" t="str">
        <f>IF(C1709&lt;&gt;"", IFERROR(INDEX('بنود العقد'!E$3:E$388,C1709), 0), "")</f>
        <v/>
      </c>
      <c r="G1709" s="9" t="str">
        <f>IF(C1709&lt;&gt;"", IFERROR(INDEX('بنود العقد'!F$3:F$388,C1709), 0), "")</f>
        <v/>
      </c>
      <c r="H1709" s="18">
        <f t="shared" si="66"/>
        <v>0</v>
      </c>
      <c r="I1709" s="7"/>
      <c r="J1709" s="18">
        <f t="shared" si="63"/>
        <v>0</v>
      </c>
      <c r="K1709" s="10" t="str">
        <f t="shared" si="64"/>
        <v/>
      </c>
      <c r="L1709" s="21" t="str">
        <f t="shared" si="65"/>
        <v/>
      </c>
    </row>
    <row r="1710" spans="1:12" ht="25.95" hidden="1" customHeight="1">
      <c r="A1710" s="12">
        <v>1385</v>
      </c>
      <c r="B1710" s="6">
        <v>20</v>
      </c>
      <c r="C1710" s="6"/>
      <c r="D1710" s="20" t="str">
        <f>IF(C1710&lt;&gt;"", IFERROR(INDEX('بنود العقد'!B$3:B$388,C1710), "⚠"), "")</f>
        <v/>
      </c>
      <c r="E1710" s="12" t="str">
        <f>IF(C1710&lt;&gt;"", IFERROR(INDEX('بنود العقد'!D$3:D$388,C1710), ""), "")</f>
        <v/>
      </c>
      <c r="F1710" s="9" t="str">
        <f>IF(C1710&lt;&gt;"", IFERROR(INDEX('بنود العقد'!E$3:E$388,C1710), 0), "")</f>
        <v/>
      </c>
      <c r="G1710" s="9" t="str">
        <f>IF(C1710&lt;&gt;"", IFERROR(INDEX('بنود العقد'!F$3:F$388,C1710), 0), "")</f>
        <v/>
      </c>
      <c r="H1710" s="18">
        <f t="shared" si="66"/>
        <v>0</v>
      </c>
      <c r="I1710" s="7"/>
      <c r="J1710" s="18">
        <f t="shared" si="63"/>
        <v>0</v>
      </c>
      <c r="K1710" s="10" t="str">
        <f t="shared" si="64"/>
        <v/>
      </c>
      <c r="L1710" s="21" t="str">
        <f t="shared" si="65"/>
        <v/>
      </c>
    </row>
    <row r="1711" spans="1:12" ht="25.95" hidden="1" customHeight="1">
      <c r="A1711" s="12">
        <v>1386</v>
      </c>
      <c r="B1711" s="6">
        <v>20</v>
      </c>
      <c r="C1711" s="6"/>
      <c r="D1711" s="20" t="str">
        <f>IF(C1711&lt;&gt;"", IFERROR(INDEX('بنود العقد'!B$3:B$388,C1711), "⚠"), "")</f>
        <v/>
      </c>
      <c r="E1711" s="12" t="str">
        <f>IF(C1711&lt;&gt;"", IFERROR(INDEX('بنود العقد'!D$3:D$388,C1711), ""), "")</f>
        <v/>
      </c>
      <c r="F1711" s="9" t="str">
        <f>IF(C1711&lt;&gt;"", IFERROR(INDEX('بنود العقد'!E$3:E$388,C1711), 0), "")</f>
        <v/>
      </c>
      <c r="G1711" s="9" t="str">
        <f>IF(C1711&lt;&gt;"", IFERROR(INDEX('بنود العقد'!F$3:F$388,C1711), 0), "")</f>
        <v/>
      </c>
      <c r="H1711" s="18">
        <f t="shared" si="66"/>
        <v>0</v>
      </c>
      <c r="I1711" s="7"/>
      <c r="J1711" s="18">
        <f t="shared" si="63"/>
        <v>0</v>
      </c>
      <c r="K1711" s="10" t="str">
        <f t="shared" si="64"/>
        <v/>
      </c>
      <c r="L1711" s="21" t="str">
        <f t="shared" si="65"/>
        <v/>
      </c>
    </row>
    <row r="1712" spans="1:12" ht="25.95" hidden="1" customHeight="1">
      <c r="A1712" s="12">
        <v>1387</v>
      </c>
      <c r="B1712" s="6">
        <v>20</v>
      </c>
      <c r="C1712" s="6"/>
      <c r="D1712" s="20" t="str">
        <f>IF(C1712&lt;&gt;"", IFERROR(INDEX('بنود العقد'!B$3:B$388,C1712), "⚠"), "")</f>
        <v/>
      </c>
      <c r="E1712" s="12" t="str">
        <f>IF(C1712&lt;&gt;"", IFERROR(INDEX('بنود العقد'!D$3:D$388,C1712), ""), "")</f>
        <v/>
      </c>
      <c r="F1712" s="9" t="str">
        <f>IF(C1712&lt;&gt;"", IFERROR(INDEX('بنود العقد'!E$3:E$388,C1712), 0), "")</f>
        <v/>
      </c>
      <c r="G1712" s="9" t="str">
        <f>IF(C1712&lt;&gt;"", IFERROR(INDEX('بنود العقد'!F$3:F$388,C1712), 0), "")</f>
        <v/>
      </c>
      <c r="H1712" s="18">
        <f t="shared" si="66"/>
        <v>0</v>
      </c>
      <c r="I1712" s="7"/>
      <c r="J1712" s="18">
        <f t="shared" si="63"/>
        <v>0</v>
      </c>
      <c r="K1712" s="10" t="str">
        <f t="shared" si="64"/>
        <v/>
      </c>
      <c r="L1712" s="21" t="str">
        <f t="shared" si="65"/>
        <v/>
      </c>
    </row>
    <row r="1713" spans="1:12" ht="25.95" hidden="1" customHeight="1">
      <c r="A1713" s="12">
        <v>1388</v>
      </c>
      <c r="B1713" s="6">
        <v>20</v>
      </c>
      <c r="C1713" s="6"/>
      <c r="D1713" s="20" t="str">
        <f>IF(C1713&lt;&gt;"", IFERROR(INDEX('بنود العقد'!B$3:B$388,C1713), "⚠"), "")</f>
        <v/>
      </c>
      <c r="E1713" s="12" t="str">
        <f>IF(C1713&lt;&gt;"", IFERROR(INDEX('بنود العقد'!D$3:D$388,C1713), ""), "")</f>
        <v/>
      </c>
      <c r="F1713" s="9" t="str">
        <f>IF(C1713&lt;&gt;"", IFERROR(INDEX('بنود العقد'!E$3:E$388,C1713), 0), "")</f>
        <v/>
      </c>
      <c r="G1713" s="9" t="str">
        <f>IF(C1713&lt;&gt;"", IFERROR(INDEX('بنود العقد'!F$3:F$388,C1713), 0), "")</f>
        <v/>
      </c>
      <c r="H1713" s="18">
        <f t="shared" si="66"/>
        <v>0</v>
      </c>
      <c r="I1713" s="7"/>
      <c r="J1713" s="18">
        <f t="shared" ref="J1713:J1776" si="67">IF(I1713&lt;&gt;"", H1713+I1713, 0)</f>
        <v>0</v>
      </c>
      <c r="K1713" s="10" t="str">
        <f t="shared" ref="K1713:K1776" si="68">IF(AND(I1713&lt;&gt;"",F1713&lt;&gt;""), I1713*F1713, "")</f>
        <v/>
      </c>
      <c r="L1713" s="21" t="str">
        <f t="shared" ref="L1713:L1776" si="69">IF(AND(J1713&lt;&gt;"",G1713&lt;&gt;"",G1713&gt;0), J1713/G1713*100, "")</f>
        <v/>
      </c>
    </row>
    <row r="1714" spans="1:12" ht="25.95" hidden="1" customHeight="1">
      <c r="A1714" s="12">
        <v>1389</v>
      </c>
      <c r="B1714" s="6">
        <v>20</v>
      </c>
      <c r="C1714" s="6"/>
      <c r="D1714" s="20" t="str">
        <f>IF(C1714&lt;&gt;"", IFERROR(INDEX('بنود العقد'!B$3:B$388,C1714), "⚠"), "")</f>
        <v/>
      </c>
      <c r="E1714" s="12" t="str">
        <f>IF(C1714&lt;&gt;"", IFERROR(INDEX('بنود العقد'!D$3:D$388,C1714), ""), "")</f>
        <v/>
      </c>
      <c r="F1714" s="9" t="str">
        <f>IF(C1714&lt;&gt;"", IFERROR(INDEX('بنود العقد'!E$3:E$388,C1714), 0), "")</f>
        <v/>
      </c>
      <c r="G1714" s="9" t="str">
        <f>IF(C1714&lt;&gt;"", IFERROR(INDEX('بنود العقد'!F$3:F$388,C1714), 0), "")</f>
        <v/>
      </c>
      <c r="H1714" s="18">
        <f t="shared" si="66"/>
        <v>0</v>
      </c>
      <c r="I1714" s="7"/>
      <c r="J1714" s="18">
        <f t="shared" si="67"/>
        <v>0</v>
      </c>
      <c r="K1714" s="10" t="str">
        <f t="shared" si="68"/>
        <v/>
      </c>
      <c r="L1714" s="21" t="str">
        <f t="shared" si="69"/>
        <v/>
      </c>
    </row>
    <row r="1715" spans="1:12" ht="25.95" hidden="1" customHeight="1">
      <c r="A1715" s="12">
        <v>1390</v>
      </c>
      <c r="B1715" s="6">
        <v>20</v>
      </c>
      <c r="C1715" s="6"/>
      <c r="D1715" s="20" t="str">
        <f>IF(C1715&lt;&gt;"", IFERROR(INDEX('بنود العقد'!B$3:B$388,C1715), "⚠"), "")</f>
        <v/>
      </c>
      <c r="E1715" s="12" t="str">
        <f>IF(C1715&lt;&gt;"", IFERROR(INDEX('بنود العقد'!D$3:D$388,C1715), ""), "")</f>
        <v/>
      </c>
      <c r="F1715" s="9" t="str">
        <f>IF(C1715&lt;&gt;"", IFERROR(INDEX('بنود العقد'!E$3:E$388,C1715), 0), "")</f>
        <v/>
      </c>
      <c r="G1715" s="9" t="str">
        <f>IF(C1715&lt;&gt;"", IFERROR(INDEX('بنود العقد'!F$3:F$388,C1715), 0), "")</f>
        <v/>
      </c>
      <c r="H1715" s="18">
        <f t="shared" si="66"/>
        <v>0</v>
      </c>
      <c r="I1715" s="7"/>
      <c r="J1715" s="18">
        <f t="shared" si="67"/>
        <v>0</v>
      </c>
      <c r="K1715" s="10" t="str">
        <f t="shared" si="68"/>
        <v/>
      </c>
      <c r="L1715" s="21" t="str">
        <f t="shared" si="69"/>
        <v/>
      </c>
    </row>
    <row r="1716" spans="1:12" ht="25.95" hidden="1" customHeight="1">
      <c r="A1716" s="12">
        <v>1391</v>
      </c>
      <c r="B1716" s="6">
        <v>20</v>
      </c>
      <c r="C1716" s="6"/>
      <c r="D1716" s="20" t="str">
        <f>IF(C1716&lt;&gt;"", IFERROR(INDEX('بنود العقد'!B$3:B$388,C1716), "⚠"), "")</f>
        <v/>
      </c>
      <c r="E1716" s="12" t="str">
        <f>IF(C1716&lt;&gt;"", IFERROR(INDEX('بنود العقد'!D$3:D$388,C1716), ""), "")</f>
        <v/>
      </c>
      <c r="F1716" s="9" t="str">
        <f>IF(C1716&lt;&gt;"", IFERROR(INDEX('بنود العقد'!E$3:E$388,C1716), 0), "")</f>
        <v/>
      </c>
      <c r="G1716" s="9" t="str">
        <f>IF(C1716&lt;&gt;"", IFERROR(INDEX('بنود العقد'!F$3:F$388,C1716), 0), "")</f>
        <v/>
      </c>
      <c r="H1716" s="18">
        <f t="shared" si="66"/>
        <v>0</v>
      </c>
      <c r="I1716" s="7"/>
      <c r="J1716" s="18">
        <f t="shared" si="67"/>
        <v>0</v>
      </c>
      <c r="K1716" s="10" t="str">
        <f t="shared" si="68"/>
        <v/>
      </c>
      <c r="L1716" s="21" t="str">
        <f t="shared" si="69"/>
        <v/>
      </c>
    </row>
    <row r="1717" spans="1:12" ht="25.95" hidden="1" customHeight="1">
      <c r="A1717" s="12">
        <v>1392</v>
      </c>
      <c r="B1717" s="6">
        <v>20</v>
      </c>
      <c r="C1717" s="6"/>
      <c r="D1717" s="20" t="str">
        <f>IF(C1717&lt;&gt;"", IFERROR(INDEX('بنود العقد'!B$3:B$388,C1717), "⚠"), "")</f>
        <v/>
      </c>
      <c r="E1717" s="12" t="str">
        <f>IF(C1717&lt;&gt;"", IFERROR(INDEX('بنود العقد'!D$3:D$388,C1717), ""), "")</f>
        <v/>
      </c>
      <c r="F1717" s="9" t="str">
        <f>IF(C1717&lt;&gt;"", IFERROR(INDEX('بنود العقد'!E$3:E$388,C1717), 0), "")</f>
        <v/>
      </c>
      <c r="G1717" s="9" t="str">
        <f>IF(C1717&lt;&gt;"", IFERROR(INDEX('بنود العقد'!F$3:F$388,C1717), 0), "")</f>
        <v/>
      </c>
      <c r="H1717" s="18">
        <f t="shared" si="66"/>
        <v>0</v>
      </c>
      <c r="I1717" s="7"/>
      <c r="J1717" s="18">
        <f t="shared" si="67"/>
        <v>0</v>
      </c>
      <c r="K1717" s="10" t="str">
        <f t="shared" si="68"/>
        <v/>
      </c>
      <c r="L1717" s="21" t="str">
        <f t="shared" si="69"/>
        <v/>
      </c>
    </row>
    <row r="1718" spans="1:12" ht="25.95" hidden="1" customHeight="1">
      <c r="A1718" s="12">
        <v>1393</v>
      </c>
      <c r="B1718" s="6">
        <v>20</v>
      </c>
      <c r="C1718" s="6"/>
      <c r="D1718" s="20" t="str">
        <f>IF(C1718&lt;&gt;"", IFERROR(INDEX('بنود العقد'!B$3:B$388,C1718), "⚠"), "")</f>
        <v/>
      </c>
      <c r="E1718" s="12" t="str">
        <f>IF(C1718&lt;&gt;"", IFERROR(INDEX('بنود العقد'!D$3:D$388,C1718), ""), "")</f>
        <v/>
      </c>
      <c r="F1718" s="9" t="str">
        <f>IF(C1718&lt;&gt;"", IFERROR(INDEX('بنود العقد'!E$3:E$388,C1718), 0), "")</f>
        <v/>
      </c>
      <c r="G1718" s="9" t="str">
        <f>IF(C1718&lt;&gt;"", IFERROR(INDEX('بنود العقد'!F$3:F$388,C1718), 0), "")</f>
        <v/>
      </c>
      <c r="H1718" s="18">
        <f t="shared" si="66"/>
        <v>0</v>
      </c>
      <c r="I1718" s="7"/>
      <c r="J1718" s="18">
        <f t="shared" si="67"/>
        <v>0</v>
      </c>
      <c r="K1718" s="10" t="str">
        <f t="shared" si="68"/>
        <v/>
      </c>
      <c r="L1718" s="21" t="str">
        <f t="shared" si="69"/>
        <v/>
      </c>
    </row>
    <row r="1719" spans="1:12" ht="25.95" hidden="1" customHeight="1">
      <c r="A1719" s="12">
        <v>1394</v>
      </c>
      <c r="B1719" s="6">
        <v>20</v>
      </c>
      <c r="C1719" s="6"/>
      <c r="D1719" s="20" t="str">
        <f>IF(C1719&lt;&gt;"", IFERROR(INDEX('بنود العقد'!B$3:B$388,C1719), "⚠"), "")</f>
        <v/>
      </c>
      <c r="E1719" s="12" t="str">
        <f>IF(C1719&lt;&gt;"", IFERROR(INDEX('بنود العقد'!D$3:D$388,C1719), ""), "")</f>
        <v/>
      </c>
      <c r="F1719" s="9" t="str">
        <f>IF(C1719&lt;&gt;"", IFERROR(INDEX('بنود العقد'!E$3:E$388,C1719), 0), "")</f>
        <v/>
      </c>
      <c r="G1719" s="9" t="str">
        <f>IF(C1719&lt;&gt;"", IFERROR(INDEX('بنود العقد'!F$3:F$388,C1719), 0), "")</f>
        <v/>
      </c>
      <c r="H1719" s="18">
        <f t="shared" si="66"/>
        <v>0</v>
      </c>
      <c r="I1719" s="7"/>
      <c r="J1719" s="18">
        <f t="shared" si="67"/>
        <v>0</v>
      </c>
      <c r="K1719" s="10" t="str">
        <f t="shared" si="68"/>
        <v/>
      </c>
      <c r="L1719" s="21" t="str">
        <f t="shared" si="69"/>
        <v/>
      </c>
    </row>
    <row r="1720" spans="1:12" ht="25.95" hidden="1" customHeight="1">
      <c r="A1720" s="12">
        <v>1395</v>
      </c>
      <c r="B1720" s="6">
        <v>20</v>
      </c>
      <c r="C1720" s="6"/>
      <c r="D1720" s="20" t="str">
        <f>IF(C1720&lt;&gt;"", IFERROR(INDEX('بنود العقد'!B$3:B$388,C1720), "⚠"), "")</f>
        <v/>
      </c>
      <c r="E1720" s="12" t="str">
        <f>IF(C1720&lt;&gt;"", IFERROR(INDEX('بنود العقد'!D$3:D$388,C1720), ""), "")</f>
        <v/>
      </c>
      <c r="F1720" s="9" t="str">
        <f>IF(C1720&lt;&gt;"", IFERROR(INDEX('بنود العقد'!E$3:E$388,C1720), 0), "")</f>
        <v/>
      </c>
      <c r="G1720" s="9" t="str">
        <f>IF(C1720&lt;&gt;"", IFERROR(INDEX('بنود العقد'!F$3:F$388,C1720), 0), "")</f>
        <v/>
      </c>
      <c r="H1720" s="18">
        <f t="shared" si="66"/>
        <v>0</v>
      </c>
      <c r="I1720" s="7"/>
      <c r="J1720" s="18">
        <f t="shared" si="67"/>
        <v>0</v>
      </c>
      <c r="K1720" s="10" t="str">
        <f t="shared" si="68"/>
        <v/>
      </c>
      <c r="L1720" s="21" t="str">
        <f t="shared" si="69"/>
        <v/>
      </c>
    </row>
    <row r="1721" spans="1:12" ht="25.95" hidden="1" customHeight="1">
      <c r="A1721" s="12">
        <v>1396</v>
      </c>
      <c r="B1721" s="6">
        <v>20</v>
      </c>
      <c r="C1721" s="6"/>
      <c r="D1721" s="20" t="str">
        <f>IF(C1721&lt;&gt;"", IFERROR(INDEX('بنود العقد'!B$3:B$388,C1721), "⚠"), "")</f>
        <v/>
      </c>
      <c r="E1721" s="12" t="str">
        <f>IF(C1721&lt;&gt;"", IFERROR(INDEX('بنود العقد'!D$3:D$388,C1721), ""), "")</f>
        <v/>
      </c>
      <c r="F1721" s="9" t="str">
        <f>IF(C1721&lt;&gt;"", IFERROR(INDEX('بنود العقد'!E$3:E$388,C1721), 0), "")</f>
        <v/>
      </c>
      <c r="G1721" s="9" t="str">
        <f>IF(C1721&lt;&gt;"", IFERROR(INDEX('بنود العقد'!F$3:F$388,C1721), 0), "")</f>
        <v/>
      </c>
      <c r="H1721" s="18">
        <f t="shared" si="66"/>
        <v>0</v>
      </c>
      <c r="I1721" s="7"/>
      <c r="J1721" s="18">
        <f t="shared" si="67"/>
        <v>0</v>
      </c>
      <c r="K1721" s="10" t="str">
        <f t="shared" si="68"/>
        <v/>
      </c>
      <c r="L1721" s="21" t="str">
        <f t="shared" si="69"/>
        <v/>
      </c>
    </row>
    <row r="1722" spans="1:12" ht="25.95" hidden="1" customHeight="1">
      <c r="A1722" s="12">
        <v>1397</v>
      </c>
      <c r="B1722" s="6">
        <v>20</v>
      </c>
      <c r="C1722" s="6"/>
      <c r="D1722" s="20" t="str">
        <f>IF(C1722&lt;&gt;"", IFERROR(INDEX('بنود العقد'!B$3:B$388,C1722), "⚠"), "")</f>
        <v/>
      </c>
      <c r="E1722" s="12" t="str">
        <f>IF(C1722&lt;&gt;"", IFERROR(INDEX('بنود العقد'!D$3:D$388,C1722), ""), "")</f>
        <v/>
      </c>
      <c r="F1722" s="9" t="str">
        <f>IF(C1722&lt;&gt;"", IFERROR(INDEX('بنود العقد'!E$3:E$388,C1722), 0), "")</f>
        <v/>
      </c>
      <c r="G1722" s="9" t="str">
        <f>IF(C1722&lt;&gt;"", IFERROR(INDEX('بنود العقد'!F$3:F$388,C1722), 0), "")</f>
        <v/>
      </c>
      <c r="H1722" s="18">
        <f t="shared" si="66"/>
        <v>0</v>
      </c>
      <c r="I1722" s="7"/>
      <c r="J1722" s="18">
        <f t="shared" si="67"/>
        <v>0</v>
      </c>
      <c r="K1722" s="10" t="str">
        <f t="shared" si="68"/>
        <v/>
      </c>
      <c r="L1722" s="21" t="str">
        <f t="shared" si="69"/>
        <v/>
      </c>
    </row>
    <row r="1723" spans="1:12" ht="25.95" hidden="1" customHeight="1">
      <c r="A1723" s="12">
        <v>1398</v>
      </c>
      <c r="B1723" s="6">
        <v>20</v>
      </c>
      <c r="C1723" s="6"/>
      <c r="D1723" s="20" t="str">
        <f>IF(C1723&lt;&gt;"", IFERROR(INDEX('بنود العقد'!B$3:B$388,C1723), "⚠"), "")</f>
        <v/>
      </c>
      <c r="E1723" s="12" t="str">
        <f>IF(C1723&lt;&gt;"", IFERROR(INDEX('بنود العقد'!D$3:D$388,C1723), ""), "")</f>
        <v/>
      </c>
      <c r="F1723" s="9" t="str">
        <f>IF(C1723&lt;&gt;"", IFERROR(INDEX('بنود العقد'!E$3:E$388,C1723), 0), "")</f>
        <v/>
      </c>
      <c r="G1723" s="9" t="str">
        <f>IF(C1723&lt;&gt;"", IFERROR(INDEX('بنود العقد'!F$3:F$388,C1723), 0), "")</f>
        <v/>
      </c>
      <c r="H1723" s="18">
        <f t="shared" si="66"/>
        <v>0</v>
      </c>
      <c r="I1723" s="7"/>
      <c r="J1723" s="18">
        <f t="shared" si="67"/>
        <v>0</v>
      </c>
      <c r="K1723" s="10" t="str">
        <f t="shared" si="68"/>
        <v/>
      </c>
      <c r="L1723" s="21" t="str">
        <f t="shared" si="69"/>
        <v/>
      </c>
    </row>
    <row r="1724" spans="1:12" ht="25.95" hidden="1" customHeight="1">
      <c r="A1724" s="12">
        <v>1399</v>
      </c>
      <c r="B1724" s="6">
        <v>20</v>
      </c>
      <c r="C1724" s="6"/>
      <c r="D1724" s="20" t="str">
        <f>IF(C1724&lt;&gt;"", IFERROR(INDEX('بنود العقد'!B$3:B$388,C1724), "⚠"), "")</f>
        <v/>
      </c>
      <c r="E1724" s="12" t="str">
        <f>IF(C1724&lt;&gt;"", IFERROR(INDEX('بنود العقد'!D$3:D$388,C1724), ""), "")</f>
        <v/>
      </c>
      <c r="F1724" s="9" t="str">
        <f>IF(C1724&lt;&gt;"", IFERROR(INDEX('بنود العقد'!E$3:E$388,C1724), 0), "")</f>
        <v/>
      </c>
      <c r="G1724" s="9" t="str">
        <f>IF(C1724&lt;&gt;"", IFERROR(INDEX('بنود العقد'!F$3:F$388,C1724), 0), "")</f>
        <v/>
      </c>
      <c r="H1724" s="18">
        <f t="shared" si="66"/>
        <v>0</v>
      </c>
      <c r="I1724" s="7"/>
      <c r="J1724" s="18">
        <f t="shared" si="67"/>
        <v>0</v>
      </c>
      <c r="K1724" s="10" t="str">
        <f t="shared" si="68"/>
        <v/>
      </c>
      <c r="L1724" s="21" t="str">
        <f t="shared" si="69"/>
        <v/>
      </c>
    </row>
    <row r="1725" spans="1:12" ht="25.95" hidden="1" customHeight="1">
      <c r="A1725" s="12">
        <v>1400</v>
      </c>
      <c r="B1725" s="6">
        <v>20</v>
      </c>
      <c r="C1725" s="6"/>
      <c r="D1725" s="20" t="str">
        <f>IF(C1725&lt;&gt;"", IFERROR(INDEX('بنود العقد'!B$3:B$388,C1725), "⚠"), "")</f>
        <v/>
      </c>
      <c r="E1725" s="12" t="str">
        <f>IF(C1725&lt;&gt;"", IFERROR(INDEX('بنود العقد'!D$3:D$388,C1725), ""), "")</f>
        <v/>
      </c>
      <c r="F1725" s="9" t="str">
        <f>IF(C1725&lt;&gt;"", IFERROR(INDEX('بنود العقد'!E$3:E$388,C1725), 0), "")</f>
        <v/>
      </c>
      <c r="G1725" s="9" t="str">
        <f>IF(C1725&lt;&gt;"", IFERROR(INDEX('بنود العقد'!F$3:F$388,C1725), 0), "")</f>
        <v/>
      </c>
      <c r="H1725" s="18">
        <f t="shared" si="66"/>
        <v>0</v>
      </c>
      <c r="I1725" s="7"/>
      <c r="J1725" s="18">
        <f t="shared" si="67"/>
        <v>0</v>
      </c>
      <c r="K1725" s="10" t="str">
        <f t="shared" si="68"/>
        <v/>
      </c>
      <c r="L1725" s="21" t="str">
        <f t="shared" si="69"/>
        <v/>
      </c>
    </row>
    <row r="1726" spans="1:12" ht="25.95" hidden="1" customHeight="1">
      <c r="A1726" s="12">
        <v>1401</v>
      </c>
      <c r="B1726" s="6">
        <v>20</v>
      </c>
      <c r="C1726" s="6"/>
      <c r="D1726" s="20" t="str">
        <f>IF(C1726&lt;&gt;"", IFERROR(INDEX('بنود العقد'!B$3:B$388,C1726), "⚠"), "")</f>
        <v/>
      </c>
      <c r="E1726" s="12" t="str">
        <f>IF(C1726&lt;&gt;"", IFERROR(INDEX('بنود العقد'!D$3:D$388,C1726), ""), "")</f>
        <v/>
      </c>
      <c r="F1726" s="9" t="str">
        <f>IF(C1726&lt;&gt;"", IFERROR(INDEX('بنود العقد'!E$3:E$388,C1726), 0), "")</f>
        <v/>
      </c>
      <c r="G1726" s="9" t="str">
        <f>IF(C1726&lt;&gt;"", IFERROR(INDEX('بنود العقد'!F$3:F$388,C1726), 0), "")</f>
        <v/>
      </c>
      <c r="H1726" s="18">
        <f t="shared" si="66"/>
        <v>0</v>
      </c>
      <c r="I1726" s="7"/>
      <c r="J1726" s="18">
        <f t="shared" si="67"/>
        <v>0</v>
      </c>
      <c r="K1726" s="10" t="str">
        <f t="shared" si="68"/>
        <v/>
      </c>
      <c r="L1726" s="21" t="str">
        <f t="shared" si="69"/>
        <v/>
      </c>
    </row>
    <row r="1727" spans="1:12" ht="25.95" hidden="1" customHeight="1">
      <c r="A1727" s="12">
        <v>1402</v>
      </c>
      <c r="B1727" s="6">
        <v>20</v>
      </c>
      <c r="C1727" s="6"/>
      <c r="D1727" s="20" t="str">
        <f>IF(C1727&lt;&gt;"", IFERROR(INDEX('بنود العقد'!B$3:B$388,C1727), "⚠"), "")</f>
        <v/>
      </c>
      <c r="E1727" s="12" t="str">
        <f>IF(C1727&lt;&gt;"", IFERROR(INDEX('بنود العقد'!D$3:D$388,C1727), ""), "")</f>
        <v/>
      </c>
      <c r="F1727" s="9" t="str">
        <f>IF(C1727&lt;&gt;"", IFERROR(INDEX('بنود العقد'!E$3:E$388,C1727), 0), "")</f>
        <v/>
      </c>
      <c r="G1727" s="9" t="str">
        <f>IF(C1727&lt;&gt;"", IFERROR(INDEX('بنود العقد'!F$3:F$388,C1727), 0), "")</f>
        <v/>
      </c>
      <c r="H1727" s="18">
        <f t="shared" si="66"/>
        <v>0</v>
      </c>
      <c r="I1727" s="7"/>
      <c r="J1727" s="18">
        <f t="shared" si="67"/>
        <v>0</v>
      </c>
      <c r="K1727" s="10" t="str">
        <f t="shared" si="68"/>
        <v/>
      </c>
      <c r="L1727" s="21" t="str">
        <f t="shared" si="69"/>
        <v/>
      </c>
    </row>
    <row r="1728" spans="1:12" ht="25.95" hidden="1" customHeight="1">
      <c r="A1728" s="12">
        <v>1403</v>
      </c>
      <c r="B1728" s="6">
        <v>20</v>
      </c>
      <c r="C1728" s="6"/>
      <c r="D1728" s="20" t="str">
        <f>IF(C1728&lt;&gt;"", IFERROR(INDEX('بنود العقد'!B$3:B$388,C1728), "⚠"), "")</f>
        <v/>
      </c>
      <c r="E1728" s="12" t="str">
        <f>IF(C1728&lt;&gt;"", IFERROR(INDEX('بنود العقد'!D$3:D$388,C1728), ""), "")</f>
        <v/>
      </c>
      <c r="F1728" s="9" t="str">
        <f>IF(C1728&lt;&gt;"", IFERROR(INDEX('بنود العقد'!E$3:E$388,C1728), 0), "")</f>
        <v/>
      </c>
      <c r="G1728" s="9" t="str">
        <f>IF(C1728&lt;&gt;"", IFERROR(INDEX('بنود العقد'!F$3:F$388,C1728), 0), "")</f>
        <v/>
      </c>
      <c r="H1728" s="18">
        <f t="shared" si="66"/>
        <v>0</v>
      </c>
      <c r="I1728" s="7"/>
      <c r="J1728" s="18">
        <f t="shared" si="67"/>
        <v>0</v>
      </c>
      <c r="K1728" s="10" t="str">
        <f t="shared" si="68"/>
        <v/>
      </c>
      <c r="L1728" s="21" t="str">
        <f t="shared" si="69"/>
        <v/>
      </c>
    </row>
    <row r="1729" spans="1:12" ht="25.95" hidden="1" customHeight="1">
      <c r="A1729" s="12">
        <v>1404</v>
      </c>
      <c r="B1729" s="6">
        <v>20</v>
      </c>
      <c r="C1729" s="6"/>
      <c r="D1729" s="20" t="str">
        <f>IF(C1729&lt;&gt;"", IFERROR(INDEX('بنود العقد'!B$3:B$388,C1729), "⚠"), "")</f>
        <v/>
      </c>
      <c r="E1729" s="12" t="str">
        <f>IF(C1729&lt;&gt;"", IFERROR(INDEX('بنود العقد'!D$3:D$388,C1729), ""), "")</f>
        <v/>
      </c>
      <c r="F1729" s="9" t="str">
        <f>IF(C1729&lt;&gt;"", IFERROR(INDEX('بنود العقد'!E$3:E$388,C1729), 0), "")</f>
        <v/>
      </c>
      <c r="G1729" s="9" t="str">
        <f>IF(C1729&lt;&gt;"", IFERROR(INDEX('بنود العقد'!F$3:F$388,C1729), 0), "")</f>
        <v/>
      </c>
      <c r="H1729" s="18">
        <f t="shared" si="66"/>
        <v>0</v>
      </c>
      <c r="I1729" s="7"/>
      <c r="J1729" s="18">
        <f t="shared" si="67"/>
        <v>0</v>
      </c>
      <c r="K1729" s="10" t="str">
        <f t="shared" si="68"/>
        <v/>
      </c>
      <c r="L1729" s="21" t="str">
        <f t="shared" si="69"/>
        <v/>
      </c>
    </row>
    <row r="1730" spans="1:12" ht="25.95" hidden="1" customHeight="1">
      <c r="A1730" s="12">
        <v>1405</v>
      </c>
      <c r="B1730" s="6">
        <v>20</v>
      </c>
      <c r="C1730" s="6"/>
      <c r="D1730" s="20" t="str">
        <f>IF(C1730&lt;&gt;"", IFERROR(INDEX('بنود العقد'!B$3:B$388,C1730), "⚠"), "")</f>
        <v/>
      </c>
      <c r="E1730" s="12" t="str">
        <f>IF(C1730&lt;&gt;"", IFERROR(INDEX('بنود العقد'!D$3:D$388,C1730), ""), "")</f>
        <v/>
      </c>
      <c r="F1730" s="9" t="str">
        <f>IF(C1730&lt;&gt;"", IFERROR(INDEX('بنود العقد'!E$3:E$388,C1730), 0), "")</f>
        <v/>
      </c>
      <c r="G1730" s="9" t="str">
        <f>IF(C1730&lt;&gt;"", IFERROR(INDEX('بنود العقد'!F$3:F$388,C1730), 0), "")</f>
        <v/>
      </c>
      <c r="H1730" s="18">
        <f t="shared" si="66"/>
        <v>0</v>
      </c>
      <c r="I1730" s="7"/>
      <c r="J1730" s="18">
        <f t="shared" si="67"/>
        <v>0</v>
      </c>
      <c r="K1730" s="10" t="str">
        <f t="shared" si="68"/>
        <v/>
      </c>
      <c r="L1730" s="21" t="str">
        <f t="shared" si="69"/>
        <v/>
      </c>
    </row>
    <row r="1731" spans="1:12" ht="25.95" hidden="1" customHeight="1">
      <c r="A1731" s="12">
        <v>1406</v>
      </c>
      <c r="B1731" s="6">
        <v>20</v>
      </c>
      <c r="C1731" s="6"/>
      <c r="D1731" s="20" t="str">
        <f>IF(C1731&lt;&gt;"", IFERROR(INDEX('بنود العقد'!B$3:B$388,C1731), "⚠"), "")</f>
        <v/>
      </c>
      <c r="E1731" s="12" t="str">
        <f>IF(C1731&lt;&gt;"", IFERROR(INDEX('بنود العقد'!D$3:D$388,C1731), ""), "")</f>
        <v/>
      </c>
      <c r="F1731" s="9" t="str">
        <f>IF(C1731&lt;&gt;"", IFERROR(INDEX('بنود العقد'!E$3:E$388,C1731), 0), "")</f>
        <v/>
      </c>
      <c r="G1731" s="9" t="str">
        <f>IF(C1731&lt;&gt;"", IFERROR(INDEX('بنود العقد'!F$3:F$388,C1731), 0), "")</f>
        <v/>
      </c>
      <c r="H1731" s="18">
        <f t="shared" si="66"/>
        <v>0</v>
      </c>
      <c r="I1731" s="7"/>
      <c r="J1731" s="18">
        <f t="shared" si="67"/>
        <v>0</v>
      </c>
      <c r="K1731" s="10" t="str">
        <f t="shared" si="68"/>
        <v/>
      </c>
      <c r="L1731" s="21" t="str">
        <f t="shared" si="69"/>
        <v/>
      </c>
    </row>
    <row r="1732" spans="1:12" ht="25.95" hidden="1" customHeight="1">
      <c r="A1732" s="12">
        <v>1407</v>
      </c>
      <c r="B1732" s="6">
        <v>20</v>
      </c>
      <c r="C1732" s="6"/>
      <c r="D1732" s="20" t="str">
        <f>IF(C1732&lt;&gt;"", IFERROR(INDEX('بنود العقد'!B$3:B$388,C1732), "⚠"), "")</f>
        <v/>
      </c>
      <c r="E1732" s="12" t="str">
        <f>IF(C1732&lt;&gt;"", IFERROR(INDEX('بنود العقد'!D$3:D$388,C1732), ""), "")</f>
        <v/>
      </c>
      <c r="F1732" s="9" t="str">
        <f>IF(C1732&lt;&gt;"", IFERROR(INDEX('بنود العقد'!E$3:E$388,C1732), 0), "")</f>
        <v/>
      </c>
      <c r="G1732" s="9" t="str">
        <f>IF(C1732&lt;&gt;"", IFERROR(INDEX('بنود العقد'!F$3:F$388,C1732), 0), "")</f>
        <v/>
      </c>
      <c r="H1732" s="18">
        <f t="shared" si="66"/>
        <v>0</v>
      </c>
      <c r="I1732" s="7"/>
      <c r="J1732" s="18">
        <f t="shared" si="67"/>
        <v>0</v>
      </c>
      <c r="K1732" s="10" t="str">
        <f t="shared" si="68"/>
        <v/>
      </c>
      <c r="L1732" s="21" t="str">
        <f t="shared" si="69"/>
        <v/>
      </c>
    </row>
    <row r="1733" spans="1:12" ht="25.95" hidden="1" customHeight="1">
      <c r="A1733" s="12">
        <v>1408</v>
      </c>
      <c r="B1733" s="6">
        <v>20</v>
      </c>
      <c r="C1733" s="6"/>
      <c r="D1733" s="20" t="str">
        <f>IF(C1733&lt;&gt;"", IFERROR(INDEX('بنود العقد'!B$3:B$388,C1733), "⚠"), "")</f>
        <v/>
      </c>
      <c r="E1733" s="12" t="str">
        <f>IF(C1733&lt;&gt;"", IFERROR(INDEX('بنود العقد'!D$3:D$388,C1733), ""), "")</f>
        <v/>
      </c>
      <c r="F1733" s="9" t="str">
        <f>IF(C1733&lt;&gt;"", IFERROR(INDEX('بنود العقد'!E$3:E$388,C1733), 0), "")</f>
        <v/>
      </c>
      <c r="G1733" s="9" t="str">
        <f>IF(C1733&lt;&gt;"", IFERROR(INDEX('بنود العقد'!F$3:F$388,C1733), 0), "")</f>
        <v/>
      </c>
      <c r="H1733" s="18">
        <f t="shared" si="66"/>
        <v>0</v>
      </c>
      <c r="I1733" s="7"/>
      <c r="J1733" s="18">
        <f t="shared" si="67"/>
        <v>0</v>
      </c>
      <c r="K1733" s="10" t="str">
        <f t="shared" si="68"/>
        <v/>
      </c>
      <c r="L1733" s="21" t="str">
        <f t="shared" si="69"/>
        <v/>
      </c>
    </row>
    <row r="1734" spans="1:12" ht="25.95" hidden="1" customHeight="1">
      <c r="A1734" s="12">
        <v>1409</v>
      </c>
      <c r="B1734" s="6">
        <v>20</v>
      </c>
      <c r="C1734" s="6"/>
      <c r="D1734" s="20" t="str">
        <f>IF(C1734&lt;&gt;"", IFERROR(INDEX('بنود العقد'!B$3:B$388,C1734), "⚠"), "")</f>
        <v/>
      </c>
      <c r="E1734" s="12" t="str">
        <f>IF(C1734&lt;&gt;"", IFERROR(INDEX('بنود العقد'!D$3:D$388,C1734), ""), "")</f>
        <v/>
      </c>
      <c r="F1734" s="9" t="str">
        <f>IF(C1734&lt;&gt;"", IFERROR(INDEX('بنود العقد'!E$3:E$388,C1734), 0), "")</f>
        <v/>
      </c>
      <c r="G1734" s="9" t="str">
        <f>IF(C1734&lt;&gt;"", IFERROR(INDEX('بنود العقد'!F$3:F$388,C1734), 0), "")</f>
        <v/>
      </c>
      <c r="H1734" s="18">
        <f t="shared" ref="H1734:H1797" si="70">IFERROR(SUMIFS(I$3:I$1805, B$3:B$1805, "&lt;"&amp;B1734, C$3:C$1805, C1734), 0)</f>
        <v>0</v>
      </c>
      <c r="I1734" s="7"/>
      <c r="J1734" s="18">
        <f t="shared" si="67"/>
        <v>0</v>
      </c>
      <c r="K1734" s="10" t="str">
        <f t="shared" si="68"/>
        <v/>
      </c>
      <c r="L1734" s="21" t="str">
        <f t="shared" si="69"/>
        <v/>
      </c>
    </row>
    <row r="1735" spans="1:12" ht="25.95" hidden="1" customHeight="1">
      <c r="A1735" s="12">
        <v>1410</v>
      </c>
      <c r="B1735" s="6">
        <v>20</v>
      </c>
      <c r="C1735" s="6"/>
      <c r="D1735" s="20" t="str">
        <f>IF(C1735&lt;&gt;"", IFERROR(INDEX('بنود العقد'!B$3:B$388,C1735), "⚠"), "")</f>
        <v/>
      </c>
      <c r="E1735" s="12" t="str">
        <f>IF(C1735&lt;&gt;"", IFERROR(INDEX('بنود العقد'!D$3:D$388,C1735), ""), "")</f>
        <v/>
      </c>
      <c r="F1735" s="9" t="str">
        <f>IF(C1735&lt;&gt;"", IFERROR(INDEX('بنود العقد'!E$3:E$388,C1735), 0), "")</f>
        <v/>
      </c>
      <c r="G1735" s="9" t="str">
        <f>IF(C1735&lt;&gt;"", IFERROR(INDEX('بنود العقد'!F$3:F$388,C1735), 0), "")</f>
        <v/>
      </c>
      <c r="H1735" s="18">
        <f t="shared" si="70"/>
        <v>0</v>
      </c>
      <c r="I1735" s="7"/>
      <c r="J1735" s="18">
        <f t="shared" si="67"/>
        <v>0</v>
      </c>
      <c r="K1735" s="10" t="str">
        <f t="shared" si="68"/>
        <v/>
      </c>
      <c r="L1735" s="21" t="str">
        <f t="shared" si="69"/>
        <v/>
      </c>
    </row>
    <row r="1736" spans="1:12" ht="25.95" hidden="1" customHeight="1">
      <c r="A1736" s="12">
        <v>1411</v>
      </c>
      <c r="B1736" s="6">
        <v>20</v>
      </c>
      <c r="C1736" s="6"/>
      <c r="D1736" s="20" t="str">
        <f>IF(C1736&lt;&gt;"", IFERROR(INDEX('بنود العقد'!B$3:B$388,C1736), "⚠"), "")</f>
        <v/>
      </c>
      <c r="E1736" s="12" t="str">
        <f>IF(C1736&lt;&gt;"", IFERROR(INDEX('بنود العقد'!D$3:D$388,C1736), ""), "")</f>
        <v/>
      </c>
      <c r="F1736" s="9" t="str">
        <f>IF(C1736&lt;&gt;"", IFERROR(INDEX('بنود العقد'!E$3:E$388,C1736), 0), "")</f>
        <v/>
      </c>
      <c r="G1736" s="9" t="str">
        <f>IF(C1736&lt;&gt;"", IFERROR(INDEX('بنود العقد'!F$3:F$388,C1736), 0), "")</f>
        <v/>
      </c>
      <c r="H1736" s="18">
        <f t="shared" si="70"/>
        <v>0</v>
      </c>
      <c r="I1736" s="7"/>
      <c r="J1736" s="18">
        <f t="shared" si="67"/>
        <v>0</v>
      </c>
      <c r="K1736" s="10" t="str">
        <f t="shared" si="68"/>
        <v/>
      </c>
      <c r="L1736" s="21" t="str">
        <f t="shared" si="69"/>
        <v/>
      </c>
    </row>
    <row r="1737" spans="1:12" ht="25.95" hidden="1" customHeight="1">
      <c r="A1737" s="12">
        <v>1412</v>
      </c>
      <c r="B1737" s="6">
        <v>20</v>
      </c>
      <c r="C1737" s="6"/>
      <c r="D1737" s="20" t="str">
        <f>IF(C1737&lt;&gt;"", IFERROR(INDEX('بنود العقد'!B$3:B$388,C1737), "⚠"), "")</f>
        <v/>
      </c>
      <c r="E1737" s="12" t="str">
        <f>IF(C1737&lt;&gt;"", IFERROR(INDEX('بنود العقد'!D$3:D$388,C1737), ""), "")</f>
        <v/>
      </c>
      <c r="F1737" s="9" t="str">
        <f>IF(C1737&lt;&gt;"", IFERROR(INDEX('بنود العقد'!E$3:E$388,C1737), 0), "")</f>
        <v/>
      </c>
      <c r="G1737" s="9" t="str">
        <f>IF(C1737&lt;&gt;"", IFERROR(INDEX('بنود العقد'!F$3:F$388,C1737), 0), "")</f>
        <v/>
      </c>
      <c r="H1737" s="18">
        <f t="shared" si="70"/>
        <v>0</v>
      </c>
      <c r="I1737" s="7"/>
      <c r="J1737" s="18">
        <f t="shared" si="67"/>
        <v>0</v>
      </c>
      <c r="K1737" s="10" t="str">
        <f t="shared" si="68"/>
        <v/>
      </c>
      <c r="L1737" s="21" t="str">
        <f t="shared" si="69"/>
        <v/>
      </c>
    </row>
    <row r="1738" spans="1:12" ht="25.95" hidden="1" customHeight="1">
      <c r="A1738" s="12">
        <v>1413</v>
      </c>
      <c r="B1738" s="6">
        <v>20</v>
      </c>
      <c r="C1738" s="6"/>
      <c r="D1738" s="20" t="str">
        <f>IF(C1738&lt;&gt;"", IFERROR(INDEX('بنود العقد'!B$3:B$388,C1738), "⚠"), "")</f>
        <v/>
      </c>
      <c r="E1738" s="12" t="str">
        <f>IF(C1738&lt;&gt;"", IFERROR(INDEX('بنود العقد'!D$3:D$388,C1738), ""), "")</f>
        <v/>
      </c>
      <c r="F1738" s="9" t="str">
        <f>IF(C1738&lt;&gt;"", IFERROR(INDEX('بنود العقد'!E$3:E$388,C1738), 0), "")</f>
        <v/>
      </c>
      <c r="G1738" s="9" t="str">
        <f>IF(C1738&lt;&gt;"", IFERROR(INDEX('بنود العقد'!F$3:F$388,C1738), 0), "")</f>
        <v/>
      </c>
      <c r="H1738" s="18">
        <f t="shared" si="70"/>
        <v>0</v>
      </c>
      <c r="I1738" s="7"/>
      <c r="J1738" s="18">
        <f t="shared" si="67"/>
        <v>0</v>
      </c>
      <c r="K1738" s="10" t="str">
        <f t="shared" si="68"/>
        <v/>
      </c>
      <c r="L1738" s="21" t="str">
        <f t="shared" si="69"/>
        <v/>
      </c>
    </row>
    <row r="1739" spans="1:12" ht="25.95" hidden="1" customHeight="1">
      <c r="A1739" s="12">
        <v>1414</v>
      </c>
      <c r="B1739" s="6">
        <v>20</v>
      </c>
      <c r="C1739" s="6"/>
      <c r="D1739" s="20" t="str">
        <f>IF(C1739&lt;&gt;"", IFERROR(INDEX('بنود العقد'!B$3:B$388,C1739), "⚠"), "")</f>
        <v/>
      </c>
      <c r="E1739" s="12" t="str">
        <f>IF(C1739&lt;&gt;"", IFERROR(INDEX('بنود العقد'!D$3:D$388,C1739), ""), "")</f>
        <v/>
      </c>
      <c r="F1739" s="9" t="str">
        <f>IF(C1739&lt;&gt;"", IFERROR(INDEX('بنود العقد'!E$3:E$388,C1739), 0), "")</f>
        <v/>
      </c>
      <c r="G1739" s="9" t="str">
        <f>IF(C1739&lt;&gt;"", IFERROR(INDEX('بنود العقد'!F$3:F$388,C1739), 0), "")</f>
        <v/>
      </c>
      <c r="H1739" s="18">
        <f t="shared" si="70"/>
        <v>0</v>
      </c>
      <c r="I1739" s="7"/>
      <c r="J1739" s="18">
        <f t="shared" si="67"/>
        <v>0</v>
      </c>
      <c r="K1739" s="10" t="str">
        <f t="shared" si="68"/>
        <v/>
      </c>
      <c r="L1739" s="21" t="str">
        <f t="shared" si="69"/>
        <v/>
      </c>
    </row>
    <row r="1740" spans="1:12" ht="25.95" hidden="1" customHeight="1">
      <c r="A1740" s="12">
        <v>1415</v>
      </c>
      <c r="B1740" s="6">
        <v>20</v>
      </c>
      <c r="C1740" s="6"/>
      <c r="D1740" s="20" t="str">
        <f>IF(C1740&lt;&gt;"", IFERROR(INDEX('بنود العقد'!B$3:B$388,C1740), "⚠"), "")</f>
        <v/>
      </c>
      <c r="E1740" s="12" t="str">
        <f>IF(C1740&lt;&gt;"", IFERROR(INDEX('بنود العقد'!D$3:D$388,C1740), ""), "")</f>
        <v/>
      </c>
      <c r="F1740" s="9" t="str">
        <f>IF(C1740&lt;&gt;"", IFERROR(INDEX('بنود العقد'!E$3:E$388,C1740), 0), "")</f>
        <v/>
      </c>
      <c r="G1740" s="9" t="str">
        <f>IF(C1740&lt;&gt;"", IFERROR(INDEX('بنود العقد'!F$3:F$388,C1740), 0), "")</f>
        <v/>
      </c>
      <c r="H1740" s="18">
        <f t="shared" si="70"/>
        <v>0</v>
      </c>
      <c r="I1740" s="7"/>
      <c r="J1740" s="18">
        <f t="shared" si="67"/>
        <v>0</v>
      </c>
      <c r="K1740" s="10" t="str">
        <f t="shared" si="68"/>
        <v/>
      </c>
      <c r="L1740" s="21" t="str">
        <f t="shared" si="69"/>
        <v/>
      </c>
    </row>
    <row r="1741" spans="1:12" ht="25.95" hidden="1" customHeight="1">
      <c r="A1741" s="12">
        <v>1416</v>
      </c>
      <c r="B1741" s="6">
        <v>20</v>
      </c>
      <c r="C1741" s="6"/>
      <c r="D1741" s="20" t="str">
        <f>IF(C1741&lt;&gt;"", IFERROR(INDEX('بنود العقد'!B$3:B$388,C1741), "⚠"), "")</f>
        <v/>
      </c>
      <c r="E1741" s="12" t="str">
        <f>IF(C1741&lt;&gt;"", IFERROR(INDEX('بنود العقد'!D$3:D$388,C1741), ""), "")</f>
        <v/>
      </c>
      <c r="F1741" s="9" t="str">
        <f>IF(C1741&lt;&gt;"", IFERROR(INDEX('بنود العقد'!E$3:E$388,C1741), 0), "")</f>
        <v/>
      </c>
      <c r="G1741" s="9" t="str">
        <f>IF(C1741&lt;&gt;"", IFERROR(INDEX('بنود العقد'!F$3:F$388,C1741), 0), "")</f>
        <v/>
      </c>
      <c r="H1741" s="18">
        <f t="shared" si="70"/>
        <v>0</v>
      </c>
      <c r="I1741" s="7"/>
      <c r="J1741" s="18">
        <f t="shared" si="67"/>
        <v>0</v>
      </c>
      <c r="K1741" s="10" t="str">
        <f t="shared" si="68"/>
        <v/>
      </c>
      <c r="L1741" s="21" t="str">
        <f t="shared" si="69"/>
        <v/>
      </c>
    </row>
    <row r="1742" spans="1:12" ht="25.95" hidden="1" customHeight="1">
      <c r="A1742" s="12">
        <v>1417</v>
      </c>
      <c r="B1742" s="6">
        <v>20</v>
      </c>
      <c r="C1742" s="6"/>
      <c r="D1742" s="20" t="str">
        <f>IF(C1742&lt;&gt;"", IFERROR(INDEX('بنود العقد'!B$3:B$388,C1742), "⚠"), "")</f>
        <v/>
      </c>
      <c r="E1742" s="12" t="str">
        <f>IF(C1742&lt;&gt;"", IFERROR(INDEX('بنود العقد'!D$3:D$388,C1742), ""), "")</f>
        <v/>
      </c>
      <c r="F1742" s="9" t="str">
        <f>IF(C1742&lt;&gt;"", IFERROR(INDEX('بنود العقد'!E$3:E$388,C1742), 0), "")</f>
        <v/>
      </c>
      <c r="G1742" s="9" t="str">
        <f>IF(C1742&lt;&gt;"", IFERROR(INDEX('بنود العقد'!F$3:F$388,C1742), 0), "")</f>
        <v/>
      </c>
      <c r="H1742" s="18">
        <f t="shared" si="70"/>
        <v>0</v>
      </c>
      <c r="I1742" s="7"/>
      <c r="J1742" s="18">
        <f t="shared" si="67"/>
        <v>0</v>
      </c>
      <c r="K1742" s="10" t="str">
        <f t="shared" si="68"/>
        <v/>
      </c>
      <c r="L1742" s="21" t="str">
        <f t="shared" si="69"/>
        <v/>
      </c>
    </row>
    <row r="1743" spans="1:12" ht="25.95" hidden="1" customHeight="1">
      <c r="A1743" s="12">
        <v>1418</v>
      </c>
      <c r="B1743" s="6">
        <v>20</v>
      </c>
      <c r="C1743" s="6"/>
      <c r="D1743" s="20" t="str">
        <f>IF(C1743&lt;&gt;"", IFERROR(INDEX('بنود العقد'!B$3:B$388,C1743), "⚠"), "")</f>
        <v/>
      </c>
      <c r="E1743" s="12" t="str">
        <f>IF(C1743&lt;&gt;"", IFERROR(INDEX('بنود العقد'!D$3:D$388,C1743), ""), "")</f>
        <v/>
      </c>
      <c r="F1743" s="9" t="str">
        <f>IF(C1743&lt;&gt;"", IFERROR(INDEX('بنود العقد'!E$3:E$388,C1743), 0), "")</f>
        <v/>
      </c>
      <c r="G1743" s="9" t="str">
        <f>IF(C1743&lt;&gt;"", IFERROR(INDEX('بنود العقد'!F$3:F$388,C1743), 0), "")</f>
        <v/>
      </c>
      <c r="H1743" s="18">
        <f t="shared" si="70"/>
        <v>0</v>
      </c>
      <c r="I1743" s="7"/>
      <c r="J1743" s="18">
        <f t="shared" si="67"/>
        <v>0</v>
      </c>
      <c r="K1743" s="10" t="str">
        <f t="shared" si="68"/>
        <v/>
      </c>
      <c r="L1743" s="21" t="str">
        <f t="shared" si="69"/>
        <v/>
      </c>
    </row>
    <row r="1744" spans="1:12" ht="25.95" hidden="1" customHeight="1">
      <c r="A1744" s="12">
        <v>1419</v>
      </c>
      <c r="B1744" s="6">
        <v>20</v>
      </c>
      <c r="C1744" s="6"/>
      <c r="D1744" s="20" t="str">
        <f>IF(C1744&lt;&gt;"", IFERROR(INDEX('بنود العقد'!B$3:B$388,C1744), "⚠"), "")</f>
        <v/>
      </c>
      <c r="E1744" s="12" t="str">
        <f>IF(C1744&lt;&gt;"", IFERROR(INDEX('بنود العقد'!D$3:D$388,C1744), ""), "")</f>
        <v/>
      </c>
      <c r="F1744" s="9" t="str">
        <f>IF(C1744&lt;&gt;"", IFERROR(INDEX('بنود العقد'!E$3:E$388,C1744), 0), "")</f>
        <v/>
      </c>
      <c r="G1744" s="9" t="str">
        <f>IF(C1744&lt;&gt;"", IFERROR(INDEX('بنود العقد'!F$3:F$388,C1744), 0), "")</f>
        <v/>
      </c>
      <c r="H1744" s="18">
        <f t="shared" si="70"/>
        <v>0</v>
      </c>
      <c r="I1744" s="7"/>
      <c r="J1744" s="18">
        <f t="shared" si="67"/>
        <v>0</v>
      </c>
      <c r="K1744" s="10" t="str">
        <f t="shared" si="68"/>
        <v/>
      </c>
      <c r="L1744" s="21" t="str">
        <f t="shared" si="69"/>
        <v/>
      </c>
    </row>
    <row r="1745" spans="1:12" ht="25.95" hidden="1" customHeight="1">
      <c r="A1745" s="12">
        <v>1420</v>
      </c>
      <c r="B1745" s="6">
        <v>20</v>
      </c>
      <c r="C1745" s="6"/>
      <c r="D1745" s="20" t="str">
        <f>IF(C1745&lt;&gt;"", IFERROR(INDEX('بنود العقد'!B$3:B$388,C1745), "⚠"), "")</f>
        <v/>
      </c>
      <c r="E1745" s="12" t="str">
        <f>IF(C1745&lt;&gt;"", IFERROR(INDEX('بنود العقد'!D$3:D$388,C1745), ""), "")</f>
        <v/>
      </c>
      <c r="F1745" s="9" t="str">
        <f>IF(C1745&lt;&gt;"", IFERROR(INDEX('بنود العقد'!E$3:E$388,C1745), 0), "")</f>
        <v/>
      </c>
      <c r="G1745" s="9" t="str">
        <f>IF(C1745&lt;&gt;"", IFERROR(INDEX('بنود العقد'!F$3:F$388,C1745), 0), "")</f>
        <v/>
      </c>
      <c r="H1745" s="18">
        <f t="shared" si="70"/>
        <v>0</v>
      </c>
      <c r="I1745" s="7"/>
      <c r="J1745" s="18">
        <f t="shared" si="67"/>
        <v>0</v>
      </c>
      <c r="K1745" s="10" t="str">
        <f t="shared" si="68"/>
        <v/>
      </c>
      <c r="L1745" s="21" t="str">
        <f t="shared" si="69"/>
        <v/>
      </c>
    </row>
    <row r="1746" spans="1:12" ht="25.95" hidden="1" customHeight="1">
      <c r="A1746" s="12">
        <v>1421</v>
      </c>
      <c r="B1746" s="6">
        <v>20</v>
      </c>
      <c r="C1746" s="6"/>
      <c r="D1746" s="20" t="str">
        <f>IF(C1746&lt;&gt;"", IFERROR(INDEX('بنود العقد'!B$3:B$388,C1746), "⚠"), "")</f>
        <v/>
      </c>
      <c r="E1746" s="12" t="str">
        <f>IF(C1746&lt;&gt;"", IFERROR(INDEX('بنود العقد'!D$3:D$388,C1746), ""), "")</f>
        <v/>
      </c>
      <c r="F1746" s="9" t="str">
        <f>IF(C1746&lt;&gt;"", IFERROR(INDEX('بنود العقد'!E$3:E$388,C1746), 0), "")</f>
        <v/>
      </c>
      <c r="G1746" s="9" t="str">
        <f>IF(C1746&lt;&gt;"", IFERROR(INDEX('بنود العقد'!F$3:F$388,C1746), 0), "")</f>
        <v/>
      </c>
      <c r="H1746" s="18">
        <f t="shared" si="70"/>
        <v>0</v>
      </c>
      <c r="I1746" s="7"/>
      <c r="J1746" s="18">
        <f t="shared" si="67"/>
        <v>0</v>
      </c>
      <c r="K1746" s="10" t="str">
        <f t="shared" si="68"/>
        <v/>
      </c>
      <c r="L1746" s="21" t="str">
        <f t="shared" si="69"/>
        <v/>
      </c>
    </row>
    <row r="1747" spans="1:12" ht="25.95" hidden="1" customHeight="1">
      <c r="A1747" s="12">
        <v>1422</v>
      </c>
      <c r="B1747" s="6">
        <v>20</v>
      </c>
      <c r="C1747" s="6"/>
      <c r="D1747" s="20" t="str">
        <f>IF(C1747&lt;&gt;"", IFERROR(INDEX('بنود العقد'!B$3:B$388,C1747), "⚠"), "")</f>
        <v/>
      </c>
      <c r="E1747" s="12" t="str">
        <f>IF(C1747&lt;&gt;"", IFERROR(INDEX('بنود العقد'!D$3:D$388,C1747), ""), "")</f>
        <v/>
      </c>
      <c r="F1747" s="9" t="str">
        <f>IF(C1747&lt;&gt;"", IFERROR(INDEX('بنود العقد'!E$3:E$388,C1747), 0), "")</f>
        <v/>
      </c>
      <c r="G1747" s="9" t="str">
        <f>IF(C1747&lt;&gt;"", IFERROR(INDEX('بنود العقد'!F$3:F$388,C1747), 0), "")</f>
        <v/>
      </c>
      <c r="H1747" s="18">
        <f t="shared" si="70"/>
        <v>0</v>
      </c>
      <c r="I1747" s="7"/>
      <c r="J1747" s="18">
        <f t="shared" si="67"/>
        <v>0</v>
      </c>
      <c r="K1747" s="10" t="str">
        <f t="shared" si="68"/>
        <v/>
      </c>
      <c r="L1747" s="21" t="str">
        <f t="shared" si="69"/>
        <v/>
      </c>
    </row>
    <row r="1748" spans="1:12" ht="25.95" hidden="1" customHeight="1">
      <c r="A1748" s="12">
        <v>1423</v>
      </c>
      <c r="B1748" s="6">
        <v>20</v>
      </c>
      <c r="C1748" s="6"/>
      <c r="D1748" s="20" t="str">
        <f>IF(C1748&lt;&gt;"", IFERROR(INDEX('بنود العقد'!B$3:B$388,C1748), "⚠"), "")</f>
        <v/>
      </c>
      <c r="E1748" s="12" t="str">
        <f>IF(C1748&lt;&gt;"", IFERROR(INDEX('بنود العقد'!D$3:D$388,C1748), ""), "")</f>
        <v/>
      </c>
      <c r="F1748" s="9" t="str">
        <f>IF(C1748&lt;&gt;"", IFERROR(INDEX('بنود العقد'!E$3:E$388,C1748), 0), "")</f>
        <v/>
      </c>
      <c r="G1748" s="9" t="str">
        <f>IF(C1748&lt;&gt;"", IFERROR(INDEX('بنود العقد'!F$3:F$388,C1748), 0), "")</f>
        <v/>
      </c>
      <c r="H1748" s="18">
        <f t="shared" si="70"/>
        <v>0</v>
      </c>
      <c r="I1748" s="7"/>
      <c r="J1748" s="18">
        <f t="shared" si="67"/>
        <v>0</v>
      </c>
      <c r="K1748" s="10" t="str">
        <f t="shared" si="68"/>
        <v/>
      </c>
      <c r="L1748" s="21" t="str">
        <f t="shared" si="69"/>
        <v/>
      </c>
    </row>
    <row r="1749" spans="1:12" ht="25.95" hidden="1" customHeight="1">
      <c r="A1749" s="12">
        <v>1424</v>
      </c>
      <c r="B1749" s="6">
        <v>20</v>
      </c>
      <c r="C1749" s="6"/>
      <c r="D1749" s="20" t="str">
        <f>IF(C1749&lt;&gt;"", IFERROR(INDEX('بنود العقد'!B$3:B$388,C1749), "⚠"), "")</f>
        <v/>
      </c>
      <c r="E1749" s="12" t="str">
        <f>IF(C1749&lt;&gt;"", IFERROR(INDEX('بنود العقد'!D$3:D$388,C1749), ""), "")</f>
        <v/>
      </c>
      <c r="F1749" s="9" t="str">
        <f>IF(C1749&lt;&gt;"", IFERROR(INDEX('بنود العقد'!E$3:E$388,C1749), 0), "")</f>
        <v/>
      </c>
      <c r="G1749" s="9" t="str">
        <f>IF(C1749&lt;&gt;"", IFERROR(INDEX('بنود العقد'!F$3:F$388,C1749), 0), "")</f>
        <v/>
      </c>
      <c r="H1749" s="18">
        <f t="shared" si="70"/>
        <v>0</v>
      </c>
      <c r="I1749" s="7"/>
      <c r="J1749" s="18">
        <f t="shared" si="67"/>
        <v>0</v>
      </c>
      <c r="K1749" s="10" t="str">
        <f t="shared" si="68"/>
        <v/>
      </c>
      <c r="L1749" s="21" t="str">
        <f t="shared" si="69"/>
        <v/>
      </c>
    </row>
    <row r="1750" spans="1:12" ht="25.95" hidden="1" customHeight="1">
      <c r="A1750" s="12">
        <v>1425</v>
      </c>
      <c r="B1750" s="6">
        <v>20</v>
      </c>
      <c r="C1750" s="6"/>
      <c r="D1750" s="20" t="str">
        <f>IF(C1750&lt;&gt;"", IFERROR(INDEX('بنود العقد'!B$3:B$388,C1750), "⚠"), "")</f>
        <v/>
      </c>
      <c r="E1750" s="12" t="str">
        <f>IF(C1750&lt;&gt;"", IFERROR(INDEX('بنود العقد'!D$3:D$388,C1750), ""), "")</f>
        <v/>
      </c>
      <c r="F1750" s="9" t="str">
        <f>IF(C1750&lt;&gt;"", IFERROR(INDEX('بنود العقد'!E$3:E$388,C1750), 0), "")</f>
        <v/>
      </c>
      <c r="G1750" s="9" t="str">
        <f>IF(C1750&lt;&gt;"", IFERROR(INDEX('بنود العقد'!F$3:F$388,C1750), 0), "")</f>
        <v/>
      </c>
      <c r="H1750" s="18">
        <f t="shared" si="70"/>
        <v>0</v>
      </c>
      <c r="I1750" s="7"/>
      <c r="J1750" s="18">
        <f t="shared" si="67"/>
        <v>0</v>
      </c>
      <c r="K1750" s="10" t="str">
        <f t="shared" si="68"/>
        <v/>
      </c>
      <c r="L1750" s="21" t="str">
        <f t="shared" si="69"/>
        <v/>
      </c>
    </row>
    <row r="1751" spans="1:12" ht="25.95" hidden="1" customHeight="1">
      <c r="A1751" s="12">
        <v>1426</v>
      </c>
      <c r="B1751" s="6">
        <v>20</v>
      </c>
      <c r="C1751" s="6"/>
      <c r="D1751" s="20" t="str">
        <f>IF(C1751&lt;&gt;"", IFERROR(INDEX('بنود العقد'!B$3:B$388,C1751), "⚠"), "")</f>
        <v/>
      </c>
      <c r="E1751" s="12" t="str">
        <f>IF(C1751&lt;&gt;"", IFERROR(INDEX('بنود العقد'!D$3:D$388,C1751), ""), "")</f>
        <v/>
      </c>
      <c r="F1751" s="9" t="str">
        <f>IF(C1751&lt;&gt;"", IFERROR(INDEX('بنود العقد'!E$3:E$388,C1751), 0), "")</f>
        <v/>
      </c>
      <c r="G1751" s="9" t="str">
        <f>IF(C1751&lt;&gt;"", IFERROR(INDEX('بنود العقد'!F$3:F$388,C1751), 0), "")</f>
        <v/>
      </c>
      <c r="H1751" s="18">
        <f t="shared" si="70"/>
        <v>0</v>
      </c>
      <c r="I1751" s="7"/>
      <c r="J1751" s="18">
        <f t="shared" si="67"/>
        <v>0</v>
      </c>
      <c r="K1751" s="10" t="str">
        <f t="shared" si="68"/>
        <v/>
      </c>
      <c r="L1751" s="21" t="str">
        <f t="shared" si="69"/>
        <v/>
      </c>
    </row>
    <row r="1752" spans="1:12" ht="25.95" hidden="1" customHeight="1">
      <c r="A1752" s="12">
        <v>1427</v>
      </c>
      <c r="B1752" s="6">
        <v>20</v>
      </c>
      <c r="C1752" s="6"/>
      <c r="D1752" s="20" t="str">
        <f>IF(C1752&lt;&gt;"", IFERROR(INDEX('بنود العقد'!B$3:B$388,C1752), "⚠"), "")</f>
        <v/>
      </c>
      <c r="E1752" s="12" t="str">
        <f>IF(C1752&lt;&gt;"", IFERROR(INDEX('بنود العقد'!D$3:D$388,C1752), ""), "")</f>
        <v/>
      </c>
      <c r="F1752" s="9" t="str">
        <f>IF(C1752&lt;&gt;"", IFERROR(INDEX('بنود العقد'!E$3:E$388,C1752), 0), "")</f>
        <v/>
      </c>
      <c r="G1752" s="9" t="str">
        <f>IF(C1752&lt;&gt;"", IFERROR(INDEX('بنود العقد'!F$3:F$388,C1752), 0), "")</f>
        <v/>
      </c>
      <c r="H1752" s="18">
        <f t="shared" si="70"/>
        <v>0</v>
      </c>
      <c r="I1752" s="7"/>
      <c r="J1752" s="18">
        <f t="shared" si="67"/>
        <v>0</v>
      </c>
      <c r="K1752" s="10" t="str">
        <f t="shared" si="68"/>
        <v/>
      </c>
      <c r="L1752" s="21" t="str">
        <f t="shared" si="69"/>
        <v/>
      </c>
    </row>
    <row r="1753" spans="1:12" ht="25.95" hidden="1" customHeight="1">
      <c r="A1753" s="12">
        <v>1428</v>
      </c>
      <c r="B1753" s="6">
        <v>20</v>
      </c>
      <c r="C1753" s="6"/>
      <c r="D1753" s="20" t="str">
        <f>IF(C1753&lt;&gt;"", IFERROR(INDEX('بنود العقد'!B$3:B$388,C1753), "⚠"), "")</f>
        <v/>
      </c>
      <c r="E1753" s="12" t="str">
        <f>IF(C1753&lt;&gt;"", IFERROR(INDEX('بنود العقد'!D$3:D$388,C1753), ""), "")</f>
        <v/>
      </c>
      <c r="F1753" s="9" t="str">
        <f>IF(C1753&lt;&gt;"", IFERROR(INDEX('بنود العقد'!E$3:E$388,C1753), 0), "")</f>
        <v/>
      </c>
      <c r="G1753" s="9" t="str">
        <f>IF(C1753&lt;&gt;"", IFERROR(INDEX('بنود العقد'!F$3:F$388,C1753), 0), "")</f>
        <v/>
      </c>
      <c r="H1753" s="18">
        <f t="shared" si="70"/>
        <v>0</v>
      </c>
      <c r="I1753" s="7"/>
      <c r="J1753" s="18">
        <f t="shared" si="67"/>
        <v>0</v>
      </c>
      <c r="K1753" s="10" t="str">
        <f t="shared" si="68"/>
        <v/>
      </c>
      <c r="L1753" s="21" t="str">
        <f t="shared" si="69"/>
        <v/>
      </c>
    </row>
    <row r="1754" spans="1:12" ht="25.95" hidden="1" customHeight="1">
      <c r="A1754" s="12">
        <v>1429</v>
      </c>
      <c r="B1754" s="6">
        <v>20</v>
      </c>
      <c r="C1754" s="6"/>
      <c r="D1754" s="20" t="str">
        <f>IF(C1754&lt;&gt;"", IFERROR(INDEX('بنود العقد'!B$3:B$388,C1754), "⚠"), "")</f>
        <v/>
      </c>
      <c r="E1754" s="12" t="str">
        <f>IF(C1754&lt;&gt;"", IFERROR(INDEX('بنود العقد'!D$3:D$388,C1754), ""), "")</f>
        <v/>
      </c>
      <c r="F1754" s="9" t="str">
        <f>IF(C1754&lt;&gt;"", IFERROR(INDEX('بنود العقد'!E$3:E$388,C1754), 0), "")</f>
        <v/>
      </c>
      <c r="G1754" s="9" t="str">
        <f>IF(C1754&lt;&gt;"", IFERROR(INDEX('بنود العقد'!F$3:F$388,C1754), 0), "")</f>
        <v/>
      </c>
      <c r="H1754" s="18">
        <f t="shared" si="70"/>
        <v>0</v>
      </c>
      <c r="I1754" s="7"/>
      <c r="J1754" s="18">
        <f t="shared" si="67"/>
        <v>0</v>
      </c>
      <c r="K1754" s="10" t="str">
        <f t="shared" si="68"/>
        <v/>
      </c>
      <c r="L1754" s="21" t="str">
        <f t="shared" si="69"/>
        <v/>
      </c>
    </row>
    <row r="1755" spans="1:12" ht="25.95" hidden="1" customHeight="1">
      <c r="A1755" s="12">
        <v>1430</v>
      </c>
      <c r="B1755" s="6">
        <v>20</v>
      </c>
      <c r="C1755" s="6"/>
      <c r="D1755" s="20" t="str">
        <f>IF(C1755&lt;&gt;"", IFERROR(INDEX('بنود العقد'!B$3:B$388,C1755), "⚠"), "")</f>
        <v/>
      </c>
      <c r="E1755" s="12" t="str">
        <f>IF(C1755&lt;&gt;"", IFERROR(INDEX('بنود العقد'!D$3:D$388,C1755), ""), "")</f>
        <v/>
      </c>
      <c r="F1755" s="9" t="str">
        <f>IF(C1755&lt;&gt;"", IFERROR(INDEX('بنود العقد'!E$3:E$388,C1755), 0), "")</f>
        <v/>
      </c>
      <c r="G1755" s="9" t="str">
        <f>IF(C1755&lt;&gt;"", IFERROR(INDEX('بنود العقد'!F$3:F$388,C1755), 0), "")</f>
        <v/>
      </c>
      <c r="H1755" s="18">
        <f t="shared" si="70"/>
        <v>0</v>
      </c>
      <c r="I1755" s="7"/>
      <c r="J1755" s="18">
        <f t="shared" si="67"/>
        <v>0</v>
      </c>
      <c r="K1755" s="10" t="str">
        <f t="shared" si="68"/>
        <v/>
      </c>
      <c r="L1755" s="21" t="str">
        <f t="shared" si="69"/>
        <v/>
      </c>
    </row>
    <row r="1756" spans="1:12" ht="25.95" hidden="1" customHeight="1">
      <c r="A1756" s="12">
        <v>1431</v>
      </c>
      <c r="B1756" s="6">
        <v>20</v>
      </c>
      <c r="C1756" s="6"/>
      <c r="D1756" s="20" t="str">
        <f>IF(C1756&lt;&gt;"", IFERROR(INDEX('بنود العقد'!B$3:B$388,C1756), "⚠"), "")</f>
        <v/>
      </c>
      <c r="E1756" s="12" t="str">
        <f>IF(C1756&lt;&gt;"", IFERROR(INDEX('بنود العقد'!D$3:D$388,C1756), ""), "")</f>
        <v/>
      </c>
      <c r="F1756" s="9" t="str">
        <f>IF(C1756&lt;&gt;"", IFERROR(INDEX('بنود العقد'!E$3:E$388,C1756), 0), "")</f>
        <v/>
      </c>
      <c r="G1756" s="9" t="str">
        <f>IF(C1756&lt;&gt;"", IFERROR(INDEX('بنود العقد'!F$3:F$388,C1756), 0), "")</f>
        <v/>
      </c>
      <c r="H1756" s="18">
        <f t="shared" si="70"/>
        <v>0</v>
      </c>
      <c r="I1756" s="7"/>
      <c r="J1756" s="18">
        <f t="shared" si="67"/>
        <v>0</v>
      </c>
      <c r="K1756" s="10" t="str">
        <f t="shared" si="68"/>
        <v/>
      </c>
      <c r="L1756" s="21" t="str">
        <f t="shared" si="69"/>
        <v/>
      </c>
    </row>
    <row r="1757" spans="1:12" ht="25.95" hidden="1" customHeight="1">
      <c r="A1757" s="12">
        <v>1432</v>
      </c>
      <c r="B1757" s="6">
        <v>20</v>
      </c>
      <c r="C1757" s="6"/>
      <c r="D1757" s="20" t="str">
        <f>IF(C1757&lt;&gt;"", IFERROR(INDEX('بنود العقد'!B$3:B$388,C1757), "⚠"), "")</f>
        <v/>
      </c>
      <c r="E1757" s="12" t="str">
        <f>IF(C1757&lt;&gt;"", IFERROR(INDEX('بنود العقد'!D$3:D$388,C1757), ""), "")</f>
        <v/>
      </c>
      <c r="F1757" s="9" t="str">
        <f>IF(C1757&lt;&gt;"", IFERROR(INDEX('بنود العقد'!E$3:E$388,C1757), 0), "")</f>
        <v/>
      </c>
      <c r="G1757" s="9" t="str">
        <f>IF(C1757&lt;&gt;"", IFERROR(INDEX('بنود العقد'!F$3:F$388,C1757), 0), "")</f>
        <v/>
      </c>
      <c r="H1757" s="18">
        <f t="shared" si="70"/>
        <v>0</v>
      </c>
      <c r="I1757" s="7"/>
      <c r="J1757" s="18">
        <f t="shared" si="67"/>
        <v>0</v>
      </c>
      <c r="K1757" s="10" t="str">
        <f t="shared" si="68"/>
        <v/>
      </c>
      <c r="L1757" s="21" t="str">
        <f t="shared" si="69"/>
        <v/>
      </c>
    </row>
    <row r="1758" spans="1:12" ht="25.95" hidden="1" customHeight="1">
      <c r="A1758" s="12">
        <v>1433</v>
      </c>
      <c r="B1758" s="6">
        <v>20</v>
      </c>
      <c r="C1758" s="6"/>
      <c r="D1758" s="20" t="str">
        <f>IF(C1758&lt;&gt;"", IFERROR(INDEX('بنود العقد'!B$3:B$388,C1758), "⚠"), "")</f>
        <v/>
      </c>
      <c r="E1758" s="12" t="str">
        <f>IF(C1758&lt;&gt;"", IFERROR(INDEX('بنود العقد'!D$3:D$388,C1758), ""), "")</f>
        <v/>
      </c>
      <c r="F1758" s="9" t="str">
        <f>IF(C1758&lt;&gt;"", IFERROR(INDEX('بنود العقد'!E$3:E$388,C1758), 0), "")</f>
        <v/>
      </c>
      <c r="G1758" s="9" t="str">
        <f>IF(C1758&lt;&gt;"", IFERROR(INDEX('بنود العقد'!F$3:F$388,C1758), 0), "")</f>
        <v/>
      </c>
      <c r="H1758" s="18">
        <f t="shared" si="70"/>
        <v>0</v>
      </c>
      <c r="I1758" s="7"/>
      <c r="J1758" s="18">
        <f t="shared" si="67"/>
        <v>0</v>
      </c>
      <c r="K1758" s="10" t="str">
        <f t="shared" si="68"/>
        <v/>
      </c>
      <c r="L1758" s="21" t="str">
        <f t="shared" si="69"/>
        <v/>
      </c>
    </row>
    <row r="1759" spans="1:12" ht="25.95" hidden="1" customHeight="1">
      <c r="A1759" s="12">
        <v>1434</v>
      </c>
      <c r="B1759" s="6">
        <v>20</v>
      </c>
      <c r="C1759" s="6"/>
      <c r="D1759" s="20" t="str">
        <f>IF(C1759&lt;&gt;"", IFERROR(INDEX('بنود العقد'!B$3:B$388,C1759), "⚠"), "")</f>
        <v/>
      </c>
      <c r="E1759" s="12" t="str">
        <f>IF(C1759&lt;&gt;"", IFERROR(INDEX('بنود العقد'!D$3:D$388,C1759), ""), "")</f>
        <v/>
      </c>
      <c r="F1759" s="9" t="str">
        <f>IF(C1759&lt;&gt;"", IFERROR(INDEX('بنود العقد'!E$3:E$388,C1759), 0), "")</f>
        <v/>
      </c>
      <c r="G1759" s="9" t="str">
        <f>IF(C1759&lt;&gt;"", IFERROR(INDEX('بنود العقد'!F$3:F$388,C1759), 0), "")</f>
        <v/>
      </c>
      <c r="H1759" s="18">
        <f t="shared" si="70"/>
        <v>0</v>
      </c>
      <c r="I1759" s="7"/>
      <c r="J1759" s="18">
        <f t="shared" si="67"/>
        <v>0</v>
      </c>
      <c r="K1759" s="10" t="str">
        <f t="shared" si="68"/>
        <v/>
      </c>
      <c r="L1759" s="21" t="str">
        <f t="shared" si="69"/>
        <v/>
      </c>
    </row>
    <row r="1760" spans="1:12" ht="25.95" hidden="1" customHeight="1">
      <c r="A1760" s="12">
        <v>1435</v>
      </c>
      <c r="B1760" s="6">
        <v>20</v>
      </c>
      <c r="C1760" s="6"/>
      <c r="D1760" s="20" t="str">
        <f>IF(C1760&lt;&gt;"", IFERROR(INDEX('بنود العقد'!B$3:B$388,C1760), "⚠"), "")</f>
        <v/>
      </c>
      <c r="E1760" s="12" t="str">
        <f>IF(C1760&lt;&gt;"", IFERROR(INDEX('بنود العقد'!D$3:D$388,C1760), ""), "")</f>
        <v/>
      </c>
      <c r="F1760" s="9" t="str">
        <f>IF(C1760&lt;&gt;"", IFERROR(INDEX('بنود العقد'!E$3:E$388,C1760), 0), "")</f>
        <v/>
      </c>
      <c r="G1760" s="9" t="str">
        <f>IF(C1760&lt;&gt;"", IFERROR(INDEX('بنود العقد'!F$3:F$388,C1760), 0), "")</f>
        <v/>
      </c>
      <c r="H1760" s="18">
        <f t="shared" si="70"/>
        <v>0</v>
      </c>
      <c r="I1760" s="7"/>
      <c r="J1760" s="18">
        <f t="shared" si="67"/>
        <v>0</v>
      </c>
      <c r="K1760" s="10" t="str">
        <f t="shared" si="68"/>
        <v/>
      </c>
      <c r="L1760" s="21" t="str">
        <f t="shared" si="69"/>
        <v/>
      </c>
    </row>
    <row r="1761" spans="1:12" ht="25.95" hidden="1" customHeight="1">
      <c r="A1761" s="12">
        <v>1436</v>
      </c>
      <c r="B1761" s="6">
        <v>20</v>
      </c>
      <c r="C1761" s="6"/>
      <c r="D1761" s="20" t="str">
        <f>IF(C1761&lt;&gt;"", IFERROR(INDEX('بنود العقد'!B$3:B$388,C1761), "⚠"), "")</f>
        <v/>
      </c>
      <c r="E1761" s="12" t="str">
        <f>IF(C1761&lt;&gt;"", IFERROR(INDEX('بنود العقد'!D$3:D$388,C1761), ""), "")</f>
        <v/>
      </c>
      <c r="F1761" s="9" t="str">
        <f>IF(C1761&lt;&gt;"", IFERROR(INDEX('بنود العقد'!E$3:E$388,C1761), 0), "")</f>
        <v/>
      </c>
      <c r="G1761" s="9" t="str">
        <f>IF(C1761&lt;&gt;"", IFERROR(INDEX('بنود العقد'!F$3:F$388,C1761), 0), "")</f>
        <v/>
      </c>
      <c r="H1761" s="18">
        <f t="shared" si="70"/>
        <v>0</v>
      </c>
      <c r="I1761" s="7"/>
      <c r="J1761" s="18">
        <f t="shared" si="67"/>
        <v>0</v>
      </c>
      <c r="K1761" s="10" t="str">
        <f t="shared" si="68"/>
        <v/>
      </c>
      <c r="L1761" s="21" t="str">
        <f t="shared" si="69"/>
        <v/>
      </c>
    </row>
    <row r="1762" spans="1:12" ht="25.95" hidden="1" customHeight="1">
      <c r="A1762" s="12">
        <v>1437</v>
      </c>
      <c r="B1762" s="6">
        <v>20</v>
      </c>
      <c r="C1762" s="6"/>
      <c r="D1762" s="20" t="str">
        <f>IF(C1762&lt;&gt;"", IFERROR(INDEX('بنود العقد'!B$3:B$388,C1762), "⚠"), "")</f>
        <v/>
      </c>
      <c r="E1762" s="12" t="str">
        <f>IF(C1762&lt;&gt;"", IFERROR(INDEX('بنود العقد'!D$3:D$388,C1762), ""), "")</f>
        <v/>
      </c>
      <c r="F1762" s="9" t="str">
        <f>IF(C1762&lt;&gt;"", IFERROR(INDEX('بنود العقد'!E$3:E$388,C1762), 0), "")</f>
        <v/>
      </c>
      <c r="G1762" s="9" t="str">
        <f>IF(C1762&lt;&gt;"", IFERROR(INDEX('بنود العقد'!F$3:F$388,C1762), 0), "")</f>
        <v/>
      </c>
      <c r="H1762" s="18">
        <f t="shared" si="70"/>
        <v>0</v>
      </c>
      <c r="I1762" s="7"/>
      <c r="J1762" s="18">
        <f t="shared" si="67"/>
        <v>0</v>
      </c>
      <c r="K1762" s="10" t="str">
        <f t="shared" si="68"/>
        <v/>
      </c>
      <c r="L1762" s="21" t="str">
        <f t="shared" si="69"/>
        <v/>
      </c>
    </row>
    <row r="1763" spans="1:12" ht="25.95" hidden="1" customHeight="1">
      <c r="A1763" s="12">
        <v>1438</v>
      </c>
      <c r="B1763" s="6">
        <v>20</v>
      </c>
      <c r="C1763" s="6"/>
      <c r="D1763" s="20" t="str">
        <f>IF(C1763&lt;&gt;"", IFERROR(INDEX('بنود العقد'!B$3:B$388,C1763), "⚠"), "")</f>
        <v/>
      </c>
      <c r="E1763" s="12" t="str">
        <f>IF(C1763&lt;&gt;"", IFERROR(INDEX('بنود العقد'!D$3:D$388,C1763), ""), "")</f>
        <v/>
      </c>
      <c r="F1763" s="9" t="str">
        <f>IF(C1763&lt;&gt;"", IFERROR(INDEX('بنود العقد'!E$3:E$388,C1763), 0), "")</f>
        <v/>
      </c>
      <c r="G1763" s="9" t="str">
        <f>IF(C1763&lt;&gt;"", IFERROR(INDEX('بنود العقد'!F$3:F$388,C1763), 0), "")</f>
        <v/>
      </c>
      <c r="H1763" s="18">
        <f t="shared" si="70"/>
        <v>0</v>
      </c>
      <c r="I1763" s="7"/>
      <c r="J1763" s="18">
        <f t="shared" si="67"/>
        <v>0</v>
      </c>
      <c r="K1763" s="10" t="str">
        <f t="shared" si="68"/>
        <v/>
      </c>
      <c r="L1763" s="21" t="str">
        <f t="shared" si="69"/>
        <v/>
      </c>
    </row>
    <row r="1764" spans="1:12" ht="25.95" hidden="1" customHeight="1">
      <c r="A1764" s="12">
        <v>1439</v>
      </c>
      <c r="B1764" s="6">
        <v>20</v>
      </c>
      <c r="C1764" s="6"/>
      <c r="D1764" s="20" t="str">
        <f>IF(C1764&lt;&gt;"", IFERROR(INDEX('بنود العقد'!B$3:B$388,C1764), "⚠"), "")</f>
        <v/>
      </c>
      <c r="E1764" s="12" t="str">
        <f>IF(C1764&lt;&gt;"", IFERROR(INDEX('بنود العقد'!D$3:D$388,C1764), ""), "")</f>
        <v/>
      </c>
      <c r="F1764" s="9" t="str">
        <f>IF(C1764&lt;&gt;"", IFERROR(INDEX('بنود العقد'!E$3:E$388,C1764), 0), "")</f>
        <v/>
      </c>
      <c r="G1764" s="9" t="str">
        <f>IF(C1764&lt;&gt;"", IFERROR(INDEX('بنود العقد'!F$3:F$388,C1764), 0), "")</f>
        <v/>
      </c>
      <c r="H1764" s="18">
        <f t="shared" si="70"/>
        <v>0</v>
      </c>
      <c r="I1764" s="7"/>
      <c r="J1764" s="18">
        <f t="shared" si="67"/>
        <v>0</v>
      </c>
      <c r="K1764" s="10" t="str">
        <f t="shared" si="68"/>
        <v/>
      </c>
      <c r="L1764" s="21" t="str">
        <f t="shared" si="69"/>
        <v/>
      </c>
    </row>
    <row r="1765" spans="1:12" ht="25.95" hidden="1" customHeight="1">
      <c r="A1765" s="12">
        <v>1440</v>
      </c>
      <c r="B1765" s="6">
        <v>20</v>
      </c>
      <c r="C1765" s="6"/>
      <c r="D1765" s="20" t="str">
        <f>IF(C1765&lt;&gt;"", IFERROR(INDEX('بنود العقد'!B$3:B$388,C1765), "⚠"), "")</f>
        <v/>
      </c>
      <c r="E1765" s="12" t="str">
        <f>IF(C1765&lt;&gt;"", IFERROR(INDEX('بنود العقد'!D$3:D$388,C1765), ""), "")</f>
        <v/>
      </c>
      <c r="F1765" s="9" t="str">
        <f>IF(C1765&lt;&gt;"", IFERROR(INDEX('بنود العقد'!E$3:E$388,C1765), 0), "")</f>
        <v/>
      </c>
      <c r="G1765" s="9" t="str">
        <f>IF(C1765&lt;&gt;"", IFERROR(INDEX('بنود العقد'!F$3:F$388,C1765), 0), "")</f>
        <v/>
      </c>
      <c r="H1765" s="18">
        <f t="shared" si="70"/>
        <v>0</v>
      </c>
      <c r="I1765" s="7"/>
      <c r="J1765" s="18">
        <f t="shared" si="67"/>
        <v>0</v>
      </c>
      <c r="K1765" s="10" t="str">
        <f t="shared" si="68"/>
        <v/>
      </c>
      <c r="L1765" s="21" t="str">
        <f t="shared" si="69"/>
        <v/>
      </c>
    </row>
    <row r="1766" spans="1:12" ht="25.95" hidden="1" customHeight="1">
      <c r="A1766" s="12">
        <v>1441</v>
      </c>
      <c r="B1766" s="6">
        <v>20</v>
      </c>
      <c r="C1766" s="6"/>
      <c r="D1766" s="20" t="str">
        <f>IF(C1766&lt;&gt;"", IFERROR(INDEX('بنود العقد'!B$3:B$388,C1766), "⚠"), "")</f>
        <v/>
      </c>
      <c r="E1766" s="12" t="str">
        <f>IF(C1766&lt;&gt;"", IFERROR(INDEX('بنود العقد'!D$3:D$388,C1766), ""), "")</f>
        <v/>
      </c>
      <c r="F1766" s="9" t="str">
        <f>IF(C1766&lt;&gt;"", IFERROR(INDEX('بنود العقد'!E$3:E$388,C1766), 0), "")</f>
        <v/>
      </c>
      <c r="G1766" s="9" t="str">
        <f>IF(C1766&lt;&gt;"", IFERROR(INDEX('بنود العقد'!F$3:F$388,C1766), 0), "")</f>
        <v/>
      </c>
      <c r="H1766" s="18">
        <f t="shared" si="70"/>
        <v>0</v>
      </c>
      <c r="I1766" s="7"/>
      <c r="J1766" s="18">
        <f t="shared" si="67"/>
        <v>0</v>
      </c>
      <c r="K1766" s="10" t="str">
        <f t="shared" si="68"/>
        <v/>
      </c>
      <c r="L1766" s="21" t="str">
        <f t="shared" si="69"/>
        <v/>
      </c>
    </row>
    <row r="1767" spans="1:12" ht="25.95" hidden="1" customHeight="1">
      <c r="A1767" s="12">
        <v>1442</v>
      </c>
      <c r="B1767" s="6">
        <v>20</v>
      </c>
      <c r="C1767" s="6"/>
      <c r="D1767" s="20" t="str">
        <f>IF(C1767&lt;&gt;"", IFERROR(INDEX('بنود العقد'!B$3:B$388,C1767), "⚠"), "")</f>
        <v/>
      </c>
      <c r="E1767" s="12" t="str">
        <f>IF(C1767&lt;&gt;"", IFERROR(INDEX('بنود العقد'!D$3:D$388,C1767), ""), "")</f>
        <v/>
      </c>
      <c r="F1767" s="9" t="str">
        <f>IF(C1767&lt;&gt;"", IFERROR(INDEX('بنود العقد'!E$3:E$388,C1767), 0), "")</f>
        <v/>
      </c>
      <c r="G1767" s="9" t="str">
        <f>IF(C1767&lt;&gt;"", IFERROR(INDEX('بنود العقد'!F$3:F$388,C1767), 0), "")</f>
        <v/>
      </c>
      <c r="H1767" s="18">
        <f t="shared" si="70"/>
        <v>0</v>
      </c>
      <c r="I1767" s="7"/>
      <c r="J1767" s="18">
        <f t="shared" si="67"/>
        <v>0</v>
      </c>
      <c r="K1767" s="10" t="str">
        <f t="shared" si="68"/>
        <v/>
      </c>
      <c r="L1767" s="21" t="str">
        <f t="shared" si="69"/>
        <v/>
      </c>
    </row>
    <row r="1768" spans="1:12" ht="25.95" hidden="1" customHeight="1">
      <c r="A1768" s="12">
        <v>1443</v>
      </c>
      <c r="B1768" s="6">
        <v>20</v>
      </c>
      <c r="C1768" s="6"/>
      <c r="D1768" s="20" t="str">
        <f>IF(C1768&lt;&gt;"", IFERROR(INDEX('بنود العقد'!B$3:B$388,C1768), "⚠"), "")</f>
        <v/>
      </c>
      <c r="E1768" s="12" t="str">
        <f>IF(C1768&lt;&gt;"", IFERROR(INDEX('بنود العقد'!D$3:D$388,C1768), ""), "")</f>
        <v/>
      </c>
      <c r="F1768" s="9" t="str">
        <f>IF(C1768&lt;&gt;"", IFERROR(INDEX('بنود العقد'!E$3:E$388,C1768), 0), "")</f>
        <v/>
      </c>
      <c r="G1768" s="9" t="str">
        <f>IF(C1768&lt;&gt;"", IFERROR(INDEX('بنود العقد'!F$3:F$388,C1768), 0), "")</f>
        <v/>
      </c>
      <c r="H1768" s="18">
        <f t="shared" si="70"/>
        <v>0</v>
      </c>
      <c r="I1768" s="7"/>
      <c r="J1768" s="18">
        <f t="shared" si="67"/>
        <v>0</v>
      </c>
      <c r="K1768" s="10" t="str">
        <f t="shared" si="68"/>
        <v/>
      </c>
      <c r="L1768" s="21" t="str">
        <f t="shared" si="69"/>
        <v/>
      </c>
    </row>
    <row r="1769" spans="1:12" ht="25.95" hidden="1" customHeight="1">
      <c r="A1769" s="12">
        <v>1444</v>
      </c>
      <c r="B1769" s="6">
        <v>20</v>
      </c>
      <c r="C1769" s="6"/>
      <c r="D1769" s="20" t="str">
        <f>IF(C1769&lt;&gt;"", IFERROR(INDEX('بنود العقد'!B$3:B$388,C1769), "⚠"), "")</f>
        <v/>
      </c>
      <c r="E1769" s="12" t="str">
        <f>IF(C1769&lt;&gt;"", IFERROR(INDEX('بنود العقد'!D$3:D$388,C1769), ""), "")</f>
        <v/>
      </c>
      <c r="F1769" s="9" t="str">
        <f>IF(C1769&lt;&gt;"", IFERROR(INDEX('بنود العقد'!E$3:E$388,C1769), 0), "")</f>
        <v/>
      </c>
      <c r="G1769" s="9" t="str">
        <f>IF(C1769&lt;&gt;"", IFERROR(INDEX('بنود العقد'!F$3:F$388,C1769), 0), "")</f>
        <v/>
      </c>
      <c r="H1769" s="18">
        <f t="shared" si="70"/>
        <v>0</v>
      </c>
      <c r="I1769" s="7"/>
      <c r="J1769" s="18">
        <f t="shared" si="67"/>
        <v>0</v>
      </c>
      <c r="K1769" s="10" t="str">
        <f t="shared" si="68"/>
        <v/>
      </c>
      <c r="L1769" s="21" t="str">
        <f t="shared" si="69"/>
        <v/>
      </c>
    </row>
    <row r="1770" spans="1:12" ht="25.95" hidden="1" customHeight="1">
      <c r="A1770" s="12">
        <v>1445</v>
      </c>
      <c r="B1770" s="6">
        <v>20</v>
      </c>
      <c r="C1770" s="6"/>
      <c r="D1770" s="20" t="str">
        <f>IF(C1770&lt;&gt;"", IFERROR(INDEX('بنود العقد'!B$3:B$388,C1770), "⚠"), "")</f>
        <v/>
      </c>
      <c r="E1770" s="12" t="str">
        <f>IF(C1770&lt;&gt;"", IFERROR(INDEX('بنود العقد'!D$3:D$388,C1770), ""), "")</f>
        <v/>
      </c>
      <c r="F1770" s="9" t="str">
        <f>IF(C1770&lt;&gt;"", IFERROR(INDEX('بنود العقد'!E$3:E$388,C1770), 0), "")</f>
        <v/>
      </c>
      <c r="G1770" s="9" t="str">
        <f>IF(C1770&lt;&gt;"", IFERROR(INDEX('بنود العقد'!F$3:F$388,C1770), 0), "")</f>
        <v/>
      </c>
      <c r="H1770" s="18">
        <f t="shared" si="70"/>
        <v>0</v>
      </c>
      <c r="I1770" s="7"/>
      <c r="J1770" s="18">
        <f t="shared" si="67"/>
        <v>0</v>
      </c>
      <c r="K1770" s="10" t="str">
        <f t="shared" si="68"/>
        <v/>
      </c>
      <c r="L1770" s="21" t="str">
        <f t="shared" si="69"/>
        <v/>
      </c>
    </row>
    <row r="1771" spans="1:12" ht="25.95" hidden="1" customHeight="1">
      <c r="A1771" s="12">
        <v>1446</v>
      </c>
      <c r="B1771" s="6">
        <v>20</v>
      </c>
      <c r="C1771" s="6"/>
      <c r="D1771" s="20" t="str">
        <f>IF(C1771&lt;&gt;"", IFERROR(INDEX('بنود العقد'!B$3:B$388,C1771), "⚠"), "")</f>
        <v/>
      </c>
      <c r="E1771" s="12" t="str">
        <f>IF(C1771&lt;&gt;"", IFERROR(INDEX('بنود العقد'!D$3:D$388,C1771), ""), "")</f>
        <v/>
      </c>
      <c r="F1771" s="9" t="str">
        <f>IF(C1771&lt;&gt;"", IFERROR(INDEX('بنود العقد'!E$3:E$388,C1771), 0), "")</f>
        <v/>
      </c>
      <c r="G1771" s="9" t="str">
        <f>IF(C1771&lt;&gt;"", IFERROR(INDEX('بنود العقد'!F$3:F$388,C1771), 0), "")</f>
        <v/>
      </c>
      <c r="H1771" s="18">
        <f t="shared" si="70"/>
        <v>0</v>
      </c>
      <c r="I1771" s="7"/>
      <c r="J1771" s="18">
        <f t="shared" si="67"/>
        <v>0</v>
      </c>
      <c r="K1771" s="10" t="str">
        <f t="shared" si="68"/>
        <v/>
      </c>
      <c r="L1771" s="21" t="str">
        <f t="shared" si="69"/>
        <v/>
      </c>
    </row>
    <row r="1772" spans="1:12" ht="25.95" hidden="1" customHeight="1">
      <c r="A1772" s="12">
        <v>1447</v>
      </c>
      <c r="B1772" s="6">
        <v>20</v>
      </c>
      <c r="C1772" s="6"/>
      <c r="D1772" s="20" t="str">
        <f>IF(C1772&lt;&gt;"", IFERROR(INDEX('بنود العقد'!B$3:B$388,C1772), "⚠"), "")</f>
        <v/>
      </c>
      <c r="E1772" s="12" t="str">
        <f>IF(C1772&lt;&gt;"", IFERROR(INDEX('بنود العقد'!D$3:D$388,C1772), ""), "")</f>
        <v/>
      </c>
      <c r="F1772" s="9" t="str">
        <f>IF(C1772&lt;&gt;"", IFERROR(INDEX('بنود العقد'!E$3:E$388,C1772), 0), "")</f>
        <v/>
      </c>
      <c r="G1772" s="9" t="str">
        <f>IF(C1772&lt;&gt;"", IFERROR(INDEX('بنود العقد'!F$3:F$388,C1772), 0), "")</f>
        <v/>
      </c>
      <c r="H1772" s="18">
        <f t="shared" si="70"/>
        <v>0</v>
      </c>
      <c r="I1772" s="7"/>
      <c r="J1772" s="18">
        <f t="shared" si="67"/>
        <v>0</v>
      </c>
      <c r="K1772" s="10" t="str">
        <f t="shared" si="68"/>
        <v/>
      </c>
      <c r="L1772" s="21" t="str">
        <f t="shared" si="69"/>
        <v/>
      </c>
    </row>
    <row r="1773" spans="1:12" ht="25.95" hidden="1" customHeight="1">
      <c r="A1773" s="12">
        <v>1448</v>
      </c>
      <c r="B1773" s="6">
        <v>20</v>
      </c>
      <c r="C1773" s="6"/>
      <c r="D1773" s="20" t="str">
        <f>IF(C1773&lt;&gt;"", IFERROR(INDEX('بنود العقد'!B$3:B$388,C1773), "⚠"), "")</f>
        <v/>
      </c>
      <c r="E1773" s="12" t="str">
        <f>IF(C1773&lt;&gt;"", IFERROR(INDEX('بنود العقد'!D$3:D$388,C1773), ""), "")</f>
        <v/>
      </c>
      <c r="F1773" s="9" t="str">
        <f>IF(C1773&lt;&gt;"", IFERROR(INDEX('بنود العقد'!E$3:E$388,C1773), 0), "")</f>
        <v/>
      </c>
      <c r="G1773" s="9" t="str">
        <f>IF(C1773&lt;&gt;"", IFERROR(INDEX('بنود العقد'!F$3:F$388,C1773), 0), "")</f>
        <v/>
      </c>
      <c r="H1773" s="18">
        <f t="shared" si="70"/>
        <v>0</v>
      </c>
      <c r="I1773" s="7"/>
      <c r="J1773" s="18">
        <f t="shared" si="67"/>
        <v>0</v>
      </c>
      <c r="K1773" s="10" t="str">
        <f t="shared" si="68"/>
        <v/>
      </c>
      <c r="L1773" s="21" t="str">
        <f t="shared" si="69"/>
        <v/>
      </c>
    </row>
    <row r="1774" spans="1:12" ht="25.95" hidden="1" customHeight="1">
      <c r="A1774" s="12">
        <v>1449</v>
      </c>
      <c r="B1774" s="6">
        <v>20</v>
      </c>
      <c r="C1774" s="6"/>
      <c r="D1774" s="20" t="str">
        <f>IF(C1774&lt;&gt;"", IFERROR(INDEX('بنود العقد'!B$3:B$388,C1774), "⚠"), "")</f>
        <v/>
      </c>
      <c r="E1774" s="12" t="str">
        <f>IF(C1774&lt;&gt;"", IFERROR(INDEX('بنود العقد'!D$3:D$388,C1774), ""), "")</f>
        <v/>
      </c>
      <c r="F1774" s="9" t="str">
        <f>IF(C1774&lt;&gt;"", IFERROR(INDEX('بنود العقد'!E$3:E$388,C1774), 0), "")</f>
        <v/>
      </c>
      <c r="G1774" s="9" t="str">
        <f>IF(C1774&lt;&gt;"", IFERROR(INDEX('بنود العقد'!F$3:F$388,C1774), 0), "")</f>
        <v/>
      </c>
      <c r="H1774" s="18">
        <f t="shared" si="70"/>
        <v>0</v>
      </c>
      <c r="I1774" s="7"/>
      <c r="J1774" s="18">
        <f t="shared" si="67"/>
        <v>0</v>
      </c>
      <c r="K1774" s="10" t="str">
        <f t="shared" si="68"/>
        <v/>
      </c>
      <c r="L1774" s="21" t="str">
        <f t="shared" si="69"/>
        <v/>
      </c>
    </row>
    <row r="1775" spans="1:12" ht="25.95" hidden="1" customHeight="1">
      <c r="A1775" s="12">
        <v>1450</v>
      </c>
      <c r="B1775" s="6">
        <v>20</v>
      </c>
      <c r="C1775" s="6"/>
      <c r="D1775" s="20" t="str">
        <f>IF(C1775&lt;&gt;"", IFERROR(INDEX('بنود العقد'!B$3:B$388,C1775), "⚠"), "")</f>
        <v/>
      </c>
      <c r="E1775" s="12" t="str">
        <f>IF(C1775&lt;&gt;"", IFERROR(INDEX('بنود العقد'!D$3:D$388,C1775), ""), "")</f>
        <v/>
      </c>
      <c r="F1775" s="9" t="str">
        <f>IF(C1775&lt;&gt;"", IFERROR(INDEX('بنود العقد'!E$3:E$388,C1775), 0), "")</f>
        <v/>
      </c>
      <c r="G1775" s="9" t="str">
        <f>IF(C1775&lt;&gt;"", IFERROR(INDEX('بنود العقد'!F$3:F$388,C1775), 0), "")</f>
        <v/>
      </c>
      <c r="H1775" s="18">
        <f t="shared" si="70"/>
        <v>0</v>
      </c>
      <c r="I1775" s="7"/>
      <c r="J1775" s="18">
        <f t="shared" si="67"/>
        <v>0</v>
      </c>
      <c r="K1775" s="10" t="str">
        <f t="shared" si="68"/>
        <v/>
      </c>
      <c r="L1775" s="21" t="str">
        <f t="shared" si="69"/>
        <v/>
      </c>
    </row>
    <row r="1776" spans="1:12" ht="25.95" hidden="1" customHeight="1">
      <c r="A1776" s="12">
        <v>1451</v>
      </c>
      <c r="B1776" s="6">
        <v>20</v>
      </c>
      <c r="C1776" s="6"/>
      <c r="D1776" s="20" t="str">
        <f>IF(C1776&lt;&gt;"", IFERROR(INDEX('بنود العقد'!B$3:B$388,C1776), "⚠"), "")</f>
        <v/>
      </c>
      <c r="E1776" s="12" t="str">
        <f>IF(C1776&lt;&gt;"", IFERROR(INDEX('بنود العقد'!D$3:D$388,C1776), ""), "")</f>
        <v/>
      </c>
      <c r="F1776" s="9" t="str">
        <f>IF(C1776&lt;&gt;"", IFERROR(INDEX('بنود العقد'!E$3:E$388,C1776), 0), "")</f>
        <v/>
      </c>
      <c r="G1776" s="9" t="str">
        <f>IF(C1776&lt;&gt;"", IFERROR(INDEX('بنود العقد'!F$3:F$388,C1776), 0), "")</f>
        <v/>
      </c>
      <c r="H1776" s="18">
        <f t="shared" si="70"/>
        <v>0</v>
      </c>
      <c r="I1776" s="7"/>
      <c r="J1776" s="18">
        <f t="shared" si="67"/>
        <v>0</v>
      </c>
      <c r="K1776" s="10" t="str">
        <f t="shared" si="68"/>
        <v/>
      </c>
      <c r="L1776" s="21" t="str">
        <f t="shared" si="69"/>
        <v/>
      </c>
    </row>
    <row r="1777" spans="1:12" ht="25.95" hidden="1" customHeight="1">
      <c r="A1777" s="12">
        <v>1452</v>
      </c>
      <c r="B1777" s="6">
        <v>20</v>
      </c>
      <c r="C1777" s="6"/>
      <c r="D1777" s="20" t="str">
        <f>IF(C1777&lt;&gt;"", IFERROR(INDEX('بنود العقد'!B$3:B$388,C1777), "⚠"), "")</f>
        <v/>
      </c>
      <c r="E1777" s="12" t="str">
        <f>IF(C1777&lt;&gt;"", IFERROR(INDEX('بنود العقد'!D$3:D$388,C1777), ""), "")</f>
        <v/>
      </c>
      <c r="F1777" s="9" t="str">
        <f>IF(C1777&lt;&gt;"", IFERROR(INDEX('بنود العقد'!E$3:E$388,C1777), 0), "")</f>
        <v/>
      </c>
      <c r="G1777" s="9" t="str">
        <f>IF(C1777&lt;&gt;"", IFERROR(INDEX('بنود العقد'!F$3:F$388,C1777), 0), "")</f>
        <v/>
      </c>
      <c r="H1777" s="18">
        <f t="shared" si="70"/>
        <v>0</v>
      </c>
      <c r="I1777" s="7"/>
      <c r="J1777" s="18">
        <f t="shared" ref="J1777:J1804" si="71">IF(I1777&lt;&gt;"", H1777+I1777, 0)</f>
        <v>0</v>
      </c>
      <c r="K1777" s="10" t="str">
        <f t="shared" ref="K1777:K1803" si="72">IF(AND(I1777&lt;&gt;"",F1777&lt;&gt;""), I1777*F1777, "")</f>
        <v/>
      </c>
      <c r="L1777" s="21" t="str">
        <f t="shared" ref="L1777:L1803" si="73">IF(AND(J1777&lt;&gt;"",G1777&lt;&gt;"",G1777&gt;0), J1777/G1777*100, "")</f>
        <v/>
      </c>
    </row>
    <row r="1778" spans="1:12" ht="25.95" hidden="1" customHeight="1">
      <c r="A1778" s="12">
        <v>1453</v>
      </c>
      <c r="B1778" s="6">
        <v>20</v>
      </c>
      <c r="C1778" s="6"/>
      <c r="D1778" s="20" t="str">
        <f>IF(C1778&lt;&gt;"", IFERROR(INDEX('بنود العقد'!B$3:B$388,C1778), "⚠"), "")</f>
        <v/>
      </c>
      <c r="E1778" s="12" t="str">
        <f>IF(C1778&lt;&gt;"", IFERROR(INDEX('بنود العقد'!D$3:D$388,C1778), ""), "")</f>
        <v/>
      </c>
      <c r="F1778" s="9" t="str">
        <f>IF(C1778&lt;&gt;"", IFERROR(INDEX('بنود العقد'!E$3:E$388,C1778), 0), "")</f>
        <v/>
      </c>
      <c r="G1778" s="9" t="str">
        <f>IF(C1778&lt;&gt;"", IFERROR(INDEX('بنود العقد'!F$3:F$388,C1778), 0), "")</f>
        <v/>
      </c>
      <c r="H1778" s="18">
        <f t="shared" si="70"/>
        <v>0</v>
      </c>
      <c r="I1778" s="7"/>
      <c r="J1778" s="18">
        <f t="shared" si="71"/>
        <v>0</v>
      </c>
      <c r="K1778" s="10" t="str">
        <f t="shared" si="72"/>
        <v/>
      </c>
      <c r="L1778" s="21" t="str">
        <f t="shared" si="73"/>
        <v/>
      </c>
    </row>
    <row r="1779" spans="1:12" ht="25.95" hidden="1" customHeight="1">
      <c r="A1779" s="12">
        <v>1454</v>
      </c>
      <c r="B1779" s="6">
        <v>20</v>
      </c>
      <c r="C1779" s="6"/>
      <c r="D1779" s="20" t="str">
        <f>IF(C1779&lt;&gt;"", IFERROR(INDEX('بنود العقد'!B$3:B$388,C1779), "⚠"), "")</f>
        <v/>
      </c>
      <c r="E1779" s="12" t="str">
        <f>IF(C1779&lt;&gt;"", IFERROR(INDEX('بنود العقد'!D$3:D$388,C1779), ""), "")</f>
        <v/>
      </c>
      <c r="F1779" s="9" t="str">
        <f>IF(C1779&lt;&gt;"", IFERROR(INDEX('بنود العقد'!E$3:E$388,C1779), 0), "")</f>
        <v/>
      </c>
      <c r="G1779" s="9" t="str">
        <f>IF(C1779&lt;&gt;"", IFERROR(INDEX('بنود العقد'!F$3:F$388,C1779), 0), "")</f>
        <v/>
      </c>
      <c r="H1779" s="18">
        <f t="shared" si="70"/>
        <v>0</v>
      </c>
      <c r="I1779" s="7"/>
      <c r="J1779" s="18">
        <f t="shared" si="71"/>
        <v>0</v>
      </c>
      <c r="K1779" s="10" t="str">
        <f t="shared" si="72"/>
        <v/>
      </c>
      <c r="L1779" s="21" t="str">
        <f t="shared" si="73"/>
        <v/>
      </c>
    </row>
    <row r="1780" spans="1:12" ht="25.95" hidden="1" customHeight="1">
      <c r="A1780" s="12">
        <v>1455</v>
      </c>
      <c r="B1780" s="6">
        <v>20</v>
      </c>
      <c r="C1780" s="6"/>
      <c r="D1780" s="20" t="str">
        <f>IF(C1780&lt;&gt;"", IFERROR(INDEX('بنود العقد'!B$3:B$388,C1780), "⚠"), "")</f>
        <v/>
      </c>
      <c r="E1780" s="12" t="str">
        <f>IF(C1780&lt;&gt;"", IFERROR(INDEX('بنود العقد'!D$3:D$388,C1780), ""), "")</f>
        <v/>
      </c>
      <c r="F1780" s="9" t="str">
        <f>IF(C1780&lt;&gt;"", IFERROR(INDEX('بنود العقد'!E$3:E$388,C1780), 0), "")</f>
        <v/>
      </c>
      <c r="G1780" s="9" t="str">
        <f>IF(C1780&lt;&gt;"", IFERROR(INDEX('بنود العقد'!F$3:F$388,C1780), 0), "")</f>
        <v/>
      </c>
      <c r="H1780" s="18">
        <f t="shared" si="70"/>
        <v>0</v>
      </c>
      <c r="I1780" s="7"/>
      <c r="J1780" s="18">
        <f t="shared" si="71"/>
        <v>0</v>
      </c>
      <c r="K1780" s="10" t="str">
        <f t="shared" si="72"/>
        <v/>
      </c>
      <c r="L1780" s="21" t="str">
        <f t="shared" si="73"/>
        <v/>
      </c>
    </row>
    <row r="1781" spans="1:12" ht="25.95" hidden="1" customHeight="1">
      <c r="A1781" s="12">
        <v>1456</v>
      </c>
      <c r="B1781" s="6">
        <v>20</v>
      </c>
      <c r="C1781" s="6"/>
      <c r="D1781" s="20" t="str">
        <f>IF(C1781&lt;&gt;"", IFERROR(INDEX('بنود العقد'!B$3:B$388,C1781), "⚠"), "")</f>
        <v/>
      </c>
      <c r="E1781" s="12" t="str">
        <f>IF(C1781&lt;&gt;"", IFERROR(INDEX('بنود العقد'!D$3:D$388,C1781), ""), "")</f>
        <v/>
      </c>
      <c r="F1781" s="9" t="str">
        <f>IF(C1781&lt;&gt;"", IFERROR(INDEX('بنود العقد'!E$3:E$388,C1781), 0), "")</f>
        <v/>
      </c>
      <c r="G1781" s="9" t="str">
        <f>IF(C1781&lt;&gt;"", IFERROR(INDEX('بنود العقد'!F$3:F$388,C1781), 0), "")</f>
        <v/>
      </c>
      <c r="H1781" s="18">
        <f t="shared" si="70"/>
        <v>0</v>
      </c>
      <c r="I1781" s="7"/>
      <c r="J1781" s="18">
        <f t="shared" si="71"/>
        <v>0</v>
      </c>
      <c r="K1781" s="10" t="str">
        <f t="shared" si="72"/>
        <v/>
      </c>
      <c r="L1781" s="21" t="str">
        <f t="shared" si="73"/>
        <v/>
      </c>
    </row>
    <row r="1782" spans="1:12" ht="25.95" hidden="1" customHeight="1">
      <c r="A1782" s="12">
        <v>1457</v>
      </c>
      <c r="B1782" s="6">
        <v>20</v>
      </c>
      <c r="C1782" s="6"/>
      <c r="D1782" s="20" t="str">
        <f>IF(C1782&lt;&gt;"", IFERROR(INDEX('بنود العقد'!B$3:B$388,C1782), "⚠"), "")</f>
        <v/>
      </c>
      <c r="E1782" s="12" t="str">
        <f>IF(C1782&lt;&gt;"", IFERROR(INDEX('بنود العقد'!D$3:D$388,C1782), ""), "")</f>
        <v/>
      </c>
      <c r="F1782" s="9" t="str">
        <f>IF(C1782&lt;&gt;"", IFERROR(INDEX('بنود العقد'!E$3:E$388,C1782), 0), "")</f>
        <v/>
      </c>
      <c r="G1782" s="9" t="str">
        <f>IF(C1782&lt;&gt;"", IFERROR(INDEX('بنود العقد'!F$3:F$388,C1782), 0), "")</f>
        <v/>
      </c>
      <c r="H1782" s="18">
        <f t="shared" si="70"/>
        <v>0</v>
      </c>
      <c r="I1782" s="7"/>
      <c r="J1782" s="18">
        <f t="shared" si="71"/>
        <v>0</v>
      </c>
      <c r="K1782" s="10" t="str">
        <f t="shared" si="72"/>
        <v/>
      </c>
      <c r="L1782" s="21" t="str">
        <f t="shared" si="73"/>
        <v/>
      </c>
    </row>
    <row r="1783" spans="1:12" ht="25.95" hidden="1" customHeight="1">
      <c r="A1783" s="12">
        <v>1458</v>
      </c>
      <c r="B1783" s="6">
        <v>20</v>
      </c>
      <c r="C1783" s="6"/>
      <c r="D1783" s="20" t="str">
        <f>IF(C1783&lt;&gt;"", IFERROR(INDEX('بنود العقد'!B$3:B$388,C1783), "⚠"), "")</f>
        <v/>
      </c>
      <c r="E1783" s="12" t="str">
        <f>IF(C1783&lt;&gt;"", IFERROR(INDEX('بنود العقد'!D$3:D$388,C1783), ""), "")</f>
        <v/>
      </c>
      <c r="F1783" s="9" t="str">
        <f>IF(C1783&lt;&gt;"", IFERROR(INDEX('بنود العقد'!E$3:E$388,C1783), 0), "")</f>
        <v/>
      </c>
      <c r="G1783" s="9" t="str">
        <f>IF(C1783&lt;&gt;"", IFERROR(INDEX('بنود العقد'!F$3:F$388,C1783), 0), "")</f>
        <v/>
      </c>
      <c r="H1783" s="18">
        <f t="shared" si="70"/>
        <v>0</v>
      </c>
      <c r="I1783" s="7"/>
      <c r="J1783" s="18">
        <f t="shared" si="71"/>
        <v>0</v>
      </c>
      <c r="K1783" s="10" t="str">
        <f t="shared" si="72"/>
        <v/>
      </c>
      <c r="L1783" s="21" t="str">
        <f t="shared" si="73"/>
        <v/>
      </c>
    </row>
    <row r="1784" spans="1:12" ht="25.95" hidden="1" customHeight="1">
      <c r="A1784" s="12">
        <v>1459</v>
      </c>
      <c r="B1784" s="6">
        <v>20</v>
      </c>
      <c r="C1784" s="6"/>
      <c r="D1784" s="20" t="str">
        <f>IF(C1784&lt;&gt;"", IFERROR(INDEX('بنود العقد'!B$3:B$388,C1784), "⚠"), "")</f>
        <v/>
      </c>
      <c r="E1784" s="12" t="str">
        <f>IF(C1784&lt;&gt;"", IFERROR(INDEX('بنود العقد'!D$3:D$388,C1784), ""), "")</f>
        <v/>
      </c>
      <c r="F1784" s="9" t="str">
        <f>IF(C1784&lt;&gt;"", IFERROR(INDEX('بنود العقد'!E$3:E$388,C1784), 0), "")</f>
        <v/>
      </c>
      <c r="G1784" s="9" t="str">
        <f>IF(C1784&lt;&gt;"", IFERROR(INDEX('بنود العقد'!F$3:F$388,C1784), 0), "")</f>
        <v/>
      </c>
      <c r="H1784" s="18">
        <f t="shared" si="70"/>
        <v>0</v>
      </c>
      <c r="I1784" s="7"/>
      <c r="J1784" s="18">
        <f t="shared" si="71"/>
        <v>0</v>
      </c>
      <c r="K1784" s="10" t="str">
        <f t="shared" si="72"/>
        <v/>
      </c>
      <c r="L1784" s="21" t="str">
        <f t="shared" si="73"/>
        <v/>
      </c>
    </row>
    <row r="1785" spans="1:12" ht="25.95" hidden="1" customHeight="1">
      <c r="A1785" s="12">
        <v>1460</v>
      </c>
      <c r="B1785" s="6">
        <v>20</v>
      </c>
      <c r="C1785" s="6"/>
      <c r="D1785" s="20" t="str">
        <f>IF(C1785&lt;&gt;"", IFERROR(INDEX('بنود العقد'!B$3:B$388,C1785), "⚠"), "")</f>
        <v/>
      </c>
      <c r="E1785" s="12" t="str">
        <f>IF(C1785&lt;&gt;"", IFERROR(INDEX('بنود العقد'!D$3:D$388,C1785), ""), "")</f>
        <v/>
      </c>
      <c r="F1785" s="9" t="str">
        <f>IF(C1785&lt;&gt;"", IFERROR(INDEX('بنود العقد'!E$3:E$388,C1785), 0), "")</f>
        <v/>
      </c>
      <c r="G1785" s="9" t="str">
        <f>IF(C1785&lt;&gt;"", IFERROR(INDEX('بنود العقد'!F$3:F$388,C1785), 0), "")</f>
        <v/>
      </c>
      <c r="H1785" s="18">
        <f t="shared" si="70"/>
        <v>0</v>
      </c>
      <c r="I1785" s="7"/>
      <c r="J1785" s="18">
        <f t="shared" si="71"/>
        <v>0</v>
      </c>
      <c r="K1785" s="10" t="str">
        <f t="shared" si="72"/>
        <v/>
      </c>
      <c r="L1785" s="21" t="str">
        <f t="shared" si="73"/>
        <v/>
      </c>
    </row>
    <row r="1786" spans="1:12" ht="25.95" hidden="1" customHeight="1">
      <c r="A1786" s="12">
        <v>1461</v>
      </c>
      <c r="B1786" s="6">
        <v>20</v>
      </c>
      <c r="C1786" s="6"/>
      <c r="D1786" s="20" t="str">
        <f>IF(C1786&lt;&gt;"", IFERROR(INDEX('بنود العقد'!B$3:B$388,C1786), "⚠"), "")</f>
        <v/>
      </c>
      <c r="E1786" s="12" t="str">
        <f>IF(C1786&lt;&gt;"", IFERROR(INDEX('بنود العقد'!D$3:D$388,C1786), ""), "")</f>
        <v/>
      </c>
      <c r="F1786" s="9" t="str">
        <f>IF(C1786&lt;&gt;"", IFERROR(INDEX('بنود العقد'!E$3:E$388,C1786), 0), "")</f>
        <v/>
      </c>
      <c r="G1786" s="9" t="str">
        <f>IF(C1786&lt;&gt;"", IFERROR(INDEX('بنود العقد'!F$3:F$388,C1786), 0), "")</f>
        <v/>
      </c>
      <c r="H1786" s="18">
        <f t="shared" si="70"/>
        <v>0</v>
      </c>
      <c r="I1786" s="7"/>
      <c r="J1786" s="18">
        <f t="shared" si="71"/>
        <v>0</v>
      </c>
      <c r="K1786" s="10" t="str">
        <f t="shared" si="72"/>
        <v/>
      </c>
      <c r="L1786" s="21" t="str">
        <f t="shared" si="73"/>
        <v/>
      </c>
    </row>
    <row r="1787" spans="1:12" ht="25.95" hidden="1" customHeight="1">
      <c r="A1787" s="12">
        <v>1462</v>
      </c>
      <c r="B1787" s="6">
        <v>20</v>
      </c>
      <c r="C1787" s="6"/>
      <c r="D1787" s="20" t="str">
        <f>IF(C1787&lt;&gt;"", IFERROR(INDEX('بنود العقد'!B$3:B$388,C1787), "⚠"), "")</f>
        <v/>
      </c>
      <c r="E1787" s="12" t="str">
        <f>IF(C1787&lt;&gt;"", IFERROR(INDEX('بنود العقد'!D$3:D$388,C1787), ""), "")</f>
        <v/>
      </c>
      <c r="F1787" s="9" t="str">
        <f>IF(C1787&lt;&gt;"", IFERROR(INDEX('بنود العقد'!E$3:E$388,C1787), 0), "")</f>
        <v/>
      </c>
      <c r="G1787" s="9" t="str">
        <f>IF(C1787&lt;&gt;"", IFERROR(INDEX('بنود العقد'!F$3:F$388,C1787), 0), "")</f>
        <v/>
      </c>
      <c r="H1787" s="18">
        <f t="shared" si="70"/>
        <v>0</v>
      </c>
      <c r="I1787" s="7"/>
      <c r="J1787" s="18">
        <f t="shared" si="71"/>
        <v>0</v>
      </c>
      <c r="K1787" s="10" t="str">
        <f t="shared" si="72"/>
        <v/>
      </c>
      <c r="L1787" s="21" t="str">
        <f t="shared" si="73"/>
        <v/>
      </c>
    </row>
    <row r="1788" spans="1:12" ht="25.95" hidden="1" customHeight="1">
      <c r="A1788" s="12">
        <v>1463</v>
      </c>
      <c r="B1788" s="6">
        <v>20</v>
      </c>
      <c r="C1788" s="6"/>
      <c r="D1788" s="20" t="str">
        <f>IF(C1788&lt;&gt;"", IFERROR(INDEX('بنود العقد'!B$3:B$388,C1788), "⚠"), "")</f>
        <v/>
      </c>
      <c r="E1788" s="12" t="str">
        <f>IF(C1788&lt;&gt;"", IFERROR(INDEX('بنود العقد'!D$3:D$388,C1788), ""), "")</f>
        <v/>
      </c>
      <c r="F1788" s="9" t="str">
        <f>IF(C1788&lt;&gt;"", IFERROR(INDEX('بنود العقد'!E$3:E$388,C1788), 0), "")</f>
        <v/>
      </c>
      <c r="G1788" s="9" t="str">
        <f>IF(C1788&lt;&gt;"", IFERROR(INDEX('بنود العقد'!F$3:F$388,C1788), 0), "")</f>
        <v/>
      </c>
      <c r="H1788" s="18">
        <f t="shared" si="70"/>
        <v>0</v>
      </c>
      <c r="I1788" s="7"/>
      <c r="J1788" s="18">
        <f t="shared" si="71"/>
        <v>0</v>
      </c>
      <c r="K1788" s="10" t="str">
        <f t="shared" si="72"/>
        <v/>
      </c>
      <c r="L1788" s="21" t="str">
        <f t="shared" si="73"/>
        <v/>
      </c>
    </row>
    <row r="1789" spans="1:12" ht="25.95" hidden="1" customHeight="1">
      <c r="A1789" s="12">
        <v>1464</v>
      </c>
      <c r="B1789" s="6">
        <v>20</v>
      </c>
      <c r="C1789" s="6"/>
      <c r="D1789" s="20" t="str">
        <f>IF(C1789&lt;&gt;"", IFERROR(INDEX('بنود العقد'!B$3:B$388,C1789), "⚠"), "")</f>
        <v/>
      </c>
      <c r="E1789" s="12" t="str">
        <f>IF(C1789&lt;&gt;"", IFERROR(INDEX('بنود العقد'!D$3:D$388,C1789), ""), "")</f>
        <v/>
      </c>
      <c r="F1789" s="9" t="str">
        <f>IF(C1789&lt;&gt;"", IFERROR(INDEX('بنود العقد'!E$3:E$388,C1789), 0), "")</f>
        <v/>
      </c>
      <c r="G1789" s="9" t="str">
        <f>IF(C1789&lt;&gt;"", IFERROR(INDEX('بنود العقد'!F$3:F$388,C1789), 0), "")</f>
        <v/>
      </c>
      <c r="H1789" s="18">
        <f t="shared" si="70"/>
        <v>0</v>
      </c>
      <c r="I1789" s="7"/>
      <c r="J1789" s="18">
        <f t="shared" si="71"/>
        <v>0</v>
      </c>
      <c r="K1789" s="10" t="str">
        <f t="shared" si="72"/>
        <v/>
      </c>
      <c r="L1789" s="21" t="str">
        <f t="shared" si="73"/>
        <v/>
      </c>
    </row>
    <row r="1790" spans="1:12" ht="25.95" hidden="1" customHeight="1">
      <c r="A1790" s="12">
        <v>1465</v>
      </c>
      <c r="B1790" s="6">
        <v>20</v>
      </c>
      <c r="C1790" s="6"/>
      <c r="D1790" s="20" t="str">
        <f>IF(C1790&lt;&gt;"", IFERROR(INDEX('بنود العقد'!B$3:B$388,C1790), "⚠"), "")</f>
        <v/>
      </c>
      <c r="E1790" s="12" t="str">
        <f>IF(C1790&lt;&gt;"", IFERROR(INDEX('بنود العقد'!D$3:D$388,C1790), ""), "")</f>
        <v/>
      </c>
      <c r="F1790" s="9" t="str">
        <f>IF(C1790&lt;&gt;"", IFERROR(INDEX('بنود العقد'!E$3:E$388,C1790), 0), "")</f>
        <v/>
      </c>
      <c r="G1790" s="9" t="str">
        <f>IF(C1790&lt;&gt;"", IFERROR(INDEX('بنود العقد'!F$3:F$388,C1790), 0), "")</f>
        <v/>
      </c>
      <c r="H1790" s="18">
        <f t="shared" si="70"/>
        <v>0</v>
      </c>
      <c r="I1790" s="7"/>
      <c r="J1790" s="18">
        <f t="shared" si="71"/>
        <v>0</v>
      </c>
      <c r="K1790" s="10" t="str">
        <f t="shared" si="72"/>
        <v/>
      </c>
      <c r="L1790" s="21" t="str">
        <f t="shared" si="73"/>
        <v/>
      </c>
    </row>
    <row r="1791" spans="1:12" ht="25.95" hidden="1" customHeight="1">
      <c r="A1791" s="12">
        <v>1466</v>
      </c>
      <c r="B1791" s="6">
        <v>20</v>
      </c>
      <c r="C1791" s="6"/>
      <c r="D1791" s="20" t="str">
        <f>IF(C1791&lt;&gt;"", IFERROR(INDEX('بنود العقد'!B$3:B$388,C1791), "⚠"), "")</f>
        <v/>
      </c>
      <c r="E1791" s="12" t="str">
        <f>IF(C1791&lt;&gt;"", IFERROR(INDEX('بنود العقد'!D$3:D$388,C1791), ""), "")</f>
        <v/>
      </c>
      <c r="F1791" s="9" t="str">
        <f>IF(C1791&lt;&gt;"", IFERROR(INDEX('بنود العقد'!E$3:E$388,C1791), 0), "")</f>
        <v/>
      </c>
      <c r="G1791" s="9" t="str">
        <f>IF(C1791&lt;&gt;"", IFERROR(INDEX('بنود العقد'!F$3:F$388,C1791), 0), "")</f>
        <v/>
      </c>
      <c r="H1791" s="18">
        <f t="shared" si="70"/>
        <v>0</v>
      </c>
      <c r="I1791" s="7"/>
      <c r="J1791" s="18">
        <f t="shared" si="71"/>
        <v>0</v>
      </c>
      <c r="K1791" s="10" t="str">
        <f t="shared" si="72"/>
        <v/>
      </c>
      <c r="L1791" s="21" t="str">
        <f t="shared" si="73"/>
        <v/>
      </c>
    </row>
    <row r="1792" spans="1:12" ht="25.95" hidden="1" customHeight="1">
      <c r="A1792" s="12">
        <v>1467</v>
      </c>
      <c r="B1792" s="6">
        <v>20</v>
      </c>
      <c r="C1792" s="6"/>
      <c r="D1792" s="20" t="str">
        <f>IF(C1792&lt;&gt;"", IFERROR(INDEX('بنود العقد'!B$3:B$388,C1792), "⚠"), "")</f>
        <v/>
      </c>
      <c r="E1792" s="12" t="str">
        <f>IF(C1792&lt;&gt;"", IFERROR(INDEX('بنود العقد'!D$3:D$388,C1792), ""), "")</f>
        <v/>
      </c>
      <c r="F1792" s="9" t="str">
        <f>IF(C1792&lt;&gt;"", IFERROR(INDEX('بنود العقد'!E$3:E$388,C1792), 0), "")</f>
        <v/>
      </c>
      <c r="G1792" s="9" t="str">
        <f>IF(C1792&lt;&gt;"", IFERROR(INDEX('بنود العقد'!F$3:F$388,C1792), 0), "")</f>
        <v/>
      </c>
      <c r="H1792" s="18">
        <f t="shared" si="70"/>
        <v>0</v>
      </c>
      <c r="I1792" s="7"/>
      <c r="J1792" s="18">
        <f t="shared" si="71"/>
        <v>0</v>
      </c>
      <c r="K1792" s="10" t="str">
        <f t="shared" si="72"/>
        <v/>
      </c>
      <c r="L1792" s="21" t="str">
        <f t="shared" si="73"/>
        <v/>
      </c>
    </row>
    <row r="1793" spans="1:12" ht="25.95" hidden="1" customHeight="1">
      <c r="A1793" s="12">
        <v>1468</v>
      </c>
      <c r="B1793" s="6">
        <v>20</v>
      </c>
      <c r="C1793" s="6"/>
      <c r="D1793" s="20" t="str">
        <f>IF(C1793&lt;&gt;"", IFERROR(INDEX('بنود العقد'!B$3:B$388,C1793), "⚠"), "")</f>
        <v/>
      </c>
      <c r="E1793" s="12" t="str">
        <f>IF(C1793&lt;&gt;"", IFERROR(INDEX('بنود العقد'!D$3:D$388,C1793), ""), "")</f>
        <v/>
      </c>
      <c r="F1793" s="9" t="str">
        <f>IF(C1793&lt;&gt;"", IFERROR(INDEX('بنود العقد'!E$3:E$388,C1793), 0), "")</f>
        <v/>
      </c>
      <c r="G1793" s="9" t="str">
        <f>IF(C1793&lt;&gt;"", IFERROR(INDEX('بنود العقد'!F$3:F$388,C1793), 0), "")</f>
        <v/>
      </c>
      <c r="H1793" s="18">
        <f t="shared" si="70"/>
        <v>0</v>
      </c>
      <c r="I1793" s="7"/>
      <c r="J1793" s="18">
        <f t="shared" si="71"/>
        <v>0</v>
      </c>
      <c r="K1793" s="10" t="str">
        <f t="shared" si="72"/>
        <v/>
      </c>
      <c r="L1793" s="21" t="str">
        <f t="shared" si="73"/>
        <v/>
      </c>
    </row>
    <row r="1794" spans="1:12" ht="25.95" hidden="1" customHeight="1">
      <c r="A1794" s="12">
        <v>1469</v>
      </c>
      <c r="B1794" s="6">
        <v>20</v>
      </c>
      <c r="C1794" s="6"/>
      <c r="D1794" s="20" t="str">
        <f>IF(C1794&lt;&gt;"", IFERROR(INDEX('بنود العقد'!B$3:B$388,C1794), "⚠"), "")</f>
        <v/>
      </c>
      <c r="E1794" s="12" t="str">
        <f>IF(C1794&lt;&gt;"", IFERROR(INDEX('بنود العقد'!D$3:D$388,C1794), ""), "")</f>
        <v/>
      </c>
      <c r="F1794" s="9" t="str">
        <f>IF(C1794&lt;&gt;"", IFERROR(INDEX('بنود العقد'!E$3:E$388,C1794), 0), "")</f>
        <v/>
      </c>
      <c r="G1794" s="9" t="str">
        <f>IF(C1794&lt;&gt;"", IFERROR(INDEX('بنود العقد'!F$3:F$388,C1794), 0), "")</f>
        <v/>
      </c>
      <c r="H1794" s="18">
        <f t="shared" si="70"/>
        <v>0</v>
      </c>
      <c r="I1794" s="7"/>
      <c r="J1794" s="18">
        <f t="shared" si="71"/>
        <v>0</v>
      </c>
      <c r="K1794" s="10" t="str">
        <f t="shared" si="72"/>
        <v/>
      </c>
      <c r="L1794" s="21" t="str">
        <f t="shared" si="73"/>
        <v/>
      </c>
    </row>
    <row r="1795" spans="1:12" ht="25.95" hidden="1" customHeight="1">
      <c r="A1795" s="12">
        <v>1470</v>
      </c>
      <c r="B1795" s="6">
        <v>20</v>
      </c>
      <c r="C1795" s="6"/>
      <c r="D1795" s="20" t="str">
        <f>IF(C1795&lt;&gt;"", IFERROR(INDEX('بنود العقد'!B$3:B$388,C1795), "⚠"), "")</f>
        <v/>
      </c>
      <c r="E1795" s="12" t="str">
        <f>IF(C1795&lt;&gt;"", IFERROR(INDEX('بنود العقد'!D$3:D$388,C1795), ""), "")</f>
        <v/>
      </c>
      <c r="F1795" s="9" t="str">
        <f>IF(C1795&lt;&gt;"", IFERROR(INDEX('بنود العقد'!E$3:E$388,C1795), 0), "")</f>
        <v/>
      </c>
      <c r="G1795" s="9" t="str">
        <f>IF(C1795&lt;&gt;"", IFERROR(INDEX('بنود العقد'!F$3:F$388,C1795), 0), "")</f>
        <v/>
      </c>
      <c r="H1795" s="18">
        <f t="shared" si="70"/>
        <v>0</v>
      </c>
      <c r="I1795" s="7"/>
      <c r="J1795" s="18">
        <f t="shared" si="71"/>
        <v>0</v>
      </c>
      <c r="K1795" s="10" t="str">
        <f t="shared" si="72"/>
        <v/>
      </c>
      <c r="L1795" s="21" t="str">
        <f t="shared" si="73"/>
        <v/>
      </c>
    </row>
    <row r="1796" spans="1:12" ht="25.95" hidden="1" customHeight="1">
      <c r="A1796" s="12">
        <v>1471</v>
      </c>
      <c r="B1796" s="6">
        <v>20</v>
      </c>
      <c r="C1796" s="6"/>
      <c r="D1796" s="20" t="str">
        <f>IF(C1796&lt;&gt;"", IFERROR(INDEX('بنود العقد'!B$3:B$388,C1796), "⚠"), "")</f>
        <v/>
      </c>
      <c r="E1796" s="12" t="str">
        <f>IF(C1796&lt;&gt;"", IFERROR(INDEX('بنود العقد'!D$3:D$388,C1796), ""), "")</f>
        <v/>
      </c>
      <c r="F1796" s="9" t="str">
        <f>IF(C1796&lt;&gt;"", IFERROR(INDEX('بنود العقد'!E$3:E$388,C1796), 0), "")</f>
        <v/>
      </c>
      <c r="G1796" s="9" t="str">
        <f>IF(C1796&lt;&gt;"", IFERROR(INDEX('بنود العقد'!F$3:F$388,C1796), 0), "")</f>
        <v/>
      </c>
      <c r="H1796" s="18">
        <f t="shared" si="70"/>
        <v>0</v>
      </c>
      <c r="I1796" s="7"/>
      <c r="J1796" s="18">
        <f t="shared" si="71"/>
        <v>0</v>
      </c>
      <c r="K1796" s="10" t="str">
        <f t="shared" si="72"/>
        <v/>
      </c>
      <c r="L1796" s="21" t="str">
        <f t="shared" si="73"/>
        <v/>
      </c>
    </row>
    <row r="1797" spans="1:12" ht="25.95" hidden="1" customHeight="1">
      <c r="A1797" s="12">
        <v>1472</v>
      </c>
      <c r="B1797" s="6">
        <v>20</v>
      </c>
      <c r="C1797" s="6"/>
      <c r="D1797" s="20" t="str">
        <f>IF(C1797&lt;&gt;"", IFERROR(INDEX('بنود العقد'!B$3:B$388,C1797), "⚠"), "")</f>
        <v/>
      </c>
      <c r="E1797" s="12" t="str">
        <f>IF(C1797&lt;&gt;"", IFERROR(INDEX('بنود العقد'!D$3:D$388,C1797), ""), "")</f>
        <v/>
      </c>
      <c r="F1797" s="9" t="str">
        <f>IF(C1797&lt;&gt;"", IFERROR(INDEX('بنود العقد'!E$3:E$388,C1797), 0), "")</f>
        <v/>
      </c>
      <c r="G1797" s="9" t="str">
        <f>IF(C1797&lt;&gt;"", IFERROR(INDEX('بنود العقد'!F$3:F$388,C1797), 0), "")</f>
        <v/>
      </c>
      <c r="H1797" s="18">
        <f t="shared" si="70"/>
        <v>0</v>
      </c>
      <c r="I1797" s="7"/>
      <c r="J1797" s="18">
        <f t="shared" si="71"/>
        <v>0</v>
      </c>
      <c r="K1797" s="10" t="str">
        <f t="shared" si="72"/>
        <v/>
      </c>
      <c r="L1797" s="21" t="str">
        <f t="shared" si="73"/>
        <v/>
      </c>
    </row>
    <row r="1798" spans="1:12" ht="25.95" hidden="1" customHeight="1">
      <c r="A1798" s="12">
        <v>1473</v>
      </c>
      <c r="B1798" s="6">
        <v>20</v>
      </c>
      <c r="C1798" s="6"/>
      <c r="D1798" s="20" t="str">
        <f>IF(C1798&lt;&gt;"", IFERROR(INDEX('بنود العقد'!B$3:B$388,C1798), "⚠"), "")</f>
        <v/>
      </c>
      <c r="E1798" s="12" t="str">
        <f>IF(C1798&lt;&gt;"", IFERROR(INDEX('بنود العقد'!D$3:D$388,C1798), ""), "")</f>
        <v/>
      </c>
      <c r="F1798" s="9" t="str">
        <f>IF(C1798&lt;&gt;"", IFERROR(INDEX('بنود العقد'!E$3:E$388,C1798), 0), "")</f>
        <v/>
      </c>
      <c r="G1798" s="9" t="str">
        <f>IF(C1798&lt;&gt;"", IFERROR(INDEX('بنود العقد'!F$3:F$388,C1798), 0), "")</f>
        <v/>
      </c>
      <c r="H1798" s="18">
        <f t="shared" ref="H1798:H1801" si="74">IFERROR(SUMIFS(I$3:I$1805, B$3:B$1805, "&lt;"&amp;B1798, C$3:C$1805, C1798), 0)</f>
        <v>0</v>
      </c>
      <c r="I1798" s="7"/>
      <c r="J1798" s="18">
        <f t="shared" si="71"/>
        <v>0</v>
      </c>
      <c r="K1798" s="10" t="str">
        <f t="shared" si="72"/>
        <v/>
      </c>
      <c r="L1798" s="21" t="str">
        <f t="shared" si="73"/>
        <v/>
      </c>
    </row>
    <row r="1799" spans="1:12" ht="25.95" hidden="1" customHeight="1">
      <c r="A1799" s="12">
        <v>1474</v>
      </c>
      <c r="B1799" s="6">
        <v>20</v>
      </c>
      <c r="C1799" s="6"/>
      <c r="D1799" s="20" t="str">
        <f>IF(C1799&lt;&gt;"", IFERROR(INDEX('بنود العقد'!B$3:B$388,C1799), "⚠"), "")</f>
        <v/>
      </c>
      <c r="E1799" s="12" t="str">
        <f>IF(C1799&lt;&gt;"", IFERROR(INDEX('بنود العقد'!D$3:D$388,C1799), ""), "")</f>
        <v/>
      </c>
      <c r="F1799" s="9" t="str">
        <f>IF(C1799&lt;&gt;"", IFERROR(INDEX('بنود العقد'!E$3:E$388,C1799), 0), "")</f>
        <v/>
      </c>
      <c r="G1799" s="9" t="str">
        <f>IF(C1799&lt;&gt;"", IFERROR(INDEX('بنود العقد'!F$3:F$388,C1799), 0), "")</f>
        <v/>
      </c>
      <c r="H1799" s="18">
        <f t="shared" si="74"/>
        <v>0</v>
      </c>
      <c r="I1799" s="7"/>
      <c r="J1799" s="18">
        <f t="shared" si="71"/>
        <v>0</v>
      </c>
      <c r="K1799" s="10" t="str">
        <f t="shared" si="72"/>
        <v/>
      </c>
      <c r="L1799" s="21" t="str">
        <f t="shared" si="73"/>
        <v/>
      </c>
    </row>
    <row r="1800" spans="1:12" ht="25.95" hidden="1" customHeight="1">
      <c r="A1800" s="12">
        <v>1475</v>
      </c>
      <c r="B1800" s="6">
        <v>20</v>
      </c>
      <c r="C1800" s="6"/>
      <c r="D1800" s="20" t="str">
        <f>IF(C1800&lt;&gt;"", IFERROR(INDEX('بنود العقد'!B$3:B$388,C1800), "⚠"), "")</f>
        <v/>
      </c>
      <c r="E1800" s="12" t="str">
        <f>IF(C1800&lt;&gt;"", IFERROR(INDEX('بنود العقد'!D$3:D$388,C1800), ""), "")</f>
        <v/>
      </c>
      <c r="F1800" s="9" t="str">
        <f>IF(C1800&lt;&gt;"", IFERROR(INDEX('بنود العقد'!E$3:E$388,C1800), 0), "")</f>
        <v/>
      </c>
      <c r="G1800" s="9" t="str">
        <f>IF(C1800&lt;&gt;"", IFERROR(INDEX('بنود العقد'!F$3:F$388,C1800), 0), "")</f>
        <v/>
      </c>
      <c r="H1800" s="18">
        <f t="shared" si="74"/>
        <v>0</v>
      </c>
      <c r="I1800" s="7"/>
      <c r="J1800" s="18">
        <f t="shared" si="71"/>
        <v>0</v>
      </c>
      <c r="K1800" s="10" t="str">
        <f t="shared" si="72"/>
        <v/>
      </c>
      <c r="L1800" s="21" t="str">
        <f t="shared" si="73"/>
        <v/>
      </c>
    </row>
    <row r="1801" spans="1:12" ht="25.95" hidden="1" customHeight="1">
      <c r="A1801" s="12">
        <v>1476</v>
      </c>
      <c r="B1801" s="6">
        <v>20</v>
      </c>
      <c r="C1801" s="6"/>
      <c r="D1801" s="20" t="str">
        <f>IF(C1801&lt;&gt;"", IFERROR(INDEX('بنود العقد'!B$3:B$388,C1801), "⚠"), "")</f>
        <v/>
      </c>
      <c r="E1801" s="12" t="str">
        <f>IF(C1801&lt;&gt;"", IFERROR(INDEX('بنود العقد'!D$3:D$388,C1801), ""), "")</f>
        <v/>
      </c>
      <c r="F1801" s="9" t="str">
        <f>IF(C1801&lt;&gt;"", IFERROR(INDEX('بنود العقد'!E$3:E$388,C1801), 0), "")</f>
        <v/>
      </c>
      <c r="G1801" s="9" t="str">
        <f>IF(C1801&lt;&gt;"", IFERROR(INDEX('بنود العقد'!F$3:F$388,C1801), 0), "")</f>
        <v/>
      </c>
      <c r="H1801" s="18">
        <f t="shared" si="74"/>
        <v>0</v>
      </c>
      <c r="I1801" s="7"/>
      <c r="J1801" s="18">
        <f t="shared" si="71"/>
        <v>0</v>
      </c>
      <c r="K1801" s="10" t="str">
        <f t="shared" si="72"/>
        <v/>
      </c>
      <c r="L1801" s="21" t="str">
        <f t="shared" si="73"/>
        <v/>
      </c>
    </row>
    <row r="1802" spans="1:12" ht="25.95" hidden="1" customHeight="1">
      <c r="A1802" s="12">
        <v>1477</v>
      </c>
      <c r="B1802" s="6">
        <v>20</v>
      </c>
      <c r="C1802" s="6"/>
      <c r="D1802" s="20" t="str">
        <f>IF(C1802&lt;&gt;"", IFERROR(INDEX('بنود العقد'!B$3:B$388,C1802), "⚠"), "")</f>
        <v/>
      </c>
      <c r="E1802" s="12" t="str">
        <f>IF(C1802&lt;&gt;"", IFERROR(INDEX('بنود العقد'!D$3:D$388,C1802), ""), "")</f>
        <v/>
      </c>
      <c r="F1802" s="9" t="str">
        <f>IF(C1802&lt;&gt;"", IFERROR(INDEX('بنود العقد'!E$3:E$388,C1802), 0), "")</f>
        <v/>
      </c>
      <c r="G1802" s="9" t="str">
        <f>IF(C1802&lt;&gt;"", IFERROR(INDEX('بنود العقد'!F$3:F$388,C1802), 0), "")</f>
        <v/>
      </c>
      <c r="H1802" s="18">
        <f t="shared" ref="H1802:H1803" si="75">IFERROR(SUMIFS(I$3:I$1805, B$3:B$1805, "&lt;"&amp;B1802, C$3:C$1805, C1802), 0)</f>
        <v>0</v>
      </c>
      <c r="I1802" s="7"/>
      <c r="J1802" s="18">
        <f t="shared" si="71"/>
        <v>0</v>
      </c>
      <c r="K1802" s="10" t="str">
        <f t="shared" si="72"/>
        <v/>
      </c>
      <c r="L1802" s="21" t="str">
        <f t="shared" si="73"/>
        <v/>
      </c>
    </row>
    <row r="1803" spans="1:12" ht="25.95" hidden="1" customHeight="1">
      <c r="A1803" s="12">
        <v>1478</v>
      </c>
      <c r="B1803" s="6">
        <v>20</v>
      </c>
      <c r="C1803" s="6"/>
      <c r="D1803" s="20" t="str">
        <f>IF(C1803&lt;&gt;"", IFERROR(INDEX('بنود العقد'!B$3:B$388,C1803), "⚠"), "")</f>
        <v/>
      </c>
      <c r="E1803" s="12" t="str">
        <f>IF(C1803&lt;&gt;"", IFERROR(INDEX('بنود العقد'!D$3:D$388,C1803), ""), "")</f>
        <v/>
      </c>
      <c r="F1803" s="9" t="str">
        <f>IF(C1803&lt;&gt;"", IFERROR(INDEX('بنود العقد'!E$3:E$388,C1803), 0), "")</f>
        <v/>
      </c>
      <c r="G1803" s="9" t="str">
        <f>IF(C1803&lt;&gt;"", IFERROR(INDEX('بنود العقد'!F$3:F$388,C1803), 0), "")</f>
        <v/>
      </c>
      <c r="H1803" s="18">
        <f t="shared" si="75"/>
        <v>0</v>
      </c>
      <c r="I1803" s="7"/>
      <c r="J1803" s="18">
        <f t="shared" si="71"/>
        <v>0</v>
      </c>
      <c r="K1803" s="10" t="str">
        <f t="shared" si="72"/>
        <v/>
      </c>
      <c r="L1803" s="21" t="str">
        <f t="shared" si="73"/>
        <v/>
      </c>
    </row>
    <row r="1804" spans="1:12" ht="25.95" hidden="1" customHeight="1">
      <c r="A1804" s="12">
        <v>1479</v>
      </c>
      <c r="B1804" s="6">
        <v>17</v>
      </c>
      <c r="C1804" s="6"/>
      <c r="D1804" s="20" t="str">
        <f>IF(C1804&lt;&gt;"", IFERROR(INDEX('بنود العقد'!B$3:B$388,C1804), "⚠"), "")</f>
        <v/>
      </c>
      <c r="E1804" s="12" t="str">
        <f>IF(C1804&lt;&gt;"", IFERROR(INDEX('بنود العقد'!D$3:D$388,C1804), ""), "")</f>
        <v/>
      </c>
      <c r="F1804" s="9" t="str">
        <f>IF(C1804&lt;&gt;"", IFERROR(INDEX('بنود العقد'!E$3:E$388,C1804), 0), "")</f>
        <v/>
      </c>
      <c r="G1804" s="9" t="str">
        <f>IF(C1804&lt;&gt;"", IFERROR(INDEX('بنود العقد'!F$3:F$388,C1804), 0), "")</f>
        <v/>
      </c>
      <c r="H1804" s="18">
        <f t="shared" ref="H1804:H1805" si="76">IFERROR(SUMIFS(I$3:I$1805, B$3:B$1805, "&lt;"&amp;B1804, C$3:C$1805, C1804), 0)</f>
        <v>0</v>
      </c>
      <c r="I1804" s="7"/>
      <c r="J1804" s="18">
        <f t="shared" si="71"/>
        <v>0</v>
      </c>
      <c r="K1804" s="10" t="str">
        <f t="shared" ref="K1804" si="77">IF(AND(I1804&lt;&gt;"",F1804&lt;&gt;""), I1804*F1804, "")</f>
        <v/>
      </c>
      <c r="L1804" s="21" t="str">
        <f t="shared" ref="L1804" si="78">IF(AND(J1804&lt;&gt;"",G1804&lt;&gt;"",G1804&gt;0), J1804/G1804*100, "")</f>
        <v/>
      </c>
    </row>
    <row r="1805" spans="1:12" ht="25.95" hidden="1" customHeight="1">
      <c r="A1805" s="12">
        <v>1480</v>
      </c>
      <c r="B1805" s="6">
        <v>17</v>
      </c>
      <c r="C1805" s="6"/>
      <c r="D1805" s="20" t="str">
        <f>IF(C1805&lt;&gt;"", IFERROR(INDEX('بنود العقد'!B$3:B$388,C1805), "⚠"), "")</f>
        <v/>
      </c>
      <c r="E1805" s="12" t="str">
        <f>IF(C1805&lt;&gt;"", IFERROR(INDEX('بنود العقد'!D$3:D$388,C1805), ""), "")</f>
        <v/>
      </c>
      <c r="F1805" s="9" t="str">
        <f>IF(C1805&lt;&gt;"", IFERROR(INDEX('بنود العقد'!E$3:E$388,C1805), 0), "")</f>
        <v/>
      </c>
      <c r="G1805" s="9" t="str">
        <f>IF(C1805&lt;&gt;"", IFERROR(INDEX('بنود العقد'!F$3:F$388,C1805), 0), "")</f>
        <v/>
      </c>
      <c r="H1805" s="18">
        <f t="shared" si="76"/>
        <v>0</v>
      </c>
      <c r="I1805" s="7"/>
      <c r="J1805" s="18">
        <f t="shared" ref="J1805" si="79">IF(I1805&lt;&gt;"", H1805+I1805, 0)</f>
        <v>0</v>
      </c>
      <c r="K1805" s="10" t="str">
        <f t="shared" ref="K1805" si="80">IF(AND(I1805&lt;&gt;"",F1805&lt;&gt;""), I1805*F1805, "")</f>
        <v/>
      </c>
      <c r="L1805" s="21" t="str">
        <f t="shared" ref="L1805" si="81">IF(AND(J1805&lt;&gt;"",G1805&lt;&gt;"",G1805&gt;0), J1805/G1805*100, "")</f>
        <v/>
      </c>
    </row>
  </sheetData>
  <conditionalFormatting sqref="J3:J1805">
    <cfRule type="expression" dxfId="13" priority="1">
      <formula>AND($G3&lt;&gt;"", $J3&lt;&gt;"", $J3&gt;$G3)</formula>
    </cfRule>
    <cfRule type="expression" dxfId="12" priority="2">
      <formula>AND($G3&lt;&gt;"", $J3&lt;&gt;"", $J3=$G3)</formula>
    </cfRule>
  </conditionalFormatting>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7BA26"/>
  </sheetPr>
  <dimension ref="A1:I388"/>
  <sheetViews>
    <sheetView rightToLeft="1" topLeftCell="A67" workbookViewId="0">
      <selection activeCell="B3" sqref="B3"/>
    </sheetView>
  </sheetViews>
  <sheetFormatPr defaultRowHeight="13.8"/>
  <cols>
    <col min="1" max="1" width="6" customWidth="1"/>
    <col min="2" max="2" width="35" customWidth="1"/>
    <col min="3" max="4" width="14" customWidth="1"/>
    <col min="5" max="6" width="16" customWidth="1"/>
    <col min="7" max="7" width="14" customWidth="1"/>
    <col min="8" max="8" width="16" customWidth="1"/>
    <col min="9" max="9" width="14" customWidth="1"/>
  </cols>
  <sheetData>
    <row r="1" spans="1:9" ht="40.200000000000003" customHeight="1">
      <c r="A1" s="103" t="s">
        <v>147</v>
      </c>
      <c r="B1" s="82"/>
      <c r="C1" s="82"/>
      <c r="D1" s="82"/>
      <c r="E1" s="82"/>
      <c r="F1" s="82"/>
      <c r="G1" s="82"/>
      <c r="H1" s="82"/>
      <c r="I1" s="82"/>
    </row>
    <row r="2" spans="1:9" ht="34.950000000000003" customHeight="1">
      <c r="A2" s="3" t="s">
        <v>97</v>
      </c>
      <c r="B2" s="3" t="s">
        <v>137</v>
      </c>
      <c r="C2" s="3" t="s">
        <v>148</v>
      </c>
      <c r="D2" s="3" t="s">
        <v>140</v>
      </c>
      <c r="E2" s="3" t="s">
        <v>149</v>
      </c>
      <c r="F2" s="3" t="s">
        <v>150</v>
      </c>
      <c r="G2" s="3" t="s">
        <v>151</v>
      </c>
      <c r="H2" s="3" t="s">
        <v>152</v>
      </c>
      <c r="I2" s="3" t="s">
        <v>144</v>
      </c>
    </row>
    <row r="3" spans="1:9" ht="24" customHeight="1">
      <c r="A3" s="12">
        <v>1</v>
      </c>
      <c r="B3" s="20" t="str">
        <f>IF('بنود العقد'!B3&lt;&gt;"", 'بنود العقد'!B3,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الجدران وتشمل  جميع أنواع جدران الطوب  والقواطع الجبسية و الخشبية و الزجاجية  بحسب المخططات المعتمدة وتعليمات المهندس المشرف.</v>
      </c>
      <c r="C3" s="12" t="str">
        <f>IF('بنود العقد'!C3&lt;&gt;"", 'بنود العقد'!C3, "")</f>
        <v>معماري</v>
      </c>
      <c r="D3" s="9">
        <f>IF('بنود العقد'!F3&lt;&gt;"", 'بنود العقد'!F3, "")</f>
        <v>17900</v>
      </c>
      <c r="E3" s="18">
        <f>IF(B3&lt;&gt;"", SUMPRODUCT(('بنود المطالبات'!C$3:C$1805=A3)*'بنود المطالبات'!I$3:I$1805), "")</f>
        <v>16098.97</v>
      </c>
      <c r="F3" s="18">
        <f>IFERROR(IF(AND(E3&lt;&gt;"",'بنود العقد'!E3&lt;&gt;""), E3*'بنود العقد'!E3, 0), 0)</f>
        <v>289781.45999999996</v>
      </c>
      <c r="G3" s="9">
        <f t="shared" ref="G3:G66" si="0">IF(AND(D3&lt;&gt;"",E3&lt;&gt;""), D3-E3, "")</f>
        <v>1801.0300000000007</v>
      </c>
      <c r="H3" s="9">
        <f>IF(AND('بنود العقد'!G3&lt;&gt;"",F3&lt;&gt;""), 'بنود العقد'!G3-F3, "")</f>
        <v>32418.540000000037</v>
      </c>
      <c r="I3" s="21">
        <f t="shared" ref="I3:I66" si="1">IFERROR(IF(AND(E3&lt;&gt;"",D3&lt;&gt;"",D3&gt;0), MIN(E3/D3*100, 100), 0), 0)</f>
        <v>89.938379888268145</v>
      </c>
    </row>
    <row r="4" spans="1:9" ht="24" customHeight="1">
      <c r="A4" s="12">
        <v>2</v>
      </c>
      <c r="B4" s="20" t="str">
        <f>IF('بنود العقد'!B4&lt;&gt;"", 'بنود العقد'!B4,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number)-AR-هدم وإزالة تشطيبات رخام أو بلاط بورسلان أو سيراميك  للأرضيات والجدران الحالية  بحسب المخططات المعتمدة وتعليمات المهندس المشرف.</v>
      </c>
      <c r="C4" s="12" t="str">
        <f>IF('بنود العقد'!C4&lt;&gt;"", 'بنود العقد'!C4, "")</f>
        <v>معماري</v>
      </c>
      <c r="D4" s="9">
        <f>IF('بنود العقد'!F4&lt;&gt;"", 'بنود العقد'!F4, "")</f>
        <v>10362</v>
      </c>
      <c r="E4" s="18">
        <f>IF(B4&lt;&gt;"", SUMPRODUCT(('بنود المطالبات'!C$3:C$1805=A4)*'بنود المطالبات'!I$3:I$1805), "")</f>
        <v>4854.3600000000006</v>
      </c>
      <c r="F4" s="18">
        <f>IFERROR(IF(AND(E4&lt;&gt;"",'بنود العقد'!E4&lt;&gt;""), E4*'بنود العقد'!E4, 0), 0)</f>
        <v>70388.22</v>
      </c>
      <c r="G4" s="9">
        <f t="shared" si="0"/>
        <v>5507.6399999999994</v>
      </c>
      <c r="H4" s="9">
        <f>IF(AND('بنود العقد'!G4&lt;&gt;"",F4&lt;&gt;""), 'بنود العقد'!G4-F4, "")</f>
        <v>79860.78</v>
      </c>
      <c r="I4" s="21">
        <f t="shared" si="1"/>
        <v>46.847712796757392</v>
      </c>
    </row>
    <row r="5" spans="1:9" ht="24" customHeight="1">
      <c r="A5" s="12">
        <v>3</v>
      </c>
      <c r="B5" s="20" t="str">
        <f>IF('بنود العقد'!B5&lt;&gt;"", 'بنود العقد'!B5,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تشطيبات الأسقف المستعارة الحالية بما تشمل أسقف جبسية وبلاطات صناعية وأسقف معدنية  بحسب المخططات المعتمدة وتعليمات المهندس المشرف.</v>
      </c>
      <c r="C5" s="12" t="str">
        <f>IF('بنود العقد'!C5&lt;&gt;"", 'بنود العقد'!C5, "")</f>
        <v>معماري</v>
      </c>
      <c r="D5" s="9">
        <f>IF('بنود العقد'!F5&lt;&gt;"", 'بنود العقد'!F5, "")</f>
        <v>18420</v>
      </c>
      <c r="E5" s="18">
        <f>IF(B5&lt;&gt;"", SUMPRODUCT(('بنود المطالبات'!C$3:C$1805=A5)*'بنود المطالبات'!I$3:I$1805), "")</f>
        <v>16845.64</v>
      </c>
      <c r="F5" s="18">
        <f>IFERROR(IF(AND(E5&lt;&gt;"",'بنود العقد'!E5&lt;&gt;""), E5*'بنود العقد'!E5, 0), 0)</f>
        <v>143187.94</v>
      </c>
      <c r="G5" s="9">
        <f t="shared" si="0"/>
        <v>1574.3600000000006</v>
      </c>
      <c r="H5" s="9">
        <f>IF(AND('بنود العقد'!G5&lt;&gt;"",F5&lt;&gt;""), 'بنود العقد'!G5-F5, "")</f>
        <v>13382.059999999998</v>
      </c>
      <c r="I5" s="21">
        <f t="shared" si="1"/>
        <v>91.452985884907704</v>
      </c>
    </row>
    <row r="6" spans="1:9" ht="24" customHeight="1">
      <c r="A6" s="12">
        <v>4</v>
      </c>
      <c r="B6" s="20" t="str">
        <f>IF('بنود العقد'!B6&lt;&gt;"", 'بنود العقد'!B6, "")</f>
        <v>صبة خرسانية مع شبكة حديد بقطر 8 مم  بأبعاد 10*10 سم  مخدومة بالمسطرين والقدة لتعطي سطحا ناعما في الفناء الوسطي. ويشمل السعر الدفان وأي مواد أو أعمال يتطلبها تنفيذ العمل حسب المواصفات والمخططات وتعليمات المهندس المشرف.</v>
      </c>
      <c r="C6" s="12" t="str">
        <f>IF('بنود العقد'!C6&lt;&gt;"", 'بنود العقد'!C6, "")</f>
        <v>مدني</v>
      </c>
      <c r="D6" s="9">
        <f>IF('بنود العقد'!F6&lt;&gt;"", 'بنود العقد'!F6, "")</f>
        <v>6</v>
      </c>
      <c r="E6" s="18">
        <f>IF(B6&lt;&gt;"", SUMPRODUCT(('بنود المطالبات'!C$3:C$1805=A6)*'بنود المطالبات'!I$3:I$1805), "")</f>
        <v>6.34</v>
      </c>
      <c r="F6" s="18">
        <f>IFERROR(IF(AND(E6&lt;&gt;"",'بنود العقد'!E6&lt;&gt;""), E6*'بنود العقد'!E6, 0), 0)</f>
        <v>3423.6</v>
      </c>
      <c r="G6" s="9">
        <f t="shared" si="0"/>
        <v>-0.33999999999999986</v>
      </c>
      <c r="H6" s="9">
        <f>IF(AND('بنود العقد'!G6&lt;&gt;"",F6&lt;&gt;""), 'بنود العقد'!G6-F6, "")</f>
        <v>-183.59999999999991</v>
      </c>
      <c r="I6" s="21">
        <f t="shared" si="1"/>
        <v>100</v>
      </c>
    </row>
    <row r="7" spans="1:9" ht="24" customHeight="1">
      <c r="A7" s="12">
        <v>5</v>
      </c>
      <c r="B7" s="20" t="str">
        <f>IF('بنود العقد'!B7&lt;&gt;"", 'بنود العقد'!B7, "")</f>
        <v>صبة أسمنتية كطبقة حماية للعزل في الأماكن الرطبة. ويشمل السعر وأي مواد أو أعمال يتطلبها تنفيذ العمل حسب المواصفات والمخططات وتعليمات المهندس المشرف.</v>
      </c>
      <c r="C7" s="12" t="str">
        <f>IF('بنود العقد'!C7&lt;&gt;"", 'بنود العقد'!C7, "")</f>
        <v>مدني</v>
      </c>
      <c r="D7" s="9">
        <f>IF('بنود العقد'!F7&lt;&gt;"", 'بنود العقد'!F7, "")</f>
        <v>1345</v>
      </c>
      <c r="E7" s="18">
        <f>IF(B7&lt;&gt;"", SUMPRODUCT(('بنود المطالبات'!C$3:C$1805=A7)*'بنود المطالبات'!I$3:I$1805), "")</f>
        <v>406.32</v>
      </c>
      <c r="F7" s="18">
        <f>IFERROR(IF(AND(E7&lt;&gt;"",'بنود العقد'!E7&lt;&gt;""), E7*'بنود العقد'!E7, 0), 0)</f>
        <v>148713.12</v>
      </c>
      <c r="G7" s="9">
        <f t="shared" si="0"/>
        <v>938.68000000000006</v>
      </c>
      <c r="H7" s="9">
        <f>IF(AND('بنود العقد'!G7&lt;&gt;"",F7&lt;&gt;""), 'بنود العقد'!G7-F7, "")</f>
        <v>343556.88</v>
      </c>
      <c r="I7" s="21">
        <f t="shared" si="1"/>
        <v>30.209665427509293</v>
      </c>
    </row>
    <row r="8" spans="1:9" ht="24" customHeight="1">
      <c r="A8" s="12">
        <v>6</v>
      </c>
      <c r="B8" s="20" t="str">
        <f>IF('بنود العقد'!B8&lt;&gt;"", 'بنود العقد'!B8,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v>
      </c>
      <c r="C8" s="12" t="str">
        <f>IF('بنود العقد'!C8&lt;&gt;"", 'بنود العقد'!C8, "")</f>
        <v>معماري</v>
      </c>
      <c r="D8" s="9">
        <f>IF('بنود العقد'!F8&lt;&gt;"", 'بنود العقد'!F8, "")</f>
        <v>450</v>
      </c>
      <c r="E8" s="18">
        <f>IF(B8&lt;&gt;"", SUMPRODUCT(('بنود المطالبات'!C$3:C$1805=A8)*'بنود المطالبات'!I$3:I$1805), "")</f>
        <v>4736.46</v>
      </c>
      <c r="F8" s="18">
        <f>IFERROR(IF(AND(E8&lt;&gt;"",'بنود العقد'!E8&lt;&gt;""), E8*'بنود العقد'!E8, 0), 0)</f>
        <v>710469</v>
      </c>
      <c r="G8" s="9">
        <f t="shared" si="0"/>
        <v>-4286.46</v>
      </c>
      <c r="H8" s="9">
        <f>IF(AND('بنود العقد'!G8&lt;&gt;"",F8&lt;&gt;""), 'بنود العقد'!G8-F8, "")</f>
        <v>-642969</v>
      </c>
      <c r="I8" s="21">
        <f t="shared" si="1"/>
        <v>100</v>
      </c>
    </row>
    <row r="9" spans="1:9" ht="24" customHeight="1">
      <c r="A9" s="12">
        <v>7</v>
      </c>
      <c r="B9" s="20" t="str">
        <f>IF('بنود العقد'!B9&lt;&gt;"", 'بنود العقد'!B9,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القسمRef drawing: 07-MRA-DD-(as per floor number) وتعليمات المهندس المشرف 04200-Ar-100</v>
      </c>
      <c r="C9" s="12" t="str">
        <f>IF('بنود العقد'!C9&lt;&gt;"", 'بنود العقد'!C9, "")</f>
        <v>معماري</v>
      </c>
      <c r="D9" s="9">
        <f>IF('بنود العقد'!F9&lt;&gt;"", 'بنود العقد'!F9, "")</f>
        <v>76</v>
      </c>
      <c r="E9" s="18">
        <f>IF(B9&lt;&gt;"", SUMPRODUCT(('بنود المطالبات'!C$3:C$1805=A9)*'بنود المطالبات'!I$3:I$1805), "")</f>
        <v>395.18</v>
      </c>
      <c r="F9" s="18">
        <f>IFERROR(IF(AND(E9&lt;&gt;"",'بنود العقد'!E9&lt;&gt;""), E9*'بنود العقد'!E9, 0), 0)</f>
        <v>59277</v>
      </c>
      <c r="G9" s="9">
        <f t="shared" si="0"/>
        <v>-319.18</v>
      </c>
      <c r="H9" s="9">
        <f>IF(AND('بنود العقد'!G9&lt;&gt;"",F9&lt;&gt;""), 'بنود العقد'!G9-F9, "")</f>
        <v>-47877</v>
      </c>
      <c r="I9" s="21">
        <f t="shared" si="1"/>
        <v>100</v>
      </c>
    </row>
    <row r="10" spans="1:9" ht="24" customHeight="1">
      <c r="A10" s="12">
        <v>8</v>
      </c>
      <c r="B10" s="20" t="str">
        <f>IF('بنود العقد'!B10&lt;&gt;"", 'بنود العقد'!B10, "")</f>
        <v xml:space="preserve">توريد وتركيب درابزين من الزجاج السيكوريت سمك 12 مم مثبت بالارضيات للفناء الداخلي المفتوح بارتفاع 600مم شاملاً إطار الدرابزين من الالمنيوم )u-channel( مقاس 40مم × 30مم ثخانة2مم )لون اسود 9005RAL ( ويشمل السعر الاكسسوارات وأي مواد أو أعمال يتطلبها تشطيب العمل حسب المواصفات والمخططات. </v>
      </c>
      <c r="C10" s="12" t="str">
        <f>IF('بنود العقد'!C10&lt;&gt;"", 'بنود العقد'!C10, "")</f>
        <v>معماري</v>
      </c>
      <c r="D10" s="9">
        <f>IF('بنود العقد'!F10&lt;&gt;"", 'بنود العقد'!F10, "")</f>
        <v>20</v>
      </c>
      <c r="E10" s="18">
        <f>IF(B10&lt;&gt;"", SUMPRODUCT(('بنود المطالبات'!C$3:C$1805=A10)*'بنود المطالبات'!I$3:I$1805), "")</f>
        <v>0</v>
      </c>
      <c r="F10" s="18">
        <f>IFERROR(IF(AND(E10&lt;&gt;"",'بنود العقد'!E10&lt;&gt;""), E10*'بنود العقد'!E10, 0), 0)</f>
        <v>0</v>
      </c>
      <c r="G10" s="9">
        <f t="shared" si="0"/>
        <v>20</v>
      </c>
      <c r="H10" s="9">
        <f>IF(AND('بنود العقد'!G10&lt;&gt;"",F10&lt;&gt;""), 'بنود العقد'!G10-F10, "")</f>
        <v>10800</v>
      </c>
      <c r="I10" s="21">
        <f t="shared" si="1"/>
        <v>0</v>
      </c>
    </row>
    <row r="11" spans="1:9" ht="24" customHeight="1">
      <c r="A11" s="12">
        <v>9</v>
      </c>
      <c r="B11" s="20" t="str">
        <f>IF('بنود العقد'!B11&lt;&gt;"", 'بنود العقد'!B11, "")</f>
        <v>توريد وتركيب درابزين من الزجاج السيكوريت سمك 12 مم مثبت بالارضيات للفناء الوسطي الاساسي 1100 مم شاملاإًطار الدرابزين من الالمنيوم )u-channel(  مقاس80مم × 40مم )لون اسود 9005RAL ( ويشمل السعر الاكسسوارات وأي مواد أو أعمال يتطلبها تشطيب العمل حسب المواصفات والمخططات وتعليمات المهندس المشرف</v>
      </c>
      <c r="C11" s="12" t="str">
        <f>IF('بنود العقد'!C11&lt;&gt;"", 'بنود العقد'!C11, "")</f>
        <v>معماري</v>
      </c>
      <c r="D11" s="9">
        <f>IF('بنود العقد'!F11&lt;&gt;"", 'بنود العقد'!F11, "")</f>
        <v>20</v>
      </c>
      <c r="E11" s="18">
        <f>IF(B11&lt;&gt;"", SUMPRODUCT(('بنود المطالبات'!C$3:C$1805=A11)*'بنود المطالبات'!I$3:I$1805), "")</f>
        <v>0</v>
      </c>
      <c r="F11" s="18">
        <f>IFERROR(IF(AND(E11&lt;&gt;"",'بنود العقد'!E11&lt;&gt;""), E11*'بنود العقد'!E11, 0), 0)</f>
        <v>0</v>
      </c>
      <c r="G11" s="9">
        <f t="shared" si="0"/>
        <v>20</v>
      </c>
      <c r="H11" s="9">
        <f>IF(AND('بنود العقد'!G11&lt;&gt;"",F11&lt;&gt;""), 'بنود العقد'!G11-F11, "")</f>
        <v>10800</v>
      </c>
      <c r="I11" s="21">
        <f t="shared" si="1"/>
        <v>0</v>
      </c>
    </row>
    <row r="12" spans="1:9" ht="24" customHeight="1">
      <c r="A12" s="12">
        <v>10</v>
      </c>
      <c r="B12" s="20" t="str">
        <f>IF('بنود العقد'!B12&lt;&gt;"", 'بنود العقد'!B12, "")</f>
        <v>إعادة دهان هاندرايل من الحديد  بالايبوكسي ويشمل ازالة الدهان القديم  بالترميل )Sand Plasting( حسب  المواصفات والاصول الفنيه وتعليمات المهندس المشرف.</v>
      </c>
      <c r="C12" s="12" t="str">
        <f>IF('بنود العقد'!C12&lt;&gt;"", 'بنود العقد'!C12, "")</f>
        <v>معماري</v>
      </c>
      <c r="D12" s="9">
        <f>IF('بنود العقد'!F12&lt;&gt;"", 'بنود العقد'!F12, "")</f>
        <v>420</v>
      </c>
      <c r="E12" s="18">
        <f>IF(B12&lt;&gt;"", SUMPRODUCT(('بنود المطالبات'!C$3:C$1805=A12)*'بنود المطالبات'!I$3:I$1805), "")</f>
        <v>0</v>
      </c>
      <c r="F12" s="18">
        <f>IFERROR(IF(AND(E12&lt;&gt;"",'بنود العقد'!E12&lt;&gt;""), E12*'بنود العقد'!E12, 0), 0)</f>
        <v>0</v>
      </c>
      <c r="G12" s="9">
        <f t="shared" si="0"/>
        <v>420</v>
      </c>
      <c r="H12" s="9">
        <f>IF(AND('بنود العقد'!G12&lt;&gt;"",F12&lt;&gt;""), 'بنود العقد'!G12-F12, "")</f>
        <v>17640</v>
      </c>
      <c r="I12" s="21">
        <f t="shared" si="1"/>
        <v>0</v>
      </c>
    </row>
    <row r="13" spans="1:9" ht="24" customHeight="1">
      <c r="A13" s="12">
        <v>11</v>
      </c>
      <c r="B13" s="20" t="str">
        <f>IF('بنود العقد'!B13&lt;&gt;"", 'بنود العقد'!B13, "")</f>
        <v>تجديد وترميم ودهان وتلميع البوابات الحديدية الرئيسية في المدخل الغربي )مدخل الوزير( والبوابة الرئيسية في المدخل الشمالي )مدخل الموظفين( وتشمل الأعمال ما يلي:تجديد وترميم أبواب الحديد، سنفرة الأبواب، عمل طبقة تأسيس ناري للأبواب، تعشيقة الأبواب مع تلميع الزخرفة، دهان وتلميع الأجزاء نهاية الزخرفة بمواد أيبوكسي + دهان ماء الذهب المركز للأطراف الخارجية + تلميع خارجي بمادة البوليريثان، المحافظة على نظافة المكان وإزالة المخلفات. حسب الاصول الفنيه وتعليمات المهندس المشرف</v>
      </c>
      <c r="C13" s="12" t="str">
        <f>IF('بنود العقد'!C13&lt;&gt;"", 'بنود العقد'!C13, "")</f>
        <v>معماري</v>
      </c>
      <c r="D13" s="9">
        <f>IF('بنود العقد'!F13&lt;&gt;"", 'بنود العقد'!F13, "")</f>
        <v>2</v>
      </c>
      <c r="E13" s="18">
        <f>IF(B13&lt;&gt;"", SUMPRODUCT(('بنود المطالبات'!C$3:C$1805=A13)*'بنود المطالبات'!I$3:I$1805), "")</f>
        <v>0</v>
      </c>
      <c r="F13" s="18">
        <f>IFERROR(IF(AND(E13&lt;&gt;"",'بنود العقد'!E13&lt;&gt;""), E13*'بنود العقد'!E13, 0), 0)</f>
        <v>0</v>
      </c>
      <c r="G13" s="9">
        <f t="shared" si="0"/>
        <v>2</v>
      </c>
      <c r="H13" s="9">
        <f>IF(AND('بنود العقد'!G13&lt;&gt;"",F13&lt;&gt;""), 'بنود العقد'!G13-F13, "")</f>
        <v>24000</v>
      </c>
      <c r="I13" s="21">
        <f t="shared" si="1"/>
        <v>0</v>
      </c>
    </row>
    <row r="14" spans="1:9" ht="24" customHeight="1">
      <c r="A14" s="12">
        <v>12</v>
      </c>
      <c r="B14" s="20" t="str">
        <f>IF('بنود العقد'!B14&lt;&gt;"", 'بنود العقد'!B14, "")</f>
        <v>توريد وتركيب اسقف شبكة حديد مش )طلاء بودرة بالفرن لون اسود( سماكة 2 ملم مع تيوب حديد ابعاد 4*8 سم وسماكة 3ملم  ، مثبتة بنظام تعليق متصلة بالسقف الخرساني حسب الرسومات والمناظير وتعليمات المهندس المشرف.Ref drawing: 07-MRA-DD-G.F-AR-200</v>
      </c>
      <c r="C14" s="12" t="str">
        <f>IF('بنود العقد'!C14&lt;&gt;"", 'بنود العقد'!C14, "")</f>
        <v>معماري</v>
      </c>
      <c r="D14" s="9">
        <f>IF('بنود العقد'!F14&lt;&gt;"", 'بنود العقد'!F14, "")</f>
        <v>27</v>
      </c>
      <c r="E14" s="18">
        <f>IF(B14&lt;&gt;"", SUMPRODUCT(('بنود المطالبات'!C$3:C$1805=A14)*'بنود المطالبات'!I$3:I$1805), "")</f>
        <v>10</v>
      </c>
      <c r="F14" s="18">
        <f>IFERROR(IF(AND(E14&lt;&gt;"",'بنود العقد'!E14&lt;&gt;""), E14*'بنود العقد'!E14, 0), 0)</f>
        <v>3600</v>
      </c>
      <c r="G14" s="9">
        <f t="shared" si="0"/>
        <v>17</v>
      </c>
      <c r="H14" s="9">
        <f>IF(AND('بنود العقد'!G14&lt;&gt;"",F14&lt;&gt;""), 'بنود العقد'!G14-F14, "")</f>
        <v>6120</v>
      </c>
      <c r="I14" s="21">
        <f t="shared" si="1"/>
        <v>37.037037037037038</v>
      </c>
    </row>
    <row r="15" spans="1:9" ht="24" customHeight="1">
      <c r="A15" s="12">
        <v>13</v>
      </c>
      <c r="B15" s="20" t="str">
        <f>IF('بنود العقد'!B15&lt;&gt;"", 'بنود العقد'!B15, "")</f>
        <v>توريد وتركيب اسقف شبكة حديد مش )طلاء بودرة بالفرن لون ابيض(سماكة 2 ملم مع تيوب حديد ابعاد 4*8 سم وسماكة 3ملم  ، مثبتة بنظام تعليق متصلة بالسقف الخرساني حسب الرسومات والمناظير وتعليمات المهندس المشرفRef drawing: 07-MRA-DD-G.F-AR-200</v>
      </c>
      <c r="C15" s="12" t="str">
        <f>IF('بنود العقد'!C15&lt;&gt;"", 'بنود العقد'!C15, "")</f>
        <v>معماري</v>
      </c>
      <c r="D15" s="9">
        <f>IF('بنود العقد'!F15&lt;&gt;"", 'بنود العقد'!F15, "")</f>
        <v>101</v>
      </c>
      <c r="E15" s="18">
        <f>IF(B15&lt;&gt;"", SUMPRODUCT(('بنود المطالبات'!C$3:C$1805=A15)*'بنود المطالبات'!I$3:I$1805), "")</f>
        <v>45</v>
      </c>
      <c r="F15" s="18">
        <f>IFERROR(IF(AND(E15&lt;&gt;"",'بنود العقد'!E15&lt;&gt;""), E15*'بنود العقد'!E15, 0), 0)</f>
        <v>16200</v>
      </c>
      <c r="G15" s="9">
        <f t="shared" si="0"/>
        <v>56</v>
      </c>
      <c r="H15" s="9">
        <f>IF(AND('بنود العقد'!G15&lt;&gt;"",F15&lt;&gt;""), 'بنود العقد'!G15-F15, "")</f>
        <v>20160</v>
      </c>
      <c r="I15" s="21">
        <f t="shared" si="1"/>
        <v>44.554455445544555</v>
      </c>
    </row>
    <row r="16" spans="1:9" ht="24" customHeight="1">
      <c r="A16" s="12">
        <v>14</v>
      </c>
      <c r="B16" s="20" t="str">
        <f>IF('بنود العقد'!B16&lt;&gt;"", 'بنود العقد'!B16, "")</f>
        <v>توريد وتركيب تيوبات حديد ابعاد 4*4 سم وسماكة 2ملم مع أرفف فوق الكاونتر في منطقة المطبخ. )طلاء بودرة بالفرن لون اسود(مقاس: طول 4400 ملم، ارتفاع 2000 ملم و عرض 600 ملم</v>
      </c>
      <c r="C16" s="12" t="str">
        <f>IF('بنود العقد'!C16&lt;&gt;"", 'بنود العقد'!C16, "")</f>
        <v>معماري</v>
      </c>
      <c r="D16" s="9">
        <f>IF('بنود العقد'!F16&lt;&gt;"", 'بنود العقد'!F16, "")</f>
        <v>1</v>
      </c>
      <c r="E16" s="18">
        <f>IF(B16&lt;&gt;"", SUMPRODUCT(('بنود المطالبات'!C$3:C$1805=A16)*'بنود المطالبات'!I$3:I$1805), "")</f>
        <v>0</v>
      </c>
      <c r="F16" s="18">
        <f>IFERROR(IF(AND(E16&lt;&gt;"",'بنود العقد'!E16&lt;&gt;""), E16*'بنود العقد'!E16, 0), 0)</f>
        <v>0</v>
      </c>
      <c r="G16" s="9">
        <f t="shared" si="0"/>
        <v>1</v>
      </c>
      <c r="H16" s="9">
        <f>IF(AND('بنود العقد'!G16&lt;&gt;"",F16&lt;&gt;""), 'بنود العقد'!G16-F16, "")</f>
        <v>102</v>
      </c>
      <c r="I16" s="21">
        <f t="shared" si="1"/>
        <v>0</v>
      </c>
    </row>
    <row r="17" spans="1:9" ht="24" customHeight="1">
      <c r="A17" s="12">
        <v>15</v>
      </c>
      <c r="B17" s="20" t="str">
        <f>IF('بنود العقد'!B17&lt;&gt;"", 'بنود العقد'!B17, "")</f>
        <v>توريد وتركيب تيوبات حديد ابعاد 4*4 سم وسماكة 2ملم مع أرفف فوق الكاونتر في منطقة المطبخ. )طلاء بودرة بالفرن لون اسود(مقاس: طول 3100 ملم، ارتفاع 2000 ملم و عرض 600 ملم</v>
      </c>
      <c r="C17" s="12" t="str">
        <f>IF('بنود العقد'!C17&lt;&gt;"", 'بنود العقد'!C17, "")</f>
        <v>معماري</v>
      </c>
      <c r="D17" s="9">
        <f>IF('بنود العقد'!F17&lt;&gt;"", 'بنود العقد'!F17, "")</f>
        <v>1</v>
      </c>
      <c r="E17" s="18">
        <f>IF(B17&lt;&gt;"", SUMPRODUCT(('بنود المطالبات'!C$3:C$1805=A17)*'بنود المطالبات'!I$3:I$1805), "")</f>
        <v>0</v>
      </c>
      <c r="F17" s="18">
        <f>IFERROR(IF(AND(E17&lt;&gt;"",'بنود العقد'!E17&lt;&gt;""), E17*'بنود العقد'!E17, 0), 0)</f>
        <v>0</v>
      </c>
      <c r="G17" s="9">
        <f t="shared" si="0"/>
        <v>1</v>
      </c>
      <c r="H17" s="9">
        <f>IF(AND('بنود العقد'!G17&lt;&gt;"",F17&lt;&gt;""), 'بنود العقد'!G17-F17, "")</f>
        <v>84</v>
      </c>
      <c r="I17" s="21">
        <f t="shared" si="1"/>
        <v>0</v>
      </c>
    </row>
    <row r="18" spans="1:9" ht="24" customHeight="1">
      <c r="A18" s="12">
        <v>16</v>
      </c>
      <c r="B18" s="20" t="str">
        <f>IF('بنود العقد'!B18&lt;&gt;"", 'بنود العقد'!B18, "")</f>
        <v>توريد وتركيب تيوب حدبد مربع مقاس 30ملم* 30ملم سماكة 2 ملم كإيطار للوحات )طلاء بودرة بالفرن لون اسود( مقاس 3050x1250 ممRef drawing: 07-MRA-DD-G.F-AR-607.L</v>
      </c>
      <c r="C18" s="12" t="str">
        <f>IF('بنود العقد'!C18&lt;&gt;"", 'بنود العقد'!C18, "")</f>
        <v>معماري</v>
      </c>
      <c r="D18" s="9">
        <f>IF('بنود العقد'!F18&lt;&gt;"", 'بنود العقد'!F18, "")</f>
        <v>4</v>
      </c>
      <c r="E18" s="18">
        <f>IF(B18&lt;&gt;"", SUMPRODUCT(('بنود المطالبات'!C$3:C$1805=A18)*'بنود المطالبات'!I$3:I$1805), "")</f>
        <v>4</v>
      </c>
      <c r="F18" s="18">
        <f>IFERROR(IF(AND(E18&lt;&gt;"",'بنود العقد'!E18&lt;&gt;""), E18*'بنود العقد'!E18, 0), 0)</f>
        <v>240</v>
      </c>
      <c r="G18" s="9">
        <f t="shared" si="0"/>
        <v>0</v>
      </c>
      <c r="H18" s="9">
        <f>IF(AND('بنود العقد'!G18&lt;&gt;"",F18&lt;&gt;""), 'بنود العقد'!G18-F18, "")</f>
        <v>0</v>
      </c>
      <c r="I18" s="21">
        <f t="shared" si="1"/>
        <v>100</v>
      </c>
    </row>
    <row r="19" spans="1:9" ht="24" customHeight="1">
      <c r="A19" s="12">
        <v>17</v>
      </c>
      <c r="B19" s="20" t="str">
        <f>IF('بنود العقد'!B19&lt;&gt;"", 'بنود العقد'!B19, "")</f>
        <v>توريد وتركيب كشك من هيكل حديدي متكون من تيوبات 10*10-مم وسماكة 6مم مع مع صاج مفرّغ بالليزرعلى شكل مثلثات مدهون بطلاء بني معتق ويشمل إضاءة مخفية حسب التصميم والرسومات  مقاس 5300x3400 مم وارتفاع 3000 مم.Ref drawing: 07-MRA-DD-G.F-AR-902</v>
      </c>
      <c r="C19" s="12" t="str">
        <f>IF('بنود العقد'!C19&lt;&gt;"", 'بنود العقد'!C19, "")</f>
        <v>معماري</v>
      </c>
      <c r="D19" s="9">
        <f>IF('بنود العقد'!F19&lt;&gt;"", 'بنود العقد'!F19, "")</f>
        <v>1</v>
      </c>
      <c r="E19" s="18">
        <f>IF(B19&lt;&gt;"", SUMPRODUCT(('بنود المطالبات'!C$3:C$1805=A19)*'بنود المطالبات'!I$3:I$1805), "")</f>
        <v>0</v>
      </c>
      <c r="F19" s="18">
        <f>IFERROR(IF(AND(E19&lt;&gt;"",'بنود العقد'!E19&lt;&gt;""), E19*'بنود العقد'!E19, 0), 0)</f>
        <v>0</v>
      </c>
      <c r="G19" s="9">
        <f t="shared" si="0"/>
        <v>1</v>
      </c>
      <c r="H19" s="9">
        <f>IF(AND('بنود العقد'!G19&lt;&gt;"",F19&lt;&gt;""), 'بنود العقد'!G19-F19, "")</f>
        <v>378</v>
      </c>
      <c r="I19" s="21">
        <f t="shared" si="1"/>
        <v>0</v>
      </c>
    </row>
    <row r="20" spans="1:9" ht="24" customHeight="1">
      <c r="A20" s="12">
        <v>18</v>
      </c>
      <c r="B20" s="20" t="str">
        <f>IF('بنود العقد'!B20&lt;&gt;"", 'بنود العقد'!B20, "")</f>
        <v>خزانة مفتوحة مصنوعة من تيوبات حديد 20X20 ملم وسماكة 2 ملم )طلاء بودرة بالفرن لون اسود( مع أرفف من خشب ال mdf مع قشرة السنديان حسب التصميم والرسومات وتعليمات المهندس المشرف.Ref drawing: 07-MRA-DD-G.F-AR-607.C عرضx 400mm ارتفاع x 2600mm طول 13350mm</v>
      </c>
      <c r="C20" s="12" t="str">
        <f>IF('بنود العقد'!C20&lt;&gt;"", 'بنود العقد'!C20, "")</f>
        <v>معماري</v>
      </c>
      <c r="D20" s="9">
        <f>IF('بنود العقد'!F20&lt;&gt;"", 'بنود العقد'!F20, "")</f>
        <v>1</v>
      </c>
      <c r="E20" s="18">
        <f>IF(B20&lt;&gt;"", SUMPRODUCT(('بنود المطالبات'!C$3:C$1805=A20)*'بنود المطالبات'!I$3:I$1805), "")</f>
        <v>0</v>
      </c>
      <c r="F20" s="18">
        <f>IFERROR(IF(AND(E20&lt;&gt;"",'بنود العقد'!E20&lt;&gt;""), E20*'بنود العقد'!E20, 0), 0)</f>
        <v>0</v>
      </c>
      <c r="G20" s="9">
        <f t="shared" si="0"/>
        <v>1</v>
      </c>
      <c r="H20" s="9">
        <f>IF(AND('بنود العقد'!G20&lt;&gt;"",F20&lt;&gt;""), 'بنود العقد'!G20-F20, "")</f>
        <v>1200</v>
      </c>
      <c r="I20" s="21">
        <f t="shared" si="1"/>
        <v>0</v>
      </c>
    </row>
    <row r="21" spans="1:9" ht="24" customHeight="1">
      <c r="A21" s="12">
        <v>19</v>
      </c>
      <c r="B21" s="20" t="str">
        <f>IF('بنود العقد'!B21&lt;&gt;"", 'بنود العقد'!B21, "")</f>
        <v>توريد وتركيب هيكل حديدي تيوبات 20*100 مم وسماكة 2مم مثبت بالسقف والأرض مع شبكة حديد مش )طلاء بودرة بالفرن لون اسود( يشمل هيكل حديدي للمقاعد إضافة الى القماش اللازم ،  حسب الرسومات والمناظير وتعليمات المهندس المشرف.مقاس      Ref drawing: 07-MRA-DD-G.F-AR-607.B: طول 4300 ملم، ارتفاع 2400 ملم و عرض 1800 ملم</v>
      </c>
      <c r="C21" s="12" t="str">
        <f>IF('بنود العقد'!C21&lt;&gt;"", 'بنود العقد'!C21, "")</f>
        <v>معماري</v>
      </c>
      <c r="D21" s="9">
        <f>IF('بنود العقد'!F21&lt;&gt;"", 'بنود العقد'!F21, "")</f>
        <v>1</v>
      </c>
      <c r="E21" s="18">
        <f>IF(B21&lt;&gt;"", SUMPRODUCT(('بنود المطالبات'!C$3:C$1805=A21)*'بنود المطالبات'!I$3:I$1805), "")</f>
        <v>0</v>
      </c>
      <c r="F21" s="18">
        <f>IFERROR(IF(AND(E21&lt;&gt;"",'بنود العقد'!E21&lt;&gt;""), E21*'بنود العقد'!E21, 0), 0)</f>
        <v>0</v>
      </c>
      <c r="G21" s="9">
        <f t="shared" si="0"/>
        <v>1</v>
      </c>
      <c r="H21" s="9">
        <f>IF(AND('بنود العقد'!G21&lt;&gt;"",F21&lt;&gt;""), 'بنود العقد'!G21-F21, "")</f>
        <v>6000</v>
      </c>
      <c r="I21" s="21">
        <f t="shared" si="1"/>
        <v>0</v>
      </c>
    </row>
    <row r="22" spans="1:9" ht="24" customHeight="1">
      <c r="A22" s="12">
        <v>20</v>
      </c>
      <c r="B22" s="20" t="str">
        <f>IF('بنود العقد'!B22&lt;&gt;"", 'بنود العقد'!B22, "")</f>
        <v>توريد وتركيب هيكل حديدي تيوبات 20*100 مم وسماكة 2مم مثبت بالسقف والأرض مع شبكة حديد مش )طلاء بودرة بالفرن لون اسود( يشمل هيكل حديدي للمقاعد إضافة الى القماش اللازم ،  حسب الرسومات والمناظير وتعليمات المهندس المشرف.Ref drawing: 07-MRA-DD-G.F-AR-607.Bمقاس: طول 3100 ملم، ارتفاع 2400 ملم و عرض 1800 ملم</v>
      </c>
      <c r="C22" s="12" t="str">
        <f>IF('بنود العقد'!C22&lt;&gt;"", 'بنود العقد'!C22, "")</f>
        <v>معماري</v>
      </c>
      <c r="D22" s="9">
        <f>IF('بنود العقد'!F22&lt;&gt;"", 'بنود العقد'!F22, "")</f>
        <v>1</v>
      </c>
      <c r="E22" s="18">
        <f>IF(B22&lt;&gt;"", SUMPRODUCT(('بنود المطالبات'!C$3:C$1805=A22)*'بنود المطالبات'!I$3:I$1805), "")</f>
        <v>0</v>
      </c>
      <c r="F22" s="18">
        <f>IFERROR(IF(AND(E22&lt;&gt;"",'بنود العقد'!E22&lt;&gt;""), E22*'بنود العقد'!E22, 0), 0)</f>
        <v>0</v>
      </c>
      <c r="G22" s="9">
        <f t="shared" si="0"/>
        <v>1</v>
      </c>
      <c r="H22" s="9">
        <f>IF(AND('بنود العقد'!G22&lt;&gt;"",F22&lt;&gt;""), 'بنود العقد'!G22-F22, "")</f>
        <v>5400</v>
      </c>
      <c r="I22" s="21">
        <f t="shared" si="1"/>
        <v>0</v>
      </c>
    </row>
    <row r="23" spans="1:9" ht="24" customHeight="1">
      <c r="A23" s="12">
        <v>21</v>
      </c>
      <c r="B23" s="20" t="str">
        <f>IF('بنود العقد'!B23&lt;&gt;"", 'بنود العقد'!B23, "")</f>
        <v>توريد وتركيب شبكة حديد مش )طلاء بودرة بالفرن لون اسود(   مع تيوب حديد 50X50 ملم وسماكة 2 ملم لمنطقة القهوة والسعر يشمل طاولات الحديد في الوسط. مقاس 760X2750 ملم.Ref drawing: 07-MRA-DD-G.F-AR-607.A</v>
      </c>
      <c r="C23" s="12" t="str">
        <f>IF('بنود العقد'!C23&lt;&gt;"", 'بنود العقد'!C23, "")</f>
        <v>معماري</v>
      </c>
      <c r="D23" s="9">
        <f>IF('بنود العقد'!F23&lt;&gt;"", 'بنود العقد'!F23, "")</f>
        <v>3</v>
      </c>
      <c r="E23" s="18">
        <f>IF(B23&lt;&gt;"", SUMPRODUCT(('بنود المطالبات'!C$3:C$1805=A23)*'بنود المطالبات'!I$3:I$1805), "")</f>
        <v>0</v>
      </c>
      <c r="F23" s="18">
        <f>IFERROR(IF(AND(E23&lt;&gt;"",'بنود العقد'!E23&lt;&gt;""), E23*'بنود العقد'!E23, 0), 0)</f>
        <v>0</v>
      </c>
      <c r="G23" s="9">
        <f t="shared" si="0"/>
        <v>3</v>
      </c>
      <c r="H23" s="9">
        <f>IF(AND('بنود العقد'!G23&lt;&gt;"",F23&lt;&gt;""), 'بنود العقد'!G23-F23, "")</f>
        <v>15300</v>
      </c>
      <c r="I23" s="21">
        <f t="shared" si="1"/>
        <v>0</v>
      </c>
    </row>
    <row r="24" spans="1:9" ht="24" customHeight="1">
      <c r="A24" s="12">
        <v>22</v>
      </c>
      <c r="B24" s="20" t="str">
        <f>IF('بنود العقد'!B24&lt;&gt;"", 'بنود العقد'!B24, "")</f>
        <v>توريد وتركيب وزرات خشب )Mdf( مع قشرة جوز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 .Ref drawing: 07-MRA-DD-(as per floor number)-AR-301</v>
      </c>
      <c r="C24" s="12" t="str">
        <f>IF('بنود العقد'!C24&lt;&gt;"", 'بنود العقد'!C24, "")</f>
        <v>معماري</v>
      </c>
      <c r="D24" s="9">
        <f>IF('بنود العقد'!F24&lt;&gt;"", 'بنود العقد'!F24, "")</f>
        <v>4532</v>
      </c>
      <c r="E24" s="18">
        <f>IF(B24&lt;&gt;"", SUMPRODUCT(('بنود المطالبات'!C$3:C$1805=A24)*'بنود المطالبات'!I$3:I$1805), "")</f>
        <v>3486.5</v>
      </c>
      <c r="F24" s="18">
        <f>IFERROR(IF(AND(E24&lt;&gt;"",'بنود العقد'!E24&lt;&gt;""), E24*'بنود العقد'!E24, 0), 0)</f>
        <v>146433</v>
      </c>
      <c r="G24" s="9">
        <f t="shared" si="0"/>
        <v>1045.5</v>
      </c>
      <c r="H24" s="9">
        <f>IF(AND('بنود العقد'!G24&lt;&gt;"",F24&lt;&gt;""), 'بنود العقد'!G24-F24, "")</f>
        <v>43911</v>
      </c>
      <c r="I24" s="21">
        <f t="shared" si="1"/>
        <v>76.930714916151814</v>
      </c>
    </row>
    <row r="25" spans="1:9" ht="24" customHeight="1">
      <c r="A25" s="12">
        <v>23</v>
      </c>
      <c r="B25" s="20" t="str">
        <f>IF('بنود العقد'!B25&lt;&gt;"", 'بنود العقد'!B25, "")</f>
        <v>توريد وتركيب وزرات خشب )Mdf( مع قشرة ،وينغي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المشرفRef drawing: 07-MRA-DD-(as per floor number)-AR-301</v>
      </c>
      <c r="C25" s="12" t="str">
        <f>IF('بنود العقد'!C25&lt;&gt;"", 'بنود العقد'!C25, "")</f>
        <v>معماري</v>
      </c>
      <c r="D25" s="9">
        <f>IF('بنود العقد'!F25&lt;&gt;"", 'بنود العقد'!F25, "")</f>
        <v>700</v>
      </c>
      <c r="E25" s="18">
        <f>IF(B25&lt;&gt;"", SUMPRODUCT(('بنود المطالبات'!C$3:C$1805=A25)*'بنود المطالبات'!I$3:I$1805), "")</f>
        <v>582.55999999999995</v>
      </c>
      <c r="F25" s="18">
        <f>IFERROR(IF(AND(E25&lt;&gt;"",'بنود العقد'!E25&lt;&gt;""), E25*'بنود العقد'!E25, 0), 0)</f>
        <v>24467.519999999997</v>
      </c>
      <c r="G25" s="9">
        <f t="shared" si="0"/>
        <v>117.44000000000005</v>
      </c>
      <c r="H25" s="9">
        <f>IF(AND('بنود العقد'!G25&lt;&gt;"",F25&lt;&gt;""), 'بنود العقد'!G25-F25, "")</f>
        <v>4932.4800000000032</v>
      </c>
      <c r="I25" s="21">
        <f t="shared" si="1"/>
        <v>83.222857142857137</v>
      </c>
    </row>
    <row r="26" spans="1:9" ht="24" customHeight="1">
      <c r="A26" s="12">
        <v>24</v>
      </c>
      <c r="B26" s="20" t="str">
        <f>IF('بنود العقد'!B26&lt;&gt;"", 'بنود العقد'!B26, "")</f>
        <v>تصنيع وتركيب جدار خشبي ) Mdf(  مع قشرة السنديان المطلي بدهان ابيض تثبت على هيكل معدني، مع تصميم  فتحات على شكل مثلثات مضاءة من الداخل واحجام بمستويات مختلفة، حسب المناظير والرسومات وتعليمات المهندس المشرف.Code: WDP1-01,WDP1-02,WDP1-02.A</v>
      </c>
      <c r="C26" s="12" t="str">
        <f>IF('بنود العقد'!C26&lt;&gt;"", 'بنود العقد'!C26, "")</f>
        <v>معماري</v>
      </c>
      <c r="D26" s="9">
        <f>IF('بنود العقد'!F26&lt;&gt;"", 'بنود العقد'!F26, "")</f>
        <v>431</v>
      </c>
      <c r="E26" s="18">
        <f>IF(B26&lt;&gt;"", SUMPRODUCT(('بنود المطالبات'!C$3:C$1805=A26)*'بنود المطالبات'!I$3:I$1805), "")</f>
        <v>231.36</v>
      </c>
      <c r="F26" s="18">
        <f>IFERROR(IF(AND(E26&lt;&gt;"",'بنود العقد'!E26&lt;&gt;""), E26*'بنود العقد'!E26, 0), 0)</f>
        <v>165191.04000000001</v>
      </c>
      <c r="G26" s="9">
        <f t="shared" si="0"/>
        <v>199.64</v>
      </c>
      <c r="H26" s="9">
        <f>IF(AND('بنود العقد'!G26&lt;&gt;"",F26&lt;&gt;""), 'بنود العقد'!G26-F26, "")</f>
        <v>142542.96</v>
      </c>
      <c r="I26" s="21">
        <f t="shared" si="1"/>
        <v>53.679814385150813</v>
      </c>
    </row>
    <row r="27" spans="1:9" ht="24" customHeight="1">
      <c r="A27" s="12">
        <v>25</v>
      </c>
      <c r="B27" s="20" t="str">
        <f>IF('بنود العقد'!B27&lt;&gt;"", 'بنود العقد'!B27, "")</f>
        <v>تصنيع وتركيب لوح خشبي بشكل طولي من  الـ )Mdf(  مع قشرة الجوز او ما يتناسب مع العينة المتفق عليها طول 25سم وعرض 10سم وارتفاع 270 سم الى جانب الابواب الزجاجية حسب المناظير والرسومات وتعليمات المهندس المشرف.Code: WDP2-08</v>
      </c>
      <c r="C27" s="12" t="str">
        <f>IF('بنود العقد'!C27&lt;&gt;"", 'بنود العقد'!C27, "")</f>
        <v>معماري</v>
      </c>
      <c r="D27" s="9">
        <f>IF('بنود العقد'!F27&lt;&gt;"", 'بنود العقد'!F27, "")</f>
        <v>248</v>
      </c>
      <c r="E27" s="18">
        <f>IF(B27&lt;&gt;"", SUMPRODUCT(('بنود المطالبات'!C$3:C$1805=A27)*'بنود المطالبات'!I$3:I$1805), "")</f>
        <v>217</v>
      </c>
      <c r="F27" s="18">
        <f>IFERROR(IF(AND(E27&lt;&gt;"",'بنود العقد'!E27&lt;&gt;""), E27*'بنود العقد'!E27, 0), 0)</f>
        <v>52080</v>
      </c>
      <c r="G27" s="9">
        <f t="shared" si="0"/>
        <v>31</v>
      </c>
      <c r="H27" s="9">
        <f>IF(AND('بنود العقد'!G27&lt;&gt;"",F27&lt;&gt;""), 'بنود العقد'!G27-F27, "")</f>
        <v>7440</v>
      </c>
      <c r="I27" s="21">
        <f t="shared" si="1"/>
        <v>87.5</v>
      </c>
    </row>
    <row r="28" spans="1:9" ht="24" customHeight="1">
      <c r="A28" s="12">
        <v>26</v>
      </c>
      <c r="B28" s="20" t="str">
        <f>IF('بنود العقد'!B28&lt;&gt;"", 'بنود العقد'!B28,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العامود الخرساني بدهان رمادي على شكل وهيئة الأسطح الاسمنتية )matt( بتصميم مع غروف حسب الرسومات والمناظير وتعليمات المهندس المشرف.Code: WDP3-04</v>
      </c>
      <c r="C28" s="12" t="str">
        <f>IF('بنود العقد'!C28&lt;&gt;"", 'بنود العقد'!C28, "")</f>
        <v>معماري</v>
      </c>
      <c r="D28" s="9">
        <f>IF('بنود العقد'!F28&lt;&gt;"", 'بنود العقد'!F28, "")</f>
        <v>345</v>
      </c>
      <c r="E28" s="18">
        <f>IF(B28&lt;&gt;"", SUMPRODUCT(('بنود المطالبات'!C$3:C$1805=A28)*'بنود المطالبات'!I$3:I$1805), "")</f>
        <v>348.58</v>
      </c>
      <c r="F28" s="18">
        <f>IFERROR(IF(AND(E28&lt;&gt;"",'بنود العقد'!E28&lt;&gt;""), E28*'بنود العقد'!E28, 0), 0)</f>
        <v>184050.24</v>
      </c>
      <c r="G28" s="9">
        <f t="shared" si="0"/>
        <v>-3.5799999999999841</v>
      </c>
      <c r="H28" s="9">
        <f>IF(AND('بنود العقد'!G28&lt;&gt;"",F28&lt;&gt;""), 'بنود العقد'!G28-F28, "")</f>
        <v>-1890.2399999999907</v>
      </c>
      <c r="I28" s="21">
        <f t="shared" si="1"/>
        <v>100</v>
      </c>
    </row>
    <row r="29" spans="1:9" ht="24" customHeight="1">
      <c r="A29" s="12">
        <v>27</v>
      </c>
      <c r="B29" s="20" t="str">
        <f>IF('بنود العقد'!B29&lt;&gt;"", 'بنود العقد'!B29,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القواطع الجبسية بدهان رمادي بيج  )matt( ، وبتصميم مع غروف حسب الرسومات والمناظير وتعليمات المهندس المشرف.Code: WPD4-01,WDP4-01.A</v>
      </c>
      <c r="C29" s="12" t="str">
        <f>IF('بنود العقد'!C29&lt;&gt;"", 'بنود العقد'!C29, "")</f>
        <v>معماري</v>
      </c>
      <c r="D29" s="9">
        <f>IF('بنود العقد'!F29&lt;&gt;"", 'بنود العقد'!F29, "")</f>
        <v>331</v>
      </c>
      <c r="E29" s="18">
        <f>IF(B29&lt;&gt;"", SUMPRODUCT(('بنود المطالبات'!C$3:C$1805=A29)*'بنود المطالبات'!I$3:I$1805), "")</f>
        <v>313.69</v>
      </c>
      <c r="F29" s="18">
        <f>IFERROR(IF(AND(E29&lt;&gt;"",'بنود العقد'!E29&lt;&gt;""), E29*'بنود العقد'!E29, 0), 0)</f>
        <v>165628.32</v>
      </c>
      <c r="G29" s="9">
        <f t="shared" si="0"/>
        <v>17.310000000000002</v>
      </c>
      <c r="H29" s="9">
        <f>IF(AND('بنود العقد'!G29&lt;&gt;"",F29&lt;&gt;""), 'بنود العقد'!G29-F29, "")</f>
        <v>9139.679999999993</v>
      </c>
      <c r="I29" s="21">
        <f t="shared" si="1"/>
        <v>94.770392749244721</v>
      </c>
    </row>
    <row r="30" spans="1:9" ht="24" customHeight="1">
      <c r="A30" s="12">
        <v>28</v>
      </c>
      <c r="B30" s="20" t="str">
        <f>IF('بنود العقد'!B30&lt;&gt;"", 'بنود العقد'!B30,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مثبتة على القواطع الجبسية مع قشرة صناعية بحسب العينة الموافق عليها وغروف حسب الرسومات والمناظير وتعليمات المهندس المشرفCode: WDP2</v>
      </c>
      <c r="C30" s="12" t="str">
        <f>IF('بنود العقد'!C30&lt;&gt;"", 'بنود العقد'!C30, "")</f>
        <v>معماري</v>
      </c>
      <c r="D30" s="9">
        <f>IF('بنود العقد'!F30&lt;&gt;"", 'بنود العقد'!F30, "")</f>
        <v>2517</v>
      </c>
      <c r="E30" s="18">
        <f>IF(B30&lt;&gt;"", SUMPRODUCT(('بنود المطالبات'!C$3:C$1805=A30)*'بنود المطالبات'!I$3:I$1805), "")</f>
        <v>2622.62</v>
      </c>
      <c r="F30" s="18">
        <f>IFERROR(IF(AND(E30&lt;&gt;"",'بنود العقد'!E30&lt;&gt;""), E30*'بنود العقد'!E30, 0), 0)</f>
        <v>1384743.3599999999</v>
      </c>
      <c r="G30" s="9">
        <f t="shared" si="0"/>
        <v>-105.61999999999989</v>
      </c>
      <c r="H30" s="9">
        <f>IF(AND('بنود العقد'!G30&lt;&gt;"",F30&lt;&gt;""), 'بنود العقد'!G30-F30, "")</f>
        <v>-55767.35999999987</v>
      </c>
      <c r="I30" s="21">
        <f t="shared" si="1"/>
        <v>100</v>
      </c>
    </row>
    <row r="31" spans="1:9" ht="24" customHeight="1">
      <c r="A31" s="12">
        <v>29</v>
      </c>
      <c r="B31" s="20" t="str">
        <f>IF('بنود العقد'!B31&lt;&gt;"", 'بنود العقد'!B31,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االقواطع الجبسية بدهان رمادي على شكل وهيئة الأسطح الاسمنتية ) matt( مع تصميم بفتحات حسب الرسومات والمناظير وتعليمات المهندس المشرف.Code: WDP3-01, WDP3-02, WDP3-03</v>
      </c>
      <c r="C31" s="12" t="str">
        <f>IF('بنود العقد'!C31&lt;&gt;"", 'بنود العقد'!C31, "")</f>
        <v>معماري</v>
      </c>
      <c r="D31" s="9">
        <f>IF('بنود العقد'!F31&lt;&gt;"", 'بنود العقد'!F31, "")</f>
        <v>846</v>
      </c>
      <c r="E31" s="18">
        <f>IF(B31&lt;&gt;"", SUMPRODUCT(('بنود المطالبات'!C$3:C$1805=A31)*'بنود المطالبات'!I$3:I$1805), "")</f>
        <v>848</v>
      </c>
      <c r="F31" s="18">
        <f>IFERROR(IF(AND(E31&lt;&gt;"",'بنود العقد'!E31&lt;&gt;""), E31*'بنود العقد'!E31, 0), 0)</f>
        <v>447744</v>
      </c>
      <c r="G31" s="9">
        <f t="shared" si="0"/>
        <v>-2</v>
      </c>
      <c r="H31" s="9">
        <f>IF(AND('بنود العقد'!G31&lt;&gt;"",F31&lt;&gt;""), 'بنود العقد'!G31-F31, "")</f>
        <v>-1056</v>
      </c>
      <c r="I31" s="21">
        <f t="shared" si="1"/>
        <v>100</v>
      </c>
    </row>
    <row r="32" spans="1:9" ht="24" customHeight="1">
      <c r="A32" s="12">
        <v>30</v>
      </c>
      <c r="B32" s="20" t="str">
        <f>IF('بنود العقد'!B32&lt;&gt;"", 'بنود العقد'!B32,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مع قشرة السنديان المطلي بدهان ابيض  مع غروف وفتحات إضاءة مخفية مغلفة من الداخل بطبقة Acrylic مغشى  حسب الرسومات والمناظير وتعليمات المهندس المشرف.Code: WDP1-03, WDP1-04, WDP1-05, WDP1-06</v>
      </c>
      <c r="C32" s="12" t="str">
        <f>IF('بنود العقد'!C32&lt;&gt;"", 'بنود العقد'!C32, "")</f>
        <v>معماري</v>
      </c>
      <c r="D32" s="9">
        <f>IF('بنود العقد'!F32&lt;&gt;"", 'بنود العقد'!F32, "")</f>
        <v>456</v>
      </c>
      <c r="E32" s="18">
        <f>IF(B32&lt;&gt;"", SUMPRODUCT(('بنود المطالبات'!C$3:C$1805=A32)*'بنود المطالبات'!I$3:I$1805), "")</f>
        <v>497.35</v>
      </c>
      <c r="F32" s="18">
        <f>IFERROR(IF(AND(E32&lt;&gt;"",'بنود العقد'!E32&lt;&gt;""), E32*'بنود العقد'!E32, 0), 0)</f>
        <v>283489.5</v>
      </c>
      <c r="G32" s="9">
        <f t="shared" si="0"/>
        <v>-41.350000000000023</v>
      </c>
      <c r="H32" s="9">
        <f>IF(AND('بنود العقد'!G32&lt;&gt;"",F32&lt;&gt;""), 'بنود العقد'!G32-F32, "")</f>
        <v>-23569.5</v>
      </c>
      <c r="I32" s="21">
        <f t="shared" si="1"/>
        <v>100</v>
      </c>
    </row>
    <row r="33" spans="1:9" ht="24" customHeight="1">
      <c r="A33" s="12">
        <v>31</v>
      </c>
      <c r="B33" s="20" t="str">
        <f>IF('بنود العقد'!B33&lt;&gt;"", 'بنود العقد'!B33,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بدهان رمادي   مع غروف وفتحات إضاءة مخفية مغلفة من الداخل بطبقة Acrylic مغشى  حسب الرسومات والمناظير وتعليمات المهندس المشرف.Code: WDP5</v>
      </c>
      <c r="C33" s="12" t="str">
        <f>IF('بنود العقد'!C33&lt;&gt;"", 'بنود العقد'!C33, "")</f>
        <v>معماري</v>
      </c>
      <c r="D33" s="9">
        <f>IF('بنود العقد'!F33&lt;&gt;"", 'بنود العقد'!F33, "")</f>
        <v>53</v>
      </c>
      <c r="E33" s="18">
        <f>IF(B33&lt;&gt;"", SUMPRODUCT(('بنود المطالبات'!C$3:C$1805=A33)*'بنود المطالبات'!I$3:I$1805), "")</f>
        <v>42.4</v>
      </c>
      <c r="F33" s="18">
        <f>IFERROR(IF(AND(E33&lt;&gt;"",'بنود العقد'!E33&lt;&gt;""), E33*'بنود العقد'!E33, 0), 0)</f>
        <v>30528</v>
      </c>
      <c r="G33" s="9">
        <f t="shared" si="0"/>
        <v>10.600000000000001</v>
      </c>
      <c r="H33" s="9">
        <f>IF(AND('بنود العقد'!G33&lt;&gt;"",F33&lt;&gt;""), 'بنود العقد'!G33-F33, "")</f>
        <v>7632</v>
      </c>
      <c r="I33" s="21">
        <f t="shared" si="1"/>
        <v>80</v>
      </c>
    </row>
    <row r="34" spans="1:9" ht="24" customHeight="1">
      <c r="A34" s="12">
        <v>32</v>
      </c>
      <c r="B34" s="20" t="str">
        <f>IF('بنود العقد'!B34&lt;&gt;"", 'بنود العقد'!B34,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المطلي بدهان رمادي  Code: WDP6</v>
      </c>
      <c r="C34" s="12" t="str">
        <f>IF('بنود العقد'!C34&lt;&gt;"", 'بنود العقد'!C34, "")</f>
        <v>معماري</v>
      </c>
      <c r="D34" s="9">
        <f>IF('بنود العقد'!F34&lt;&gt;"", 'بنود العقد'!F34, "")</f>
        <v>29</v>
      </c>
      <c r="E34" s="18">
        <f>IF(B34&lt;&gt;"", SUMPRODUCT(('بنود المطالبات'!C$3:C$1805=A34)*'بنود المطالبات'!I$3:I$1805), "")</f>
        <v>26</v>
      </c>
      <c r="F34" s="18">
        <f>IFERROR(IF(AND(E34&lt;&gt;"",'بنود العقد'!E34&lt;&gt;""), E34*'بنود العقد'!E34, 0), 0)</f>
        <v>12168</v>
      </c>
      <c r="G34" s="9">
        <f t="shared" si="0"/>
        <v>3</v>
      </c>
      <c r="H34" s="9">
        <f>IF(AND('بنود العقد'!G34&lt;&gt;"",F34&lt;&gt;""), 'بنود العقد'!G34-F34, "")</f>
        <v>1404</v>
      </c>
      <c r="I34" s="21">
        <f t="shared" si="1"/>
        <v>89.65517241379311</v>
      </c>
    </row>
    <row r="35" spans="1:9" ht="24" customHeight="1">
      <c r="A35" s="12">
        <v>33</v>
      </c>
      <c r="B35" s="20" t="str">
        <f>IF('بنود العقد'!B35&lt;&gt;"", 'بنود العقد'!B35,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number)-AR-600 to 07-MRA-DD (as per floor number)-AR-604كسوة من خشب الـ) Mdf(  ، مع قشرة  )walnut( لمدخل كبار الشخصيات ومكتب مدير مكتب معالي الوزير     حسب الرسومات والمناظير وتعليمات المهندس المشرف.Code: WDP7</v>
      </c>
      <c r="C35" s="12" t="str">
        <f>IF('بنود العقد'!C35&lt;&gt;"", 'بنود العقد'!C35, "")</f>
        <v>معماري</v>
      </c>
      <c r="D35" s="9">
        <f>IF('بنود العقد'!F35&lt;&gt;"", 'بنود العقد'!F35, "")</f>
        <v>118</v>
      </c>
      <c r="E35" s="18">
        <f>IF(B35&lt;&gt;"", SUMPRODUCT(('بنود المطالبات'!C$3:C$1805=A35)*'بنود المطالبات'!I$3:I$1805), "")</f>
        <v>209.82</v>
      </c>
      <c r="F35" s="18">
        <f>IFERROR(IF(AND(E35&lt;&gt;"",'بنود العقد'!E35&lt;&gt;""), E35*'بنود العقد'!E35, 0), 0)</f>
        <v>119597.4</v>
      </c>
      <c r="G35" s="9">
        <f t="shared" si="0"/>
        <v>-91.82</v>
      </c>
      <c r="H35" s="9">
        <f>IF(AND('بنود العقد'!G35&lt;&gt;"",F35&lt;&gt;""), 'بنود العقد'!G35-F35, "")</f>
        <v>-52337.399999999994</v>
      </c>
      <c r="I35" s="21">
        <f t="shared" si="1"/>
        <v>100</v>
      </c>
    </row>
    <row r="36" spans="1:9" ht="24" customHeight="1">
      <c r="A36" s="12">
        <v>34</v>
      </c>
      <c r="B36" s="20" t="str">
        <f>IF('بنود العقد'!B36&lt;&gt;"", 'بنود العقد'!B36,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صناعية بلون رمادي بيج لمنطقة معالي الوزير   حسب الرسومات والمناظير وتعليمات المهندس المشرف.Code: WDP8</v>
      </c>
      <c r="C36" s="12" t="str">
        <f>IF('بنود العقد'!C36&lt;&gt;"", 'بنود العقد'!C36, "")</f>
        <v>معماري</v>
      </c>
      <c r="D36" s="9">
        <f>IF('بنود العقد'!F36&lt;&gt;"", 'بنود العقد'!F36, "")</f>
        <v>758</v>
      </c>
      <c r="E36" s="18">
        <f>IF(B36&lt;&gt;"", SUMPRODUCT(('بنود المطالبات'!C$3:C$1805=A36)*'بنود المطالبات'!I$3:I$1805), "")</f>
        <v>1789.3899999999999</v>
      </c>
      <c r="F36" s="18">
        <f>IFERROR(IF(AND(E36&lt;&gt;"",'بنود العقد'!E36&lt;&gt;""), E36*'بنود العقد'!E36, 0), 0)</f>
        <v>1556769.2999999998</v>
      </c>
      <c r="G36" s="9">
        <f t="shared" si="0"/>
        <v>-1031.3899999999999</v>
      </c>
      <c r="H36" s="9">
        <f>IF(AND('بنود العقد'!G36&lt;&gt;"",F36&lt;&gt;""), 'بنود العقد'!G36-F36, "")</f>
        <v>-897309.29999999981</v>
      </c>
      <c r="I36" s="21">
        <f t="shared" si="1"/>
        <v>100</v>
      </c>
    </row>
    <row r="37" spans="1:9" ht="24" customHeight="1">
      <c r="A37" s="12">
        <v>35</v>
      </c>
      <c r="B37" s="20" t="str">
        <f>IF('بنود العقد'!B37&lt;&gt;"", 'بنود العقد'!B37,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ال )wenge( بشكل pattern مفرغة من الداخل مع ايطار خشبي ملبس بجلد لون بيج ومثبتة على الجدار الخشبي  لمنطقة معالي الوزير  حسب الرسومات والمناظير  وتعليمات المهندس المشرف.Code: P1</v>
      </c>
      <c r="C37" s="12" t="str">
        <f>IF('بنود العقد'!C37&lt;&gt;"", 'بنود العقد'!C37, "")</f>
        <v>معماري</v>
      </c>
      <c r="D37" s="9">
        <f>IF('بنود العقد'!F37&lt;&gt;"", 'بنود العقد'!F37, "")</f>
        <v>60</v>
      </c>
      <c r="E37" s="18">
        <f>IF(B37&lt;&gt;"", SUMPRODUCT(('بنود المطالبات'!C$3:C$1805=A37)*'بنود المطالبات'!I$3:I$1805), "")</f>
        <v>71.64</v>
      </c>
      <c r="F37" s="18">
        <f>IFERROR(IF(AND(E37&lt;&gt;"",'بنود العقد'!E37&lt;&gt;""), E37*'بنود العقد'!E37, 0), 0)</f>
        <v>77371.199999999997</v>
      </c>
      <c r="G37" s="9">
        <f t="shared" si="0"/>
        <v>-11.64</v>
      </c>
      <c r="H37" s="9">
        <f>IF(AND('بنود العقد'!G37&lt;&gt;"",F37&lt;&gt;""), 'بنود العقد'!G37-F37, "")</f>
        <v>-12571.199999999997</v>
      </c>
      <c r="I37" s="21">
        <f t="shared" si="1"/>
        <v>100</v>
      </c>
    </row>
    <row r="38" spans="1:9" ht="24" customHeight="1">
      <c r="A38" s="12">
        <v>36</v>
      </c>
      <c r="B38" s="20" t="str">
        <f>IF('بنود العقد'!B38&lt;&gt;"", 'بنود العقد'!B38,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ال )wenge( بشكل pattern مفرغة من الداخل مع ايطار خشبي ومثبتة على الجدار الخشبي  لمنطقة التنفيذيين حسب الرسومات والمناظير وتعليمات المهندس المشرف.Code: P2</v>
      </c>
      <c r="C38" s="12" t="str">
        <f>IF('بنود العقد'!C38&lt;&gt;"", 'بنود العقد'!C38, "")</f>
        <v>معماري</v>
      </c>
      <c r="D38" s="9">
        <f>IF('بنود العقد'!F38&lt;&gt;"", 'بنود العقد'!F38, "")</f>
        <v>75</v>
      </c>
      <c r="E38" s="18">
        <f>IF(B38&lt;&gt;"", SUMPRODUCT(('بنود المطالبات'!C$3:C$1805=A38)*'بنود المطالبات'!I$3:I$1805), "")</f>
        <v>71.45</v>
      </c>
      <c r="F38" s="18">
        <f>IFERROR(IF(AND(E38&lt;&gt;"",'بنود العقد'!E38&lt;&gt;""), E38*'بنود العقد'!E38, 0), 0)</f>
        <v>68592</v>
      </c>
      <c r="G38" s="9">
        <f t="shared" si="0"/>
        <v>3.5499999999999972</v>
      </c>
      <c r="H38" s="9">
        <f>IF(AND('بنود العقد'!G38&lt;&gt;"",F38&lt;&gt;""), 'بنود العقد'!G38-F38, "")</f>
        <v>3408</v>
      </c>
      <c r="I38" s="21">
        <f t="shared" si="1"/>
        <v>95.266666666666666</v>
      </c>
    </row>
    <row r="39" spans="1:9" ht="24" customHeight="1">
      <c r="A39" s="12">
        <v>37</v>
      </c>
      <c r="B39" s="20" t="str">
        <f>IF('بنود العقد'!B39&lt;&gt;"", 'بنود العقد'!B39, "")</f>
        <v>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 سقف من خشب الـ)Mdf( ،  مطلي بدهان أبيض بشكل pattern مفرغة من الداخل  ومثبتة على ألواح خشبية مع قشرة الجوز مثبتة بنظام تعليق متصلة بالسقف الخرساني  لمنطقة معالي الوزير حسب الرسومات والمناظير وتعليمات المهندس المشرف.Code: WDC-04</v>
      </c>
      <c r="C39" s="12" t="str">
        <f>IF('بنود العقد'!C39&lt;&gt;"", 'بنود العقد'!C39, "")</f>
        <v>معماري</v>
      </c>
      <c r="D39" s="9">
        <f>IF('بنود العقد'!F39&lt;&gt;"", 'بنود العقد'!F39, "")</f>
        <v>162</v>
      </c>
      <c r="E39" s="18">
        <f>IF(B39&lt;&gt;"", SUMPRODUCT(('بنود المطالبات'!C$3:C$1805=A39)*'بنود المطالبات'!I$3:I$1805), "")</f>
        <v>135.19</v>
      </c>
      <c r="F39" s="18">
        <f>IFERROR(IF(AND(E39&lt;&gt;"",'بنود العقد'!E39&lt;&gt;""), E39*'بنود العقد'!E39, 0), 0)</f>
        <v>146005.20000000001</v>
      </c>
      <c r="G39" s="9">
        <f t="shared" si="0"/>
        <v>26.810000000000002</v>
      </c>
      <c r="H39" s="9">
        <f>IF(AND('بنود العقد'!G39&lt;&gt;"",F39&lt;&gt;""), 'بنود العقد'!G39-F39, "")</f>
        <v>28954.799999999988</v>
      </c>
      <c r="I39" s="21">
        <f t="shared" si="1"/>
        <v>83.450617283950606</v>
      </c>
    </row>
    <row r="40" spans="1:9" ht="24" customHeight="1">
      <c r="A40" s="12">
        <v>38</v>
      </c>
      <c r="B40" s="20" t="str">
        <f>IF('بنود العقد'!B40&lt;&gt;"", 'بنود العقد'!B40, "")</f>
        <v>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 من من خشب الـ)Mdf(  مع قشرة صناعية بحسب العينة الموافق عليها وغروف مثبتة بنظام تعليق متصلة بالسقف الخرساني حسب الرسومات والمناظير وتعليمات المهندس المشرف.Code: WDC-01 &amp; WDC-02</v>
      </c>
      <c r="C40" s="12" t="str">
        <f>IF('بنود العقد'!C40&lt;&gt;"", 'بنود العقد'!C40, "")</f>
        <v>معماري</v>
      </c>
      <c r="D40" s="9">
        <f>IF('بنود العقد'!F40&lt;&gt;"", 'بنود العقد'!F40, "")</f>
        <v>684</v>
      </c>
      <c r="E40" s="18">
        <f>IF(B40&lt;&gt;"", SUMPRODUCT(('بنود المطالبات'!C$3:C$1805=A40)*'بنود المطالبات'!I$3:I$1805), "")</f>
        <v>659.82</v>
      </c>
      <c r="F40" s="18">
        <f>IFERROR(IF(AND(E40&lt;&gt;"",'بنود العقد'!E40&lt;&gt;""), E40*'بنود العقد'!E40, 0), 0)</f>
        <v>554248.80000000005</v>
      </c>
      <c r="G40" s="9">
        <f t="shared" si="0"/>
        <v>24.17999999999995</v>
      </c>
      <c r="H40" s="9">
        <f>IF(AND('بنود العقد'!G40&lt;&gt;"",F40&lt;&gt;""), 'بنود العقد'!G40-F40, "")</f>
        <v>20311.199999999953</v>
      </c>
      <c r="I40" s="21">
        <f t="shared" si="1"/>
        <v>96.464912280701768</v>
      </c>
    </row>
    <row r="41" spans="1:9" ht="24" customHeight="1">
      <c r="A41" s="12">
        <v>39</v>
      </c>
      <c r="B41" s="20" t="str">
        <f>IF('بنود العقد'!B41&lt;&gt;"", 'بنود العقد'!B41, "")</f>
        <v>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خشبي03-WDC من من خشب الـ)Mdf( على شكل مربعات بسماكة تصميم  5سم، وفتحات على شكل مثلث مع اضاءة مخفية مغلفة من الاعلى بطبقة Acrylic شفاف مغشى سماكة 4مم مثبتة بنظام تعليق متصلة بالسقف الخرساني حسب الرسومات والمناظير وتعليمات المهندس المشرف.Code: WDC-03</v>
      </c>
      <c r="C41" s="12" t="str">
        <f>IF('بنود العقد'!C41&lt;&gt;"", 'بنود العقد'!C41, "")</f>
        <v>معماري</v>
      </c>
      <c r="D41" s="9">
        <f>IF('بنود العقد'!F41&lt;&gt;"", 'بنود العقد'!F41, "")</f>
        <v>64</v>
      </c>
      <c r="E41" s="18">
        <f>IF(B41&lt;&gt;"", SUMPRODUCT(('بنود المطالبات'!C$3:C$1805=A41)*'بنود المطالبات'!I$3:I$1805), "")</f>
        <v>58.76</v>
      </c>
      <c r="F41" s="18">
        <f>IFERROR(IF(AND(E41&lt;&gt;"",'بنود العقد'!E41&lt;&gt;""), E41*'بنود العقد'!E41, 0), 0)</f>
        <v>45832.799999999996</v>
      </c>
      <c r="G41" s="9">
        <f t="shared" si="0"/>
        <v>5.240000000000002</v>
      </c>
      <c r="H41" s="9">
        <f>IF(AND('بنود العقد'!G41&lt;&gt;"",F41&lt;&gt;""), 'بنود العقد'!G41-F41, "")</f>
        <v>4087.2000000000044</v>
      </c>
      <c r="I41" s="21">
        <f t="shared" si="1"/>
        <v>91.8125</v>
      </c>
    </row>
    <row r="42" spans="1:9" ht="24" customHeight="1">
      <c r="A42" s="12">
        <v>40</v>
      </c>
      <c r="B42" s="20" t="str">
        <f>IF('بنود العقد'!B42&lt;&gt;"", 'بنود العقد'!B42,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خشبية01-WDC و 02-WDC من خشب الـ ) Mdf ( متداخلة الالوان من قشرة صناعية بحسب  العينة الموافق عليها والدهان الرمادي  على شكل وهيئة الاسطح الاسمنتية مثبتة على القواطع الجبسية مع اضاءة مخفية ومفصلات ومقابض مخفية وتصميم حسب الرسومات والمناظير وتعليمات المهندس المشرف.</v>
      </c>
      <c r="C42" s="12" t="str">
        <f>IF('بنود العقد'!C42&lt;&gt;"", 'بنود العقد'!C42, "")</f>
        <v>معماري</v>
      </c>
      <c r="D42" s="9">
        <f>IF('بنود العقد'!F42&lt;&gt;"", 'بنود العقد'!F42, "")</f>
        <v>72</v>
      </c>
      <c r="E42" s="18">
        <f>IF(B42&lt;&gt;"", SUMPRODUCT(('بنود المطالبات'!C$3:C$1805=A42)*'بنود المطالبات'!I$3:I$1805), "")</f>
        <v>48.12</v>
      </c>
      <c r="F42" s="18">
        <f>IFERROR(IF(AND(E42&lt;&gt;"",'بنود العقد'!E42&lt;&gt;""), E42*'بنود العقد'!E42, 0), 0)</f>
        <v>69292.800000000003</v>
      </c>
      <c r="G42" s="9">
        <f t="shared" si="0"/>
        <v>23.880000000000003</v>
      </c>
      <c r="H42" s="9">
        <f>IF(AND('بنود العقد'!G42&lt;&gt;"",F42&lt;&gt;""), 'بنود العقد'!G42-F42, "")</f>
        <v>34387.199999999997</v>
      </c>
      <c r="I42" s="21">
        <f t="shared" si="1"/>
        <v>66.833333333333329</v>
      </c>
    </row>
    <row r="43" spans="1:9" ht="24" customHeight="1">
      <c r="A43" s="12">
        <v>41</v>
      </c>
      <c r="B43" s="20" t="str">
        <f>IF('بنود العقد'!B43&lt;&gt;"", 'بنود العقد'!B43,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خشبية03-WDC  من خشب الـ ) Mdf (  مع قشرة صناعية بحسب العينة الموافق عليها مثبتة على القواطع الجبسية  مع غروف ومفصلات ومقابض مخفية ،  حسب الرسومات والمناظير</v>
      </c>
      <c r="C43" s="12" t="str">
        <f>IF('بنود العقد'!C43&lt;&gt;"", 'بنود العقد'!C43, "")</f>
        <v>معماري</v>
      </c>
      <c r="D43" s="9">
        <f>IF('بنود العقد'!F43&lt;&gt;"", 'بنود العقد'!F43, "")</f>
        <v>78</v>
      </c>
      <c r="E43" s="18">
        <f>IF(B43&lt;&gt;"", SUMPRODUCT(('بنود المطالبات'!C$3:C$1805=A43)*'بنود المطالبات'!I$3:I$1805), "")</f>
        <v>67.468999999999994</v>
      </c>
      <c r="F43" s="18">
        <f>IFERROR(IF(AND(E43&lt;&gt;"",'بنود العقد'!E43&lt;&gt;""), E43*'بنود العقد'!E43, 0), 0)</f>
        <v>97155.359999999986</v>
      </c>
      <c r="G43" s="9">
        <f t="shared" si="0"/>
        <v>10.531000000000006</v>
      </c>
      <c r="H43" s="9">
        <f>IF(AND('بنود العقد'!G43&lt;&gt;"",F43&lt;&gt;""), 'بنود العقد'!G43-F43, "")</f>
        <v>15164.640000000014</v>
      </c>
      <c r="I43" s="21">
        <f t="shared" si="1"/>
        <v>86.498717948717939</v>
      </c>
    </row>
    <row r="44" spans="1:9" ht="24" customHeight="1">
      <c r="A44" s="12">
        <v>42</v>
      </c>
      <c r="B44" s="20" t="str">
        <f>IF('بنود العقد'!B44&lt;&gt;"", 'بنود العقد'!B44,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خشبية04-WDC   من خشب الـ ) Mdf (  مطلية بدهان رمادي على شكل وهيئة الاسطح الاسمنتية مع غروف ومفصلات ومقابض مخفية ، وارفف مفتوحة من قشرة الجوز ،واضاءة مخفية ، مثبتة على الجدار الخارجي حسب الرسومات والمناظير  وتعليمات المهندس المشرف.</v>
      </c>
      <c r="C44" s="12" t="str">
        <f>IF('بنود العقد'!C44&lt;&gt;"", 'بنود العقد'!C44, "")</f>
        <v>معماري</v>
      </c>
      <c r="D44" s="9">
        <f>IF('بنود العقد'!F44&lt;&gt;"", 'بنود العقد'!F44, "")</f>
        <v>297</v>
      </c>
      <c r="E44" s="18">
        <f>IF(B44&lt;&gt;"", SUMPRODUCT(('بنود المطالبات'!C$3:C$1805=A44)*'بنود المطالبات'!I$3:I$1805), "")</f>
        <v>239.28</v>
      </c>
      <c r="F44" s="18">
        <f>IFERROR(IF(AND(E44&lt;&gt;"",'بنود العقد'!E44&lt;&gt;""), E44*'بنود العقد'!E44, 0), 0)</f>
        <v>287136</v>
      </c>
      <c r="G44" s="9">
        <f t="shared" si="0"/>
        <v>57.72</v>
      </c>
      <c r="H44" s="9">
        <f>IF(AND('بنود العقد'!G44&lt;&gt;"",F44&lt;&gt;""), 'بنود العقد'!G44-F44, "")</f>
        <v>69264</v>
      </c>
      <c r="I44" s="21">
        <f t="shared" si="1"/>
        <v>80.565656565656568</v>
      </c>
    </row>
    <row r="45" spans="1:9" ht="24" customHeight="1">
      <c r="A45" s="12">
        <v>43</v>
      </c>
      <c r="B45" s="20" t="str">
        <f>IF('بنود العقد'!B45&lt;&gt;"", 'بنود العقد'!B45,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 خزانة خشبية05-WDC  من خشب الـ ) Mdf (  مع قشرة الوينغي الداكنة مع أرفف وإضاءة مخفية، أبواب الخزائن زجاجية   ribbed glass(مع إيطار خشبي وغروف ومفصلات ومقابض مخفية لمنطقة معالي الوزير حسب الرسومات والمناظير وتعليمات المهندس المشرف.</v>
      </c>
      <c r="C45" s="12" t="str">
        <f>IF('بنود العقد'!C45&lt;&gt;"", 'بنود العقد'!C45, "")</f>
        <v>معماري</v>
      </c>
      <c r="D45" s="9">
        <f>IF('بنود العقد'!F45&lt;&gt;"", 'بنود العقد'!F45, "")</f>
        <v>69</v>
      </c>
      <c r="E45" s="18">
        <f>IF(B45&lt;&gt;"", SUMPRODUCT(('بنود المطالبات'!C$3:C$1805=A45)*'بنود المطالبات'!I$3:I$1805), "")</f>
        <v>195.44</v>
      </c>
      <c r="F45" s="18">
        <f>IFERROR(IF(AND(E45&lt;&gt;"",'بنود العقد'!E45&lt;&gt;""), E45*'بنود العقد'!E45, 0), 0)</f>
        <v>281433.59999999998</v>
      </c>
      <c r="G45" s="9">
        <f t="shared" si="0"/>
        <v>-126.44</v>
      </c>
      <c r="H45" s="9">
        <f>IF(AND('بنود العقد'!G45&lt;&gt;"",F45&lt;&gt;""), 'بنود العقد'!G45-F45, "")</f>
        <v>-182073.59999999998</v>
      </c>
      <c r="I45" s="21">
        <f t="shared" si="1"/>
        <v>100</v>
      </c>
    </row>
    <row r="46" spans="1:9" ht="24" customHeight="1">
      <c r="A46" s="12">
        <v>44</v>
      </c>
      <c r="B46" s="20" t="str">
        <f>IF('بنود العقد'!B46&lt;&gt;"", 'بنود العقد'!B46, "")</f>
        <v xml:space="preserve">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خشبية06-WDC   من خشب الـ ) Mdf (  مع قشرة الوينغي الداكنة مع أرفف وإضاءة مخفية، أبواب الخزائن زجاجية )black tinted clear glass(مع إيطار خشبي وغروف ومفصلات ومقابض مخفية لمنطقة معالي الوزير حسب الرسومات والمناظير وتعليمات المهندس المشرف. </v>
      </c>
      <c r="C46" s="12" t="str">
        <f>IF('بنود العقد'!C46&lt;&gt;"", 'بنود العقد'!C46, "")</f>
        <v>معماري</v>
      </c>
      <c r="D46" s="9">
        <f>IF('بنود العقد'!F46&lt;&gt;"", 'بنود العقد'!F46, "")</f>
        <v>62</v>
      </c>
      <c r="E46" s="18">
        <f>IF(B46&lt;&gt;"", SUMPRODUCT(('بنود المطالبات'!C$3:C$1805=A46)*'بنود المطالبات'!I$3:I$1805), "")</f>
        <v>34.68</v>
      </c>
      <c r="F46" s="18">
        <f>IFERROR(IF(AND(E46&lt;&gt;"",'بنود العقد'!E46&lt;&gt;""), E46*'بنود العقد'!E46, 0), 0)</f>
        <v>49939.199999999997</v>
      </c>
      <c r="G46" s="9">
        <f t="shared" si="0"/>
        <v>27.32</v>
      </c>
      <c r="H46" s="9">
        <f>IF(AND('بنود العقد'!G46&lt;&gt;"",F46&lt;&gt;""), 'بنود العقد'!G46-F46, "")</f>
        <v>39340.800000000003</v>
      </c>
      <c r="I46" s="21">
        <f t="shared" si="1"/>
        <v>55.935483870967737</v>
      </c>
    </row>
    <row r="47" spans="1:9" ht="24" customHeight="1">
      <c r="A47" s="12">
        <v>45</v>
      </c>
      <c r="B47" s="20" t="str">
        <f>IF('بنود العقد'!B47&lt;&gt;"", 'بنود العقد'!B47, "")</f>
        <v xml:space="preserve"> توريد وتنفيذ طبقتين من غشاء عازل للمياه من الـبيتومين ثخانة 4 مم للأماكن الرطبة وحتى ارتفاع 10   سم على الجدران المحيطة ويشمل تحضير السطوح ومواد حشو الزوايا وطبقات الحماية جيوتكستايل الأفُقية والعمودية. ويشمل السعر أي مواد وأعمال مطلوبة لاستكمال العمل حسب المواصفات والمخططات.وتعليمات المهندس المشرف</v>
      </c>
      <c r="C47" s="12" t="str">
        <f>IF('بنود العقد'!C47&lt;&gt;"", 'بنود العقد'!C47, "")</f>
        <v>معماري</v>
      </c>
      <c r="D47" s="9">
        <f>IF('بنود العقد'!F47&lt;&gt;"", 'بنود العقد'!F47, "")</f>
        <v>1345</v>
      </c>
      <c r="E47" s="18">
        <f>IF(B47&lt;&gt;"", SUMPRODUCT(('بنود المطالبات'!C$3:C$1805=A47)*'بنود المطالبات'!I$3:I$1805), "")</f>
        <v>2082.1</v>
      </c>
      <c r="F47" s="18">
        <f>IFERROR(IF(AND(E47&lt;&gt;"",'بنود العقد'!E47&lt;&gt;""), E47*'بنود العقد'!E47, 0), 0)</f>
        <v>162403.79999999999</v>
      </c>
      <c r="G47" s="9">
        <f t="shared" si="0"/>
        <v>-737.09999999999991</v>
      </c>
      <c r="H47" s="9">
        <f>IF(AND('بنود العقد'!G47&lt;&gt;"",F47&lt;&gt;""), 'بنود العقد'!G47-F47, "")</f>
        <v>-57493.799999999988</v>
      </c>
      <c r="I47" s="21">
        <f t="shared" si="1"/>
        <v>100</v>
      </c>
    </row>
    <row r="48" spans="1:9" ht="24" customHeight="1">
      <c r="A48" s="12">
        <v>46</v>
      </c>
      <c r="B48" s="20" t="str">
        <f>IF('بنود العقد'!B48&lt;&gt;"", 'بنود العقد'!B48, "")</f>
        <v>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المشرف.Ref drawing: 07-MRA-DD-(as per floor number)-AR-801 بعرض 1000 مم وارتفاع 2700 مم  GD01باب ضلفة واحدة  نموذج</v>
      </c>
      <c r="C48" s="12" t="str">
        <f>IF('بنود العقد'!C48&lt;&gt;"", 'بنود العقد'!C48, "")</f>
        <v>معماري</v>
      </c>
      <c r="D48" s="9">
        <f>IF('بنود العقد'!F48&lt;&gt;"", 'بنود العقد'!F48, "")</f>
        <v>238</v>
      </c>
      <c r="E48" s="18">
        <f>IF(B48&lt;&gt;"", SUMPRODUCT(('بنود المطالبات'!C$3:C$1805=A48)*'بنود المطالبات'!I$3:I$1805), "")</f>
        <v>232</v>
      </c>
      <c r="F48" s="18">
        <f>IFERROR(IF(AND(E48&lt;&gt;"",'بنود العقد'!E48&lt;&gt;""), E48*'بنود العقد'!E48, 0), 0)</f>
        <v>598560</v>
      </c>
      <c r="G48" s="9">
        <f t="shared" si="0"/>
        <v>6</v>
      </c>
      <c r="H48" s="9">
        <f>IF(AND('بنود العقد'!G48&lt;&gt;"",F48&lt;&gt;""), 'بنود العقد'!G48-F48, "")</f>
        <v>15480</v>
      </c>
      <c r="I48" s="21">
        <f t="shared" si="1"/>
        <v>97.47899159663865</v>
      </c>
    </row>
    <row r="49" spans="1:9" ht="24" customHeight="1">
      <c r="A49" s="12">
        <v>47</v>
      </c>
      <c r="B49" s="20" t="str">
        <f>IF('بنود العقد'!B49&lt;&gt;"", 'بنود العقد'!B49, "")</f>
        <v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2600 مم  GD02باب ضلفتين  نموذج </v>
      </c>
      <c r="C49" s="12" t="str">
        <f>IF('بنود العقد'!C49&lt;&gt;"", 'بنود العقد'!C49, "")</f>
        <v>معماري</v>
      </c>
      <c r="D49" s="9">
        <f>IF('بنود العقد'!F49&lt;&gt;"", 'بنود العقد'!F49, "")</f>
        <v>37</v>
      </c>
      <c r="E49" s="18">
        <f>IF(B49&lt;&gt;"", SUMPRODUCT(('بنود المطالبات'!C$3:C$1805=A49)*'بنود المطالبات'!I$3:I$1805), "")</f>
        <v>36</v>
      </c>
      <c r="F49" s="18">
        <f>IFERROR(IF(AND(E49&lt;&gt;"",'بنود العقد'!E49&lt;&gt;""), E49*'بنود العقد'!E49, 0), 0)</f>
        <v>144720</v>
      </c>
      <c r="G49" s="9">
        <f t="shared" si="0"/>
        <v>1</v>
      </c>
      <c r="H49" s="9">
        <f>IF(AND('بنود العقد'!G49&lt;&gt;"",F49&lt;&gt;""), 'بنود العقد'!G49-F49, "")</f>
        <v>4020</v>
      </c>
      <c r="I49" s="21">
        <f t="shared" si="1"/>
        <v>97.297297297297305</v>
      </c>
    </row>
    <row r="50" spans="1:9" ht="24" customHeight="1">
      <c r="A50" s="12">
        <v>48</v>
      </c>
      <c r="B50" s="20" t="str">
        <f>IF('بنود العقد'!B50&lt;&gt;"", 'بنود العقد'!B50, "")</f>
        <v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2100 مم  GD03باب ضلفتين  نموذج </v>
      </c>
      <c r="C50" s="12" t="str">
        <f>IF('بنود العقد'!C50&lt;&gt;"", 'بنود العقد'!C50, "")</f>
        <v>معماري</v>
      </c>
      <c r="D50" s="9">
        <f>IF('بنود العقد'!F50&lt;&gt;"", 'بنود العقد'!F50, "")</f>
        <v>5</v>
      </c>
      <c r="E50" s="18">
        <f>IF(B50&lt;&gt;"", SUMPRODUCT(('بنود المطالبات'!C$3:C$1805=A50)*'بنود المطالبات'!I$3:I$1805), "")</f>
        <v>6</v>
      </c>
      <c r="F50" s="18">
        <f>IFERROR(IF(AND(E50&lt;&gt;"",'بنود العقد'!E50&lt;&gt;""), E50*'بنود العقد'!E50, 0), 0)</f>
        <v>21600</v>
      </c>
      <c r="G50" s="9">
        <f t="shared" si="0"/>
        <v>-1</v>
      </c>
      <c r="H50" s="9">
        <f>IF(AND('بنود العقد'!G50&lt;&gt;"",F50&lt;&gt;""), 'بنود العقد'!G50-F50, "")</f>
        <v>-3600</v>
      </c>
      <c r="I50" s="21">
        <f t="shared" si="1"/>
        <v>100</v>
      </c>
    </row>
    <row r="51" spans="1:9" ht="24" customHeight="1">
      <c r="A51" s="12">
        <v>49</v>
      </c>
      <c r="B51" s="20" t="str">
        <f>IF('بنود العقد'!B51&lt;&gt;"", 'بنود العقد'!B51,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2000 مم وارتفاع 2200 مم  WD07باب مروحة ضلفتين  نموذج </v>
      </c>
      <c r="C51" s="12" t="str">
        <f>IF('بنود العقد'!C51&lt;&gt;"", 'بنود العقد'!C51, "")</f>
        <v>معماري</v>
      </c>
      <c r="D51" s="9">
        <f>IF('بنود العقد'!F51&lt;&gt;"", 'بنود العقد'!F51, "")</f>
        <v>13</v>
      </c>
      <c r="E51" s="18">
        <f>IF(B51&lt;&gt;"", SUMPRODUCT(('بنود المطالبات'!C$3:C$1805=A51)*'بنود المطالبات'!I$3:I$1805), "")</f>
        <v>20</v>
      </c>
      <c r="F51" s="18">
        <f>IFERROR(IF(AND(E51&lt;&gt;"",'بنود العقد'!E51&lt;&gt;""), E51*'بنود العقد'!E51, 0), 0)</f>
        <v>105600</v>
      </c>
      <c r="G51" s="9">
        <f t="shared" si="0"/>
        <v>-7</v>
      </c>
      <c r="H51" s="9">
        <f>IF(AND('بنود العقد'!G51&lt;&gt;"",F51&lt;&gt;""), 'بنود العقد'!G51-F51, "")</f>
        <v>-36960</v>
      </c>
      <c r="I51" s="21">
        <f t="shared" si="1"/>
        <v>100</v>
      </c>
    </row>
    <row r="52" spans="1:9" ht="24" customHeight="1">
      <c r="A52" s="12">
        <v>50</v>
      </c>
      <c r="B52" s="20" t="str">
        <f>IF('بنود العقد'!B52&lt;&gt;"", 'بنود العقد'!B52,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بعرض1000 مم وارتفاع 2200 مم  WD06باب مروحة ضلفة واحدة  نموذج </v>
      </c>
      <c r="C52" s="12" t="str">
        <f>IF('بنود العقد'!C52&lt;&gt;"", 'بنود العقد'!C52, "")</f>
        <v>معماري</v>
      </c>
      <c r="D52" s="9">
        <f>IF('بنود العقد'!F52&lt;&gt;"", 'بنود العقد'!F52, "")</f>
        <v>13</v>
      </c>
      <c r="E52" s="18">
        <f>IF(B52&lt;&gt;"", SUMPRODUCT(('بنود المطالبات'!C$3:C$1805=A52)*'بنود المطالبات'!I$3:I$1805), "")</f>
        <v>13</v>
      </c>
      <c r="F52" s="18">
        <f>IFERROR(IF(AND(E52&lt;&gt;"",'بنود العقد'!E52&lt;&gt;""), E52*'بنود العقد'!E52, 0), 0)</f>
        <v>31200</v>
      </c>
      <c r="G52" s="9">
        <f t="shared" si="0"/>
        <v>0</v>
      </c>
      <c r="H52" s="9">
        <f>IF(AND('بنود العقد'!G52&lt;&gt;"",F52&lt;&gt;""), 'بنود العقد'!G52-F52, "")</f>
        <v>0</v>
      </c>
      <c r="I52" s="21">
        <f t="shared" si="1"/>
        <v>100</v>
      </c>
    </row>
    <row r="53" spans="1:9" ht="24" customHeight="1">
      <c r="A53" s="12">
        <v>51</v>
      </c>
      <c r="B53" s="20" t="str">
        <f>IF('بنود العقد'!B53&lt;&gt;"", 'بنود العقد'!B53,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WD05باب مروحة ضلفة واحدة  نموذج </v>
      </c>
      <c r="C53" s="12" t="str">
        <f>IF('بنود العقد'!C53&lt;&gt;"", 'بنود العقد'!C53, "")</f>
        <v>معماري</v>
      </c>
      <c r="D53" s="9">
        <f>IF('بنود العقد'!F53&lt;&gt;"", 'بنود العقد'!F53, "")</f>
        <v>47</v>
      </c>
      <c r="E53" s="18">
        <f>IF(B53&lt;&gt;"", SUMPRODUCT(('بنود المطالبات'!C$3:C$1805=A53)*'بنود المطالبات'!I$3:I$1805), "")</f>
        <v>42</v>
      </c>
      <c r="F53" s="18">
        <f>IFERROR(IF(AND(E53&lt;&gt;"",'بنود العقد'!E53&lt;&gt;""), E53*'بنود العقد'!E53, 0), 0)</f>
        <v>100800</v>
      </c>
      <c r="G53" s="9">
        <f t="shared" si="0"/>
        <v>5</v>
      </c>
      <c r="H53" s="9">
        <f>IF(AND('بنود العقد'!G53&lt;&gt;"",F53&lt;&gt;""), 'بنود العقد'!G53-F53, "")</f>
        <v>12000</v>
      </c>
      <c r="I53" s="21">
        <f t="shared" si="1"/>
        <v>89.361702127659569</v>
      </c>
    </row>
    <row r="54" spans="1:9" ht="24" customHeight="1">
      <c r="A54" s="12">
        <v>52</v>
      </c>
      <c r="B54" s="20" t="str">
        <f>IF('بنود العقد'!B54&lt;&gt;"", 'بنود العقد'!B54,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800 مم وارتفاع 2200 مم  WD04باب مروحة ضلفة واحدة  نموذج </v>
      </c>
      <c r="C54" s="12" t="str">
        <f>IF('بنود العقد'!C54&lt;&gt;"", 'بنود العقد'!C54, "")</f>
        <v>معماري</v>
      </c>
      <c r="D54" s="9">
        <f>IF('بنود العقد'!F54&lt;&gt;"", 'بنود العقد'!F54, "")</f>
        <v>48</v>
      </c>
      <c r="E54" s="18">
        <f>IF(B54&lt;&gt;"", SUMPRODUCT(('بنود المطالبات'!C$3:C$1805=A54)*'بنود المطالبات'!I$3:I$1805), "")</f>
        <v>54</v>
      </c>
      <c r="F54" s="18">
        <f>IFERROR(IF(AND(E54&lt;&gt;"",'بنود العقد'!E54&lt;&gt;""), E54*'بنود العقد'!E54, 0), 0)</f>
        <v>129600</v>
      </c>
      <c r="G54" s="9">
        <f t="shared" si="0"/>
        <v>-6</v>
      </c>
      <c r="H54" s="9">
        <f>IF(AND('بنود العقد'!G54&lt;&gt;"",F54&lt;&gt;""), 'بنود العقد'!G54-F54, "")</f>
        <v>-14400</v>
      </c>
      <c r="I54" s="21">
        <f t="shared" si="1"/>
        <v>100</v>
      </c>
    </row>
    <row r="55" spans="1:9" ht="24" customHeight="1">
      <c r="A55" s="12">
        <v>53</v>
      </c>
      <c r="B55" s="20" t="str">
        <f>IF('بنود العقد'!B55&lt;&gt;"", 'بنود العقد'!B55,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1000 مم وارتفاع 3000 مم  WD015باب مروحة ضلفة واحدة  نموذج </v>
      </c>
      <c r="C55" s="12" t="str">
        <f>IF('بنود العقد'!C55&lt;&gt;"", 'بنود العقد'!C55, "")</f>
        <v>معماري</v>
      </c>
      <c r="D55" s="9">
        <f>IF('بنود العقد'!F55&lt;&gt;"", 'بنود العقد'!F55, "")</f>
        <v>1</v>
      </c>
      <c r="E55" s="18">
        <f>IF(B55&lt;&gt;"", SUMPRODUCT(('بنود المطالبات'!C$3:C$1805=A55)*'بنود المطالبات'!I$3:I$1805), "")</f>
        <v>1</v>
      </c>
      <c r="F55" s="18">
        <f>IFERROR(IF(AND(E55&lt;&gt;"",'بنود العقد'!E55&lt;&gt;""), E55*'بنود العقد'!E55, 0), 0)</f>
        <v>3600</v>
      </c>
      <c r="G55" s="9">
        <f t="shared" si="0"/>
        <v>0</v>
      </c>
      <c r="H55" s="9">
        <f>IF(AND('بنود العقد'!G55&lt;&gt;"",F55&lt;&gt;""), 'بنود العقد'!G55-F55, "")</f>
        <v>0</v>
      </c>
      <c r="I55" s="21">
        <f t="shared" si="1"/>
        <v>100</v>
      </c>
    </row>
    <row r="56" spans="1:9" ht="24" customHeight="1">
      <c r="A56" s="12">
        <v>54</v>
      </c>
      <c r="B56" s="20" t="str">
        <f>IF('بنود العقد'!B56&lt;&gt;"", 'بنود العقد'!B56, "")</f>
        <v xml:space="preserve">توريد وتركيب باب من قطاعات الخشب شبه المصمت بسمك 44مم مكون من قواطيع خشب داخليه بحشو  mdf مع قشرة السنديان المطلية بدهان أبيض  والحلق من الخشب السويدي المسطم المقاوم للرطوبة مخفي داخل الواجهة الخشبية والبند يشمل جميع الإكسسوارات اللازمه من مفصلات ودفاش من النوع المخفي ومقابض، 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1000 مم وارتفاع 2200 مم  WD02باب مروحة ضلفة واحدة  نموذج </v>
      </c>
      <c r="C56" s="12" t="str">
        <f>IF('بنود العقد'!C56&lt;&gt;"", 'بنود العقد'!C56, "")</f>
        <v>معماري</v>
      </c>
      <c r="D56" s="9">
        <f>IF('بنود العقد'!F56&lt;&gt;"", 'بنود العقد'!F56, "")</f>
        <v>14</v>
      </c>
      <c r="E56" s="18">
        <f>IF(B56&lt;&gt;"", SUMPRODUCT(('بنود المطالبات'!C$3:C$1805=A56)*'بنود المطالبات'!I$3:I$1805), "")</f>
        <v>0</v>
      </c>
      <c r="F56" s="18">
        <f>IFERROR(IF(AND(E56&lt;&gt;"",'بنود العقد'!E56&lt;&gt;""), E56*'بنود العقد'!E56, 0), 0)</f>
        <v>0</v>
      </c>
      <c r="G56" s="9">
        <f t="shared" si="0"/>
        <v>14</v>
      </c>
      <c r="H56" s="9">
        <f>IF(AND('بنود العقد'!G56&lt;&gt;"",F56&lt;&gt;""), 'بنود العقد'!G56-F56, "")</f>
        <v>36960</v>
      </c>
      <c r="I56" s="21">
        <f t="shared" si="1"/>
        <v>0</v>
      </c>
    </row>
    <row r="57" spans="1:9" ht="24" customHeight="1">
      <c r="A57" s="12">
        <v>55</v>
      </c>
      <c r="B57" s="20" t="str">
        <f>IF('بنود العقد'!B57&lt;&gt;"", 'بنود العقد'!B57, "")</f>
        <v xml:space="preserve">توريد وتركيب باب من قطاعات الخشب شبه المصمت بسمك 44مم مكون من قواطيع خشب داخليه بحشو خفيف mdfوالمطلي بدهان رمادي على هيئة الأسطح الاسمنتية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WD01باب مروحة ضلفة واحدة  نموذج </v>
      </c>
      <c r="C57" s="12" t="str">
        <f>IF('بنود العقد'!C57&lt;&gt;"", 'بنود العقد'!C57, "")</f>
        <v>معماري</v>
      </c>
      <c r="D57" s="9">
        <f>IF('بنود العقد'!F57&lt;&gt;"", 'بنود العقد'!F57, "")</f>
        <v>14</v>
      </c>
      <c r="E57" s="18">
        <f>IF(B57&lt;&gt;"", SUMPRODUCT(('بنود المطالبات'!C$3:C$1805=A57)*'بنود المطالبات'!I$3:I$1805), "")</f>
        <v>15</v>
      </c>
      <c r="F57" s="18">
        <f>IFERROR(IF(AND(E57&lt;&gt;"",'بنود العقد'!E57&lt;&gt;""), E57*'بنود العقد'!E57, 0), 0)</f>
        <v>36000</v>
      </c>
      <c r="G57" s="9">
        <f t="shared" si="0"/>
        <v>-1</v>
      </c>
      <c r="H57" s="9">
        <f>IF(AND('بنود العقد'!G57&lt;&gt;"",F57&lt;&gt;""), 'بنود العقد'!G57-F57, "")</f>
        <v>-2400</v>
      </c>
      <c r="I57" s="21">
        <f t="shared" si="1"/>
        <v>100</v>
      </c>
    </row>
    <row r="58" spans="1:9" ht="24" customHeight="1">
      <c r="A58" s="12">
        <v>56</v>
      </c>
      <c r="B58" s="20" t="str">
        <f>IF('بنود العقد'!B58&lt;&gt;"", 'بنود العقد'!B58, "")</f>
        <v xml:space="preserve">توريد وتركيب باب من قطاعات الخشب شبه المصمت بسمك 44مم مكون من قواطيع خشب داخليه بحشو  mdfوالمطلي بدهان رمادي بيج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بعرض900 مم وارتفاع 2200 مم  WD03باب مروحة ضلفة واحدة  نموذج </v>
      </c>
      <c r="C58" s="12" t="str">
        <f>IF('بنود العقد'!C58&lt;&gt;"", 'بنود العقد'!C58, "")</f>
        <v>معماري</v>
      </c>
      <c r="D58" s="9">
        <f>IF('بنود العقد'!F58&lt;&gt;"", 'بنود العقد'!F58, "")</f>
        <v>32</v>
      </c>
      <c r="E58" s="18">
        <f>IF(B58&lt;&gt;"", SUMPRODUCT(('بنود المطالبات'!C$3:C$1805=A58)*'بنود المطالبات'!I$3:I$1805), "")</f>
        <v>42</v>
      </c>
      <c r="F58" s="18">
        <f>IFERROR(IF(AND(E58&lt;&gt;"",'بنود العقد'!E58&lt;&gt;""), E58*'بنود العقد'!E58, 0), 0)</f>
        <v>100800</v>
      </c>
      <c r="G58" s="9">
        <f t="shared" si="0"/>
        <v>-10</v>
      </c>
      <c r="H58" s="9">
        <f>IF(AND('بنود العقد'!G58&lt;&gt;"",F58&lt;&gt;""), 'بنود العقد'!G58-F58, "")</f>
        <v>-24000</v>
      </c>
      <c r="I58" s="21">
        <f t="shared" si="1"/>
        <v>100</v>
      </c>
    </row>
    <row r="59" spans="1:9" ht="24" customHeight="1">
      <c r="A59" s="12">
        <v>57</v>
      </c>
      <c r="B59" s="20" t="str">
        <f>IF('بنود العقد'!B59&lt;&gt;"", 'بنود العقد'!B59, "")</f>
        <v>توريد وتركيب باب من قطاعات الخشب شبه المصمت بسمك 44مم مكون من قواطيع خشب داخليه بحشو خفيف mdfوالمطلي بدهان أزرق بترولي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Ref drawing: 07-MRA-DD-(as per floor number)-AR-800 بعرض 900 مم وارتفاع 2200 مم  WD08 باب مروحة ضلفة واحدة  نموذج</v>
      </c>
      <c r="C59" s="12" t="str">
        <f>IF('بنود العقد'!C59&lt;&gt;"", 'بنود العقد'!C59, "")</f>
        <v>معماري</v>
      </c>
      <c r="D59" s="9">
        <f>IF('بنود العقد'!F59&lt;&gt;"", 'بنود العقد'!F59, "")</f>
        <v>1</v>
      </c>
      <c r="E59" s="18">
        <f>IF(B59&lt;&gt;"", SUMPRODUCT(('بنود المطالبات'!C$3:C$1805=A59)*'بنود المطالبات'!I$3:I$1805), "")</f>
        <v>0</v>
      </c>
      <c r="F59" s="18">
        <f>IFERROR(IF(AND(E59&lt;&gt;"",'بنود العقد'!E59&lt;&gt;""), E59*'بنود العقد'!E59, 0), 0)</f>
        <v>0</v>
      </c>
      <c r="G59" s="9">
        <f t="shared" si="0"/>
        <v>1</v>
      </c>
      <c r="H59" s="9">
        <f>IF(AND('بنود العقد'!G59&lt;&gt;"",F59&lt;&gt;""), 'بنود العقد'!G59-F59, "")</f>
        <v>2400</v>
      </c>
      <c r="I59" s="21">
        <f t="shared" si="1"/>
        <v>0</v>
      </c>
    </row>
    <row r="60" spans="1:9" ht="24" customHeight="1">
      <c r="A60" s="12">
        <v>58</v>
      </c>
      <c r="B60" s="20" t="str">
        <f>IF('بنود العقد'!B60&lt;&gt;"", 'بنود العقد'!B60, "")</f>
        <v>توريد وتركيب باب من قطاعات الخشب شبه المصمت بسمك 44مم مكون من قواطيع خشب داخليه بحشو خفيف mdfوالمطلي بدهان رمادي فاتح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WD09 باب مروحة ضلفة واحدة  نموذج</v>
      </c>
      <c r="C60" s="12" t="str">
        <f>IF('بنود العقد'!C60&lt;&gt;"", 'بنود العقد'!C60, "")</f>
        <v>معماري</v>
      </c>
      <c r="D60" s="9">
        <f>IF('بنود العقد'!F60&lt;&gt;"", 'بنود العقد'!F60, "")</f>
        <v>1</v>
      </c>
      <c r="E60" s="18">
        <f>IF(B60&lt;&gt;"", SUMPRODUCT(('بنود المطالبات'!C$3:C$1805=A60)*'بنود المطالبات'!I$3:I$1805), "")</f>
        <v>1</v>
      </c>
      <c r="F60" s="18">
        <f>IFERROR(IF(AND(E60&lt;&gt;"",'بنود العقد'!E60&lt;&gt;""), E60*'بنود العقد'!E60, 0), 0)</f>
        <v>2400</v>
      </c>
      <c r="G60" s="9">
        <f t="shared" si="0"/>
        <v>0</v>
      </c>
      <c r="H60" s="9">
        <f>IF(AND('بنود العقد'!G60&lt;&gt;"",F60&lt;&gt;""), 'بنود العقد'!G60-F60, "")</f>
        <v>0</v>
      </c>
      <c r="I60" s="21">
        <f t="shared" si="1"/>
        <v>100</v>
      </c>
    </row>
    <row r="61" spans="1:9" ht="24" customHeight="1">
      <c r="A61" s="12">
        <v>59</v>
      </c>
      <c r="B61" s="20" t="str">
        <f>IF('بنود العقد'!B61&lt;&gt;"", 'بنود العقد'!B61, "")</f>
        <v xml:space="preserve">توريد وتركيب باب من قطاعات الخشب شبه المصمت بسمك 44مم مكون من قواطيع خشب داخليه بحشو  mdf مع قشرة السنديان المطلية بدهان بيج  والحلق من الخشب السويدي المسطم المقاوم للرطوبة مخفي داخل الواجهة الخشبية والبند يشمل جميع الإكسسوارات اللازمه من مفصلات ودفاش من النوع المخفي ومقابض، 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1000 مم وارتفاع 2600 مم  WD010باب مروحة ضلفة واحدة  نموذج </v>
      </c>
      <c r="C61" s="12" t="str">
        <f>IF('بنود العقد'!C61&lt;&gt;"", 'بنود العقد'!C61, "")</f>
        <v>معماري</v>
      </c>
      <c r="D61" s="9">
        <f>IF('بنود العقد'!F61&lt;&gt;"", 'بنود العقد'!F61, "")</f>
        <v>6</v>
      </c>
      <c r="E61" s="18">
        <f>IF(B61&lt;&gt;"", SUMPRODUCT(('بنود المطالبات'!C$3:C$1805=A61)*'بنود المطالبات'!I$3:I$1805), "")</f>
        <v>6</v>
      </c>
      <c r="F61" s="18">
        <f>IFERROR(IF(AND(E61&lt;&gt;"",'بنود العقد'!E61&lt;&gt;""), E61*'بنود العقد'!E61, 0), 0)</f>
        <v>21600</v>
      </c>
      <c r="G61" s="9">
        <f t="shared" si="0"/>
        <v>0</v>
      </c>
      <c r="H61" s="9">
        <f>IF(AND('بنود العقد'!G61&lt;&gt;"",F61&lt;&gt;""), 'بنود العقد'!G61-F61, "")</f>
        <v>0</v>
      </c>
      <c r="I61" s="21">
        <f t="shared" si="1"/>
        <v>100</v>
      </c>
    </row>
    <row r="62" spans="1:9" ht="24" customHeight="1">
      <c r="A62" s="12">
        <v>60</v>
      </c>
      <c r="B62" s="20" t="str">
        <f>IF('بنود العقد'!B62&lt;&gt;"", 'بنود العقد'!B62,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باب مروحة ضلفتين  نموذج 12WD  بعرض 2000 مم وارتفاع 3000 مم )VIP Zone (Ref drawing: 07-MRA-DD-sixth floor-AR-800</v>
      </c>
      <c r="C62" s="12" t="str">
        <f>IF('بنود العقد'!C62&lt;&gt;"", 'بنود العقد'!C62, "")</f>
        <v>معماري</v>
      </c>
      <c r="D62" s="9">
        <f>IF('بنود العقد'!F62&lt;&gt;"", 'بنود العقد'!F62, "")</f>
        <v>7</v>
      </c>
      <c r="E62" s="18">
        <f>IF(B62&lt;&gt;"", SUMPRODUCT(('بنود المطالبات'!C$3:C$1805=A62)*'بنود المطالبات'!I$3:I$1805), "")</f>
        <v>8</v>
      </c>
      <c r="F62" s="18">
        <f>IFERROR(IF(AND(E62&lt;&gt;"",'بنود العقد'!E62&lt;&gt;""), E62*'بنود العقد'!E62, 0), 0)</f>
        <v>45600</v>
      </c>
      <c r="G62" s="9">
        <f t="shared" si="0"/>
        <v>-1</v>
      </c>
      <c r="H62" s="9">
        <f>IF(AND('بنود العقد'!G62&lt;&gt;"",F62&lt;&gt;""), 'بنود العقد'!G62-F62, "")</f>
        <v>-5700</v>
      </c>
      <c r="I62" s="21">
        <f t="shared" si="1"/>
        <v>100</v>
      </c>
    </row>
    <row r="63" spans="1:9" ht="24" customHeight="1">
      <c r="A63" s="12">
        <v>61</v>
      </c>
      <c r="B63" s="20" t="str">
        <f>IF('بنود العقد'!B63&lt;&gt;"", 'بنود العقد'!B63,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باب مروحة ضلفة واحدة  نموذج 11WD  بعرض 1000 مم وارتفاع 3000 مم )VIP Zone(</v>
      </c>
      <c r="C63" s="12" t="str">
        <f>IF('بنود العقد'!C63&lt;&gt;"", 'بنود العقد'!C63, "")</f>
        <v>معماري</v>
      </c>
      <c r="D63" s="9">
        <f>IF('بنود العقد'!F63&lt;&gt;"", 'بنود العقد'!F63, "")</f>
        <v>8</v>
      </c>
      <c r="E63" s="18">
        <f>IF(B63&lt;&gt;"", SUMPRODUCT(('بنود المطالبات'!C$3:C$1805=A63)*'بنود المطالبات'!I$3:I$1805), "")</f>
        <v>10</v>
      </c>
      <c r="F63" s="18">
        <f>IFERROR(IF(AND(E63&lt;&gt;"",'بنود العقد'!E63&lt;&gt;""), E63*'بنود العقد'!E63, 0), 0)</f>
        <v>60000</v>
      </c>
      <c r="G63" s="9">
        <f t="shared" si="0"/>
        <v>-2</v>
      </c>
      <c r="H63" s="9">
        <f>IF(AND('بنود العقد'!G63&lt;&gt;"",F63&lt;&gt;""), 'بنود العقد'!G63-F63, "")</f>
        <v>-12000</v>
      </c>
      <c r="I63" s="21">
        <f t="shared" si="1"/>
        <v>100</v>
      </c>
    </row>
    <row r="64" spans="1:9" ht="24" customHeight="1">
      <c r="A64" s="12">
        <v>62</v>
      </c>
      <c r="B64" s="20" t="str">
        <f>IF('بنود العقد'!B64&lt;&gt;"", 'بنود العقد'!B64,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تصميم على شكل وهيئة الباب   نموذج  WD11 A  بعرض 1000 مم وارتفاع 3000 مم )VIP  )Zone</v>
      </c>
      <c r="C64" s="12" t="str">
        <f>IF('بنود العقد'!C64&lt;&gt;"", 'بنود العقد'!C64, "")</f>
        <v>معماري</v>
      </c>
      <c r="D64" s="9">
        <f>IF('بنود العقد'!F64&lt;&gt;"", 'بنود العقد'!F64, "")</f>
        <v>2</v>
      </c>
      <c r="E64" s="18">
        <f>IF(B64&lt;&gt;"", SUMPRODUCT(('بنود المطالبات'!C$3:C$1805=A64)*'بنود المطالبات'!I$3:I$1805), "")</f>
        <v>2</v>
      </c>
      <c r="F64" s="18">
        <f>IFERROR(IF(AND(E64&lt;&gt;"",'بنود العقد'!E64&lt;&gt;""), E64*'بنود العقد'!E64, 0), 0)</f>
        <v>10800</v>
      </c>
      <c r="G64" s="9">
        <f t="shared" si="0"/>
        <v>0</v>
      </c>
      <c r="H64" s="9">
        <f>IF(AND('بنود العقد'!G64&lt;&gt;"",F64&lt;&gt;""), 'بنود العقد'!G64-F64, "")</f>
        <v>0</v>
      </c>
      <c r="I64" s="21">
        <f t="shared" si="1"/>
        <v>100</v>
      </c>
    </row>
    <row r="65" spans="1:9" ht="24" customHeight="1">
      <c r="A65" s="12">
        <v>63</v>
      </c>
      <c r="B65" s="20" t="str">
        <f>IF('بنود العقد'!B65&lt;&gt;"", 'بنود العقد'!B65,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باب مروحة ضلفة واحدة  نموذج 13WD  بعرض 1000 مم وارتفاع 4000 مم )VIP Zone(</v>
      </c>
      <c r="C65" s="12" t="str">
        <f>IF('بنود العقد'!C65&lt;&gt;"", 'بنود العقد'!C65, "")</f>
        <v>معماري</v>
      </c>
      <c r="D65" s="9">
        <f>IF('بنود العقد'!F65&lt;&gt;"", 'بنود العقد'!F65, "")</f>
        <v>1</v>
      </c>
      <c r="E65" s="18">
        <f>IF(B65&lt;&gt;"", SUMPRODUCT(('بنود المطالبات'!C$3:C$1805=A65)*'بنود المطالبات'!I$3:I$1805), "")</f>
        <v>1</v>
      </c>
      <c r="F65" s="18">
        <f>IFERROR(IF(AND(E65&lt;&gt;"",'بنود العقد'!E65&lt;&gt;""), E65*'بنود العقد'!E65, 0), 0)</f>
        <v>5400</v>
      </c>
      <c r="G65" s="9">
        <f t="shared" si="0"/>
        <v>0</v>
      </c>
      <c r="H65" s="9">
        <f>IF(AND('بنود العقد'!G65&lt;&gt;"",F65&lt;&gt;""), 'بنود العقد'!G65-F65, "")</f>
        <v>0</v>
      </c>
      <c r="I65" s="21">
        <f t="shared" si="1"/>
        <v>100</v>
      </c>
    </row>
    <row r="66" spans="1:9" ht="24" customHeight="1">
      <c r="A66" s="12">
        <v>64</v>
      </c>
      <c r="B66" s="20" t="str">
        <f>IF('بنود العقد'!B66&lt;&gt;"", 'بنود العقد'!B66,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تصميم على شكل وهيئة الباب   نموذج  WD13 A  بعرض 1000 مم وارتفاع 4000 مم )VIP )Zone</v>
      </c>
      <c r="C66" s="12" t="str">
        <f>IF('بنود العقد'!C66&lt;&gt;"", 'بنود العقد'!C66, "")</f>
        <v>معماري</v>
      </c>
      <c r="D66" s="9">
        <f>IF('بنود العقد'!F66&lt;&gt;"", 'بنود العقد'!F66, "")</f>
        <v>1</v>
      </c>
      <c r="E66" s="18">
        <f>IF(B66&lt;&gt;"", SUMPRODUCT(('بنود المطالبات'!C$3:C$1805=A66)*'بنود المطالبات'!I$3:I$1805), "")</f>
        <v>1</v>
      </c>
      <c r="F66" s="18">
        <f>IFERROR(IF(AND(E66&lt;&gt;"",'بنود العقد'!E66&lt;&gt;""), E66*'بنود العقد'!E66, 0), 0)</f>
        <v>5400</v>
      </c>
      <c r="G66" s="9">
        <f t="shared" si="0"/>
        <v>0</v>
      </c>
      <c r="H66" s="9">
        <f>IF(AND('بنود العقد'!G66&lt;&gt;"",F66&lt;&gt;""), 'بنود العقد'!G66-F66, "")</f>
        <v>0</v>
      </c>
      <c r="I66" s="21">
        <f t="shared" si="1"/>
        <v>100</v>
      </c>
    </row>
    <row r="67" spans="1:9" ht="24" customHeight="1">
      <c r="A67" s="12">
        <v>65</v>
      </c>
      <c r="B67" s="20" t="str">
        <f>IF('بنود العقد'!B67&lt;&gt;"", 'بنود العقد'!B67,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باب مروحة ضلفة واحدة  نموذج 14WD  بعرض 900 مم وارتفاع 2400 مم )VIP Zone(</v>
      </c>
      <c r="C67" s="12" t="str">
        <f>IF('بنود العقد'!C67&lt;&gt;"", 'بنود العقد'!C67, "")</f>
        <v>معماري</v>
      </c>
      <c r="D67" s="9">
        <f>IF('بنود العقد'!F67&lt;&gt;"", 'بنود العقد'!F67, "")</f>
        <v>4</v>
      </c>
      <c r="E67" s="18">
        <f>IF(B67&lt;&gt;"", SUMPRODUCT(('بنود المطالبات'!C$3:C$1805=A67)*'بنود المطالبات'!I$3:I$1805), "")</f>
        <v>4</v>
      </c>
      <c r="F67" s="18">
        <f>IFERROR(IF(AND(E67&lt;&gt;"",'بنود العقد'!E67&lt;&gt;""), E67*'بنود العقد'!E67, 0), 0)</f>
        <v>25680</v>
      </c>
      <c r="G67" s="9">
        <f t="shared" ref="G67:G130" si="2">IF(AND(D67&lt;&gt;"",E67&lt;&gt;""), D67-E67, "")</f>
        <v>0</v>
      </c>
      <c r="H67" s="9">
        <f>IF(AND('بنود العقد'!G67&lt;&gt;"",F67&lt;&gt;""), 'بنود العقد'!G67-F67, "")</f>
        <v>0</v>
      </c>
      <c r="I67" s="21">
        <f t="shared" ref="I67:I130" si="3">IFERROR(IF(AND(E67&lt;&gt;"",D67&lt;&gt;"",D67&gt;0), MIN(E67/D67*100, 100), 0), 0)</f>
        <v>100</v>
      </c>
    </row>
    <row r="68" spans="1:9" ht="24" customHeight="1">
      <c r="A68" s="12">
        <v>66</v>
      </c>
      <c r="B68" s="20" t="str">
        <f>IF('بنود العقد'!B68&lt;&gt;"", 'بنود العقد'!B68,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C68" s="12" t="str">
        <f>IF('بنود العقد'!C68&lt;&gt;"", 'بنود العقد'!C68, "")</f>
        <v>معماري</v>
      </c>
      <c r="D68" s="9">
        <f>IF('بنود العقد'!F68&lt;&gt;"", 'بنود العقد'!F68, "")</f>
        <v>4000</v>
      </c>
      <c r="E68" s="18">
        <f>IF(B68&lt;&gt;"", SUMPRODUCT(('بنود المطالبات'!C$3:C$1805=A68)*'بنود المطالبات'!I$3:I$1805), "")</f>
        <v>4505.8100000000004</v>
      </c>
      <c r="F68" s="18">
        <f>IFERROR(IF(AND(E68&lt;&gt;"",'بنود العقد'!E68&lt;&gt;""), E68*'بنود العقد'!E68, 0), 0)</f>
        <v>4055229.0000000005</v>
      </c>
      <c r="G68" s="9">
        <f t="shared" si="2"/>
        <v>-505.8100000000004</v>
      </c>
      <c r="H68" s="9">
        <f>IF(AND('بنود العقد'!G68&lt;&gt;"",F68&lt;&gt;""), 'بنود العقد'!G68-F68, "")</f>
        <v>-455229.00000000047</v>
      </c>
      <c r="I68" s="21">
        <f t="shared" si="3"/>
        <v>100</v>
      </c>
    </row>
    <row r="69" spans="1:9" ht="24" customHeight="1">
      <c r="A69" s="12">
        <v>67</v>
      </c>
      <c r="B69" s="20" t="str">
        <f>IF('بنود العقد'!B69&lt;&gt;"", 'بنود العقد'!B69, "")</f>
        <v xml:space="preserve">توريد وتركيب باب من قطاعات الحديد  بسمك 45 مم مقاوم للحريق 90 دقيقة،  مع طبقة من الصاج سماكة 2مم من الجهتين على اطار معدنى مجوف والسعر يشمل التكسية الخشبية بقشرة الجوز لضلفة الباب والإطار من جهة واحدة..ويشمل التوريد والتركيب والتثبيت  والمفصلات والمقابض   والدفاش والاكسسوارت من اجود الانواع  وكل مايلزم لانهاء العمل على اكمل وجه ة حسب المخططات وتعليمات االمهندس المشرف. Ref. drawing: 07-MRA-DD-(as per floor number)-AR-804 ضلفة واحدة عرض1000مم وإرتفاع 2200مم SD01 باب نموذج </v>
      </c>
      <c r="C69" s="12" t="str">
        <f>IF('بنود العقد'!C69&lt;&gt;"", 'بنود العقد'!C69, "")</f>
        <v>معماري</v>
      </c>
      <c r="D69" s="9">
        <f>IF('بنود العقد'!F69&lt;&gt;"", 'بنود العقد'!F69, "")</f>
        <v>58</v>
      </c>
      <c r="E69" s="18">
        <f>IF(B69&lt;&gt;"", SUMPRODUCT(('بنود المطالبات'!C$3:C$1805=A69)*'بنود المطالبات'!I$3:I$1805), "")</f>
        <v>46</v>
      </c>
      <c r="F69" s="18">
        <f>IFERROR(IF(AND(E69&lt;&gt;"",'بنود العقد'!E69&lt;&gt;""), E69*'بنود العقد'!E69, 0), 0)</f>
        <v>138000</v>
      </c>
      <c r="G69" s="9">
        <f t="shared" si="2"/>
        <v>12</v>
      </c>
      <c r="H69" s="9">
        <f>IF(AND('بنود العقد'!G69&lt;&gt;"",F69&lt;&gt;""), 'بنود العقد'!G69-F69, "")</f>
        <v>36000</v>
      </c>
      <c r="I69" s="21">
        <f t="shared" si="3"/>
        <v>79.310344827586206</v>
      </c>
    </row>
    <row r="70" spans="1:9" ht="24" customHeight="1">
      <c r="A70" s="12">
        <v>68</v>
      </c>
      <c r="B70" s="20" t="str">
        <f>IF('بنود العقد'!B70&lt;&gt;"", 'بنود العقد'!B70, "")</f>
        <v>توريد وتركيب باب من قطاعات الحديد  بسمك 45 مم مقاوم للحريق 90 دقيقة،  مع طبقة من الصاج سماكة 2مم من الجهتين على اطار معدنى مجوف والسعر يشمل التكسية الخشبية بقشرة الجوز لضلفة الباب والإطار من جهة واحدة..ويشمل التوريد والتركيب والتثبيت  والمفصلات والمقابض   والدفاش والاكسسوارت من اجود الانواع  وكل مايلزم لانهاء العمل على اكمل وجه ة حسب المخططات وتعليمات االمهندس المشرف. Ref. drawing: 07-MRA-DD-(as per floor number)-AR-804 ضلفة واحدة عرض1100مم وإرتفاع 2200مم SD02 باب نموذج</v>
      </c>
      <c r="C70" s="12" t="str">
        <f>IF('بنود العقد'!C70&lt;&gt;"", 'بنود العقد'!C70, "")</f>
        <v>معماري</v>
      </c>
      <c r="D70" s="9">
        <f>IF('بنود العقد'!F70&lt;&gt;"", 'بنود العقد'!F70, "")</f>
        <v>1</v>
      </c>
      <c r="E70" s="18">
        <f>IF(B70&lt;&gt;"", SUMPRODUCT(('بنود المطالبات'!C$3:C$1805=A70)*'بنود المطالبات'!I$3:I$1805), "")</f>
        <v>9</v>
      </c>
      <c r="F70" s="18">
        <f>IFERROR(IF(AND(E70&lt;&gt;"",'بنود العقد'!E70&lt;&gt;""), E70*'بنود العقد'!E70, 0), 0)</f>
        <v>27000</v>
      </c>
      <c r="G70" s="9">
        <f t="shared" si="2"/>
        <v>-8</v>
      </c>
      <c r="H70" s="9">
        <f>IF(AND('بنود العقد'!G70&lt;&gt;"",F70&lt;&gt;""), 'بنود العقد'!G70-F70, "")</f>
        <v>-24000</v>
      </c>
      <c r="I70" s="21">
        <f t="shared" si="3"/>
        <v>100</v>
      </c>
    </row>
    <row r="71" spans="1:9" ht="24" customHeight="1">
      <c r="A71" s="12">
        <v>69</v>
      </c>
      <c r="B71" s="20" t="str">
        <f>IF('بنود العقد'!B71&lt;&gt;"", 'بنود العقد'!B71, "")</f>
        <v>تجديد وترميم الأبواب الحديدية وتشمل الأعمال ما يلي: ــ  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ضلفتين عرض2000مم</v>
      </c>
      <c r="C71" s="12" t="str">
        <f>IF('بنود العقد'!C71&lt;&gt;"", 'بنود العقد'!C71, "")</f>
        <v>معماري</v>
      </c>
      <c r="D71" s="9">
        <f>IF('بنود العقد'!F71&lt;&gt;"", 'بنود العقد'!F71, "")</f>
        <v>46</v>
      </c>
      <c r="E71" s="18">
        <f>IF(B71&lt;&gt;"", SUMPRODUCT(('بنود المطالبات'!C$3:C$1805=A71)*'بنود المطالبات'!I$3:I$1805), "")</f>
        <v>42</v>
      </c>
      <c r="F71" s="18">
        <f>IFERROR(IF(AND(E71&lt;&gt;"",'بنود العقد'!E71&lt;&gt;""), E71*'بنود العقد'!E71, 0), 0)</f>
        <v>22680</v>
      </c>
      <c r="G71" s="9">
        <f t="shared" si="2"/>
        <v>4</v>
      </c>
      <c r="H71" s="9">
        <f>IF(AND('بنود العقد'!G71&lt;&gt;"",F71&lt;&gt;""), 'بنود العقد'!G71-F71, "")</f>
        <v>2160</v>
      </c>
      <c r="I71" s="21">
        <f t="shared" si="3"/>
        <v>91.304347826086953</v>
      </c>
    </row>
    <row r="72" spans="1:9" ht="24" customHeight="1">
      <c r="A72" s="12">
        <v>70</v>
      </c>
      <c r="B72" s="20" t="str">
        <f>IF('بنود العقد'!B72&lt;&gt;"", 'بنود العقد'!B72, "")</f>
        <v>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ضلفة واحدة عرض1000مم</v>
      </c>
      <c r="C72" s="12" t="str">
        <f>IF('بنود العقد'!C72&lt;&gt;"", 'بنود العقد'!C72, "")</f>
        <v>معماري</v>
      </c>
      <c r="D72" s="9">
        <f>IF('بنود العقد'!F72&lt;&gt;"", 'بنود العقد'!F72, "")</f>
        <v>52</v>
      </c>
      <c r="E72" s="18">
        <f>IF(B72&lt;&gt;"", SUMPRODUCT(('بنود المطالبات'!C$3:C$1805=A72)*'بنود المطالبات'!I$3:I$1805), "")</f>
        <v>51</v>
      </c>
      <c r="F72" s="18">
        <f>IFERROR(IF(AND(E72&lt;&gt;"",'بنود العقد'!E72&lt;&gt;""), E72*'بنود العقد'!E72, 0), 0)</f>
        <v>18360</v>
      </c>
      <c r="G72" s="9">
        <f t="shared" si="2"/>
        <v>1</v>
      </c>
      <c r="H72" s="9">
        <f>IF(AND('بنود العقد'!G72&lt;&gt;"",F72&lt;&gt;""), 'بنود العقد'!G72-F72, "")</f>
        <v>360</v>
      </c>
      <c r="I72" s="21">
        <f t="shared" si="3"/>
        <v>98.076923076923066</v>
      </c>
    </row>
    <row r="73" spans="1:9" ht="24" customHeight="1">
      <c r="A73" s="12">
        <v>71</v>
      </c>
      <c r="B73" s="20" t="str">
        <f>IF('بنود العقد'!B73&lt;&gt;"", 'بنود العقد'!B73, "")</f>
        <v>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ضلفة واحدة عرض800مم</v>
      </c>
      <c r="C73" s="12" t="str">
        <f>IF('بنود العقد'!C73&lt;&gt;"", 'بنود العقد'!C73, "")</f>
        <v>معماري</v>
      </c>
      <c r="D73" s="9">
        <f>IF('بنود العقد'!F73&lt;&gt;"", 'بنود العقد'!F73, "")</f>
        <v>23</v>
      </c>
      <c r="E73" s="18">
        <f>IF(B73&lt;&gt;"", SUMPRODUCT(('بنود المطالبات'!C$3:C$1805=A73)*'بنود المطالبات'!I$3:I$1805), "")</f>
        <v>21</v>
      </c>
      <c r="F73" s="18">
        <f>IFERROR(IF(AND(E73&lt;&gt;"",'بنود العقد'!E73&lt;&gt;""), E73*'بنود العقد'!E73, 0), 0)</f>
        <v>7560</v>
      </c>
      <c r="G73" s="9">
        <f t="shared" si="2"/>
        <v>2</v>
      </c>
      <c r="H73" s="9">
        <f>IF(AND('بنود العقد'!G73&lt;&gt;"",F73&lt;&gt;""), 'بنود العقد'!G73-F73, "")</f>
        <v>720</v>
      </c>
      <c r="I73" s="21">
        <f t="shared" si="3"/>
        <v>91.304347826086953</v>
      </c>
    </row>
    <row r="74" spans="1:9" ht="24" customHeight="1">
      <c r="A74" s="12">
        <v>72</v>
      </c>
      <c r="B74" s="20" t="str">
        <f>IF('بنود العقد'!B74&lt;&gt;"", 'بنود العقد'!B74, "")</f>
        <v>طبقة من اللياسة الأسمنتية فوق الأسطح الخرسانية والجدران الداخلية  بسمك متوسط 20 مم على طبقات  طرطشة بسمك 5 مم وضهارة 15 مم حسب المواصفات مع المعالجة اليومية  بالمياه لمنع التنميلات ويتم عمل افريز بين البلوك والخرسانة يملئ بمواد قابلة للدهان والسعر يشمل كامل الأكسسوارات اللازمة من شبك معدني ممدد وزوايا ونهايات معدنية  ومواد الترابط  وعمل تجاويف في طبقة اللياسة بعمق 10مم عرض 10مم  في الاعمدة  وفي الجدران ان وجدت حسب الرسومات والمناظير وتعليمات المهندس المشرف ذلك حسب الاصول الفنية وتعليمات المهندس المشرف. لياسة الجدران والأعمدة الداخلية  وتشمل جميع الإكسسوارات بإرتفاع 20 سم أعلي الأسقف الجبسيه لزوم الجدران الداخلية</v>
      </c>
      <c r="C74" s="12" t="str">
        <f>IF('بنود العقد'!C74&lt;&gt;"", 'بنود العقد'!C74, "")</f>
        <v>معماري</v>
      </c>
      <c r="D74" s="9">
        <f>IF('بنود العقد'!F74&lt;&gt;"", 'بنود العقد'!F74, "")</f>
        <v>758</v>
      </c>
      <c r="E74" s="18">
        <f>IF(B74&lt;&gt;"", SUMPRODUCT(('بنود المطالبات'!C$3:C$1805=A74)*'بنود المطالبات'!I$3:I$1805), "")</f>
        <v>9925.9540000000015</v>
      </c>
      <c r="F74" s="18">
        <f>IFERROR(IF(AND(E74&lt;&gt;"",'بنود العقد'!E74&lt;&gt;""), E74*'بنود العقد'!E74, 0), 0)</f>
        <v>416890.06800000009</v>
      </c>
      <c r="G74" s="9">
        <f t="shared" si="2"/>
        <v>-9167.9540000000015</v>
      </c>
      <c r="H74" s="9">
        <f>IF(AND('بنود العقد'!G74&lt;&gt;"",F74&lt;&gt;""), 'بنود العقد'!G74-F74, "")</f>
        <v>-385054.06800000009</v>
      </c>
      <c r="I74" s="21">
        <f t="shared" si="3"/>
        <v>100</v>
      </c>
    </row>
    <row r="75" spans="1:9" ht="24" customHeight="1">
      <c r="A75" s="12">
        <v>73</v>
      </c>
      <c r="B75" s="20" t="str">
        <f>IF('بنود العقد'!B75&lt;&gt;"", 'بنود العقد'!B75, "")</f>
        <v xml:space="preserve">توريد وتركيب قاطع جداري ثخانة 100مم ذو الواح اسمنتية مقاوم للحريق  ثخانة 12مم تركب من الجهتين )طبقات مزدوجة(  لدورات المياه والأوفيس ويشمل المسامير المعدنية و المزالج / الأعضاء المعدنية الساندة والسكك والغطاء العازل للصوت )صوف صخري( وكل الاكسسوارات حسب المخطط والمواصفات وتعليمات المهندس المشرف. </v>
      </c>
      <c r="C75" s="12" t="str">
        <f>IF('بنود العقد'!C75&lt;&gt;"", 'بنود العقد'!C75, "")</f>
        <v>معماري</v>
      </c>
      <c r="D75" s="9">
        <f>IF('بنود العقد'!F75&lt;&gt;"", 'بنود العقد'!F75, "")</f>
        <v>3507</v>
      </c>
      <c r="E75" s="18">
        <f>IF(B75&lt;&gt;"", SUMPRODUCT(('بنود المطالبات'!C$3:C$1805=A75)*'بنود المطالبات'!I$3:I$1805), "")</f>
        <v>372.88</v>
      </c>
      <c r="F75" s="18">
        <f>IFERROR(IF(AND(E75&lt;&gt;"",'بنود العقد'!E75&lt;&gt;""), E75*'بنود العقد'!E75, 0), 0)</f>
        <v>67118.399999999994</v>
      </c>
      <c r="G75" s="9">
        <f t="shared" si="2"/>
        <v>3134.12</v>
      </c>
      <c r="H75" s="9">
        <f>IF(AND('بنود العقد'!G75&lt;&gt;"",F75&lt;&gt;""), 'بنود العقد'!G75-F75, "")</f>
        <v>564141.6</v>
      </c>
      <c r="I75" s="21">
        <f t="shared" si="3"/>
        <v>10.632449386940404</v>
      </c>
    </row>
    <row r="76" spans="1:9" ht="24" customHeight="1">
      <c r="A76" s="12">
        <v>74</v>
      </c>
      <c r="B76" s="20" t="str">
        <f>IF('بنود العقد'!B76&lt;&gt;"", 'بنود العقد'!B76, "")</f>
        <v>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v>
      </c>
      <c r="C76" s="12" t="str">
        <f>IF('بنود العقد'!C76&lt;&gt;"", 'بنود العقد'!C76, "")</f>
        <v>معماري</v>
      </c>
      <c r="D76" s="9">
        <f>IF('بنود العقد'!F76&lt;&gt;"", 'بنود العقد'!F76, "")</f>
        <v>12526</v>
      </c>
      <c r="E76" s="18">
        <f>IF(B76&lt;&gt;"", SUMPRODUCT(('بنود المطالبات'!C$3:C$1805=A76)*'بنود المطالبات'!I$3:I$1805), "")</f>
        <v>13229.13</v>
      </c>
      <c r="F76" s="18">
        <f>IFERROR(IF(AND(E76&lt;&gt;"",'بنود العقد'!E76&lt;&gt;""), E76*'بنود العقد'!E76, 0), 0)</f>
        <v>2381243.4</v>
      </c>
      <c r="G76" s="9">
        <f t="shared" si="2"/>
        <v>-703.1299999999992</v>
      </c>
      <c r="H76" s="9">
        <f>IF(AND('بنود العقد'!G76&lt;&gt;"",F76&lt;&gt;""), 'بنود العقد'!G76-F76, "")</f>
        <v>-126563.39999999991</v>
      </c>
      <c r="I76" s="21">
        <f t="shared" si="3"/>
        <v>100</v>
      </c>
    </row>
    <row r="77" spans="1:9" ht="24" customHeight="1">
      <c r="A77" s="12">
        <v>75</v>
      </c>
      <c r="B77" s="20" t="str">
        <f>IF('بنود العقد'!B77&lt;&gt;"", 'بنود العقد'!B77, "")</f>
        <v>توريد وتركيب أسقف معلقة من الالواح الجبسيه )01-GBC( ثخانة 12 مم المقاومة للحريق شاملة نظام التعليق وضبط الحواف والزوايا وأبواب لفتحات الكشف بالأسقف لأعمال الصيانة )أبواب جاهزة من النوع السهل الاستعمال والمزود بمفصلات مخفية( والإكسسوارات. ويشمل السعر أي مواد أو أعمال يتطلبها استكمال العمل حسب المواصفات والمخططات.</v>
      </c>
      <c r="C77" s="12" t="str">
        <f>IF('بنود العقد'!C77&lt;&gt;"", 'بنود العقد'!C77, "")</f>
        <v>معماري</v>
      </c>
      <c r="D77" s="9">
        <f>IF('بنود العقد'!F77&lt;&gt;"", 'بنود العقد'!F77, "")</f>
        <v>24468</v>
      </c>
      <c r="E77" s="18">
        <f>IF(B77&lt;&gt;"", SUMPRODUCT(('بنود المطالبات'!C$3:C$1805=A77)*'بنود المطالبات'!I$3:I$1805), "")</f>
        <v>24813.990070000003</v>
      </c>
      <c r="F77" s="18">
        <f>IFERROR(IF(AND(E77&lt;&gt;"",'بنود العقد'!E77&lt;&gt;""), E77*'بنود العقد'!E77, 0), 0)</f>
        <v>3722098.5105000003</v>
      </c>
      <c r="G77" s="9">
        <f t="shared" si="2"/>
        <v>-345.99007000000347</v>
      </c>
      <c r="H77" s="9">
        <f>IF(AND('بنود العقد'!G77&lt;&gt;"",F77&lt;&gt;""), 'بنود العقد'!G77-F77, "")</f>
        <v>-51898.510500000324</v>
      </c>
      <c r="I77" s="21">
        <f t="shared" si="3"/>
        <v>100</v>
      </c>
    </row>
    <row r="78" spans="1:9" ht="24" customHeight="1">
      <c r="A78" s="12">
        <v>76</v>
      </c>
      <c r="B78" s="20" t="str">
        <f>IF('بنود العقد'!B78&lt;&gt;"", 'بنود العقد'!B78, "")</f>
        <v>توريد وتركيب أسقف معلقة من الالواح الجبسيه  )02-GBC( ثخانة 12 مم المقاومة للرطوبة شاملة نظام التعليق وضبط الحواف والزوايا وأبواب لفتحات الكشف بالأسقف لأعمال الصيانة )أبواب جاهزة من النوع السهل الاستعمال والمزود بمفصلات مخفية( واالإكسسوارات. ويشمل السعر أي مواد أو أعمال يتطلبها استكمال العمل حسب المواصفات والمخططات وتعليمات المهندس المشرف.</v>
      </c>
      <c r="C78" s="12" t="str">
        <f>IF('بنود العقد'!C78&lt;&gt;"", 'بنود العقد'!C78, "")</f>
        <v>معماري</v>
      </c>
      <c r="D78" s="9">
        <f>IF('بنود العقد'!F78&lt;&gt;"", 'بنود العقد'!F78, "")</f>
        <v>1091</v>
      </c>
      <c r="E78" s="18">
        <f>IF(B78&lt;&gt;"", SUMPRODUCT(('بنود المطالبات'!C$3:C$1805=A78)*'بنود المطالبات'!I$3:I$1805), "")</f>
        <v>1202.82</v>
      </c>
      <c r="F78" s="18">
        <f>IFERROR(IF(AND(E78&lt;&gt;"",'بنود العقد'!E78&lt;&gt;""), E78*'بنود العقد'!E78, 0), 0)</f>
        <v>180423</v>
      </c>
      <c r="G78" s="9">
        <f t="shared" si="2"/>
        <v>-111.81999999999994</v>
      </c>
      <c r="H78" s="9">
        <f>IF(AND('بنود العقد'!G78&lt;&gt;"",F78&lt;&gt;""), 'بنود العقد'!G78-F78, "")</f>
        <v>-16773</v>
      </c>
      <c r="I78" s="21">
        <f t="shared" si="3"/>
        <v>100</v>
      </c>
    </row>
    <row r="79" spans="1:9" ht="24" customHeight="1">
      <c r="A79" s="12">
        <v>77</v>
      </c>
      <c r="B79" s="20" t="str">
        <f>IF('بنود العقد'!B79&lt;&gt;"", 'بنود العقد'!B79, "")</f>
        <v>600×600مم توريد وتركيب اسقف اصطناعية  والسعر يشمل نظام التعليق من الحديد المجفلن مع جميع الاكسسوارات وكل مايلزم حسب المواصفات والمخططات وتعليمات الشركة المصنعة .</v>
      </c>
      <c r="C79" s="12" t="str">
        <f>IF('بنود العقد'!C79&lt;&gt;"", 'بنود العقد'!C79, "")</f>
        <v>معماري</v>
      </c>
      <c r="D79" s="9">
        <f>IF('بنود العقد'!F79&lt;&gt;"", 'بنود العقد'!F79, "")</f>
        <v>3323</v>
      </c>
      <c r="E79" s="18">
        <f>IF(B79&lt;&gt;"", SUMPRODUCT(('بنود المطالبات'!C$3:C$1805=A79)*'بنود المطالبات'!I$3:I$1805), "")</f>
        <v>3082.1</v>
      </c>
      <c r="F79" s="18">
        <f>IFERROR(IF(AND(E79&lt;&gt;"",'بنود العقد'!E79&lt;&gt;""), E79*'بنود العقد'!E79, 0), 0)</f>
        <v>462315</v>
      </c>
      <c r="G79" s="9">
        <f t="shared" si="2"/>
        <v>240.90000000000009</v>
      </c>
      <c r="H79" s="9">
        <f>IF(AND('بنود العقد'!G79&lt;&gt;"",F79&lt;&gt;""), 'بنود العقد'!G79-F79, "")</f>
        <v>36135</v>
      </c>
      <c r="I79" s="21">
        <f t="shared" si="3"/>
        <v>92.750526632560934</v>
      </c>
    </row>
    <row r="80" spans="1:9" ht="24" customHeight="1">
      <c r="A80" s="12">
        <v>78</v>
      </c>
      <c r="B80" s="20" t="str">
        <f>IF('بنود العقد'!B80&lt;&gt;"", 'بنود العقد'!B80, "")</f>
        <v>توريد وتركيب اسقف معدنية على شكل مربعات بشكل سماكة 5سم)grey color powder coated( ، وفتحات على شكل مثلث مع اضاءة مخفية مغلفة من الاعلى بطبقة Acrylic شفاف مغشى سماكة 4مم مثبتة بنظام تعليق متصلة بالسقف الخرساني حسب الرسومات والمناظير.01-Code MTL</v>
      </c>
      <c r="C80" s="12" t="str">
        <f>IF('بنود العقد'!C80&lt;&gt;"", 'بنود العقد'!C80, "")</f>
        <v>معماري</v>
      </c>
      <c r="D80" s="9">
        <f>IF('بنود العقد'!F80&lt;&gt;"", 'بنود العقد'!F80, "")</f>
        <v>278</v>
      </c>
      <c r="E80" s="18">
        <f>IF(B80&lt;&gt;"", SUMPRODUCT(('بنود المطالبات'!C$3:C$1805=A80)*'بنود المطالبات'!I$3:I$1805), "")</f>
        <v>0</v>
      </c>
      <c r="F80" s="18">
        <f>IFERROR(IF(AND(E80&lt;&gt;"",'بنود العقد'!E80&lt;&gt;""), E80*'بنود العقد'!E80, 0), 0)</f>
        <v>0</v>
      </c>
      <c r="G80" s="9">
        <f t="shared" si="2"/>
        <v>278</v>
      </c>
      <c r="H80" s="9">
        <f>IF(AND('بنود العقد'!G80&lt;&gt;"",F80&lt;&gt;""), 'بنود العقد'!G80-F80, "")</f>
        <v>41700</v>
      </c>
      <c r="I80" s="21">
        <f t="shared" si="3"/>
        <v>0</v>
      </c>
    </row>
    <row r="81" spans="1:9" ht="24" customHeight="1">
      <c r="A81" s="12">
        <v>79</v>
      </c>
      <c r="B81" s="20" t="str">
        <f>IF('بنود العقد'!B81&lt;&gt;"", 'بنود العقد'!B81, "")</f>
        <v xml:space="preserve"> أرضيات بورسلان 01-PT مقاس 600×600×12مم فرز اول بالمقاسات والالوان المطلوبة لدورات المياه الخاصة بمكاتب الوكلاء ومساعدين الوكلاء العامة ومنطقة التنفيذيين بالدور السادس  طبقاً للمخططات والمواصفات.</v>
      </c>
      <c r="C81" s="12" t="str">
        <f>IF('بنود العقد'!C81&lt;&gt;"", 'بنود العقد'!C81, "")</f>
        <v>معماري</v>
      </c>
      <c r="D81" s="9">
        <f>IF('بنود العقد'!F81&lt;&gt;"", 'بنود العقد'!F81, "")</f>
        <v>140</v>
      </c>
      <c r="E81" s="18">
        <f>IF(B81&lt;&gt;"", SUMPRODUCT(('بنود المطالبات'!C$3:C$1805=A81)*'بنود المطالبات'!I$3:I$1805), "")</f>
        <v>125.5</v>
      </c>
      <c r="F81" s="18">
        <f>IFERROR(IF(AND(E81&lt;&gt;"",'بنود العقد'!E81&lt;&gt;""), E81*'بنود العقد'!E81, 0), 0)</f>
        <v>15060</v>
      </c>
      <c r="G81" s="9">
        <f t="shared" si="2"/>
        <v>14.5</v>
      </c>
      <c r="H81" s="9">
        <f>IF(AND('بنود العقد'!G81&lt;&gt;"",F81&lt;&gt;""), 'بنود العقد'!G81-F81, "")</f>
        <v>1740</v>
      </c>
      <c r="I81" s="21">
        <f t="shared" si="3"/>
        <v>89.642857142857153</v>
      </c>
    </row>
    <row r="82" spans="1:9" ht="24" customHeight="1">
      <c r="A82" s="12">
        <v>80</v>
      </c>
      <c r="B82" s="20" t="str">
        <f>IF('بنود العقد'!B82&lt;&gt;"", 'بنود العقد'!B82, "")</f>
        <v xml:space="preserve"> أرضيات بورسلان 02-PTمقاس 600×600×12مم فرز اول بالمقاسات والالوان المطلوبة لدورات المياه الخاصة بمكاتب المدراء العامين  طبقاً للمخططات والمواصفات.</v>
      </c>
      <c r="C82" s="12" t="str">
        <f>IF('بنود العقد'!C82&lt;&gt;"", 'بنود العقد'!C82, "")</f>
        <v>معماري</v>
      </c>
      <c r="D82" s="9">
        <f>IF('بنود العقد'!F82&lt;&gt;"", 'بنود العقد'!F82, "")</f>
        <v>246</v>
      </c>
      <c r="E82" s="18">
        <f>IF(B82&lt;&gt;"", SUMPRODUCT(('بنود المطالبات'!C$3:C$1805=A82)*'بنود المطالبات'!I$3:I$1805), "")</f>
        <v>224.51</v>
      </c>
      <c r="F82" s="18">
        <f>IFERROR(IF(AND(E82&lt;&gt;"",'بنود العقد'!E82&lt;&gt;""), E82*'بنود العقد'!E82, 0), 0)</f>
        <v>26941.199999999997</v>
      </c>
      <c r="G82" s="9">
        <f t="shared" si="2"/>
        <v>21.490000000000009</v>
      </c>
      <c r="H82" s="9">
        <f>IF(AND('بنود العقد'!G82&lt;&gt;"",F82&lt;&gt;""), 'بنود العقد'!G82-F82, "")</f>
        <v>2578.8000000000029</v>
      </c>
      <c r="I82" s="21">
        <f t="shared" si="3"/>
        <v>91.264227642276424</v>
      </c>
    </row>
    <row r="83" spans="1:9" ht="24" customHeight="1">
      <c r="A83" s="12">
        <v>81</v>
      </c>
      <c r="B83" s="20" t="str">
        <f>IF('بنود العقد'!B83&lt;&gt;"", 'بنود العقد'!B83, "")</f>
        <v xml:space="preserve"> أرضيات بورسلان03-PT مقاس 600×600×12مم فرز ثاني بالمقاسات والالوان المطلوبة لدورات المياة العامة  طبقاً للمخططات والمواصفات.</v>
      </c>
      <c r="C83" s="12" t="str">
        <f>IF('بنود العقد'!C83&lt;&gt;"", 'بنود العقد'!C83, "")</f>
        <v>معماري</v>
      </c>
      <c r="D83" s="9">
        <f>IF('بنود العقد'!F83&lt;&gt;"", 'بنود العقد'!F83, "")</f>
        <v>1407</v>
      </c>
      <c r="E83" s="18">
        <f>IF(B83&lt;&gt;"", SUMPRODUCT(('بنود المطالبات'!C$3:C$1805=A83)*'بنود المطالبات'!I$3:I$1805), "")</f>
        <v>1536.9202500000001</v>
      </c>
      <c r="F83" s="18">
        <f>IFERROR(IF(AND(E83&lt;&gt;"",'بنود العقد'!E83&lt;&gt;""), E83*'بنود العقد'!E83, 0), 0)</f>
        <v>184430.43000000002</v>
      </c>
      <c r="G83" s="9">
        <f t="shared" si="2"/>
        <v>-129.92025000000012</v>
      </c>
      <c r="H83" s="9">
        <f>IF(AND('بنود العقد'!G83&lt;&gt;"",F83&lt;&gt;""), 'بنود العقد'!G83-F83, "")</f>
        <v>-15590.430000000022</v>
      </c>
      <c r="I83" s="21">
        <f t="shared" si="3"/>
        <v>100</v>
      </c>
    </row>
    <row r="84" spans="1:9" ht="24" customHeight="1">
      <c r="A84" s="12">
        <v>82</v>
      </c>
      <c r="B84" s="20" t="str">
        <f>IF('بنود العقد'!B84&lt;&gt;"", 'بنود العقد'!B84, "")</f>
        <v xml:space="preserve"> أرضيات بورسلان04-PT مقاس 600×600×12مم فرز ثاني بالمقاسات والالوان المطلوبة لغرف الأرشيف والمخازن والمطبخ طبقاً للمخططات والمواصفات.</v>
      </c>
      <c r="C84" s="12" t="str">
        <f>IF('بنود العقد'!C84&lt;&gt;"", 'بنود العقد'!C84, "")</f>
        <v>معماري</v>
      </c>
      <c r="D84" s="9">
        <f>IF('بنود العقد'!F84&lt;&gt;"", 'بنود العقد'!F84, "")</f>
        <v>735</v>
      </c>
      <c r="E84" s="18">
        <f>IF(B84&lt;&gt;"", SUMPRODUCT(('بنود المطالبات'!C$3:C$1805=A84)*'بنود المطالبات'!I$3:I$1805), "")</f>
        <v>167.25</v>
      </c>
      <c r="F84" s="18">
        <f>IFERROR(IF(AND(E84&lt;&gt;"",'بنود العقد'!E84&lt;&gt;""), E84*'بنود العقد'!E84, 0), 0)</f>
        <v>20070</v>
      </c>
      <c r="G84" s="9">
        <f t="shared" si="2"/>
        <v>567.75</v>
      </c>
      <c r="H84" s="9">
        <f>IF(AND('بنود العقد'!G84&lt;&gt;"",F84&lt;&gt;""), 'بنود العقد'!G84-F84, "")</f>
        <v>68130</v>
      </c>
      <c r="I84" s="21">
        <f t="shared" si="3"/>
        <v>22.755102040816329</v>
      </c>
    </row>
    <row r="85" spans="1:9" ht="24" customHeight="1">
      <c r="A85" s="12">
        <v>83</v>
      </c>
      <c r="B85" s="20" t="str">
        <f>IF('بنود العقد'!B85&lt;&gt;"", 'بنود العقد'!B85, "")</f>
        <v xml:space="preserve"> جدران بورسلان(PW-01(type A,B &amp;C مقاس 600×300×12مم فرز اول بالمقاسات والالوان المطلوبة لدورات المياه الخاصة بمكاتب الوكلاء ومساعدين الوكلاء العامة ومنطقة التنفيذيين بالدور السادس  طبقاً للمخططات والمواصفات.</v>
      </c>
      <c r="C85" s="12" t="str">
        <f>IF('بنود العقد'!C85&lt;&gt;"", 'بنود العقد'!C85, "")</f>
        <v>معماري</v>
      </c>
      <c r="D85" s="9">
        <f>IF('بنود العقد'!F85&lt;&gt;"", 'بنود العقد'!F85, "")</f>
        <v>571</v>
      </c>
      <c r="E85" s="18">
        <f>IF(B85&lt;&gt;"", SUMPRODUCT(('بنود المطالبات'!C$3:C$1805=A85)*'بنود المطالبات'!I$3:I$1805), "")</f>
        <v>0</v>
      </c>
      <c r="F85" s="18">
        <f>IFERROR(IF(AND(E85&lt;&gt;"",'بنود العقد'!E85&lt;&gt;""), E85*'بنود العقد'!E85, 0), 0)</f>
        <v>0</v>
      </c>
      <c r="G85" s="9">
        <f t="shared" si="2"/>
        <v>571</v>
      </c>
      <c r="H85" s="9">
        <f>IF(AND('بنود العقد'!G85&lt;&gt;"",F85&lt;&gt;""), 'بنود العقد'!G85-F85, "")</f>
        <v>68520</v>
      </c>
      <c r="I85" s="21">
        <f t="shared" si="3"/>
        <v>0</v>
      </c>
    </row>
    <row r="86" spans="1:9" ht="24" customHeight="1">
      <c r="A86" s="12">
        <v>84</v>
      </c>
      <c r="B86" s="20" t="str">
        <f>IF('بنود العقد'!B86&lt;&gt;"", 'بنود العقد'!B86, "")</f>
        <v xml:space="preserve"> جدران بورسلان(PW-02(type A&amp;B مقاس 600×300×12مم فرز اول بالمقاسات والالوان المطلوبة لدورات المياه الخاصة بمكاتب المدراء العامين  طبقاً للمخططات والمواصفات.</v>
      </c>
      <c r="C86" s="12" t="str">
        <f>IF('بنود العقد'!C86&lt;&gt;"", 'بنود العقد'!C86, "")</f>
        <v>معماري</v>
      </c>
      <c r="D86" s="9">
        <f>IF('بنود العقد'!F86&lt;&gt;"", 'بنود العقد'!F86, "")</f>
        <v>791</v>
      </c>
      <c r="E86" s="18">
        <f>IF(B86&lt;&gt;"", SUMPRODUCT(('بنود المطالبات'!C$3:C$1805=A86)*'بنود المطالبات'!I$3:I$1805), "")</f>
        <v>0</v>
      </c>
      <c r="F86" s="18">
        <f>IFERROR(IF(AND(E86&lt;&gt;"",'بنود العقد'!E86&lt;&gt;""), E86*'بنود العقد'!E86, 0), 0)</f>
        <v>0</v>
      </c>
      <c r="G86" s="9">
        <f t="shared" si="2"/>
        <v>791</v>
      </c>
      <c r="H86" s="9">
        <f>IF(AND('بنود العقد'!G86&lt;&gt;"",F86&lt;&gt;""), 'بنود العقد'!G86-F86, "")</f>
        <v>94920</v>
      </c>
      <c r="I86" s="21">
        <f t="shared" si="3"/>
        <v>0</v>
      </c>
    </row>
    <row r="87" spans="1:9" ht="24" customHeight="1">
      <c r="A87" s="12">
        <v>85</v>
      </c>
      <c r="B87" s="20" t="str">
        <f>IF('بنود العقد'!B87&lt;&gt;"", 'بنود العقد'!B87, "")</f>
        <v xml:space="preserve"> جدران بورسلان (PW-03(type A&amp;B  مقاس 600×300×12مم فرز ثاني بالمقاسات والالوان المطلوبة لدورات المياة العامة  طبقاً للمخططات والمواصفات.</v>
      </c>
      <c r="C87" s="12" t="str">
        <f>IF('بنود العقد'!C87&lt;&gt;"", 'بنود العقد'!C87, "")</f>
        <v>معماري</v>
      </c>
      <c r="D87" s="9">
        <f>IF('بنود العقد'!F87&lt;&gt;"", 'بنود العقد'!F87, "")</f>
        <v>2648</v>
      </c>
      <c r="E87" s="18">
        <f>IF(B87&lt;&gt;"", SUMPRODUCT(('بنود المطالبات'!C$3:C$1805=A87)*'بنود المطالبات'!I$3:I$1805), "")</f>
        <v>2275.16</v>
      </c>
      <c r="F87" s="18">
        <f>IFERROR(IF(AND(E87&lt;&gt;"",'بنود العقد'!E87&lt;&gt;""), E87*'بنود العقد'!E87, 0), 0)</f>
        <v>218415.35999999999</v>
      </c>
      <c r="G87" s="9">
        <f t="shared" si="2"/>
        <v>372.84000000000015</v>
      </c>
      <c r="H87" s="9">
        <f>IF(AND('بنود العقد'!G87&lt;&gt;"",F87&lt;&gt;""), 'بنود العقد'!G87-F87, "")</f>
        <v>35792.640000000014</v>
      </c>
      <c r="I87" s="21">
        <f t="shared" si="3"/>
        <v>85.919939577039273</v>
      </c>
    </row>
    <row r="88" spans="1:9" ht="24" customHeight="1">
      <c r="A88" s="12">
        <v>86</v>
      </c>
      <c r="B88" s="20" t="str">
        <f>IF('بنود العقد'!B88&lt;&gt;"", 'بنود العقد'!B88, "")</f>
        <v xml:space="preserve"> وزرة من بورسلان بسماكة 12مم  100*600 مم والسعر يشمل التثبيت  بالغراء والشطف وكل ما يلزم لانهاء العمل حسب الاصول الفنية وتعليمات المهندس المشرف.Ref. Drawings: 07-MRA-DD-(as per floor number)-AR-300</v>
      </c>
      <c r="C88" s="12" t="str">
        <f>IF('بنود العقد'!C88&lt;&gt;"", 'بنود العقد'!C88, "")</f>
        <v>معماري</v>
      </c>
      <c r="D88" s="9">
        <f>IF('بنود العقد'!F88&lt;&gt;"", 'بنود العقد'!F88, "")</f>
        <v>567</v>
      </c>
      <c r="E88" s="18">
        <f>IF(B88&lt;&gt;"", SUMPRODUCT(('بنود المطالبات'!C$3:C$1805=A88)*'بنود المطالبات'!I$3:I$1805), "")</f>
        <v>312.23</v>
      </c>
      <c r="F88" s="18">
        <f>IFERROR(IF(AND(E88&lt;&gt;"",'بنود العقد'!E88&lt;&gt;""), E88*'بنود العقد'!E88, 0), 0)</f>
        <v>37467.600000000006</v>
      </c>
      <c r="G88" s="9">
        <f t="shared" si="2"/>
        <v>254.76999999999998</v>
      </c>
      <c r="H88" s="9">
        <f>IF(AND('بنود العقد'!G88&lt;&gt;"",F88&lt;&gt;""), 'بنود العقد'!G88-F88, "")</f>
        <v>30572.399999999994</v>
      </c>
      <c r="I88" s="21">
        <f t="shared" si="3"/>
        <v>55.067019400352734</v>
      </c>
    </row>
    <row r="89" spans="1:9" ht="24" customHeight="1">
      <c r="A89" s="12">
        <v>87</v>
      </c>
      <c r="B89" s="20" t="str">
        <f>IF('بنود العقد'!B89&lt;&gt;"", 'بنود العقد'!B89, "")</f>
        <v>توريد وتركيب بلاط سيراميك مزجج للجدران يلصق بمادة الغراء يتم إعتمادها على اللياسة المنفذه أسفل اوعلى القواطع الاسمنتية هويكون السيراميك المزجج من النوع الجيد والمتوفر  والسعر يشمل المادة اللاصقه ومادة السقاية  والديكور المطلوب ويتم التنفيذ طبقا للمخططات  واصول الصناعة وتعليمات المهندس المشرف.</v>
      </c>
      <c r="C89" s="12" t="str">
        <f>IF('بنود العقد'!C89&lt;&gt;"", 'بنود العقد'!C89, "")</f>
        <v>معماري</v>
      </c>
      <c r="D89" s="9">
        <f>IF('بنود العقد'!F89&lt;&gt;"", 'بنود العقد'!F89, "")</f>
        <v>60</v>
      </c>
      <c r="E89" s="18">
        <f>IF(B89&lt;&gt;"", SUMPRODUCT(('بنود المطالبات'!C$3:C$1805=A89)*'بنود المطالبات'!I$3:I$1805), "")</f>
        <v>0</v>
      </c>
      <c r="F89" s="18">
        <f>IFERROR(IF(AND(E89&lt;&gt;"",'بنود العقد'!E89&lt;&gt;""), E89*'بنود العقد'!E89, 0), 0)</f>
        <v>0</v>
      </c>
      <c r="G89" s="9">
        <f t="shared" si="2"/>
        <v>60</v>
      </c>
      <c r="H89" s="9">
        <f>IF(AND('بنود العقد'!G89&lt;&gt;"",F89&lt;&gt;""), 'بنود العقد'!G89-F89, "")</f>
        <v>6120</v>
      </c>
      <c r="I89" s="21">
        <f t="shared" si="3"/>
        <v>0</v>
      </c>
    </row>
    <row r="90" spans="1:9" ht="24" customHeight="1">
      <c r="A90" s="12">
        <v>88</v>
      </c>
      <c r="B90" s="20" t="str">
        <f>IF('بنود العقد'!B90&lt;&gt;"", 'بنود العقد'!B90, "")</f>
        <v>رخام 01-MT رمادي غامق تندر غراي مقاس  1200× 300 مم لمنطقة القهوة و المدخل سماكة 20مم .</v>
      </c>
      <c r="C90" s="12" t="str">
        <f>IF('بنود العقد'!C90&lt;&gt;"", 'بنود العقد'!C90, "")</f>
        <v>معماري</v>
      </c>
      <c r="D90" s="9">
        <f>IF('بنود العقد'!F90&lt;&gt;"", 'بنود العقد'!F90, "")</f>
        <v>1933</v>
      </c>
      <c r="E90" s="18">
        <f>IF(B90&lt;&gt;"", SUMPRODUCT(('بنود المطالبات'!C$3:C$1805=A90)*'بنود المطالبات'!I$3:I$1805), "")</f>
        <v>0</v>
      </c>
      <c r="F90" s="18">
        <f>IFERROR(IF(AND(E90&lt;&gt;"",'بنود العقد'!E90&lt;&gt;""), E90*'بنود العقد'!E90, 0), 0)</f>
        <v>0</v>
      </c>
      <c r="G90" s="9">
        <f t="shared" si="2"/>
        <v>1933</v>
      </c>
      <c r="H90" s="9">
        <f>IF(AND('بنود العقد'!G90&lt;&gt;"",F90&lt;&gt;""), 'بنود العقد'!G90-F90, "")</f>
        <v>429126</v>
      </c>
      <c r="I90" s="21">
        <f t="shared" si="3"/>
        <v>0</v>
      </c>
    </row>
    <row r="91" spans="1:9" ht="24" customHeight="1">
      <c r="A91" s="12">
        <v>89</v>
      </c>
      <c r="B91" s="20" t="str">
        <f>IF('بنود العقد'!B91&lt;&gt;"", 'بنود العقد'!B91, "")</f>
        <v>رخام 02-MT رمادي فاتح تندر غراي مقاس 1200× 300 مم لمنطقة القهوة و المدخل سماكة 20مم</v>
      </c>
      <c r="C91" s="12" t="str">
        <f>IF('بنود العقد'!C91&lt;&gt;"", 'بنود العقد'!C91, "")</f>
        <v>معماري</v>
      </c>
      <c r="D91" s="9">
        <f>IF('بنود العقد'!F91&lt;&gt;"", 'بنود العقد'!F91, "")</f>
        <v>214</v>
      </c>
      <c r="E91" s="18">
        <f>IF(B91&lt;&gt;"", SUMPRODUCT(('بنود المطالبات'!C$3:C$1805=A91)*'بنود المطالبات'!I$3:I$1805), "")</f>
        <v>0</v>
      </c>
      <c r="F91" s="18">
        <f>IFERROR(IF(AND(E91&lt;&gt;"",'بنود العقد'!E91&lt;&gt;""), E91*'بنود العقد'!E91, 0), 0)</f>
        <v>0</v>
      </c>
      <c r="G91" s="9">
        <f t="shared" si="2"/>
        <v>214</v>
      </c>
      <c r="H91" s="9">
        <f>IF(AND('بنود العقد'!G91&lt;&gt;"",F91&lt;&gt;""), 'بنود العقد'!G91-F91, "")</f>
        <v>47508</v>
      </c>
      <c r="I91" s="21">
        <f t="shared" si="3"/>
        <v>0</v>
      </c>
    </row>
    <row r="92" spans="1:9" ht="24" customHeight="1">
      <c r="A92" s="12">
        <v>90</v>
      </c>
      <c r="B92" s="20" t="str">
        <f>IF('بنود العقد'!B92&lt;&gt;"", 'بنود العقد'!B92, "")</f>
        <v>رخام 03-MT رمادي بيترا غراي غراي مقاس 1200× 300 مم لمنطقة القهوة في الدور السادس سماكة 20مم</v>
      </c>
      <c r="C92" s="12" t="str">
        <f>IF('بنود العقد'!C92&lt;&gt;"", 'بنود العقد'!C92, "")</f>
        <v>معماري</v>
      </c>
      <c r="D92" s="9">
        <f>IF('بنود العقد'!F92&lt;&gt;"", 'بنود العقد'!F92, "")</f>
        <v>213</v>
      </c>
      <c r="E92" s="18">
        <f>IF(B92&lt;&gt;"", SUMPRODUCT(('بنود المطالبات'!C$3:C$1805=A92)*'بنود المطالبات'!I$3:I$1805), "")</f>
        <v>0</v>
      </c>
      <c r="F92" s="18">
        <f>IFERROR(IF(AND(E92&lt;&gt;"",'بنود العقد'!E92&lt;&gt;""), E92*'بنود العقد'!E92, 0), 0)</f>
        <v>0</v>
      </c>
      <c r="G92" s="9">
        <f t="shared" si="2"/>
        <v>213</v>
      </c>
      <c r="H92" s="9">
        <f>IF(AND('بنود العقد'!G92&lt;&gt;"",F92&lt;&gt;""), 'بنود العقد'!G92-F92, "")</f>
        <v>47286</v>
      </c>
      <c r="I92" s="21">
        <f t="shared" si="3"/>
        <v>0</v>
      </c>
    </row>
    <row r="93" spans="1:9" ht="24" customHeight="1">
      <c r="A93" s="12">
        <v>91</v>
      </c>
      <c r="B93" s="20" t="str">
        <f>IF('بنود العقد'!B93&lt;&gt;"", 'بنود العقد'!B93, "")</f>
        <v>رخام رمادي فاتح تندر غراي الواح مقاس 1000× 1000 مم بحسب اعتماد المهندس المشرف للممرات  سماكة 20مم</v>
      </c>
      <c r="C93" s="12" t="str">
        <f>IF('بنود العقد'!C93&lt;&gt;"", 'بنود العقد'!C93, "")</f>
        <v>معماري</v>
      </c>
      <c r="D93" s="9">
        <f>IF('بنود العقد'!F93&lt;&gt;"", 'بنود العقد'!F93, "")</f>
        <v>100</v>
      </c>
      <c r="E93" s="18">
        <f>IF(B93&lt;&gt;"", SUMPRODUCT(('بنود المطالبات'!C$3:C$1805=A93)*'بنود المطالبات'!I$3:I$1805), "")</f>
        <v>0</v>
      </c>
      <c r="F93" s="18">
        <f>IFERROR(IF(AND(E93&lt;&gt;"",'بنود العقد'!E93&lt;&gt;""), E93*'بنود العقد'!E93, 0), 0)</f>
        <v>0</v>
      </c>
      <c r="G93" s="9">
        <f t="shared" si="2"/>
        <v>100</v>
      </c>
      <c r="H93" s="9">
        <f>IF(AND('بنود العقد'!G93&lt;&gt;"",F93&lt;&gt;""), 'بنود العقد'!G93-F93, "")</f>
        <v>22200</v>
      </c>
      <c r="I93" s="21">
        <f t="shared" si="3"/>
        <v>0</v>
      </c>
    </row>
    <row r="94" spans="1:9" ht="24" customHeight="1">
      <c r="A94" s="12">
        <v>92</v>
      </c>
      <c r="B94" s="20" t="str">
        <f>IF('بنود العقد'!B94&lt;&gt;"", 'بنود العقد'!B94, "")</f>
        <v>رخام رمادي بيترا غراي للدور السادس ألواح مقاس 1000× 1000 مم بحسب اعتماد المهندس سماكة 20مم</v>
      </c>
      <c r="C94" s="12" t="str">
        <f>IF('بنود العقد'!C94&lt;&gt;"", 'بنود العقد'!C94, "")</f>
        <v>معماري</v>
      </c>
      <c r="D94" s="9">
        <f>IF('بنود العقد'!F94&lt;&gt;"", 'بنود العقد'!F94, "")</f>
        <v>750</v>
      </c>
      <c r="E94" s="18">
        <f>IF(B94&lt;&gt;"", SUMPRODUCT(('بنود المطالبات'!C$3:C$1805=A94)*'بنود المطالبات'!I$3:I$1805), "")</f>
        <v>0</v>
      </c>
      <c r="F94" s="18">
        <f>IFERROR(IF(AND(E94&lt;&gt;"",'بنود العقد'!E94&lt;&gt;""), E94*'بنود العقد'!E94, 0), 0)</f>
        <v>0</v>
      </c>
      <c r="G94" s="9">
        <f t="shared" si="2"/>
        <v>750</v>
      </c>
      <c r="H94" s="9">
        <f>IF(AND('بنود العقد'!G94&lt;&gt;"",F94&lt;&gt;""), 'بنود العقد'!G94-F94, "")</f>
        <v>166500</v>
      </c>
      <c r="I94" s="21">
        <f t="shared" si="3"/>
        <v>0</v>
      </c>
    </row>
    <row r="95" spans="1:9" ht="24" customHeight="1">
      <c r="A95" s="12">
        <v>93</v>
      </c>
      <c r="B95" s="20" t="str">
        <f>IF('بنود العقد'!B95&lt;&gt;"", 'بنود العقد'!B95, "")</f>
        <v>رخام 03-MR ثاسوس ابيض لحمام معالي الوزير مقاس 900×900 مم  بحسب اعتماد المهندس سماكة 20مم</v>
      </c>
      <c r="C95" s="12" t="str">
        <f>IF('بنود العقد'!C95&lt;&gt;"", 'بنود العقد'!C95, "")</f>
        <v>معماري</v>
      </c>
      <c r="D95" s="9">
        <f>IF('بنود العقد'!F95&lt;&gt;"", 'بنود العقد'!F95, "")</f>
        <v>12</v>
      </c>
      <c r="E95" s="18">
        <f>IF(B95&lt;&gt;"", SUMPRODUCT(('بنود المطالبات'!C$3:C$1805=A95)*'بنود المطالبات'!I$3:I$1805), "")</f>
        <v>12</v>
      </c>
      <c r="F95" s="18">
        <f>IFERROR(IF(AND(E95&lt;&gt;"",'بنود العقد'!E95&lt;&gt;""), E95*'بنود العقد'!E95, 0), 0)</f>
        <v>2664</v>
      </c>
      <c r="G95" s="9">
        <f t="shared" si="2"/>
        <v>0</v>
      </c>
      <c r="H95" s="9">
        <f>IF(AND('بنود العقد'!G95&lt;&gt;"",F95&lt;&gt;""), 'بنود العقد'!G95-F95, "")</f>
        <v>0</v>
      </c>
      <c r="I95" s="21">
        <f t="shared" si="3"/>
        <v>100</v>
      </c>
    </row>
    <row r="96" spans="1:9" ht="24" customHeight="1">
      <c r="A96" s="12">
        <v>94</v>
      </c>
      <c r="B96" s="20" t="str">
        <f>IF('بنود العقد'!B96&lt;&gt;"", 'بنود العقد'!B96, "")</f>
        <v>رخام تندر غراي فاتح للدرج في الفناء الوسطي ب عرض 30 سم وارتفاع 15 سم وطول 800 سم.</v>
      </c>
      <c r="C96" s="12" t="str">
        <f>IF('بنود العقد'!C96&lt;&gt;"", 'بنود العقد'!C96, "")</f>
        <v>معماري</v>
      </c>
      <c r="D96" s="9">
        <f>IF('بنود العقد'!F96&lt;&gt;"", 'بنود العقد'!F96, "")</f>
        <v>16</v>
      </c>
      <c r="E96" s="18">
        <f>IF(B96&lt;&gt;"", SUMPRODUCT(('بنود المطالبات'!C$3:C$1805=A96)*'بنود المطالبات'!I$3:I$1805), "")</f>
        <v>0</v>
      </c>
      <c r="F96" s="18">
        <f>IFERROR(IF(AND(E96&lt;&gt;"",'بنود العقد'!E96&lt;&gt;""), E96*'بنود العقد'!E96, 0), 0)</f>
        <v>0</v>
      </c>
      <c r="G96" s="9">
        <f t="shared" si="2"/>
        <v>16</v>
      </c>
      <c r="H96" s="9">
        <f>IF(AND('بنود العقد'!G96&lt;&gt;"",F96&lt;&gt;""), 'بنود العقد'!G96-F96, "")</f>
        <v>3552</v>
      </c>
      <c r="I96" s="21">
        <f t="shared" si="3"/>
        <v>0</v>
      </c>
    </row>
    <row r="97" spans="1:9" ht="24" customHeight="1">
      <c r="A97" s="12">
        <v>95</v>
      </c>
      <c r="B97" s="20" t="str">
        <f>IF('بنود العقد'!B97&lt;&gt;"", 'بنود العقد'!B97, "")</f>
        <v>معالجة وتنظيف وصقل وجلاء بلاط رخام الأرضيات والدرج مع بودرة الرخام المستخدم والتلميع 4 أوجه وملو الفواصل بمادة مقاومة للرطوبة والبكتيريا  والسعر يشمل جميع المواد والأعمال اللازمة لإتمام العمل المطلوب طبقا للمخططات والمواصفات الفنية وبحسب توجيهات واعتماد المهندس المشرف. رخام الأرضيات في المداخل و الممرات الرئيسية وبسطات الدرج.</v>
      </c>
      <c r="C97" s="12" t="str">
        <f>IF('بنود العقد'!C97&lt;&gt;"", 'بنود العقد'!C97, "")</f>
        <v>معماري</v>
      </c>
      <c r="D97" s="9">
        <f>IF('بنود العقد'!F97&lt;&gt;"", 'بنود العقد'!F97, "")</f>
        <v>4800</v>
      </c>
      <c r="E97" s="18">
        <f>IF(B97&lt;&gt;"", SUMPRODUCT(('بنود المطالبات'!C$3:C$1805=A97)*'بنود المطالبات'!I$3:I$1805), "")</f>
        <v>3475.88</v>
      </c>
      <c r="F97" s="18">
        <f>IFERROR(IF(AND(E97&lt;&gt;"",'بنود العقد'!E97&lt;&gt;""), E97*'بنود العقد'!E97, 0), 0)</f>
        <v>145986.96</v>
      </c>
      <c r="G97" s="9">
        <f t="shared" si="2"/>
        <v>1324.12</v>
      </c>
      <c r="H97" s="9">
        <f>IF(AND('بنود العقد'!G97&lt;&gt;"",F97&lt;&gt;""), 'بنود العقد'!G97-F97, "")</f>
        <v>55613.040000000008</v>
      </c>
      <c r="I97" s="21">
        <f t="shared" si="3"/>
        <v>72.414166666666674</v>
      </c>
    </row>
    <row r="98" spans="1:9" ht="24" customHeight="1">
      <c r="A98" s="12">
        <v>96</v>
      </c>
      <c r="B98" s="20" t="str">
        <f>IF('بنود العقد'!B98&lt;&gt;"", 'بنود العقد'!B98, "")</f>
        <v>معالجة وتنظيف وصقل وجلاء بلاط رخام الأرضيات والدرج مع بودرة الرخام المستخدم والتلميع 4 أوجه وملو الفواصل بمادة مقاومة للرطوبة والبكتيريا  والسعر يشمل جميع المواد والأعمال اللازمة لإتمام العمل المطلوب طبقا للمخططات والمواصفات الفنية وبحسب توجيهات واعتماد المهندس المشرف. رخام الدرج )قائمة والسعر يشمل النائمة والحبسة</v>
      </c>
      <c r="C98" s="12" t="str">
        <f>IF('بنود العقد'!C98&lt;&gt;"", 'بنود العقد'!C98, "")</f>
        <v>معماري</v>
      </c>
      <c r="D98" s="9">
        <f>IF('بنود العقد'!F98&lt;&gt;"", 'بنود العقد'!F98, "")</f>
        <v>300</v>
      </c>
      <c r="E98" s="18">
        <f>IF(B98&lt;&gt;"", SUMPRODUCT(('بنود المطالبات'!C$3:C$1805=A98)*'بنود المطالبات'!I$3:I$1805), "")</f>
        <v>0</v>
      </c>
      <c r="F98" s="18">
        <f>IFERROR(IF(AND(E98&lt;&gt;"",'بنود العقد'!E98&lt;&gt;""), E98*'بنود العقد'!E98, 0), 0)</f>
        <v>0</v>
      </c>
      <c r="G98" s="9">
        <f t="shared" si="2"/>
        <v>300</v>
      </c>
      <c r="H98" s="9">
        <f>IF(AND('بنود العقد'!G98&lt;&gt;"",F98&lt;&gt;""), 'بنود العقد'!G98-F98, "")</f>
        <v>12600</v>
      </c>
      <c r="I98" s="21">
        <f t="shared" si="3"/>
        <v>0</v>
      </c>
    </row>
    <row r="99" spans="1:9" ht="24" customHeight="1">
      <c r="A99" s="12">
        <v>97</v>
      </c>
      <c r="B99" s="20" t="str">
        <f>IF('بنود العقد'!B99&lt;&gt;"", 'بنود العقد'!B99, "")</f>
        <v>رخام رمادي غامق تندر غراي مقاس 600×900 مم  سماكة  20مم  كإطار حول المصاعد</v>
      </c>
      <c r="C99" s="12" t="str">
        <f>IF('بنود العقد'!C99&lt;&gt;"", 'بنود العقد'!C99, "")</f>
        <v>معماري</v>
      </c>
      <c r="D99" s="9">
        <f>IF('بنود العقد'!F99&lt;&gt;"", 'بنود العقد'!F99, "")</f>
        <v>101</v>
      </c>
      <c r="E99" s="18">
        <f>IF(B99&lt;&gt;"", SUMPRODUCT(('بنود المطالبات'!C$3:C$1805=A99)*'بنود المطالبات'!I$3:I$1805), "")</f>
        <v>107</v>
      </c>
      <c r="F99" s="18">
        <f>IFERROR(IF(AND(E99&lt;&gt;"",'بنود العقد'!E99&lt;&gt;""), E99*'بنود العقد'!E99, 0), 0)</f>
        <v>32100</v>
      </c>
      <c r="G99" s="9">
        <f t="shared" si="2"/>
        <v>-6</v>
      </c>
      <c r="H99" s="9">
        <f>IF(AND('بنود العقد'!G99&lt;&gt;"",F99&lt;&gt;""), 'بنود العقد'!G99-F99, "")</f>
        <v>-1800</v>
      </c>
      <c r="I99" s="21">
        <f t="shared" si="3"/>
        <v>100</v>
      </c>
    </row>
    <row r="100" spans="1:9" ht="24" customHeight="1">
      <c r="A100" s="12">
        <v>98</v>
      </c>
      <c r="B100" s="20" t="str">
        <f>IF('بنود العقد'!B100&lt;&gt;"", 'بنود العقد'!B100, "")</f>
        <v>رخام ابيض ثاسوس  سماكة 20مم على جدران دورات مياه منطقة معالي الوزير</v>
      </c>
      <c r="C100" s="12" t="str">
        <f>IF('بنود العقد'!C100&lt;&gt;"", 'بنود العقد'!C100, "")</f>
        <v>معماري</v>
      </c>
      <c r="D100" s="9">
        <f>IF('بنود العقد'!F100&lt;&gt;"", 'بنود العقد'!F100, "")</f>
        <v>43</v>
      </c>
      <c r="E100" s="18">
        <f>IF(B100&lt;&gt;"", SUMPRODUCT(('بنود المطالبات'!C$3:C$1805=A100)*'بنود المطالبات'!I$3:I$1805), "")</f>
        <v>40</v>
      </c>
      <c r="F100" s="18">
        <f>IFERROR(IF(AND(E100&lt;&gt;"",'بنود العقد'!E100&lt;&gt;""), E100*'بنود العقد'!E100, 0), 0)</f>
        <v>12000</v>
      </c>
      <c r="G100" s="9">
        <f t="shared" si="2"/>
        <v>3</v>
      </c>
      <c r="H100" s="9">
        <f>IF(AND('بنود العقد'!G100&lt;&gt;"",F100&lt;&gt;""), 'بنود العقد'!G100-F100, "")</f>
        <v>900</v>
      </c>
      <c r="I100" s="21">
        <f t="shared" si="3"/>
        <v>93.023255813953483</v>
      </c>
    </row>
    <row r="101" spans="1:9" ht="24" customHeight="1">
      <c r="A101" s="12">
        <v>99</v>
      </c>
      <c r="B101" s="20" t="str">
        <f>IF('بنود العقد'!B101&lt;&gt;"", 'بنود العقد'!B101, "")</f>
        <v>رخام أخضر داكن مثبت على قواطع السيمنت خلف مكاتب السكرتاريا وفي المدخل الرئيسي في منطقة معالي الوزير.</v>
      </c>
      <c r="C101" s="12" t="str">
        <f>IF('بنود العقد'!C101&lt;&gt;"", 'بنود العقد'!C101, "")</f>
        <v>معماري</v>
      </c>
      <c r="D101" s="9">
        <f>IF('بنود العقد'!F101&lt;&gt;"", 'بنود العقد'!F101, "")</f>
        <v>43</v>
      </c>
      <c r="E101" s="18">
        <f>IF(B101&lt;&gt;"", SUMPRODUCT(('بنود المطالبات'!C$3:C$1805=A101)*'بنود المطالبات'!I$3:I$1805), "")</f>
        <v>32</v>
      </c>
      <c r="F101" s="18">
        <f>IFERROR(IF(AND(E101&lt;&gt;"",'بنود العقد'!E101&lt;&gt;""), E101*'بنود العقد'!E101, 0), 0)</f>
        <v>9600</v>
      </c>
      <c r="G101" s="9">
        <f t="shared" si="2"/>
        <v>11</v>
      </c>
      <c r="H101" s="9">
        <f>IF(AND('بنود العقد'!G101&lt;&gt;"",F101&lt;&gt;""), 'بنود العقد'!G101-F101, "")</f>
        <v>3300</v>
      </c>
      <c r="I101" s="21">
        <f t="shared" si="3"/>
        <v>74.418604651162795</v>
      </c>
    </row>
    <row r="102" spans="1:9" ht="24" customHeight="1">
      <c r="A102" s="12">
        <v>100</v>
      </c>
      <c r="B102" s="20" t="str">
        <f>IF('بنود العقد'!B102&lt;&gt;"", 'بنود العقد'!B102, "")</f>
        <v>رخام  الحوائط والأعمدة والكمر والوزرات لمدخل كبار الشخصيات ومدخل الموظفين وعلى المصاعد وفي الممرات الرئيسية والوجهات الداخلية للفناء الوسطي.</v>
      </c>
      <c r="C102" s="12" t="str">
        <f>IF('بنود العقد'!C102&lt;&gt;"", 'بنود العقد'!C102, "")</f>
        <v>معماري</v>
      </c>
      <c r="D102" s="9">
        <f>IF('بنود العقد'!F102&lt;&gt;"", 'بنود العقد'!F102, "")</f>
        <v>6000</v>
      </c>
      <c r="E102" s="18">
        <f>IF(B102&lt;&gt;"", SUMPRODUCT(('بنود المطالبات'!C$3:C$1805=A102)*'بنود المطالبات'!I$3:I$1805), "")</f>
        <v>1627</v>
      </c>
      <c r="F102" s="18">
        <f>IFERROR(IF(AND(E102&lt;&gt;"",'بنود العقد'!E102&lt;&gt;""), E102*'بنود العقد'!E102, 0), 0)</f>
        <v>97620</v>
      </c>
      <c r="G102" s="9">
        <f t="shared" si="2"/>
        <v>4373</v>
      </c>
      <c r="H102" s="9">
        <f>IF(AND('بنود العقد'!G102&lt;&gt;"",F102&lt;&gt;""), 'بنود العقد'!G102-F102, "")</f>
        <v>262380</v>
      </c>
      <c r="I102" s="21">
        <f t="shared" si="3"/>
        <v>27.116666666666667</v>
      </c>
    </row>
    <row r="103" spans="1:9" ht="24" customHeight="1">
      <c r="A103" s="12">
        <v>101</v>
      </c>
      <c r="B103" s="20" t="str">
        <f>IF('بنود العقد'!B103&lt;&gt;"", 'بنود العقد'!B103, "")</f>
        <v>توريد وتركيب وزرة من الرخام  رمادي فاتح تندر غراي بسماكة 20مم 100*1000 مم والسعر يشمل التثبيت  بالغراء والشطف وكل ما يلزم لانهاء العمل حسب الاصول الفنية وتعليمات المهندس المشرف.</v>
      </c>
      <c r="C103" s="12" t="str">
        <f>IF('بنود العقد'!C103&lt;&gt;"", 'بنود العقد'!C103, "")</f>
        <v>معماري</v>
      </c>
      <c r="D103" s="9">
        <f>IF('بنود العقد'!F103&lt;&gt;"", 'بنود العقد'!F103, "")</f>
        <v>400</v>
      </c>
      <c r="E103" s="18">
        <f>IF(B103&lt;&gt;"", SUMPRODUCT(('بنود المطالبات'!C$3:C$1805=A103)*'بنود المطالبات'!I$3:I$1805), "")</f>
        <v>989.87</v>
      </c>
      <c r="F103" s="18">
        <f>IFERROR(IF(AND(E103&lt;&gt;"",'بنود العقد'!E103&lt;&gt;""), E103*'بنود العقد'!E103, 0), 0)</f>
        <v>89088.3</v>
      </c>
      <c r="G103" s="9">
        <f t="shared" si="2"/>
        <v>-589.87</v>
      </c>
      <c r="H103" s="9">
        <f>IF(AND('بنود العقد'!G103&lt;&gt;"",F103&lt;&gt;""), 'بنود العقد'!G103-F103, "")</f>
        <v>-53088.3</v>
      </c>
      <c r="I103" s="21">
        <f t="shared" si="3"/>
        <v>100</v>
      </c>
    </row>
    <row r="104" spans="1:9" ht="24" customHeight="1">
      <c r="A104" s="12">
        <v>102</v>
      </c>
      <c r="B104" s="20" t="str">
        <f>IF('بنود العقد'!B104&lt;&gt;"", 'بنود العقد'!B104, "")</f>
        <v>معالجة وتنظيف و الصقل والجلاء  لبلاط  الموزايك للأرضيات والدرج ومحمل على البند الوزر  والبند يشمل معالجة اللحامات والسقاية وملو الفواصل بمادة مقاومة للرطوبة والبكتيريا  طبقا للمخططات والمواصفات الفنية وبحسب توجيهات واعتماد المهندس المشرف. الأرضيات الموزايكو في سلالم الخدمة وبسطات الدرج.</v>
      </c>
      <c r="C104" s="12" t="str">
        <f>IF('بنود العقد'!C104&lt;&gt;"", 'بنود العقد'!C104, "")</f>
        <v>معماري</v>
      </c>
      <c r="D104" s="9">
        <f>IF('بنود العقد'!F104&lt;&gt;"", 'بنود العقد'!F104, "")</f>
        <v>4800</v>
      </c>
      <c r="E104" s="18">
        <f>IF(B104&lt;&gt;"", SUMPRODUCT(('بنود المطالبات'!C$3:C$1805=A104)*'بنود المطالبات'!I$3:I$1805), "")</f>
        <v>0</v>
      </c>
      <c r="F104" s="18">
        <f>IFERROR(IF(AND(E104&lt;&gt;"",'بنود العقد'!E104&lt;&gt;""), E104*'بنود العقد'!E104, 0), 0)</f>
        <v>0</v>
      </c>
      <c r="G104" s="9">
        <f t="shared" si="2"/>
        <v>4800</v>
      </c>
      <c r="H104" s="9">
        <f>IF(AND('بنود العقد'!G104&lt;&gt;"",F104&lt;&gt;""), 'بنود العقد'!G104-F104, "")</f>
        <v>432000</v>
      </c>
      <c r="I104" s="21">
        <f t="shared" si="3"/>
        <v>0</v>
      </c>
    </row>
    <row r="105" spans="1:9" ht="24" customHeight="1">
      <c r="A105" s="12">
        <v>103</v>
      </c>
      <c r="B105" s="20" t="str">
        <f>IF('بنود العقد'!B105&lt;&gt;"", 'بنود العقد'!B105, "")</f>
        <v>معالجة وتنظيف و الصقل والجلاء  لبلاط  الموزايك للأرضيات والدرج ومحمل على البند الوزر  والبند يشمل معالجة اللحامات والسقاية وملو الفواصل بمادة مقاومة للرطوبة والبكتيريا  طبقا للمخططات والمواصفات الفنية وبحسب توجيهات واعتماد المهندس المشرف. موزايكو الدرج )قائمة والسعر يشمل النائمة والحبسة</v>
      </c>
      <c r="C105" s="12" t="str">
        <f>IF('بنود العقد'!C105&lt;&gt;"", 'بنود العقد'!C105, "")</f>
        <v>معماري</v>
      </c>
      <c r="D105" s="9">
        <f>IF('بنود العقد'!F105&lt;&gt;"", 'بنود العقد'!F105, "")</f>
        <v>300</v>
      </c>
      <c r="E105" s="18">
        <f>IF(B105&lt;&gt;"", SUMPRODUCT(('بنود المطالبات'!C$3:C$1805=A105)*'بنود المطالبات'!I$3:I$1805), "")</f>
        <v>0</v>
      </c>
      <c r="F105" s="18">
        <f>IFERROR(IF(AND(E105&lt;&gt;"",'بنود العقد'!E105&lt;&gt;""), E105*'بنود العقد'!E105, 0), 0)</f>
        <v>0</v>
      </c>
      <c r="G105" s="9">
        <f t="shared" si="2"/>
        <v>300</v>
      </c>
      <c r="H105" s="9">
        <f>IF(AND('بنود العقد'!G105&lt;&gt;"",F105&lt;&gt;""), 'بنود العقد'!G105-F105, "")</f>
        <v>27000</v>
      </c>
      <c r="I105" s="21">
        <f t="shared" si="3"/>
        <v>0</v>
      </c>
    </row>
    <row r="106" spans="1:9" ht="24" customHeight="1">
      <c r="A106" s="12">
        <v>104</v>
      </c>
      <c r="B106" s="20" t="str">
        <f>IF('بنود العقد'!B106&lt;&gt;"", 'بنود العقد'!B106, "")</f>
        <v>Ref drawing: 07-MRA-DD-(as per floor number)-AR-300 مقاس 500×500 مم  لون رمادي لمنطقة المرور CT-01بلاط - سجاد</v>
      </c>
      <c r="C106" s="12" t="str">
        <f>IF('بنود العقد'!C106&lt;&gt;"", 'بنود العقد'!C106, "")</f>
        <v>معماري</v>
      </c>
      <c r="D106" s="9">
        <f>IF('بنود العقد'!F106&lt;&gt;"", 'بنود العقد'!F106, "")</f>
        <v>3600</v>
      </c>
      <c r="E106" s="18">
        <f>IF(B106&lt;&gt;"", SUMPRODUCT(('بنود المطالبات'!C$3:C$1805=A106)*'بنود المطالبات'!I$3:I$1805), "")</f>
        <v>3121.07</v>
      </c>
      <c r="F106" s="18">
        <f>IFERROR(IF(AND(E106&lt;&gt;"",'بنود العقد'!E106&lt;&gt;""), E106*'بنود العقد'!E106, 0), 0)</f>
        <v>486886.92000000004</v>
      </c>
      <c r="G106" s="9">
        <f t="shared" si="2"/>
        <v>478.92999999999984</v>
      </c>
      <c r="H106" s="9">
        <f>IF(AND('بنود العقد'!G106&lt;&gt;"",F106&lt;&gt;""), 'بنود العقد'!G106-F106, "")</f>
        <v>74713.079999999958</v>
      </c>
      <c r="I106" s="21">
        <f t="shared" si="3"/>
        <v>86.696388888888904</v>
      </c>
    </row>
    <row r="107" spans="1:9" ht="24" customHeight="1">
      <c r="A107" s="12">
        <v>105</v>
      </c>
      <c r="B107" s="20" t="str">
        <f>IF('بنود العقد'!B107&lt;&gt;"", 'بنود العقد'!B107, "")</f>
        <v>بلاط - سجاد 02-CT مقاس 500× 500 مم لون أزرق فاتح لمحطة العمل وغرفة الاجتماعات</v>
      </c>
      <c r="C107" s="12" t="str">
        <f>IF('بنود العقد'!C107&lt;&gt;"", 'بنود العقد'!C107, "")</f>
        <v>معماري</v>
      </c>
      <c r="D107" s="9">
        <f>IF('بنود العقد'!F107&lt;&gt;"", 'بنود العقد'!F107, "")</f>
        <v>6705</v>
      </c>
      <c r="E107" s="18">
        <f>IF(B107&lt;&gt;"", SUMPRODUCT(('بنود المطالبات'!C$3:C$1805=A107)*'بنود المطالبات'!I$3:I$1805), "")</f>
        <v>5875.18</v>
      </c>
      <c r="F107" s="18">
        <f>IFERROR(IF(AND(E107&lt;&gt;"",'بنود العقد'!E107&lt;&gt;""), E107*'بنود العقد'!E107, 0), 0)</f>
        <v>916528.08000000007</v>
      </c>
      <c r="G107" s="9">
        <f t="shared" si="2"/>
        <v>829.81999999999971</v>
      </c>
      <c r="H107" s="9">
        <f>IF(AND('بنود العقد'!G107&lt;&gt;"",F107&lt;&gt;""), 'بنود العقد'!G107-F107, "")</f>
        <v>129451.91999999993</v>
      </c>
      <c r="I107" s="21">
        <f t="shared" si="3"/>
        <v>87.623862788963464</v>
      </c>
    </row>
    <row r="108" spans="1:9" ht="24" customHeight="1">
      <c r="A108" s="12">
        <v>106</v>
      </c>
      <c r="B108" s="20" t="str">
        <f>IF('بنود العقد'!B108&lt;&gt;"", 'بنود العقد'!B108, "")</f>
        <v>Ref drawing: 07-MRA-DD-(as per floor number)-AR-300 مقاس 500×500 مم لون بيج لمكتب المدير CT-03بلاط - سجاد</v>
      </c>
      <c r="C108" s="12" t="str">
        <f>IF('بنود العقد'!C108&lt;&gt;"", 'بنود العقد'!C108, "")</f>
        <v>معماري</v>
      </c>
      <c r="D108" s="9">
        <f>IF('بنود العقد'!F108&lt;&gt;"", 'بنود العقد'!F108, "")</f>
        <v>1213</v>
      </c>
      <c r="E108" s="18">
        <f>IF(B108&lt;&gt;"", SUMPRODUCT(('بنود المطالبات'!C$3:C$1805=A108)*'بنود المطالبات'!I$3:I$1805), "")</f>
        <v>1129.44</v>
      </c>
      <c r="F108" s="18">
        <f>IFERROR(IF(AND(E108&lt;&gt;"",'بنود العقد'!E108&lt;&gt;""), E108*'بنود العقد'!E108, 0), 0)</f>
        <v>176192.64000000001</v>
      </c>
      <c r="G108" s="9">
        <f t="shared" si="2"/>
        <v>83.559999999999945</v>
      </c>
      <c r="H108" s="9">
        <f>IF(AND('بنود العقد'!G108&lt;&gt;"",F108&lt;&gt;""), 'بنود العقد'!G108-F108, "")</f>
        <v>13035.359999999986</v>
      </c>
      <c r="I108" s="21">
        <f t="shared" si="3"/>
        <v>93.111294311624079</v>
      </c>
    </row>
    <row r="109" spans="1:9" ht="24" customHeight="1">
      <c r="A109" s="12">
        <v>107</v>
      </c>
      <c r="B109" s="20" t="str">
        <f>IF('بنود العقد'!B109&lt;&gt;"", 'بنود العقد'!B109, "")</f>
        <v>Ref drawing: 07-MRA-DD-(as per floor number)-AR-300 مقاس 500×500 مم لمنطقة الاستقبال الرئيسية CT-04بلاط - سجاد</v>
      </c>
      <c r="C109" s="12" t="str">
        <f>IF('بنود العقد'!C109&lt;&gt;"", 'بنود العقد'!C109, "")</f>
        <v>معماري</v>
      </c>
      <c r="D109" s="9">
        <f>IF('بنود العقد'!F109&lt;&gt;"", 'بنود العقد'!F109, "")</f>
        <v>543</v>
      </c>
      <c r="E109" s="18">
        <f>IF(B109&lt;&gt;"", SUMPRODUCT(('بنود المطالبات'!C$3:C$1805=A109)*'بنود المطالبات'!I$3:I$1805), "")</f>
        <v>392.03</v>
      </c>
      <c r="F109" s="18">
        <f>IFERROR(IF(AND(E109&lt;&gt;"",'بنود العقد'!E109&lt;&gt;""), E109*'بنود العقد'!E109, 0), 0)</f>
        <v>6115.6679999999997</v>
      </c>
      <c r="G109" s="9">
        <f t="shared" si="2"/>
        <v>150.97000000000003</v>
      </c>
      <c r="H109" s="9">
        <f>IF(AND('بنود العقد'!G109&lt;&gt;"",F109&lt;&gt;""), 'بنود العقد'!G109-F109, "")</f>
        <v>2355.1319999999996</v>
      </c>
      <c r="I109" s="21">
        <f t="shared" si="3"/>
        <v>72.197053406998151</v>
      </c>
    </row>
    <row r="110" spans="1:9" ht="24" customHeight="1">
      <c r="A110" s="12">
        <v>108</v>
      </c>
      <c r="B110" s="20" t="str">
        <f>IF('بنود العقد'!B110&lt;&gt;"", 'بنود العقد'!B110, "")</f>
        <v>بلاط - سجاد05-CT مقاس 500×500 مم لغرف خدمة العملاء مع تصميم بشكل مثلث وألوان مختلفة</v>
      </c>
      <c r="C110" s="12" t="str">
        <f>IF('بنود العقد'!C110&lt;&gt;"", 'بنود العقد'!C110, "")</f>
        <v>معماري</v>
      </c>
      <c r="D110" s="9">
        <f>IF('بنود العقد'!F110&lt;&gt;"", 'بنود العقد'!F110, "")</f>
        <v>735</v>
      </c>
      <c r="E110" s="18">
        <f>IF(B110&lt;&gt;"", SUMPRODUCT(('بنود المطالبات'!C$3:C$1805=A110)*'بنود المطالبات'!I$3:I$1805), "")</f>
        <v>633.49</v>
      </c>
      <c r="F110" s="18">
        <f>IFERROR(IF(AND(E110&lt;&gt;"",'بنود العقد'!E110&lt;&gt;""), E110*'بنود العقد'!E110, 0), 0)</f>
        <v>98824.44</v>
      </c>
      <c r="G110" s="9">
        <f t="shared" si="2"/>
        <v>101.50999999999999</v>
      </c>
      <c r="H110" s="9">
        <f>IF(AND('بنود العقد'!G110&lt;&gt;"",F110&lt;&gt;""), 'بنود العقد'!G110-F110, "")</f>
        <v>15835.559999999998</v>
      </c>
      <c r="I110" s="21">
        <f t="shared" si="3"/>
        <v>86.1891156462585</v>
      </c>
    </row>
    <row r="111" spans="1:9" ht="24" customHeight="1">
      <c r="A111" s="12">
        <v>109</v>
      </c>
      <c r="B111" s="20" t="str">
        <f>IF('بنود العقد'!B111&lt;&gt;"", 'بنود العقد'!B111, "")</f>
        <v>Ref drawing: 07-MRA-DD-(as per floor number)-AR-300 مقاس 500×500 مم لمركز الأعمال CT-06بلاط - سجاد</v>
      </c>
      <c r="C111" s="12" t="str">
        <f>IF('بنود العقد'!C111&lt;&gt;"", 'بنود العقد'!C111, "")</f>
        <v>معماري</v>
      </c>
      <c r="D111" s="9">
        <f>IF('بنود العقد'!F111&lt;&gt;"", 'بنود العقد'!F111, "")</f>
        <v>109</v>
      </c>
      <c r="E111" s="18">
        <f>IF(B111&lt;&gt;"", SUMPRODUCT(('بنود المطالبات'!C$3:C$1805=A111)*'بنود المطالبات'!I$3:I$1805), "")</f>
        <v>0</v>
      </c>
      <c r="F111" s="18">
        <f>IFERROR(IF(AND(E111&lt;&gt;"",'بنود العقد'!E111&lt;&gt;""), E111*'بنود العقد'!E111, 0), 0)</f>
        <v>0</v>
      </c>
      <c r="G111" s="9">
        <f t="shared" si="2"/>
        <v>109</v>
      </c>
      <c r="H111" s="9">
        <f>IF(AND('بنود العقد'!G111&lt;&gt;"",F111&lt;&gt;""), 'بنود العقد'!G111-F111, "")</f>
        <v>17004</v>
      </c>
      <c r="I111" s="21">
        <f t="shared" si="3"/>
        <v>0</v>
      </c>
    </row>
    <row r="112" spans="1:9" ht="24" customHeight="1">
      <c r="A112" s="12">
        <v>110</v>
      </c>
      <c r="B112" s="20" t="str">
        <f>IF('بنود العقد'!B112&lt;&gt;"", 'بنود العقد'!B112, "")</f>
        <v>بلاط - سجاد 01-CR مقاس 500×500 مم لمكتب الرئيس ونائب الرئيس والصالة والسكرتارية وغرفة الاجتماعات الكبيرة.</v>
      </c>
      <c r="C112" s="12" t="str">
        <f>IF('بنود العقد'!C112&lt;&gt;"", 'بنود العقد'!C112, "")</f>
        <v>معماري</v>
      </c>
      <c r="D112" s="9">
        <f>IF('بنود العقد'!F112&lt;&gt;"", 'بنود العقد'!F112, "")</f>
        <v>2140</v>
      </c>
      <c r="E112" s="18">
        <f>IF(B112&lt;&gt;"", SUMPRODUCT(('بنود المطالبات'!C$3:C$1805=A112)*'بنود المطالبات'!I$3:I$1805), "")</f>
        <v>2177.5</v>
      </c>
      <c r="F112" s="18">
        <f>IFERROR(IF(AND(E112&lt;&gt;"",'بنود العقد'!E112&lt;&gt;""), E112*'بنود العقد'!E112, 0), 0)</f>
        <v>339690</v>
      </c>
      <c r="G112" s="9">
        <f t="shared" si="2"/>
        <v>-37.5</v>
      </c>
      <c r="H112" s="9">
        <f>IF(AND('بنود العقد'!G112&lt;&gt;"",F112&lt;&gt;""), 'بنود العقد'!G112-F112, "")</f>
        <v>-5850</v>
      </c>
      <c r="I112" s="21">
        <f t="shared" si="3"/>
        <v>100</v>
      </c>
    </row>
    <row r="113" spans="1:9" ht="24" customHeight="1">
      <c r="A113" s="12">
        <v>111</v>
      </c>
      <c r="B113" s="20" t="str">
        <f>IF('بنود العقد'!B113&lt;&gt;"", 'بنود العقد'!B113, "")</f>
        <v>بلاط - سجاد 02-CR مقاس 500×500 مم لمكتب الرئيس ونائب الرئيس على شكل مثلثات لون بيج، رمادي فاتح ورمادي غامق.</v>
      </c>
      <c r="C113" s="12" t="str">
        <f>IF('بنود العقد'!C113&lt;&gt;"", 'بنود العقد'!C113, "")</f>
        <v>معماري</v>
      </c>
      <c r="D113" s="9">
        <f>IF('بنود العقد'!F113&lt;&gt;"", 'بنود العقد'!F113, "")</f>
        <v>303</v>
      </c>
      <c r="E113" s="18">
        <f>IF(B113&lt;&gt;"", SUMPRODUCT(('بنود المطالبات'!C$3:C$1805=A113)*'بنود المطالبات'!I$3:I$1805), "")</f>
        <v>268.44</v>
      </c>
      <c r="F113" s="18">
        <f>IFERROR(IF(AND(E113&lt;&gt;"",'بنود العقد'!E113&lt;&gt;""), E113*'بنود العقد'!E113, 0), 0)</f>
        <v>41876.639999999999</v>
      </c>
      <c r="G113" s="9">
        <f t="shared" si="2"/>
        <v>34.56</v>
      </c>
      <c r="H113" s="9">
        <f>IF(AND('بنود العقد'!G113&lt;&gt;"",F113&lt;&gt;""), 'بنود العقد'!G113-F113, "")</f>
        <v>5391.3600000000006</v>
      </c>
      <c r="I113" s="21">
        <f t="shared" si="3"/>
        <v>88.594059405940598</v>
      </c>
    </row>
    <row r="114" spans="1:9" ht="24" customHeight="1">
      <c r="A114" s="12">
        <v>112</v>
      </c>
      <c r="B114" s="20" t="str">
        <f>IF('بنود العقد'!B114&lt;&gt;"", 'بنود العقد'!B114, "")</f>
        <v>300-Ref drawing: 07-MRA-DD-(as per floor number)-ARبلاط - سجاد 03-CR مقاس 500×500 مم للمدير العام ومنطقة السكرتارية</v>
      </c>
      <c r="C114" s="12" t="str">
        <f>IF('بنود العقد'!C114&lt;&gt;"", 'بنود العقد'!C114, "")</f>
        <v>معماري</v>
      </c>
      <c r="D114" s="9">
        <f>IF('بنود العقد'!F114&lt;&gt;"", 'بنود العقد'!F114, "")</f>
        <v>1550</v>
      </c>
      <c r="E114" s="18">
        <f>IF(B114&lt;&gt;"", SUMPRODUCT(('بنود المطالبات'!C$3:C$1805=A114)*'بنود المطالبات'!I$3:I$1805), "")</f>
        <v>1549.3</v>
      </c>
      <c r="F114" s="18">
        <f>IFERROR(IF(AND(E114&lt;&gt;"",'بنود العقد'!E114&lt;&gt;""), E114*'بنود العقد'!E114, 0), 0)</f>
        <v>241690.8</v>
      </c>
      <c r="G114" s="9">
        <f t="shared" si="2"/>
        <v>0.70000000000004547</v>
      </c>
      <c r="H114" s="9">
        <f>IF(AND('بنود العقد'!G114&lt;&gt;"",F114&lt;&gt;""), 'بنود العقد'!G114-F114, "")</f>
        <v>109.20000000001164</v>
      </c>
      <c r="I114" s="21">
        <f t="shared" si="3"/>
        <v>99.954838709677418</v>
      </c>
    </row>
    <row r="115" spans="1:9" ht="24" customHeight="1">
      <c r="A115" s="12">
        <v>113</v>
      </c>
      <c r="B115" s="20" t="str">
        <f>IF('بنود العقد'!B115&lt;&gt;"", 'بنود العقد'!B115, "")</f>
        <v>Ref drawing: 07-MRA-DD-(as per floor number)-AR-300 لمنطقة الصلاة CR-04 رولات السجاد</v>
      </c>
      <c r="C115" s="12" t="str">
        <f>IF('بنود العقد'!C115&lt;&gt;"", 'بنود العقد'!C115, "")</f>
        <v>معماري</v>
      </c>
      <c r="D115" s="9">
        <f>IF('بنود العقد'!F115&lt;&gt;"", 'بنود العقد'!F115, "")</f>
        <v>129</v>
      </c>
      <c r="E115" s="18">
        <f>IF(B115&lt;&gt;"", SUMPRODUCT(('بنود المطالبات'!C$3:C$1805=A115)*'بنود المطالبات'!I$3:I$1805), "")</f>
        <v>0</v>
      </c>
      <c r="F115" s="18">
        <f>IFERROR(IF(AND(E115&lt;&gt;"",'بنود العقد'!E115&lt;&gt;""), E115*'بنود العقد'!E115, 0), 0)</f>
        <v>0</v>
      </c>
      <c r="G115" s="9">
        <f t="shared" si="2"/>
        <v>129</v>
      </c>
      <c r="H115" s="9">
        <f>IF(AND('بنود العقد'!G115&lt;&gt;"",F115&lt;&gt;""), 'بنود العقد'!G115-F115, "")</f>
        <v>20124</v>
      </c>
      <c r="I115" s="21">
        <f t="shared" si="3"/>
        <v>0</v>
      </c>
    </row>
    <row r="116" spans="1:9" ht="24" customHeight="1">
      <c r="A116" s="12">
        <v>114</v>
      </c>
      <c r="B116" s="20" t="str">
        <f>IF('بنود العقد'!B116&lt;&gt;"", 'بنود العقد'!B116, "")</f>
        <v>رولات السجاد 05-CR لمدخل معالي الوزير في الدور الارضي، سجادة المراسم الملكية لون بنفسجي مع إضافة إطار بنقشة مزخرفة حسب المناظير الداخلية.</v>
      </c>
      <c r="C116" s="12" t="str">
        <f>IF('بنود العقد'!C116&lt;&gt;"", 'بنود العقد'!C116, "")</f>
        <v>معماري</v>
      </c>
      <c r="D116" s="9">
        <f>IF('بنود العقد'!F116&lt;&gt;"", 'بنود العقد'!F116, "")</f>
        <v>85</v>
      </c>
      <c r="E116" s="18">
        <f>IF(B116&lt;&gt;"", SUMPRODUCT(('بنود المطالبات'!C$3:C$1805=A116)*'بنود المطالبات'!I$3:I$1805), "")</f>
        <v>0</v>
      </c>
      <c r="F116" s="18">
        <f>IFERROR(IF(AND(E116&lt;&gt;"",'بنود العقد'!E116&lt;&gt;""), E116*'بنود العقد'!E116, 0), 0)</f>
        <v>0</v>
      </c>
      <c r="G116" s="9">
        <f t="shared" si="2"/>
        <v>85</v>
      </c>
      <c r="H116" s="9">
        <f>IF(AND('بنود العقد'!G116&lt;&gt;"",F116&lt;&gt;""), 'بنود العقد'!G116-F116, "")</f>
        <v>19380</v>
      </c>
      <c r="I116" s="21">
        <f t="shared" si="3"/>
        <v>0</v>
      </c>
    </row>
    <row r="117" spans="1:9" ht="24" customHeight="1">
      <c r="A117" s="12">
        <v>115</v>
      </c>
      <c r="B117" s="20" t="str">
        <f>IF('بنود العقد'!B117&lt;&gt;"", 'بنود العقد'!B117, "")</f>
        <v>رولات السجاد 06-CR للمدخل الرئيسي والثانوي في الدور الأرضي بلون بيج مع تصميم على شكل مثلثات حسب المناظير الداخلية.</v>
      </c>
      <c r="C117" s="12" t="str">
        <f>IF('بنود العقد'!C117&lt;&gt;"", 'بنود العقد'!C117, "")</f>
        <v>معماري</v>
      </c>
      <c r="D117" s="9">
        <f>IF('بنود العقد'!F117&lt;&gt;"", 'بنود العقد'!F117, "")</f>
        <v>174</v>
      </c>
      <c r="E117" s="18">
        <f>IF(B117&lt;&gt;"", SUMPRODUCT(('بنود المطالبات'!C$3:C$1805=A117)*'بنود المطالبات'!I$3:I$1805), "")</f>
        <v>0</v>
      </c>
      <c r="F117" s="18">
        <f>IFERROR(IF(AND(E117&lt;&gt;"",'بنود العقد'!E117&lt;&gt;""), E117*'بنود العقد'!E117, 0), 0)</f>
        <v>0</v>
      </c>
      <c r="G117" s="9">
        <f t="shared" si="2"/>
        <v>174</v>
      </c>
      <c r="H117" s="9">
        <f>IF(AND('بنود العقد'!G117&lt;&gt;"",F117&lt;&gt;""), 'بنود العقد'!G117-F117, "")</f>
        <v>37584</v>
      </c>
      <c r="I117" s="21">
        <f t="shared" si="3"/>
        <v>0</v>
      </c>
    </row>
    <row r="118" spans="1:9" ht="24" customHeight="1">
      <c r="A118" s="12">
        <v>116</v>
      </c>
      <c r="B118" s="20" t="str">
        <f>IF('بنود العقد'!B118&lt;&gt;"", 'بنود العقد'!B118, "")</f>
        <v>رولات السجاد 07-CR لمختصر معالي الوزير، غرفة الاجتماعات الخاصة بمعالي الوزير، غرفة الاجتماعات الرئيسية ومدير مكتب معالي الوزير.</v>
      </c>
      <c r="C118" s="12" t="str">
        <f>IF('بنود العقد'!C118&lt;&gt;"", 'بنود العقد'!C118, "")</f>
        <v>معماري</v>
      </c>
      <c r="D118" s="9">
        <f>IF('بنود العقد'!F118&lt;&gt;"", 'بنود العقد'!F118, "")</f>
        <v>215</v>
      </c>
      <c r="E118" s="18">
        <f>IF(B118&lt;&gt;"", SUMPRODUCT(('بنود المطالبات'!C$3:C$1805=A118)*'بنود المطالبات'!I$3:I$1805), "")</f>
        <v>0</v>
      </c>
      <c r="F118" s="18">
        <f>IFERROR(IF(AND(E118&lt;&gt;"",'بنود العقد'!E118&lt;&gt;""), E118*'بنود العقد'!E118, 0), 0)</f>
        <v>0</v>
      </c>
      <c r="G118" s="9">
        <f t="shared" si="2"/>
        <v>215</v>
      </c>
      <c r="H118" s="9">
        <f>IF(AND('بنود العقد'!G118&lt;&gt;"",F118&lt;&gt;""), 'بنود العقد'!G118-F118, "")</f>
        <v>49020</v>
      </c>
      <c r="I118" s="21">
        <f t="shared" si="3"/>
        <v>0</v>
      </c>
    </row>
    <row r="119" spans="1:9" ht="24" customHeight="1">
      <c r="A119" s="12">
        <v>117</v>
      </c>
      <c r="B119" s="20" t="str">
        <f>IF('بنود العقد'!B119&lt;&gt;"", 'بنود العقد'!B119, "")</f>
        <v>300-Ref drawing: 07-MRA-DD-(as per floor number)-ARرولات السجاد 08-CR لمنطقة انتظار كبار الشخصيات في الدور السادس</v>
      </c>
      <c r="C119" s="12" t="str">
        <f>IF('بنود العقد'!C119&lt;&gt;"", 'بنود العقد'!C119, "")</f>
        <v>معماري</v>
      </c>
      <c r="D119" s="9">
        <f>IF('بنود العقد'!F119&lt;&gt;"", 'بنود العقد'!F119, "")</f>
        <v>37</v>
      </c>
      <c r="E119" s="18">
        <f>IF(B119&lt;&gt;"", SUMPRODUCT(('بنود المطالبات'!C$3:C$1805=A119)*'بنود المطالبات'!I$3:I$1805), "")</f>
        <v>0</v>
      </c>
      <c r="F119" s="18">
        <f>IFERROR(IF(AND(E119&lt;&gt;"",'بنود العقد'!E119&lt;&gt;""), E119*'بنود العقد'!E119, 0), 0)</f>
        <v>0</v>
      </c>
      <c r="G119" s="9">
        <f t="shared" si="2"/>
        <v>37</v>
      </c>
      <c r="H119" s="9">
        <f>IF(AND('بنود العقد'!G119&lt;&gt;"",F119&lt;&gt;""), 'بنود العقد'!G119-F119, "")</f>
        <v>5772</v>
      </c>
      <c r="I119" s="21">
        <f t="shared" si="3"/>
        <v>0</v>
      </c>
    </row>
    <row r="120" spans="1:9" ht="24" customHeight="1">
      <c r="A120" s="12">
        <v>118</v>
      </c>
      <c r="B120" s="20" t="str">
        <f>IF('بنود العقد'!B120&lt;&gt;"", 'بنود العقد'!B120, "")</f>
        <v>300-Ref drawing: 07-MRA-DD-(as per floor number)-ARرولات السجاد 09-CR  لمكتب معالي الوزير، السكرتاريا ومنطقة الانتظار</v>
      </c>
      <c r="C120" s="12" t="str">
        <f>IF('بنود العقد'!C120&lt;&gt;"", 'بنود العقد'!C120, "")</f>
        <v>معماري</v>
      </c>
      <c r="D120" s="9">
        <f>IF('بنود العقد'!F120&lt;&gt;"", 'بنود العقد'!F120, "")</f>
        <v>203</v>
      </c>
      <c r="E120" s="18">
        <f>IF(B120&lt;&gt;"", SUMPRODUCT(('بنود المطالبات'!C$3:C$1805=A120)*'بنود المطالبات'!I$3:I$1805), "")</f>
        <v>0</v>
      </c>
      <c r="F120" s="18">
        <f>IFERROR(IF(AND(E120&lt;&gt;"",'بنود العقد'!E120&lt;&gt;""), E120*'بنود العقد'!E120, 0), 0)</f>
        <v>0</v>
      </c>
      <c r="G120" s="9">
        <f t="shared" si="2"/>
        <v>203</v>
      </c>
      <c r="H120" s="9">
        <f>IF(AND('بنود العقد'!G120&lt;&gt;"",F120&lt;&gt;""), 'بنود العقد'!G120-F120, "")</f>
        <v>46284</v>
      </c>
      <c r="I120" s="21">
        <f t="shared" si="3"/>
        <v>0</v>
      </c>
    </row>
    <row r="121" spans="1:9" ht="24" customHeight="1">
      <c r="A121" s="12">
        <v>119</v>
      </c>
      <c r="B121" s="20" t="str">
        <f>IF('بنود العقد'!B121&lt;&gt;"", 'بنود العقد'!B121, "")</f>
        <v>300-Ref drawing: 07-MRA-DD-(as per floor number)-ARرولات السجاد 10-CR  لغرفة اللاونج في منطقة التنفيذين في الدور السادس</v>
      </c>
      <c r="C121" s="12" t="str">
        <f>IF('بنود العقد'!C121&lt;&gt;"", 'بنود العقد'!C121, "")</f>
        <v>معماري</v>
      </c>
      <c r="D121" s="9">
        <f>IF('بنود العقد'!F121&lt;&gt;"", 'بنود العقد'!F121, "")</f>
        <v>18</v>
      </c>
      <c r="E121" s="18">
        <f>IF(B121&lt;&gt;"", SUMPRODUCT(('بنود المطالبات'!C$3:C$1805=A121)*'بنود المطالبات'!I$3:I$1805), "")</f>
        <v>0</v>
      </c>
      <c r="F121" s="18">
        <f>IFERROR(IF(AND(E121&lt;&gt;"",'بنود العقد'!E121&lt;&gt;""), E121*'بنود العقد'!E121, 0), 0)</f>
        <v>0</v>
      </c>
      <c r="G121" s="9">
        <f t="shared" si="2"/>
        <v>18</v>
      </c>
      <c r="H121" s="9">
        <f>IF(AND('بنود العقد'!G121&lt;&gt;"",F121&lt;&gt;""), 'بنود العقد'!G121-F121, "")</f>
        <v>2808</v>
      </c>
      <c r="I121" s="21">
        <f t="shared" si="3"/>
        <v>0</v>
      </c>
    </row>
    <row r="122" spans="1:9" ht="24" customHeight="1">
      <c r="A122" s="12">
        <v>120</v>
      </c>
      <c r="B122" s="20" t="str">
        <f>IF('بنود العقد'!B122&lt;&gt;"", 'بنود العقد'!B122, "")</f>
        <v>بلاط laminated HDF باركيه01-PQ  لمركز الأعمال والفناء الوسطي</v>
      </c>
      <c r="C122" s="12" t="str">
        <f>IF('بنود العقد'!C122&lt;&gt;"", 'بنود العقد'!C122, "")</f>
        <v>معماري</v>
      </c>
      <c r="D122" s="9">
        <f>IF('بنود العقد'!F122&lt;&gt;"", 'بنود العقد'!F122, "")</f>
        <v>178</v>
      </c>
      <c r="E122" s="18">
        <f>IF(B122&lt;&gt;"", SUMPRODUCT(('بنود المطالبات'!C$3:C$1805=A122)*'بنود المطالبات'!I$3:I$1805), "")</f>
        <v>58.9</v>
      </c>
      <c r="F122" s="18">
        <f>IFERROR(IF(AND(E122&lt;&gt;"",'بنود العقد'!E122&lt;&gt;""), E122*'بنود العقد'!E122, 0), 0)</f>
        <v>9188.4</v>
      </c>
      <c r="G122" s="9">
        <f t="shared" si="2"/>
        <v>119.1</v>
      </c>
      <c r="H122" s="9">
        <f>IF(AND('بنود العقد'!G122&lt;&gt;"",F122&lt;&gt;""), 'بنود العقد'!G122-F122, "")</f>
        <v>18579.599999999999</v>
      </c>
      <c r="I122" s="21">
        <f t="shared" si="3"/>
        <v>33.08988764044944</v>
      </c>
    </row>
    <row r="123" spans="1:9" ht="24" customHeight="1">
      <c r="A123" s="12">
        <v>121</v>
      </c>
      <c r="B123" s="20" t="str">
        <f>IF('بنود العقد'!B123&lt;&gt;"", 'بنود العقد'!B123, "")</f>
        <v xml:space="preserve">عمل صبة خرسانية من السرك سماكة 10 سم مع طبقة واحدة من شبك الحديد قطر 6مم. على أن تكون طبقة التشطيب النهائية بلون رمادي غامق على شكل الأسطح الاسمنتية  بحسب اللون والملمس المعتمد. </v>
      </c>
      <c r="C123" s="12" t="str">
        <f>IF('بنود العقد'!C123&lt;&gt;"", 'بنود العقد'!C123, "")</f>
        <v>معماري</v>
      </c>
      <c r="D123" s="9">
        <f>IF('بنود العقد'!F123&lt;&gt;"", 'بنود العقد'!F123, "")</f>
        <v>110</v>
      </c>
      <c r="E123" s="18">
        <f>IF(B123&lt;&gt;"", SUMPRODUCT(('بنود المطالبات'!C$3:C$1805=A123)*'بنود المطالبات'!I$3:I$1805), "")</f>
        <v>385</v>
      </c>
      <c r="F123" s="18">
        <f>IFERROR(IF(AND(E123&lt;&gt;"",'بنود العقد'!E123&lt;&gt;""), E123*'بنود العقد'!E123, 0), 0)</f>
        <v>27720</v>
      </c>
      <c r="G123" s="9">
        <f t="shared" si="2"/>
        <v>-275</v>
      </c>
      <c r="H123" s="9">
        <f>IF(AND('بنود العقد'!G123&lt;&gt;"",F123&lt;&gt;""), 'بنود العقد'!G123-F123, "")</f>
        <v>-19800</v>
      </c>
      <c r="I123" s="21">
        <f t="shared" si="3"/>
        <v>100</v>
      </c>
    </row>
    <row r="124" spans="1:9" ht="24" customHeight="1">
      <c r="A124" s="12">
        <v>122</v>
      </c>
      <c r="B124" s="20" t="str">
        <f>IF('بنود العقد'!B124&lt;&gt;"", 'بنود العقد'!B124, "")</f>
        <v>عمل صبة خرسانية من السرك سماكة 10 سم مع طبقة واحدة من شبك الحديد قطر 6مم. على أن تكون طبقة التشطيب النهائية بلون رمادي فاتح على شكل الأسطح الاسمنتية  بحسب اللون والملمس المعتمد وبحسب تعليمات المهندس المشرف.</v>
      </c>
      <c r="C124" s="12" t="str">
        <f>IF('بنود العقد'!C124&lt;&gt;"", 'بنود العقد'!C124, "")</f>
        <v>معماري</v>
      </c>
      <c r="D124" s="9">
        <f>IF('بنود العقد'!F124&lt;&gt;"", 'بنود العقد'!F124, "")</f>
        <v>160</v>
      </c>
      <c r="E124" s="18">
        <f>IF(B124&lt;&gt;"", SUMPRODUCT(('بنود المطالبات'!C$3:C$1805=A124)*'بنود المطالبات'!I$3:I$1805), "")</f>
        <v>0</v>
      </c>
      <c r="F124" s="18">
        <f>IFERROR(IF(AND(E124&lt;&gt;"",'بنود العقد'!E124&lt;&gt;""), E124*'بنود العقد'!E124, 0), 0)</f>
        <v>0</v>
      </c>
      <c r="G124" s="9">
        <f t="shared" si="2"/>
        <v>160</v>
      </c>
      <c r="H124" s="9">
        <f>IF(AND('بنود العقد'!G124&lt;&gt;"",F124&lt;&gt;""), 'بنود العقد'!G124-F124, "")</f>
        <v>11520</v>
      </c>
      <c r="I124" s="21">
        <f t="shared" si="3"/>
        <v>0</v>
      </c>
    </row>
    <row r="125" spans="1:9" ht="24" customHeight="1">
      <c r="A125" s="12">
        <v>123</v>
      </c>
      <c r="B125" s="20" t="str">
        <f>IF('بنود العقد'!B125&lt;&gt;"", 'بنود العقد'!B125, "")</f>
        <v xml:space="preserve">حجر جرانيت اسود مع تشكيلات مثلثات من لون فاتح للنافورة الداخلية   01-ST حسب الموضح بالمخطط </v>
      </c>
      <c r="C125" s="12" t="str">
        <f>IF('بنود العقد'!C125&lt;&gt;"", 'بنود العقد'!C125, "")</f>
        <v>معماري</v>
      </c>
      <c r="D125" s="9">
        <f>IF('بنود العقد'!F125&lt;&gt;"", 'بنود العقد'!F125, "")</f>
        <v>170</v>
      </c>
      <c r="E125" s="18">
        <f>IF(B125&lt;&gt;"", SUMPRODUCT(('بنود المطالبات'!C$3:C$1805=A125)*'بنود المطالبات'!I$3:I$1805), "")</f>
        <v>128.18</v>
      </c>
      <c r="F125" s="18">
        <f>IFERROR(IF(AND(E125&lt;&gt;"",'بنود العقد'!E125&lt;&gt;""), E125*'بنود العقد'!E125, 0), 0)</f>
        <v>15381.6</v>
      </c>
      <c r="G125" s="9">
        <f t="shared" si="2"/>
        <v>41.819999999999993</v>
      </c>
      <c r="H125" s="9">
        <f>IF(AND('بنود العقد'!G125&lt;&gt;"",F125&lt;&gt;""), 'بنود العقد'!G125-F125, "")</f>
        <v>5018.3999999999996</v>
      </c>
      <c r="I125" s="21">
        <f t="shared" si="3"/>
        <v>75.400000000000006</v>
      </c>
    </row>
    <row r="126" spans="1:9" ht="24" customHeight="1">
      <c r="A126" s="12">
        <v>124</v>
      </c>
      <c r="B126" s="20" t="str">
        <f>IF('بنود العقد'!B126&lt;&gt;"", 'بنود العقد'!B126, "")</f>
        <v>300-Ref. Drawings: 07-MRA-DD-(as per floor number)-AR حجر رياض ابيض كإطار حول الجلسات في الفناء الوسطي الاساسي 02-ST</v>
      </c>
      <c r="C126" s="12" t="str">
        <f>IF('بنود العقد'!C126&lt;&gt;"", 'بنود العقد'!C126, "")</f>
        <v>معماري</v>
      </c>
      <c r="D126" s="9">
        <f>IF('بنود العقد'!F126&lt;&gt;"", 'بنود العقد'!F126, "")</f>
        <v>118</v>
      </c>
      <c r="E126" s="18">
        <f>IF(B126&lt;&gt;"", SUMPRODUCT(('بنود المطالبات'!C$3:C$1805=A126)*'بنود المطالبات'!I$3:I$1805), "")</f>
        <v>0</v>
      </c>
      <c r="F126" s="18">
        <f>IFERROR(IF(AND(E126&lt;&gt;"",'بنود العقد'!E126&lt;&gt;""), E126*'بنود العقد'!E126, 0), 0)</f>
        <v>0</v>
      </c>
      <c r="G126" s="9">
        <f t="shared" si="2"/>
        <v>118</v>
      </c>
      <c r="H126" s="9">
        <f>IF(AND('بنود العقد'!G126&lt;&gt;"",F126&lt;&gt;""), 'بنود العقد'!G126-F126, "")</f>
        <v>21240</v>
      </c>
      <c r="I126" s="21">
        <f t="shared" si="3"/>
        <v>0</v>
      </c>
    </row>
    <row r="127" spans="1:9" ht="24" customHeight="1">
      <c r="A127" s="12">
        <v>125</v>
      </c>
      <c r="B127" s="20" t="str">
        <f>IF('بنود العقد'!B127&lt;&gt;"", 'بنود العقد'!B127, "")</f>
        <v>دهان بلون رمادي بيج على الألواح الجبسية والألواح الاسمنتية 100-WPF</v>
      </c>
      <c r="C127" s="12" t="str">
        <f>IF('بنود العقد'!C127&lt;&gt;"", 'بنود العقد'!C127, "")</f>
        <v>معماري</v>
      </c>
      <c r="D127" s="9">
        <f>IF('بنود العقد'!F127&lt;&gt;"", 'بنود العقد'!F127, "")</f>
        <v>12700</v>
      </c>
      <c r="E127" s="18">
        <f>IF(B127&lt;&gt;"", SUMPRODUCT(('بنود المطالبات'!C$3:C$1805=A127)*'بنود المطالبات'!I$3:I$1805), "")</f>
        <v>12477.459199999999</v>
      </c>
      <c r="F127" s="18">
        <f>IFERROR(IF(AND(E127&lt;&gt;"",'بنود العقد'!E127&lt;&gt;""), E127*'بنود العقد'!E127, 0), 0)</f>
        <v>314431.97183999995</v>
      </c>
      <c r="G127" s="9">
        <f t="shared" si="2"/>
        <v>222.54080000000067</v>
      </c>
      <c r="H127" s="9">
        <f>IF(AND('بنود العقد'!G127&lt;&gt;"",F127&lt;&gt;""), 'بنود العقد'!G127-F127, "")</f>
        <v>5608.0281600000453</v>
      </c>
      <c r="I127" s="21">
        <f t="shared" si="3"/>
        <v>98.24771023622047</v>
      </c>
    </row>
    <row r="128" spans="1:9" ht="24" customHeight="1">
      <c r="A128" s="12">
        <v>126</v>
      </c>
      <c r="B128" s="20" t="str">
        <f>IF('بنود العقد'!B128&lt;&gt;"", 'بنود العقد'!B128, "")</f>
        <v>دهان بلون رمادي خشن على هيئة الاسطح الاسمنتية مع غرووف  على الأعمدة</v>
      </c>
      <c r="C128" s="12" t="str">
        <f>IF('بنود العقد'!C128&lt;&gt;"", 'بنود العقد'!C128, "")</f>
        <v>معماري</v>
      </c>
      <c r="D128" s="9">
        <f>IF('بنود العقد'!F128&lt;&gt;"", 'بنود العقد'!F128, "")</f>
        <v>2288</v>
      </c>
      <c r="E128" s="18">
        <f>IF(B128&lt;&gt;"", SUMPRODUCT(('بنود المطالبات'!C$3:C$1805=A128)*'بنود المطالبات'!I$3:I$1805), "")</f>
        <v>0</v>
      </c>
      <c r="F128" s="18">
        <f>IFERROR(IF(AND(E128&lt;&gt;"",'بنود العقد'!E128&lt;&gt;""), E128*'بنود العقد'!E128, 0), 0)</f>
        <v>0</v>
      </c>
      <c r="G128" s="9">
        <f t="shared" si="2"/>
        <v>2288</v>
      </c>
      <c r="H128" s="9">
        <f>IF(AND('بنود العقد'!G128&lt;&gt;"",F128&lt;&gt;""), 'بنود العقد'!G128-F128, "")</f>
        <v>68640</v>
      </c>
      <c r="I128" s="21">
        <f t="shared" si="3"/>
        <v>0</v>
      </c>
    </row>
    <row r="129" spans="1:9" ht="24" customHeight="1">
      <c r="A129" s="12">
        <v>127</v>
      </c>
      <c r="B129" s="20" t="str">
        <f>IF('بنود العقد'!B129&lt;&gt;"", 'بنود العقد'!B129, "")</f>
        <v>دهان لجدران وأسقف السلالم والجدران الداخلية بالمبنى.</v>
      </c>
      <c r="C129" s="12" t="str">
        <f>IF('بنود العقد'!C129&lt;&gt;"", 'بنود العقد'!C129, "")</f>
        <v>معماري</v>
      </c>
      <c r="D129" s="9">
        <f>IF('بنود العقد'!F129&lt;&gt;"", 'بنود العقد'!F129, "")</f>
        <v>6173</v>
      </c>
      <c r="E129" s="18">
        <f>IF(B129&lt;&gt;"", SUMPRODUCT(('بنود المطالبات'!C$3:C$1805=A129)*'بنود المطالبات'!I$3:I$1805), "")</f>
        <v>0</v>
      </c>
      <c r="F129" s="18">
        <f>IFERROR(IF(AND(E129&lt;&gt;"",'بنود العقد'!E129&lt;&gt;""), E129*'بنود العقد'!E129, 0), 0)</f>
        <v>0</v>
      </c>
      <c r="G129" s="9">
        <f t="shared" si="2"/>
        <v>6173</v>
      </c>
      <c r="H129" s="9">
        <f>IF(AND('بنود العقد'!G129&lt;&gt;"",F129&lt;&gt;""), 'بنود العقد'!G129-F129, "")</f>
        <v>185190</v>
      </c>
      <c r="I129" s="21">
        <f t="shared" si="3"/>
        <v>0</v>
      </c>
    </row>
    <row r="130" spans="1:9" ht="24" customHeight="1">
      <c r="A130" s="12">
        <v>128</v>
      </c>
      <c r="B130" s="20" t="str">
        <f>IF('بنود العقد'!B130&lt;&gt;"", 'بنود العقد'!B130, "")</f>
        <v>.دهان بلون رمادي اسمنتي على الألواح الجبسية والألواح الاسمنتية 200-WPF</v>
      </c>
      <c r="C130" s="12" t="str">
        <f>IF('بنود العقد'!C130&lt;&gt;"", 'بنود العقد'!C130, "")</f>
        <v>معماري</v>
      </c>
      <c r="D130" s="9">
        <f>IF('بنود العقد'!F130&lt;&gt;"", 'بنود العقد'!F130, "")</f>
        <v>2088</v>
      </c>
      <c r="E130" s="18">
        <f>IF(B130&lt;&gt;"", SUMPRODUCT(('بنود المطالبات'!C$3:C$1805=A130)*'بنود المطالبات'!I$3:I$1805), "")</f>
        <v>5872.3747000000003</v>
      </c>
      <c r="F130" s="18">
        <f>IFERROR(IF(AND(E130&lt;&gt;"",'بنود العقد'!E130&lt;&gt;""), E130*'بنود العقد'!E130, 0), 0)</f>
        <v>176171.24100000001</v>
      </c>
      <c r="G130" s="9">
        <f t="shared" si="2"/>
        <v>-3784.3747000000003</v>
      </c>
      <c r="H130" s="9">
        <f>IF(AND('بنود العقد'!G130&lt;&gt;"",F130&lt;&gt;""), 'بنود العقد'!G130-F130, "")</f>
        <v>-113531.24100000001</v>
      </c>
      <c r="I130" s="21">
        <f t="shared" si="3"/>
        <v>100</v>
      </c>
    </row>
    <row r="131" spans="1:9" ht="24" customHeight="1">
      <c r="A131" s="12">
        <v>129</v>
      </c>
      <c r="B131" s="20" t="str">
        <f>IF('بنود العقد'!B131&lt;&gt;"", 'بنود العقد'!B131, "")</f>
        <v>.دهان بلون رمادي فاتح  على الألواح الجبسية والألواح الاسمنتية 300-WPF</v>
      </c>
      <c r="C131" s="12" t="str">
        <f>IF('بنود العقد'!C131&lt;&gt;"", 'بنود العقد'!C131, "")</f>
        <v>معماري</v>
      </c>
      <c r="D131" s="9">
        <f>IF('بنود العقد'!F131&lt;&gt;"", 'بنود العقد'!F131, "")</f>
        <v>174</v>
      </c>
      <c r="E131" s="18">
        <f>IF(B131&lt;&gt;"", SUMPRODUCT(('بنود المطالبات'!C$3:C$1805=A131)*'بنود المطالبات'!I$3:I$1805), "")</f>
        <v>0</v>
      </c>
      <c r="F131" s="18">
        <f>IFERROR(IF(AND(E131&lt;&gt;"",'بنود العقد'!E131&lt;&gt;""), E131*'بنود العقد'!E131, 0), 0)</f>
        <v>0</v>
      </c>
      <c r="G131" s="9">
        <f t="shared" ref="G131:G194" si="4">IF(AND(D131&lt;&gt;"",E131&lt;&gt;""), D131-E131, "")</f>
        <v>174</v>
      </c>
      <c r="H131" s="9">
        <f>IF(AND('بنود العقد'!G131&lt;&gt;"",F131&lt;&gt;""), 'بنود العقد'!G131-F131, "")</f>
        <v>5220</v>
      </c>
      <c r="I131" s="21">
        <f t="shared" ref="I131:I194" si="5">IFERROR(IF(AND(E131&lt;&gt;"",D131&lt;&gt;"",D131&gt;0), MIN(E131/D131*100, 100), 0), 0)</f>
        <v>0</v>
      </c>
    </row>
    <row r="132" spans="1:9" ht="24" customHeight="1">
      <c r="A132" s="12">
        <v>130</v>
      </c>
      <c r="B132" s="20" t="str">
        <f>IF('بنود العقد'!B132&lt;&gt;"", 'بنود العقد'!B132, "")</f>
        <v>.دهان بلون اصفر خردلي  على الألواح الجبسية والألواح الاسمنتية 400-WPF</v>
      </c>
      <c r="C132" s="12" t="str">
        <f>IF('بنود العقد'!C132&lt;&gt;"", 'بنود العقد'!C132, "")</f>
        <v>معماري</v>
      </c>
      <c r="D132" s="9">
        <f>IF('بنود العقد'!F132&lt;&gt;"", 'بنود العقد'!F132, "")</f>
        <v>30</v>
      </c>
      <c r="E132" s="18">
        <f>IF(B132&lt;&gt;"", SUMPRODUCT(('بنود المطالبات'!C$3:C$1805=A132)*'بنود المطالبات'!I$3:I$1805), "")</f>
        <v>0</v>
      </c>
      <c r="F132" s="18">
        <f>IFERROR(IF(AND(E132&lt;&gt;"",'بنود العقد'!E132&lt;&gt;""), E132*'بنود العقد'!E132, 0), 0)</f>
        <v>0</v>
      </c>
      <c r="G132" s="9">
        <f t="shared" si="4"/>
        <v>30</v>
      </c>
      <c r="H132" s="9">
        <f>IF(AND('بنود العقد'!G132&lt;&gt;"",F132&lt;&gt;""), 'بنود العقد'!G132-F132, "")</f>
        <v>720</v>
      </c>
      <c r="I132" s="21">
        <f t="shared" si="5"/>
        <v>0</v>
      </c>
    </row>
    <row r="133" spans="1:9" ht="24" customHeight="1">
      <c r="A133" s="12">
        <v>131</v>
      </c>
      <c r="B133" s="20" t="str">
        <f>IF('بنود العقد'!B133&lt;&gt;"", 'بنود العقد'!B133, "")</f>
        <v>.دهان بلون ازرق أخضر  على الألواح الجبسية والألواح الاسمنتية 500-WPF</v>
      </c>
      <c r="C133" s="12" t="str">
        <f>IF('بنود العقد'!C133&lt;&gt;"", 'بنود العقد'!C133, "")</f>
        <v>معماري</v>
      </c>
      <c r="D133" s="9">
        <f>IF('بنود العقد'!F133&lt;&gt;"", 'بنود العقد'!F133, "")</f>
        <v>23</v>
      </c>
      <c r="E133" s="18">
        <f>IF(B133&lt;&gt;"", SUMPRODUCT(('بنود المطالبات'!C$3:C$1805=A133)*'بنود المطالبات'!I$3:I$1805), "")</f>
        <v>0</v>
      </c>
      <c r="F133" s="18">
        <f>IFERROR(IF(AND(E133&lt;&gt;"",'بنود العقد'!E133&lt;&gt;""), E133*'بنود العقد'!E133, 0), 0)</f>
        <v>0</v>
      </c>
      <c r="G133" s="9">
        <f t="shared" si="4"/>
        <v>23</v>
      </c>
      <c r="H133" s="9">
        <f>IF(AND('بنود العقد'!G133&lt;&gt;"",F133&lt;&gt;""), 'بنود العقد'!G133-F133, "")</f>
        <v>552</v>
      </c>
      <c r="I133" s="21">
        <f t="shared" si="5"/>
        <v>0</v>
      </c>
    </row>
    <row r="134" spans="1:9" ht="24" customHeight="1">
      <c r="A134" s="12">
        <v>132</v>
      </c>
      <c r="B134" s="20" t="str">
        <f>IF('بنود العقد'!B134&lt;&gt;"", 'بنود العقد'!B134, "")</f>
        <v>.دهان بلون رمادي خشن على هيئة الاسطح الاسمنتية مع تجويف  على جدار البلوك 600-WPF</v>
      </c>
      <c r="C134" s="12" t="str">
        <f>IF('بنود العقد'!C134&lt;&gt;"", 'بنود العقد'!C134, "")</f>
        <v>معماري</v>
      </c>
      <c r="D134" s="9">
        <f>IF('بنود العقد'!F134&lt;&gt;"", 'بنود العقد'!F134, "")</f>
        <v>32</v>
      </c>
      <c r="E134" s="18">
        <f>IF(B134&lt;&gt;"", SUMPRODUCT(('بنود المطالبات'!C$3:C$1805=A134)*'بنود المطالبات'!I$3:I$1805), "")</f>
        <v>32</v>
      </c>
      <c r="F134" s="18">
        <f>IFERROR(IF(AND(E134&lt;&gt;"",'بنود العقد'!E134&lt;&gt;""), E134*'بنود العقد'!E134, 0), 0)</f>
        <v>768</v>
      </c>
      <c r="G134" s="9">
        <f t="shared" si="4"/>
        <v>0</v>
      </c>
      <c r="H134" s="9">
        <f>IF(AND('بنود العقد'!G134&lt;&gt;"",F134&lt;&gt;""), 'بنود العقد'!G134-F134, "")</f>
        <v>0</v>
      </c>
      <c r="I134" s="21">
        <f t="shared" si="5"/>
        <v>100</v>
      </c>
    </row>
    <row r="135" spans="1:9" ht="24" customHeight="1">
      <c r="A135" s="12">
        <v>133</v>
      </c>
      <c r="B135" s="20" t="str">
        <f>IF('بنود العقد'!B135&lt;&gt;"", 'بنود العقد'!B135,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ابيض</v>
      </c>
      <c r="C135" s="12" t="str">
        <f>IF('بنود العقد'!C135&lt;&gt;"", 'بنود العقد'!C135, "")</f>
        <v>معماري</v>
      </c>
      <c r="D135" s="9">
        <f>IF('بنود العقد'!F135&lt;&gt;"", 'بنود العقد'!F135, "")</f>
        <v>25559</v>
      </c>
      <c r="E135" s="18">
        <f>IF(B135&lt;&gt;"", SUMPRODUCT(('بنود المطالبات'!C$3:C$1805=A135)*'بنود المطالبات'!I$3:I$1805), "")</f>
        <v>25746.444</v>
      </c>
      <c r="F135" s="18">
        <f>IFERROR(IF(AND(E135&lt;&gt;"",'بنود العقد'!E135&lt;&gt;""), E135*'بنود العقد'!E135, 0), 0)</f>
        <v>617914.65599999996</v>
      </c>
      <c r="G135" s="9">
        <f t="shared" si="4"/>
        <v>-187.44399999999951</v>
      </c>
      <c r="H135" s="9">
        <f>IF(AND('بنود العقد'!G135&lt;&gt;"",F135&lt;&gt;""), 'بنود العقد'!G135-F135, "")</f>
        <v>-4498.655999999959</v>
      </c>
      <c r="I135" s="21">
        <f t="shared" si="5"/>
        <v>100</v>
      </c>
    </row>
    <row r="136" spans="1:9" ht="24" customHeight="1">
      <c r="A136" s="12">
        <v>134</v>
      </c>
      <c r="B136" s="20" t="str">
        <f>IF('بنود العقد'!B136&lt;&gt;"", 'بنود العقد'!B136,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اصفر خردلي</v>
      </c>
      <c r="C136" s="12" t="str">
        <f>IF('بنود العقد'!C136&lt;&gt;"", 'بنود العقد'!C136, "")</f>
        <v>معماري</v>
      </c>
      <c r="D136" s="9">
        <f>IF('بنود العقد'!F136&lt;&gt;"", 'بنود العقد'!F136, "")</f>
        <v>9</v>
      </c>
      <c r="E136" s="18">
        <f>IF(B136&lt;&gt;"", SUMPRODUCT(('بنود المطالبات'!C$3:C$1805=A136)*'بنود المطالبات'!I$3:I$1805), "")</f>
        <v>0</v>
      </c>
      <c r="F136" s="18">
        <f>IFERROR(IF(AND(E136&lt;&gt;"",'بنود العقد'!E136&lt;&gt;""), E136*'بنود العقد'!E136, 0), 0)</f>
        <v>0</v>
      </c>
      <c r="G136" s="9">
        <f t="shared" si="4"/>
        <v>9</v>
      </c>
      <c r="H136" s="9">
        <f>IF(AND('بنود العقد'!G136&lt;&gt;"",F136&lt;&gt;""), 'بنود العقد'!G136-F136, "")</f>
        <v>216</v>
      </c>
      <c r="I136" s="21">
        <f t="shared" si="5"/>
        <v>0</v>
      </c>
    </row>
    <row r="137" spans="1:9" ht="24" customHeight="1">
      <c r="A137" s="12">
        <v>135</v>
      </c>
      <c r="B137" s="20" t="str">
        <f>IF('بنود العقد'!B137&lt;&gt;"", 'بنود العقد'!B137,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ازرق تيل</v>
      </c>
      <c r="C137" s="12" t="str">
        <f>IF('بنود العقد'!C137&lt;&gt;"", 'بنود العقد'!C137, "")</f>
        <v>معماري</v>
      </c>
      <c r="D137" s="9">
        <f>IF('بنود العقد'!F137&lt;&gt;"", 'بنود العقد'!F137, "")</f>
        <v>3</v>
      </c>
      <c r="E137" s="18">
        <f>IF(B137&lt;&gt;"", SUMPRODUCT(('بنود المطالبات'!C$3:C$1805=A137)*'بنود المطالبات'!I$3:I$1805), "")</f>
        <v>0</v>
      </c>
      <c r="F137" s="18">
        <f>IFERROR(IF(AND(E137&lt;&gt;"",'بنود العقد'!E137&lt;&gt;""), E137*'بنود العقد'!E137, 0), 0)</f>
        <v>0</v>
      </c>
      <c r="G137" s="9">
        <f t="shared" si="4"/>
        <v>3</v>
      </c>
      <c r="H137" s="9">
        <f>IF(AND('بنود العقد'!G137&lt;&gt;"",F137&lt;&gt;""), 'بنود العقد'!G137-F137, "")</f>
        <v>72</v>
      </c>
      <c r="I137" s="21">
        <f t="shared" si="5"/>
        <v>0</v>
      </c>
    </row>
    <row r="138" spans="1:9" ht="24" customHeight="1">
      <c r="A138" s="12">
        <v>136</v>
      </c>
      <c r="B138" s="20" t="str">
        <f>IF('بنود العقد'!B138&lt;&gt;"", 'بنود العقد'!B138,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ازرق فاتح</v>
      </c>
      <c r="C138" s="12" t="str">
        <f>IF('بنود العقد'!C138&lt;&gt;"", 'بنود العقد'!C138, "")</f>
        <v>معماري</v>
      </c>
      <c r="D138" s="9">
        <f>IF('بنود العقد'!F138&lt;&gt;"", 'بنود العقد'!F138, "")</f>
        <v>4</v>
      </c>
      <c r="E138" s="18">
        <f>IF(B138&lt;&gt;"", SUMPRODUCT(('بنود المطالبات'!C$3:C$1805=A138)*'بنود المطالبات'!I$3:I$1805), "")</f>
        <v>0</v>
      </c>
      <c r="F138" s="18">
        <f>IFERROR(IF(AND(E138&lt;&gt;"",'بنود العقد'!E138&lt;&gt;""), E138*'بنود العقد'!E138, 0), 0)</f>
        <v>0</v>
      </c>
      <c r="G138" s="9">
        <f t="shared" si="4"/>
        <v>4</v>
      </c>
      <c r="H138" s="9">
        <f>IF(AND('بنود العقد'!G138&lt;&gt;"",F138&lt;&gt;""), 'بنود العقد'!G138-F138, "")</f>
        <v>80</v>
      </c>
      <c r="I138" s="21">
        <f t="shared" si="5"/>
        <v>0</v>
      </c>
    </row>
    <row r="139" spans="1:9" ht="24" customHeight="1">
      <c r="A139" s="12">
        <v>137</v>
      </c>
      <c r="B139" s="20" t="str">
        <f>IF('بنود العقد'!B139&lt;&gt;"", 'بنود العقد'!B139, "")</f>
        <v>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 دهان  بلون اسود</v>
      </c>
      <c r="C139" s="12" t="str">
        <f>IF('بنود العقد'!C139&lt;&gt;"", 'بنود العقد'!C139, "")</f>
        <v>معماري</v>
      </c>
      <c r="D139" s="9">
        <f>IF('بنود العقد'!F139&lt;&gt;"", 'بنود العقد'!F139, "")</f>
        <v>9442</v>
      </c>
      <c r="E139" s="18">
        <f>IF(B139&lt;&gt;"", SUMPRODUCT(('بنود المطالبات'!C$3:C$1805=A139)*'بنود المطالبات'!I$3:I$1805), "")</f>
        <v>11095.51</v>
      </c>
      <c r="F139" s="18">
        <f>IFERROR(IF(AND(E139&lt;&gt;"",'بنود العقد'!E139&lt;&gt;""), E139*'بنود العقد'!E139, 0), 0)</f>
        <v>332865.3</v>
      </c>
      <c r="G139" s="9">
        <f t="shared" si="4"/>
        <v>-1653.5100000000002</v>
      </c>
      <c r="H139" s="9">
        <f>IF(AND('بنود العقد'!G139&lt;&gt;"",F139&lt;&gt;""), 'بنود العقد'!G139-F139, "")</f>
        <v>-49605.299999999988</v>
      </c>
      <c r="I139" s="21">
        <f t="shared" si="5"/>
        <v>100</v>
      </c>
    </row>
    <row r="140" spans="1:9" ht="24" customHeight="1">
      <c r="A140" s="12">
        <v>138</v>
      </c>
      <c r="B140" s="20" t="str">
        <f>IF('بنود العقد'!B140&lt;&gt;"", 'بنود العقد'!B140, "")</f>
        <v>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  دهان رمادي غامق</v>
      </c>
      <c r="C140" s="12" t="str">
        <f>IF('بنود العقد'!C140&lt;&gt;"", 'بنود العقد'!C140, "")</f>
        <v>معماري</v>
      </c>
      <c r="D140" s="9">
        <f>IF('بنود العقد'!F140&lt;&gt;"", 'بنود العقد'!F140, "")</f>
        <v>835</v>
      </c>
      <c r="E140" s="18">
        <f>IF(B140&lt;&gt;"", SUMPRODUCT(('بنود المطالبات'!C$3:C$1805=A140)*'بنود المطالبات'!I$3:I$1805), "")</f>
        <v>0</v>
      </c>
      <c r="F140" s="18">
        <f>IFERROR(IF(AND(E140&lt;&gt;"",'بنود العقد'!E140&lt;&gt;""), E140*'بنود العقد'!E140, 0), 0)</f>
        <v>0</v>
      </c>
      <c r="G140" s="9">
        <f t="shared" si="4"/>
        <v>835</v>
      </c>
      <c r="H140" s="9">
        <f>IF(AND('بنود العقد'!G140&lt;&gt;"",F140&lt;&gt;""), 'بنود العقد'!G140-F140, "")</f>
        <v>25050</v>
      </c>
      <c r="I140" s="21">
        <f t="shared" si="5"/>
        <v>0</v>
      </c>
    </row>
    <row r="141" spans="1:9" ht="24" customHeight="1">
      <c r="A141" s="12">
        <v>139</v>
      </c>
      <c r="B141" s="20" t="str">
        <f>IF('بنود العقد'!B141&lt;&gt;"", 'بنود العقد'!B141, "")</f>
        <v>معالجة و دهان سقف الفناء الوسطى والبند يشمل أعمال ترميم  ودهان الألواح الجبسية مع تغيير التالف منها وفك ألواح التغطية الشفافة )ألواح اللكسان( الحالية وتوريد وتركيب ألواح جديدة ومحمل على البند فك وحدات الانارة الحالية وتوريد وتركيب ،حدات إنارة جديدة مناسبة على ان يقدم المقاول مقترح كامل لطريقة التنفيذ وعينات المواد للاعتماد من المهندس المشرف  قبل البدء بالاعمال والسعر يشمل كافة المواد والاعمال اللازمة لتنفيذ البند طبقاً لتوصيات المهندس المشرف</v>
      </c>
      <c r="C141" s="12" t="str">
        <f>IF('بنود العقد'!C141&lt;&gt;"", 'بنود العقد'!C141, "")</f>
        <v>معماري</v>
      </c>
      <c r="D141" s="9">
        <f>IF('بنود العقد'!F141&lt;&gt;"", 'بنود العقد'!F141, "")</f>
        <v>680</v>
      </c>
      <c r="E141" s="18">
        <f>IF(B141&lt;&gt;"", SUMPRODUCT(('بنود المطالبات'!C$3:C$1805=A141)*'بنود المطالبات'!I$3:I$1805), "")</f>
        <v>0</v>
      </c>
      <c r="F141" s="18">
        <f>IFERROR(IF(AND(E141&lt;&gt;"",'بنود العقد'!E141&lt;&gt;""), E141*'بنود العقد'!E141, 0), 0)</f>
        <v>0</v>
      </c>
      <c r="G141" s="9">
        <f t="shared" si="4"/>
        <v>680</v>
      </c>
      <c r="H141" s="9">
        <f>IF(AND('بنود العقد'!G141&lt;&gt;"",F141&lt;&gt;""), 'بنود العقد'!G141-F141, "")</f>
        <v>20400</v>
      </c>
      <c r="I141" s="21">
        <f t="shared" si="5"/>
        <v>0</v>
      </c>
    </row>
    <row r="142" spans="1:9" ht="24" customHeight="1">
      <c r="A142" s="12">
        <v>140</v>
      </c>
      <c r="B142" s="20" t="str">
        <f>IF('بنود العقد'!B142&lt;&gt;"", 'بنود العقد'!B142, "")</f>
        <v>توريد وتثبيت ورق جدران عالي الجودة على الألواح الجبسية بعد تأسيس الجدران واغلاق الفواصل والفتحات وتاسيس الجدار بدهان مناسب لاعمال ورق الجدران  حسب النوع . في منطقة التنفيذيين ومكتب مدير مكتب معالي الوزير في الدور السادس  ويتم التنفيذ طبقا للمخططات والمواصفات الفنية وبحسب تعليمات المهندس المشرف.</v>
      </c>
      <c r="C142" s="12" t="str">
        <f>IF('بنود العقد'!C142&lt;&gt;"", 'بنود العقد'!C142, "")</f>
        <v>معماري</v>
      </c>
      <c r="D142" s="9">
        <f>IF('بنود العقد'!F142&lt;&gt;"", 'بنود العقد'!F142, "")</f>
        <v>758</v>
      </c>
      <c r="E142" s="18">
        <f>IF(B142&lt;&gt;"", SUMPRODUCT(('بنود المطالبات'!C$3:C$1805=A142)*'بنود المطالبات'!I$3:I$1805), "")</f>
        <v>85</v>
      </c>
      <c r="F142" s="18">
        <f>IFERROR(IF(AND(E142&lt;&gt;"",'بنود العقد'!E142&lt;&gt;""), E142*'بنود العقد'!E142, 0), 0)</f>
        <v>6120</v>
      </c>
      <c r="G142" s="9">
        <f t="shared" si="4"/>
        <v>673</v>
      </c>
      <c r="H142" s="9">
        <f>IF(AND('بنود العقد'!G142&lt;&gt;"",F142&lt;&gt;""), 'بنود العقد'!G142-F142, "")</f>
        <v>48456</v>
      </c>
      <c r="I142" s="21">
        <f t="shared" si="5"/>
        <v>11.213720316622691</v>
      </c>
    </row>
    <row r="143" spans="1:9" ht="24" customHeight="1">
      <c r="A143" s="12">
        <v>141</v>
      </c>
      <c r="B143" s="20" t="str">
        <f>IF('بنود العقد'!B143&lt;&gt;"", 'بنود العقد'!B143, "")</f>
        <v>جهاز تجفيف للأيدي كهربائي</v>
      </c>
      <c r="C143" s="12" t="str">
        <f>IF('بنود العقد'!C143&lt;&gt;"", 'بنود العقد'!C143, "")</f>
        <v>معماري</v>
      </c>
      <c r="D143" s="9">
        <f>IF('بنود العقد'!F143&lt;&gt;"", 'بنود العقد'!F143, "")</f>
        <v>47</v>
      </c>
      <c r="E143" s="18">
        <f>IF(B143&lt;&gt;"", SUMPRODUCT(('بنود المطالبات'!C$3:C$1805=A143)*'بنود المطالبات'!I$3:I$1805), "")</f>
        <v>97</v>
      </c>
      <c r="F143" s="18">
        <f>IFERROR(IF(AND(E143&lt;&gt;"",'بنود العقد'!E143&lt;&gt;""), E143*'بنود العقد'!E143, 0), 0)</f>
        <v>96030</v>
      </c>
      <c r="G143" s="9">
        <f t="shared" si="4"/>
        <v>-50</v>
      </c>
      <c r="H143" s="9">
        <f>IF(AND('بنود العقد'!G143&lt;&gt;"",F143&lt;&gt;""), 'بنود العقد'!G143-F143, "")</f>
        <v>-49500</v>
      </c>
      <c r="I143" s="21">
        <f t="shared" si="5"/>
        <v>100</v>
      </c>
    </row>
    <row r="144" spans="1:9" ht="24" customHeight="1">
      <c r="A144" s="12">
        <v>142</v>
      </c>
      <c r="B144" s="20" t="str">
        <f>IF('بنود العقد'!B144&lt;&gt;"", 'بنود العقد'!B144, "")</f>
        <v>جهاز مناديل كهربائي</v>
      </c>
      <c r="C144" s="12" t="str">
        <f>IF('بنود العقد'!C144&lt;&gt;"", 'بنود العقد'!C144, "")</f>
        <v>معماري</v>
      </c>
      <c r="D144" s="9">
        <f>IF('بنود العقد'!F144&lt;&gt;"", 'بنود العقد'!F144, "")</f>
        <v>47</v>
      </c>
      <c r="E144" s="18">
        <f>IF(B144&lt;&gt;"", SUMPRODUCT(('بنود المطالبات'!C$3:C$1805=A144)*'بنود المطالبات'!I$3:I$1805), "")</f>
        <v>0</v>
      </c>
      <c r="F144" s="18">
        <f>IFERROR(IF(AND(E144&lt;&gt;"",'بنود العقد'!E144&lt;&gt;""), E144*'بنود العقد'!E144, 0), 0)</f>
        <v>0</v>
      </c>
      <c r="G144" s="9">
        <f t="shared" si="4"/>
        <v>47</v>
      </c>
      <c r="H144" s="9">
        <f>IF(AND('بنود العقد'!G144&lt;&gt;"",F144&lt;&gt;""), 'بنود العقد'!G144-F144, "")</f>
        <v>42300</v>
      </c>
      <c r="I144" s="21">
        <f t="shared" si="5"/>
        <v>0</v>
      </c>
    </row>
    <row r="145" spans="1:9" ht="24" customHeight="1">
      <c r="A145" s="12">
        <v>143</v>
      </c>
      <c r="B145" s="20" t="str">
        <f>IF('بنود العقد'!B145&lt;&gt;"", 'بنود العقد'!B145, "")</f>
        <v>موزع صابون سائل</v>
      </c>
      <c r="C145" s="12" t="str">
        <f>IF('بنود العقد'!C145&lt;&gt;"", 'بنود العقد'!C145, "")</f>
        <v>معماري</v>
      </c>
      <c r="D145" s="9">
        <f>IF('بنود العقد'!F145&lt;&gt;"", 'بنود العقد'!F145, "")</f>
        <v>115</v>
      </c>
      <c r="E145" s="18">
        <f>IF(B145&lt;&gt;"", SUMPRODUCT(('بنود المطالبات'!C$3:C$1805=A145)*'بنود المطالبات'!I$3:I$1805), "")</f>
        <v>132</v>
      </c>
      <c r="F145" s="18">
        <f>IFERROR(IF(AND(E145&lt;&gt;"",'بنود العقد'!E145&lt;&gt;""), E145*'بنود العقد'!E145, 0), 0)</f>
        <v>25344</v>
      </c>
      <c r="G145" s="9">
        <f t="shared" si="4"/>
        <v>-17</v>
      </c>
      <c r="H145" s="9">
        <f>IF(AND('بنود العقد'!G145&lt;&gt;"",F145&lt;&gt;""), 'بنود العقد'!G145-F145, "")</f>
        <v>-3264</v>
      </c>
      <c r="I145" s="21">
        <f t="shared" si="5"/>
        <v>100</v>
      </c>
    </row>
    <row r="146" spans="1:9" ht="24" customHeight="1">
      <c r="A146" s="12">
        <v>144</v>
      </c>
      <c r="B146" s="20" t="str">
        <f>IF('بنود العقد'!B146&lt;&gt;"", 'بنود العقد'!B146, "")</f>
        <v>حاملة لفة ورق توليت</v>
      </c>
      <c r="C146" s="12" t="str">
        <f>IF('بنود العقد'!C146&lt;&gt;"", 'بنود العقد'!C146, "")</f>
        <v>معماري</v>
      </c>
      <c r="D146" s="9">
        <f>IF('بنود العقد'!F146&lt;&gt;"", 'بنود العقد'!F146, "")</f>
        <v>138</v>
      </c>
      <c r="E146" s="18">
        <f>IF(B146&lt;&gt;"", SUMPRODUCT(('بنود المطالبات'!C$3:C$1805=A146)*'بنود المطالبات'!I$3:I$1805), "")</f>
        <v>121</v>
      </c>
      <c r="F146" s="18">
        <f>IFERROR(IF(AND(E146&lt;&gt;"",'بنود العقد'!E146&lt;&gt;""), E146*'بنود العقد'!E146, 0), 0)</f>
        <v>23232</v>
      </c>
      <c r="G146" s="9">
        <f t="shared" si="4"/>
        <v>17</v>
      </c>
      <c r="H146" s="9">
        <f>IF(AND('بنود العقد'!G146&lt;&gt;"",F146&lt;&gt;""), 'بنود العقد'!G146-F146, "")</f>
        <v>3264</v>
      </c>
      <c r="I146" s="21">
        <f t="shared" si="5"/>
        <v>87.681159420289859</v>
      </c>
    </row>
    <row r="147" spans="1:9" ht="24" customHeight="1">
      <c r="A147" s="12">
        <v>145</v>
      </c>
      <c r="B147" s="20" t="str">
        <f>IF('بنود العقد'!B147&lt;&gt;"", 'بنود العقد'!B147, "")</f>
        <v>مقابض لذوي الاحتياجات الخاصة  مكونه من مقبض خلفي 900 مم</v>
      </c>
      <c r="C147" s="12" t="str">
        <f>IF('بنود العقد'!C147&lt;&gt;"", 'بنود العقد'!C147, "")</f>
        <v>معماري</v>
      </c>
      <c r="D147" s="9">
        <f>IF('بنود العقد'!F147&lt;&gt;"", 'بنود العقد'!F147, "")</f>
        <v>23</v>
      </c>
      <c r="E147" s="18">
        <f>IF(B147&lt;&gt;"", SUMPRODUCT(('بنود المطالبات'!C$3:C$1805=A147)*'بنود المطالبات'!I$3:I$1805), "")</f>
        <v>24</v>
      </c>
      <c r="F147" s="18">
        <f>IFERROR(IF(AND(E147&lt;&gt;"",'بنود العقد'!E147&lt;&gt;""), E147*'بنود العقد'!E147, 0), 0)</f>
        <v>17280</v>
      </c>
      <c r="G147" s="9">
        <f t="shared" si="4"/>
        <v>-1</v>
      </c>
      <c r="H147" s="9">
        <f>IF(AND('بنود العقد'!G147&lt;&gt;"",F147&lt;&gt;""), 'بنود العقد'!G147-F147, "")</f>
        <v>-720</v>
      </c>
      <c r="I147" s="21">
        <f t="shared" si="5"/>
        <v>100</v>
      </c>
    </row>
    <row r="148" spans="1:9" ht="24" customHeight="1">
      <c r="A148" s="12">
        <v>146</v>
      </c>
      <c r="B148" s="20" t="str">
        <f>IF('بنود العقد'!B148&lt;&gt;"", 'بنود العقد'!B148, "")</f>
        <v>مقابض لذوي الاحتياجات الخاصة   مكونه من مقبض جانبي1100 مم</v>
      </c>
      <c r="C148" s="12" t="str">
        <f>IF('بنود العقد'!C148&lt;&gt;"", 'بنود العقد'!C148, "")</f>
        <v>معماري</v>
      </c>
      <c r="D148" s="9">
        <f>IF('بنود العقد'!F148&lt;&gt;"", 'بنود العقد'!F148, "")</f>
        <v>23</v>
      </c>
      <c r="E148" s="18">
        <f>IF(B148&lt;&gt;"", SUMPRODUCT(('بنود المطالبات'!C$3:C$1805=A148)*'بنود المطالبات'!I$3:I$1805), "")</f>
        <v>24</v>
      </c>
      <c r="F148" s="18">
        <f>IFERROR(IF(AND(E148&lt;&gt;"",'بنود العقد'!E148&lt;&gt;""), E148*'بنود العقد'!E148, 0), 0)</f>
        <v>20160</v>
      </c>
      <c r="G148" s="9">
        <f t="shared" si="4"/>
        <v>-1</v>
      </c>
      <c r="H148" s="9">
        <f>IF(AND('بنود العقد'!G148&lt;&gt;"",F148&lt;&gt;""), 'بنود العقد'!G148-F148, "")</f>
        <v>-840</v>
      </c>
      <c r="I148" s="21">
        <f t="shared" si="5"/>
        <v>100</v>
      </c>
    </row>
    <row r="149" spans="1:9" ht="24" customHeight="1">
      <c r="A149" s="12">
        <v>147</v>
      </c>
      <c r="B149" s="20" t="str">
        <f>IF('بنود العقد'!B149&lt;&gt;"", 'بنود العقد'!B149, "")</f>
        <v>طقم اكسسوارات لمكتب معالي الوزير شاملة اكسسوارات حوض المغسلة، ماسورة تعليق المناشف وحوامل المناشف، فرشاة الحمام، حامل ورق التواليت</v>
      </c>
      <c r="C149" s="12" t="str">
        <f>IF('بنود العقد'!C149&lt;&gt;"", 'بنود العقد'!C149, "")</f>
        <v>معماري</v>
      </c>
      <c r="D149" s="9">
        <f>IF('بنود العقد'!F149&lt;&gt;"", 'بنود العقد'!F149, "")</f>
        <v>1</v>
      </c>
      <c r="E149" s="18">
        <f>IF(B149&lt;&gt;"", SUMPRODUCT(('بنود المطالبات'!C$3:C$1805=A149)*'بنود المطالبات'!I$3:I$1805), "")</f>
        <v>1</v>
      </c>
      <c r="F149" s="18">
        <f>IFERROR(IF(AND(E149&lt;&gt;"",'بنود العقد'!E149&lt;&gt;""), E149*'بنود العقد'!E149, 0), 0)</f>
        <v>9000</v>
      </c>
      <c r="G149" s="9">
        <f t="shared" si="4"/>
        <v>0</v>
      </c>
      <c r="H149" s="9">
        <f>IF(AND('بنود العقد'!G149&lt;&gt;"",F149&lt;&gt;""), 'بنود العقد'!G149-F149, "")</f>
        <v>0</v>
      </c>
      <c r="I149" s="21">
        <f t="shared" si="5"/>
        <v>100</v>
      </c>
    </row>
    <row r="150" spans="1:9" ht="24" customHeight="1">
      <c r="A150" s="12">
        <v>148</v>
      </c>
      <c r="B150" s="20" t="str">
        <f>IF('بنود العقد'!B150&lt;&gt;"", 'بنود العقد'!B150, "")</f>
        <v>طقم اكسسوارات لمكتب الوكيل ومساعد الوكيل ومكاتب التنفيذيين في الدور السادس شاملة اكسسوارات حوض المغسلة، ماسورة تعليق المناشف وحوامل المناشف، فرش الحمام، حامل ورق التواليت</v>
      </c>
      <c r="C150" s="12" t="str">
        <f>IF('بنود العقد'!C150&lt;&gt;"", 'بنود العقد'!C150, "")</f>
        <v>معماري</v>
      </c>
      <c r="D150" s="9">
        <f>IF('بنود العقد'!F150&lt;&gt;"", 'بنود العقد'!F150, "")</f>
        <v>20</v>
      </c>
      <c r="E150" s="18">
        <f>IF(B150&lt;&gt;"", SUMPRODUCT(('بنود المطالبات'!C$3:C$1805=A150)*'بنود المطالبات'!I$3:I$1805), "")</f>
        <v>0</v>
      </c>
      <c r="F150" s="18">
        <f>IFERROR(IF(AND(E150&lt;&gt;"",'بنود العقد'!E150&lt;&gt;""), E150*'بنود العقد'!E150, 0), 0)</f>
        <v>0</v>
      </c>
      <c r="G150" s="9">
        <f t="shared" si="4"/>
        <v>20</v>
      </c>
      <c r="H150" s="9">
        <f>IF(AND('بنود العقد'!G150&lt;&gt;"",F150&lt;&gt;""), 'بنود العقد'!G150-F150, "")</f>
        <v>120000</v>
      </c>
      <c r="I150" s="21">
        <f t="shared" si="5"/>
        <v>0</v>
      </c>
    </row>
    <row r="151" spans="1:9" ht="24" customHeight="1">
      <c r="A151" s="12">
        <v>149</v>
      </c>
      <c r="B151" s="20" t="str">
        <f>IF('بنود العقد'!B151&lt;&gt;"", 'بنود العقد'!B151, "")</f>
        <v>طقم اكسسوارات لمكاتب المدراء العامين شاملة اكسسوارات حوض المغسلة، ماسورة تعليق المناشف وحوامل المناشف، فرش الحمام، حامل ورق التواليت</v>
      </c>
      <c r="C151" s="12" t="str">
        <f>IF('بنود العقد'!C151&lt;&gt;"", 'بنود العقد'!C151, "")</f>
        <v>معماري</v>
      </c>
      <c r="D151" s="9">
        <f>IF('بنود العقد'!F151&lt;&gt;"", 'بنود العقد'!F151, "")</f>
        <v>32</v>
      </c>
      <c r="E151" s="18">
        <f>IF(B151&lt;&gt;"", SUMPRODUCT(('بنود المطالبات'!C$3:C$1805=A151)*'بنود المطالبات'!I$3:I$1805), "")</f>
        <v>0</v>
      </c>
      <c r="F151" s="18">
        <f>IFERROR(IF(AND(E151&lt;&gt;"",'بنود العقد'!E151&lt;&gt;""), E151*'بنود العقد'!E151, 0), 0)</f>
        <v>0</v>
      </c>
      <c r="G151" s="9">
        <f t="shared" si="4"/>
        <v>32</v>
      </c>
      <c r="H151" s="9">
        <f>IF(AND('بنود العقد'!G151&lt;&gt;"",F151&lt;&gt;""), 'بنود العقد'!G151-F151, "")</f>
        <v>96000</v>
      </c>
      <c r="I151" s="21">
        <f t="shared" si="5"/>
        <v>0</v>
      </c>
    </row>
    <row r="152" spans="1:9" ht="24" customHeight="1">
      <c r="A152" s="12">
        <v>150</v>
      </c>
      <c r="B152" s="20" t="str">
        <f>IF('بنود العقد'!B152&lt;&gt;"", 'بنود العقد'!B152, "")</f>
        <v>توريد وتركيب مرآة وجه 6 مم ترُكّب بارزة عن الجدار مع شطف على كل الجهات طبقا للمواصفات وبحسب تعليمات المهندس المشرف. مقاس 1100 × 900 مم</v>
      </c>
      <c r="C152" s="12" t="str">
        <f>IF('بنود العقد'!C152&lt;&gt;"", 'بنود العقد'!C152, "")</f>
        <v>معماري</v>
      </c>
      <c r="D152" s="9">
        <f>IF('بنود العقد'!F152&lt;&gt;"", 'بنود العقد'!F152, "")</f>
        <v>1</v>
      </c>
      <c r="E152" s="18">
        <f>IF(B152&lt;&gt;"", SUMPRODUCT(('بنود المطالبات'!C$3:C$1805=A152)*'بنود المطالبات'!I$3:I$1805), "")</f>
        <v>1</v>
      </c>
      <c r="F152" s="18">
        <f>IFERROR(IF(AND(E152&lt;&gt;"",'بنود العقد'!E152&lt;&gt;""), E152*'بنود العقد'!E152, 0), 0)</f>
        <v>1200</v>
      </c>
      <c r="G152" s="9">
        <f t="shared" si="4"/>
        <v>0</v>
      </c>
      <c r="H152" s="9">
        <f>IF(AND('بنود العقد'!G152&lt;&gt;"",F152&lt;&gt;""), 'بنود العقد'!G152-F152, "")</f>
        <v>0</v>
      </c>
      <c r="I152" s="21">
        <f t="shared" si="5"/>
        <v>100</v>
      </c>
    </row>
    <row r="153" spans="1:9" ht="24" customHeight="1">
      <c r="A153" s="12">
        <v>151</v>
      </c>
      <c r="B153" s="20" t="str">
        <f>IF('بنود العقد'!B153&lt;&gt;"", 'بنود العقد'!B153, "")</f>
        <v>توريد وتركيب مرآة وجه 6 مم ترُكّب بارزة عن الجدار مع شطف على كل الجهات طبقا للمواصفات وبحسب تعليمات المهندس المشرف. مقاس 1200 × 800 مم</v>
      </c>
      <c r="C153" s="12" t="str">
        <f>IF('بنود العقد'!C153&lt;&gt;"", 'بنود العقد'!C153, "")</f>
        <v>معماري</v>
      </c>
      <c r="D153" s="9">
        <f>IF('بنود العقد'!F153&lt;&gt;"", 'بنود العقد'!F153, "")</f>
        <v>75</v>
      </c>
      <c r="E153" s="18">
        <f>IF(B153&lt;&gt;"", SUMPRODUCT(('بنود المطالبات'!C$3:C$1805=A153)*'بنود المطالبات'!I$3:I$1805), "")</f>
        <v>72</v>
      </c>
      <c r="F153" s="18">
        <f>IFERROR(IF(AND(E153&lt;&gt;"",'بنود العقد'!E153&lt;&gt;""), E153*'بنود العقد'!E153, 0), 0)</f>
        <v>86400</v>
      </c>
      <c r="G153" s="9">
        <f t="shared" si="4"/>
        <v>3</v>
      </c>
      <c r="H153" s="9">
        <f>IF(AND('بنود العقد'!G153&lt;&gt;"",F153&lt;&gt;""), 'بنود العقد'!G153-F153, "")</f>
        <v>3600</v>
      </c>
      <c r="I153" s="21">
        <f t="shared" si="5"/>
        <v>96</v>
      </c>
    </row>
    <row r="154" spans="1:9" ht="24" customHeight="1">
      <c r="A154" s="12">
        <v>152</v>
      </c>
      <c r="B154" s="20" t="str">
        <f>IF('بنود العقد'!B154&lt;&gt;"", 'بنود العقد'!B154, "")</f>
        <v>توريد وتركيب مرآة وجه 6 مم ترُكّب بارزة عن الجدار مع شطف على كل الجهات طبقا للمواصفات وبحسب تعليمات المهندس المشرف. مقاس 1200 × 700 مم</v>
      </c>
      <c r="C154" s="12" t="str">
        <f>IF('بنود العقد'!C154&lt;&gt;"", 'بنود العقد'!C154, "")</f>
        <v>معماري</v>
      </c>
      <c r="D154" s="9">
        <f>IF('بنود العقد'!F154&lt;&gt;"", 'بنود العقد'!F154, "")</f>
        <v>92</v>
      </c>
      <c r="E154" s="18">
        <f>IF(B154&lt;&gt;"", SUMPRODUCT(('بنود المطالبات'!C$3:C$1805=A154)*'بنود المطالبات'!I$3:I$1805), "")</f>
        <v>103</v>
      </c>
      <c r="F154" s="18">
        <f>IFERROR(IF(AND(E154&lt;&gt;"",'بنود العقد'!E154&lt;&gt;""), E154*'بنود العقد'!E154, 0), 0)</f>
        <v>123600</v>
      </c>
      <c r="G154" s="9">
        <f t="shared" si="4"/>
        <v>-11</v>
      </c>
      <c r="H154" s="9">
        <f>IF(AND('بنود العقد'!G154&lt;&gt;"",F154&lt;&gt;""), 'بنود العقد'!G154-F154, "")</f>
        <v>-13200</v>
      </c>
      <c r="I154" s="21">
        <f t="shared" si="5"/>
        <v>100</v>
      </c>
    </row>
    <row r="155" spans="1:9" ht="24" customHeight="1">
      <c r="A155" s="12">
        <v>153</v>
      </c>
      <c r="B155" s="20" t="str">
        <f>IF('بنود العقد'!B155&lt;&gt;"", 'بنود العقد'!B155,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1250طول × عرض600 مم </v>
      </c>
      <c r="C155" s="12" t="str">
        <f>IF('بنود العقد'!C155&lt;&gt;"", 'بنود العقد'!C155, "")</f>
        <v>معماري</v>
      </c>
      <c r="D155" s="9">
        <f>IF('بنود العقد'!F155&lt;&gt;"", 'بنود العقد'!F155, "")</f>
        <v>32</v>
      </c>
      <c r="E155" s="18">
        <f>IF(B155&lt;&gt;"", SUMPRODUCT(('بنود المطالبات'!C$3:C$1805=A155)*'بنود المطالبات'!I$3:I$1805), "")</f>
        <v>24</v>
      </c>
      <c r="F155" s="18">
        <f>IFERROR(IF(AND(E155&lt;&gt;"",'بنود العقد'!E155&lt;&gt;""), E155*'بنود العقد'!E155, 0), 0)</f>
        <v>43200</v>
      </c>
      <c r="G155" s="9">
        <f t="shared" si="4"/>
        <v>8</v>
      </c>
      <c r="H155" s="9">
        <f>IF(AND('بنود العقد'!G155&lt;&gt;"",F155&lt;&gt;""), 'بنود العقد'!G155-F155, "")</f>
        <v>14400</v>
      </c>
      <c r="I155" s="21">
        <f t="shared" si="5"/>
        <v>75</v>
      </c>
    </row>
    <row r="156" spans="1:9" ht="24" customHeight="1">
      <c r="A156" s="12">
        <v>154</v>
      </c>
      <c r="B156" s="20" t="str">
        <f>IF('بنود العقد'!B156&lt;&gt;"", 'بنود العقد'!B156,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1200طول × عرض600 مم </v>
      </c>
      <c r="C156" s="12" t="str">
        <f>IF('بنود العقد'!C156&lt;&gt;"", 'بنود العقد'!C156, "")</f>
        <v>معماري</v>
      </c>
      <c r="D156" s="9">
        <f>IF('بنود العقد'!F156&lt;&gt;"", 'بنود العقد'!F156, "")</f>
        <v>20</v>
      </c>
      <c r="E156" s="18">
        <f>IF(B156&lt;&gt;"", SUMPRODUCT(('بنود المطالبات'!C$3:C$1805=A156)*'بنود المطالبات'!I$3:I$1805), "")</f>
        <v>16</v>
      </c>
      <c r="F156" s="18">
        <f>IFERROR(IF(AND(E156&lt;&gt;"",'بنود العقد'!E156&lt;&gt;""), E156*'بنود العقد'!E156, 0), 0)</f>
        <v>28800</v>
      </c>
      <c r="G156" s="9">
        <f t="shared" si="4"/>
        <v>4</v>
      </c>
      <c r="H156" s="9">
        <f>IF(AND('بنود العقد'!G156&lt;&gt;"",F156&lt;&gt;""), 'بنود العقد'!G156-F156, "")</f>
        <v>7200</v>
      </c>
      <c r="I156" s="21">
        <f t="shared" si="5"/>
        <v>80</v>
      </c>
    </row>
    <row r="157" spans="1:9" ht="24" customHeight="1">
      <c r="A157" s="12">
        <v>155</v>
      </c>
      <c r="B157" s="20" t="str">
        <f>IF('بنود العقد'!B157&lt;&gt;"", 'بنود العقد'!B157,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مقاس: 1000طولRef drawing: 07-MRA-DD-(as per floor number)-AR-700 to 703 عرض600 مم × </v>
      </c>
      <c r="C157" s="12" t="str">
        <f>IF('بنود العقد'!C157&lt;&gt;"", 'بنود العقد'!C157, "")</f>
        <v>معماري</v>
      </c>
      <c r="D157" s="9">
        <f>IF('بنود العقد'!F157&lt;&gt;"", 'بنود العقد'!F157, "")</f>
        <v>22</v>
      </c>
      <c r="E157" s="18">
        <f>IF(B157&lt;&gt;"", SUMPRODUCT(('بنود المطالبات'!C$3:C$1805=A157)*'بنود المطالبات'!I$3:I$1805), "")</f>
        <v>31</v>
      </c>
      <c r="F157" s="18">
        <f>IFERROR(IF(AND(E157&lt;&gt;"",'بنود العقد'!E157&lt;&gt;""), E157*'بنود العقد'!E157, 0), 0)</f>
        <v>37200</v>
      </c>
      <c r="G157" s="9">
        <f t="shared" si="4"/>
        <v>-9</v>
      </c>
      <c r="H157" s="9">
        <f>IF(AND('بنود العقد'!G157&lt;&gt;"",F157&lt;&gt;""), 'بنود العقد'!G157-F157, "")</f>
        <v>-10800</v>
      </c>
      <c r="I157" s="21">
        <f t="shared" si="5"/>
        <v>100</v>
      </c>
    </row>
    <row r="158" spans="1:9" ht="24" customHeight="1">
      <c r="A158" s="12">
        <v>156</v>
      </c>
      <c r="B158" s="20" t="str">
        <f>IF('بنود العقد'!B158&lt;&gt;"", 'بنود العقد'!B158,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المشرف.Ref drawing: 07-MRA-DD-(as per floor number)-AR-700 to 703 مقاس: 3800طول × عرض600 مم </v>
      </c>
      <c r="C158" s="12" t="str">
        <f>IF('بنود العقد'!C158&lt;&gt;"", 'بنود العقد'!C158, "")</f>
        <v>معماري</v>
      </c>
      <c r="D158" s="9">
        <f>IF('بنود العقد'!F158&lt;&gt;"", 'بنود العقد'!F158, "")</f>
        <v>23</v>
      </c>
      <c r="E158" s="18">
        <f>IF(B158&lt;&gt;"", SUMPRODUCT(('بنود المطالبات'!C$3:C$1805=A158)*'بنود المطالبات'!I$3:I$1805), "")</f>
        <v>27</v>
      </c>
      <c r="F158" s="18">
        <f>IFERROR(IF(AND(E158&lt;&gt;"",'بنود العقد'!E158&lt;&gt;""), E158*'بنود العقد'!E158, 0), 0)</f>
        <v>162000</v>
      </c>
      <c r="G158" s="9">
        <f t="shared" si="4"/>
        <v>-4</v>
      </c>
      <c r="H158" s="9">
        <f>IF(AND('بنود العقد'!G158&lt;&gt;"",F158&lt;&gt;""), 'بنود العقد'!G158-F158, "")</f>
        <v>-24000</v>
      </c>
      <c r="I158" s="21">
        <f t="shared" si="5"/>
        <v>100</v>
      </c>
    </row>
    <row r="159" spans="1:9" ht="24" customHeight="1">
      <c r="A159" s="12">
        <v>157</v>
      </c>
      <c r="B159" s="20" t="str">
        <f>IF('بنود العقد'!B159&lt;&gt;"", 'بنود العقد'!B159,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1340طول × عرض600 مم </v>
      </c>
      <c r="C159" s="12" t="str">
        <f>IF('بنود العقد'!C159&lt;&gt;"", 'بنود العقد'!C159, "")</f>
        <v>معماري</v>
      </c>
      <c r="D159" s="9">
        <f>IF('بنود العقد'!F159&lt;&gt;"", 'بنود العقد'!F159, "")</f>
        <v>1</v>
      </c>
      <c r="E159" s="18">
        <f>IF(B159&lt;&gt;"", SUMPRODUCT(('بنود المطالبات'!C$3:C$1805=A159)*'بنود المطالبات'!I$3:I$1805), "")</f>
        <v>1</v>
      </c>
      <c r="F159" s="18">
        <f>IFERROR(IF(AND(E159&lt;&gt;"",'بنود العقد'!E159&lt;&gt;""), E159*'بنود العقد'!E159, 0), 0)</f>
        <v>6000</v>
      </c>
      <c r="G159" s="9">
        <f t="shared" si="4"/>
        <v>0</v>
      </c>
      <c r="H159" s="9">
        <f>IF(AND('بنود العقد'!G159&lt;&gt;"",F159&lt;&gt;""), 'بنود العقد'!G159-F159, "")</f>
        <v>0</v>
      </c>
      <c r="I159" s="21">
        <f t="shared" si="5"/>
        <v>100</v>
      </c>
    </row>
    <row r="160" spans="1:9" ht="24" customHeight="1">
      <c r="A160" s="12">
        <v>158</v>
      </c>
      <c r="B160" s="20" t="str">
        <f>IF('بنود العقد'!B160&lt;&gt;"", 'بنود العقد'!B160, "")</f>
        <v>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1620طول × عرض600 مم</v>
      </c>
      <c r="C160" s="12" t="str">
        <f>IF('بنود العقد'!C160&lt;&gt;"", 'بنود العقد'!C160, "")</f>
        <v>معماري</v>
      </c>
      <c r="D160" s="9">
        <f>IF('بنود العقد'!F160&lt;&gt;"", 'بنود العقد'!F160, "")</f>
        <v>4</v>
      </c>
      <c r="E160" s="18">
        <f>IF(B160&lt;&gt;"", SUMPRODUCT(('بنود المطالبات'!C$3:C$1805=A160)*'بنود المطالبات'!I$3:I$1805), "")</f>
        <v>0</v>
      </c>
      <c r="F160" s="18">
        <f>IFERROR(IF(AND(E160&lt;&gt;"",'بنود العقد'!E160&lt;&gt;""), E160*'بنود العقد'!E160, 0), 0)</f>
        <v>0</v>
      </c>
      <c r="G160" s="9">
        <f t="shared" si="4"/>
        <v>4</v>
      </c>
      <c r="H160" s="9">
        <f>IF(AND('بنود العقد'!G160&lt;&gt;"",F160&lt;&gt;""), 'بنود العقد'!G160-F160, "")</f>
        <v>12000</v>
      </c>
      <c r="I160" s="21">
        <f t="shared" si="5"/>
        <v>0</v>
      </c>
    </row>
    <row r="161" spans="1:9" ht="24" customHeight="1">
      <c r="A161" s="12">
        <v>159</v>
      </c>
      <c r="B161" s="20" t="str">
        <f>IF('بنود العقد'!B161&lt;&gt;"", 'بنود العقد'!B161,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1200طول × عرض500 مم </v>
      </c>
      <c r="C161" s="12" t="str">
        <f>IF('بنود العقد'!C161&lt;&gt;"", 'بنود العقد'!C161, "")</f>
        <v>معماري</v>
      </c>
      <c r="D161" s="9">
        <f>IF('بنود العقد'!F161&lt;&gt;"", 'بنود العقد'!F161, "")</f>
        <v>1</v>
      </c>
      <c r="E161" s="18">
        <f>IF(B161&lt;&gt;"", SUMPRODUCT(('بنود المطالبات'!C$3:C$1805=A161)*'بنود المطالبات'!I$3:I$1805), "")</f>
        <v>0</v>
      </c>
      <c r="F161" s="18">
        <f>IFERROR(IF(AND(E161&lt;&gt;"",'بنود العقد'!E161&lt;&gt;""), E161*'بنود العقد'!E161, 0), 0)</f>
        <v>0</v>
      </c>
      <c r="G161" s="9">
        <f t="shared" si="4"/>
        <v>1</v>
      </c>
      <c r="H161" s="9">
        <f>IF(AND('بنود العقد'!G161&lt;&gt;"",F161&lt;&gt;""), 'بنود العقد'!G161-F161, "")</f>
        <v>1800</v>
      </c>
      <c r="I161" s="21">
        <f t="shared" si="5"/>
        <v>0</v>
      </c>
    </row>
    <row r="162" spans="1:9" ht="24" customHeight="1">
      <c r="A162" s="12">
        <v>160</v>
      </c>
      <c r="B162" s="20" t="str">
        <f>IF('بنود العقد'!B162&lt;&gt;"", 'بنود العقد'!B162,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1250طول × عرض600 مم</v>
      </c>
      <c r="C162" s="12" t="str">
        <f>IF('بنود العقد'!C162&lt;&gt;"", 'بنود العقد'!C162, "")</f>
        <v>معماري</v>
      </c>
      <c r="D162" s="9">
        <f>IF('بنود العقد'!F162&lt;&gt;"", 'بنود العقد'!F162, "")</f>
        <v>32</v>
      </c>
      <c r="E162" s="18">
        <f>IF(B162&lt;&gt;"", SUMPRODUCT(('بنود المطالبات'!C$3:C$1805=A162)*'بنود المطالبات'!I$3:I$1805), "")</f>
        <v>13</v>
      </c>
      <c r="F162" s="18">
        <f>IFERROR(IF(AND(E162&lt;&gt;"",'بنود العقد'!E162&lt;&gt;""), E162*'بنود العقد'!E162, 0), 0)</f>
        <v>23400</v>
      </c>
      <c r="G162" s="9">
        <f t="shared" si="4"/>
        <v>19</v>
      </c>
      <c r="H162" s="9">
        <f>IF(AND('بنود العقد'!G162&lt;&gt;"",F162&lt;&gt;""), 'بنود العقد'!G162-F162, "")</f>
        <v>34200</v>
      </c>
      <c r="I162" s="21">
        <f t="shared" si="5"/>
        <v>40.625</v>
      </c>
    </row>
    <row r="163" spans="1:9" ht="24" customHeight="1">
      <c r="A163" s="12">
        <v>161</v>
      </c>
      <c r="B163" s="20" t="str">
        <f>IF('بنود العقد'!B163&lt;&gt;"", 'بنود العقد'!B163,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1200طول × عرض600 مم</v>
      </c>
      <c r="C163" s="12" t="str">
        <f>IF('بنود العقد'!C163&lt;&gt;"", 'بنود العقد'!C163, "")</f>
        <v>معماري</v>
      </c>
      <c r="D163" s="9">
        <f>IF('بنود العقد'!F163&lt;&gt;"", 'بنود العقد'!F163, "")</f>
        <v>20</v>
      </c>
      <c r="E163" s="18">
        <f>IF(B163&lt;&gt;"", SUMPRODUCT(('بنود المطالبات'!C$3:C$1805=A163)*'بنود المطالبات'!I$3:I$1805), "")</f>
        <v>12</v>
      </c>
      <c r="F163" s="18">
        <f>IFERROR(IF(AND(E163&lt;&gt;"",'بنود العقد'!E163&lt;&gt;""), E163*'بنود العقد'!E163, 0), 0)</f>
        <v>21600</v>
      </c>
      <c r="G163" s="9">
        <f t="shared" si="4"/>
        <v>8</v>
      </c>
      <c r="H163" s="9">
        <f>IF(AND('بنود العقد'!G163&lt;&gt;"",F163&lt;&gt;""), 'بنود العقد'!G163-F163, "")</f>
        <v>14400</v>
      </c>
      <c r="I163" s="21">
        <f t="shared" si="5"/>
        <v>60</v>
      </c>
    </row>
    <row r="164" spans="1:9" ht="24" customHeight="1">
      <c r="A164" s="12">
        <v>162</v>
      </c>
      <c r="B164" s="20" t="str">
        <f>IF('بنود العقد'!B164&lt;&gt;"", 'بنود العقد'!B164,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المشرف.Ref drawing: 07-MRA-DD-(as per floor number)-AR-700 to 703 مقاس: 1000طول × عرض600 مم</v>
      </c>
      <c r="C164" s="12" t="str">
        <f>IF('بنود العقد'!C164&lt;&gt;"", 'بنود العقد'!C164, "")</f>
        <v>معماري</v>
      </c>
      <c r="D164" s="9">
        <f>IF('بنود العقد'!F164&lt;&gt;"", 'بنود العقد'!F164, "")</f>
        <v>22</v>
      </c>
      <c r="E164" s="18">
        <f>IF(B164&lt;&gt;"", SUMPRODUCT(('بنود المطالبات'!C$3:C$1805=A164)*'بنود المطالبات'!I$3:I$1805), "")</f>
        <v>22</v>
      </c>
      <c r="F164" s="18">
        <f>IFERROR(IF(AND(E164&lt;&gt;"",'بنود العقد'!E164&lt;&gt;""), E164*'بنود العقد'!E164, 0), 0)</f>
        <v>39600</v>
      </c>
      <c r="G164" s="9">
        <f t="shared" si="4"/>
        <v>0</v>
      </c>
      <c r="H164" s="9">
        <f>IF(AND('بنود العقد'!G164&lt;&gt;"",F164&lt;&gt;""), 'بنود العقد'!G164-F164, "")</f>
        <v>0</v>
      </c>
      <c r="I164" s="21">
        <f t="shared" si="5"/>
        <v>100</v>
      </c>
    </row>
    <row r="165" spans="1:9" ht="24" customHeight="1">
      <c r="A165" s="12">
        <v>163</v>
      </c>
      <c r="B165" s="20" t="str">
        <f>IF('بنود العقد'!B165&lt;&gt;"", 'بنود العقد'!B165,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3800طول × عرض600 مم</v>
      </c>
      <c r="C165" s="12" t="str">
        <f>IF('بنود العقد'!C165&lt;&gt;"", 'بنود العقد'!C165, "")</f>
        <v>معماري</v>
      </c>
      <c r="D165" s="9">
        <f>IF('بنود العقد'!F165&lt;&gt;"", 'بنود العقد'!F165, "")</f>
        <v>23</v>
      </c>
      <c r="E165" s="18">
        <f>IF(B165&lt;&gt;"", SUMPRODUCT(('بنود المطالبات'!C$3:C$1805=A165)*'بنود المطالبات'!I$3:I$1805), "")</f>
        <v>0</v>
      </c>
      <c r="F165" s="18">
        <f>IFERROR(IF(AND(E165&lt;&gt;"",'بنود العقد'!E165&lt;&gt;""), E165*'بنود العقد'!E165, 0), 0)</f>
        <v>0</v>
      </c>
      <c r="G165" s="9">
        <f t="shared" si="4"/>
        <v>23</v>
      </c>
      <c r="H165" s="9">
        <f>IF(AND('بنود العقد'!G165&lt;&gt;"",F165&lt;&gt;""), 'بنود العقد'!G165-F165, "")</f>
        <v>138000</v>
      </c>
      <c r="I165" s="21">
        <f t="shared" si="5"/>
        <v>0</v>
      </c>
    </row>
    <row r="166" spans="1:9" ht="24" customHeight="1">
      <c r="A166" s="12">
        <v>164</v>
      </c>
      <c r="B166" s="20" t="str">
        <f>IF('بنود العقد'!B166&lt;&gt;"", 'بنود العقد'!B166,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1340طول × عرض600 مم</v>
      </c>
      <c r="C166" s="12" t="str">
        <f>IF('بنود العقد'!C166&lt;&gt;"", 'بنود العقد'!C166, "")</f>
        <v>معماري</v>
      </c>
      <c r="D166" s="9">
        <f>IF('بنود العقد'!F166&lt;&gt;"", 'بنود العقد'!F166, "")</f>
        <v>1</v>
      </c>
      <c r="E166" s="18">
        <f>IF(B166&lt;&gt;"", SUMPRODUCT(('بنود المطالبات'!C$3:C$1805=A166)*'بنود المطالبات'!I$3:I$1805), "")</f>
        <v>1</v>
      </c>
      <c r="F166" s="18">
        <f>IFERROR(IF(AND(E166&lt;&gt;"",'بنود العقد'!E166&lt;&gt;""), E166*'بنود العقد'!E166, 0), 0)</f>
        <v>2100</v>
      </c>
      <c r="G166" s="9">
        <f t="shared" si="4"/>
        <v>0</v>
      </c>
      <c r="H166" s="9">
        <f>IF(AND('بنود العقد'!G166&lt;&gt;"",F166&lt;&gt;""), 'بنود العقد'!G166-F166, "")</f>
        <v>0</v>
      </c>
      <c r="I166" s="21">
        <f t="shared" si="5"/>
        <v>100</v>
      </c>
    </row>
    <row r="167" spans="1:9" ht="24" customHeight="1">
      <c r="A167" s="12">
        <v>165</v>
      </c>
      <c r="B167" s="20" t="str">
        <f>IF('بنود العقد'!B167&lt;&gt;"", 'بنود العقد'!B167,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1620طول × عرض600 مم</v>
      </c>
      <c r="C167" s="12" t="str">
        <f>IF('بنود العقد'!C167&lt;&gt;"", 'بنود العقد'!C167, "")</f>
        <v>معماري</v>
      </c>
      <c r="D167" s="9">
        <f>IF('بنود العقد'!F167&lt;&gt;"", 'بنود العقد'!F167, "")</f>
        <v>4</v>
      </c>
      <c r="E167" s="18">
        <f>IF(B167&lt;&gt;"", SUMPRODUCT(('بنود المطالبات'!C$3:C$1805=A167)*'بنود المطالبات'!I$3:I$1805), "")</f>
        <v>0</v>
      </c>
      <c r="F167" s="18">
        <f>IFERROR(IF(AND(E167&lt;&gt;"",'بنود العقد'!E167&lt;&gt;""), E167*'بنود العقد'!E167, 0), 0)</f>
        <v>0</v>
      </c>
      <c r="G167" s="9">
        <f t="shared" si="4"/>
        <v>4</v>
      </c>
      <c r="H167" s="9">
        <f>IF(AND('بنود العقد'!G167&lt;&gt;"",F167&lt;&gt;""), 'بنود العقد'!G167-F167, "")</f>
        <v>12000</v>
      </c>
      <c r="I167" s="21">
        <f t="shared" si="5"/>
        <v>0</v>
      </c>
    </row>
    <row r="168" spans="1:9" ht="24" customHeight="1">
      <c r="A168" s="12">
        <v>166</v>
      </c>
      <c r="B168" s="20" t="str">
        <f>IF('بنود العقد'!B168&lt;&gt;"", 'بنود العقد'!B168,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1200طول × عرض500 مم</v>
      </c>
      <c r="C168" s="12" t="str">
        <f>IF('بنود العقد'!C168&lt;&gt;"", 'بنود العقد'!C168, "")</f>
        <v>معماري</v>
      </c>
      <c r="D168" s="9">
        <f>IF('بنود العقد'!F168&lt;&gt;"", 'بنود العقد'!F168, "")</f>
        <v>1</v>
      </c>
      <c r="E168" s="18">
        <f>IF(B168&lt;&gt;"", SUMPRODUCT(('بنود المطالبات'!C$3:C$1805=A168)*'بنود المطالبات'!I$3:I$1805), "")</f>
        <v>0</v>
      </c>
      <c r="F168" s="18">
        <f>IFERROR(IF(AND(E168&lt;&gt;"",'بنود العقد'!E168&lt;&gt;""), E168*'بنود العقد'!E168, 0), 0)</f>
        <v>0</v>
      </c>
      <c r="G168" s="9">
        <f t="shared" si="4"/>
        <v>1</v>
      </c>
      <c r="H168" s="9">
        <f>IF(AND('بنود العقد'!G168&lt;&gt;"",F168&lt;&gt;""), 'بنود العقد'!G168-F168, "")</f>
        <v>2400</v>
      </c>
      <c r="I168" s="21">
        <f t="shared" si="5"/>
        <v>0</v>
      </c>
    </row>
    <row r="169" spans="1:9" ht="24" customHeight="1">
      <c r="A169" s="12">
        <v>167</v>
      </c>
      <c r="B169" s="20" t="str">
        <f>IF('بنود العقد'!B169&lt;&gt;"", 'بنود العقد'!B169, "")</f>
        <v xml:space="preserve"> توريد وتركيب بار كاونتر للمطعم من الرخام الأسود والوجه مطلي باللون الرمادي على شكل وهيئة.الأسطح الاسمنتية  4400mm -طول x 1100mm - ارتفاع x 600mm -عرض</v>
      </c>
      <c r="C169" s="12" t="str">
        <f>IF('بنود العقد'!C169&lt;&gt;"", 'بنود العقد'!C169, "")</f>
        <v>معماري</v>
      </c>
      <c r="D169" s="9">
        <f>IF('بنود العقد'!F169&lt;&gt;"", 'بنود العقد'!F169, "")</f>
        <v>1</v>
      </c>
      <c r="E169" s="18">
        <f>IF(B169&lt;&gt;"", SUMPRODUCT(('بنود المطالبات'!C$3:C$1805=A169)*'بنود المطالبات'!I$3:I$1805), "")</f>
        <v>0</v>
      </c>
      <c r="F169" s="18">
        <f>IFERROR(IF(AND(E169&lt;&gt;"",'بنود العقد'!E169&lt;&gt;""), E169*'بنود العقد'!E169, 0), 0)</f>
        <v>0</v>
      </c>
      <c r="G169" s="9">
        <f t="shared" si="4"/>
        <v>1</v>
      </c>
      <c r="H169" s="9">
        <f>IF(AND('بنود العقد'!G169&lt;&gt;"",F169&lt;&gt;""), 'بنود العقد'!G169-F169, "")</f>
        <v>9000</v>
      </c>
      <c r="I169" s="21">
        <f t="shared" si="5"/>
        <v>0</v>
      </c>
    </row>
    <row r="170" spans="1:9" ht="24" customHeight="1">
      <c r="A170" s="12">
        <v>168</v>
      </c>
      <c r="B170" s="20" t="str">
        <f>IF('بنود العقد'!B170&lt;&gt;"", 'بنود العقد'!B170, "")</f>
        <v xml:space="preserve"> توريد وتركيب بار كاونتر للمطعم من الرخام الأسود والوجه مطلي باللون الرمادي على شكل وهيئة.الأسطح الاسمنتية  3100mm -طول x 1100mm - ارتفاع x 600mm -عرض</v>
      </c>
      <c r="C170" s="12" t="str">
        <f>IF('بنود العقد'!C170&lt;&gt;"", 'بنود العقد'!C170, "")</f>
        <v>معماري</v>
      </c>
      <c r="D170" s="9">
        <f>IF('بنود العقد'!F170&lt;&gt;"", 'بنود العقد'!F170, "")</f>
        <v>1</v>
      </c>
      <c r="E170" s="18">
        <f>IF(B170&lt;&gt;"", SUMPRODUCT(('بنود المطالبات'!C$3:C$1805=A170)*'بنود المطالبات'!I$3:I$1805), "")</f>
        <v>0</v>
      </c>
      <c r="F170" s="18">
        <f>IFERROR(IF(AND(E170&lt;&gt;"",'بنود العقد'!E170&lt;&gt;""), E170*'بنود العقد'!E170, 0), 0)</f>
        <v>0</v>
      </c>
      <c r="G170" s="9">
        <f t="shared" si="4"/>
        <v>1</v>
      </c>
      <c r="H170" s="9">
        <f>IF(AND('بنود العقد'!G170&lt;&gt;"",F170&lt;&gt;""), 'بنود العقد'!G170-F170, "")</f>
        <v>7200</v>
      </c>
      <c r="I170" s="21">
        <f t="shared" si="5"/>
        <v>0</v>
      </c>
    </row>
    <row r="171" spans="1:9" ht="24" customHeight="1">
      <c r="A171" s="12">
        <v>169</v>
      </c>
      <c r="B171" s="20" t="str">
        <f>IF('بنود العقد'!B171&lt;&gt;"", 'بنود العقد'!B171, "")</f>
        <v>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للإستقبال نوع  101ID</v>
      </c>
      <c r="C171" s="12" t="str">
        <f>IF('بنود العقد'!C171&lt;&gt;"", 'بنود العقد'!C171, "")</f>
        <v>معماري</v>
      </c>
      <c r="D171" s="9">
        <f>IF('بنود العقد'!F171&lt;&gt;"", 'بنود العقد'!F171, "")</f>
        <v>22</v>
      </c>
      <c r="E171" s="18">
        <f>IF(B171&lt;&gt;"", SUMPRODUCT(('بنود المطالبات'!C$3:C$1805=A171)*'بنود المطالبات'!I$3:I$1805), "")</f>
        <v>0</v>
      </c>
      <c r="F171" s="18">
        <f>IFERROR(IF(AND(E171&lt;&gt;"",'بنود العقد'!E171&lt;&gt;""), E171*'بنود العقد'!E171, 0), 0)</f>
        <v>0</v>
      </c>
      <c r="G171" s="9">
        <f t="shared" si="4"/>
        <v>22</v>
      </c>
      <c r="H171" s="9">
        <f>IF(AND('بنود العقد'!G171&lt;&gt;"",F171&lt;&gt;""), 'بنود العقد'!G171-F171, "")</f>
        <v>5676</v>
      </c>
      <c r="I171" s="21">
        <f t="shared" si="5"/>
        <v>0</v>
      </c>
    </row>
    <row r="172" spans="1:9" ht="24" customHeight="1">
      <c r="A172" s="12">
        <v>170</v>
      </c>
      <c r="B172" s="20" t="str">
        <f>IF('بنود العقد'!B172&lt;&gt;"", 'بنود العقد'!B172, "")</f>
        <v>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للمكاتب نوع  102ID</v>
      </c>
      <c r="C172" s="12" t="str">
        <f>IF('بنود العقد'!C172&lt;&gt;"", 'بنود العقد'!C172, "")</f>
        <v>معماري</v>
      </c>
      <c r="D172" s="9">
        <f>IF('بنود العقد'!F172&lt;&gt;"", 'بنود العقد'!F172, "")</f>
        <v>190</v>
      </c>
      <c r="E172" s="18">
        <f>IF(B172&lt;&gt;"", SUMPRODUCT(('بنود المطالبات'!C$3:C$1805=A172)*'بنود المطالبات'!I$3:I$1805), "")</f>
        <v>0</v>
      </c>
      <c r="F172" s="18">
        <f>IFERROR(IF(AND(E172&lt;&gt;"",'بنود العقد'!E172&lt;&gt;""), E172*'بنود العقد'!E172, 0), 0)</f>
        <v>0</v>
      </c>
      <c r="G172" s="9">
        <f t="shared" si="4"/>
        <v>190</v>
      </c>
      <c r="H172" s="9">
        <f>IF(AND('بنود العقد'!G172&lt;&gt;"",F172&lt;&gt;""), 'بنود العقد'!G172-F172, "")</f>
        <v>49020</v>
      </c>
      <c r="I172" s="21">
        <f t="shared" si="5"/>
        <v>0</v>
      </c>
    </row>
    <row r="173" spans="1:9" ht="24" customHeight="1">
      <c r="A173" s="12">
        <v>171</v>
      </c>
      <c r="B173" s="20" t="str">
        <f>IF('بنود العقد'!B173&lt;&gt;"", 'بنود العقد'!B173, "")</f>
        <v>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لحجرة الإجتماعات نوع  103ID</v>
      </c>
      <c r="C173" s="12" t="str">
        <f>IF('بنود العقد'!C173&lt;&gt;"", 'بنود العقد'!C173, "")</f>
        <v>معماري</v>
      </c>
      <c r="D173" s="9">
        <f>IF('بنود العقد'!F173&lt;&gt;"", 'بنود العقد'!F173, "")</f>
        <v>36</v>
      </c>
      <c r="E173" s="18">
        <f>IF(B173&lt;&gt;"", SUMPRODUCT(('بنود المطالبات'!C$3:C$1805=A173)*'بنود المطالبات'!I$3:I$1805), "")</f>
        <v>0</v>
      </c>
      <c r="F173" s="18">
        <f>IFERROR(IF(AND(E173&lt;&gt;"",'بنود العقد'!E173&lt;&gt;""), E173*'بنود العقد'!E173, 0), 0)</f>
        <v>0</v>
      </c>
      <c r="G173" s="9">
        <f t="shared" si="4"/>
        <v>36</v>
      </c>
      <c r="H173" s="9">
        <f>IF(AND('بنود العقد'!G173&lt;&gt;"",F173&lt;&gt;""), 'بنود العقد'!G173-F173, "")</f>
        <v>9288</v>
      </c>
      <c r="I173" s="21">
        <f t="shared" si="5"/>
        <v>0</v>
      </c>
    </row>
    <row r="174" spans="1:9" ht="24" customHeight="1">
      <c r="A174" s="12">
        <v>172</v>
      </c>
      <c r="B174" s="20" t="str">
        <f>IF('بنود العقد'!B174&lt;&gt;"", 'بنود العقد'!B174, "")</f>
        <v>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للحمامات نوع  104ID</v>
      </c>
      <c r="C174" s="12" t="str">
        <f>IF('بنود العقد'!C174&lt;&gt;"", 'بنود العقد'!C174, "")</f>
        <v>معماري</v>
      </c>
      <c r="D174" s="9">
        <f>IF('بنود العقد'!F174&lt;&gt;"", 'بنود العقد'!F174, "")</f>
        <v>46</v>
      </c>
      <c r="E174" s="18">
        <f>IF(B174&lt;&gt;"", SUMPRODUCT(('بنود المطالبات'!C$3:C$1805=A174)*'بنود المطالبات'!I$3:I$1805), "")</f>
        <v>0</v>
      </c>
      <c r="F174" s="18">
        <f>IFERROR(IF(AND(E174&lt;&gt;"",'بنود العقد'!E174&lt;&gt;""), E174*'بنود العقد'!E174, 0), 0)</f>
        <v>0</v>
      </c>
      <c r="G174" s="9">
        <f t="shared" si="4"/>
        <v>46</v>
      </c>
      <c r="H174" s="9">
        <f>IF(AND('بنود العقد'!G174&lt;&gt;"",F174&lt;&gt;""), 'بنود العقد'!G174-F174, "")</f>
        <v>11868</v>
      </c>
      <c r="I174" s="21">
        <f t="shared" si="5"/>
        <v>0</v>
      </c>
    </row>
    <row r="175" spans="1:9" ht="24" customHeight="1">
      <c r="A175" s="12">
        <v>173</v>
      </c>
      <c r="B175" s="20" t="str">
        <f>IF('بنود العقد'!B175&lt;&gt;"", 'بنود العقد'!B175, "")</f>
        <v>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لمستوي السلالم نوع  105ID</v>
      </c>
      <c r="C175" s="12" t="str">
        <f>IF('بنود العقد'!C175&lt;&gt;"", 'بنود العقد'!C175, "")</f>
        <v>معماري</v>
      </c>
      <c r="D175" s="9">
        <f>IF('بنود العقد'!F175&lt;&gt;"", 'بنود العقد'!F175, "")</f>
        <v>30</v>
      </c>
      <c r="E175" s="18">
        <f>IF(B175&lt;&gt;"", SUMPRODUCT(('بنود المطالبات'!C$3:C$1805=A175)*'بنود المطالبات'!I$3:I$1805), "")</f>
        <v>0</v>
      </c>
      <c r="F175" s="18">
        <f>IFERROR(IF(AND(E175&lt;&gt;"",'بنود العقد'!E175&lt;&gt;""), E175*'بنود العقد'!E175, 0), 0)</f>
        <v>0</v>
      </c>
      <c r="G175" s="9">
        <f t="shared" si="4"/>
        <v>30</v>
      </c>
      <c r="H175" s="9">
        <f>IF(AND('بنود العقد'!G175&lt;&gt;"",F175&lt;&gt;""), 'بنود العقد'!G175-F175, "")</f>
        <v>7740</v>
      </c>
      <c r="I175" s="21">
        <f t="shared" si="5"/>
        <v>0</v>
      </c>
    </row>
    <row r="176" spans="1:9" ht="24" customHeight="1">
      <c r="A176" s="12">
        <v>174</v>
      </c>
      <c r="B176" s="20" t="str">
        <f>IF('بنود العقد'!B176&lt;&gt;"", 'بنود العقد'!B176, "")</f>
        <v>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لسلالم الخروج نوع  106ID</v>
      </c>
      <c r="C176" s="12" t="str">
        <f>IF('بنود العقد'!C176&lt;&gt;"", 'بنود العقد'!C176, "")</f>
        <v>معماري</v>
      </c>
      <c r="D176" s="9">
        <f>IF('بنود العقد'!F176&lt;&gt;"", 'بنود العقد'!F176, "")</f>
        <v>30</v>
      </c>
      <c r="E176" s="18">
        <f>IF(B176&lt;&gt;"", SUMPRODUCT(('بنود المطالبات'!C$3:C$1805=A176)*'بنود المطالبات'!I$3:I$1805), "")</f>
        <v>0</v>
      </c>
      <c r="F176" s="18">
        <f>IFERROR(IF(AND(E176&lt;&gt;"",'بنود العقد'!E176&lt;&gt;""), E176*'بنود العقد'!E176, 0), 0)</f>
        <v>0</v>
      </c>
      <c r="G176" s="9">
        <f t="shared" si="4"/>
        <v>30</v>
      </c>
      <c r="H176" s="9">
        <f>IF(AND('بنود العقد'!G176&lt;&gt;"",F176&lt;&gt;""), 'بنود العقد'!G176-F176, "")</f>
        <v>4140</v>
      </c>
      <c r="I176" s="21">
        <f t="shared" si="5"/>
        <v>0</v>
      </c>
    </row>
    <row r="177" spans="1:9" ht="24" customHeight="1">
      <c r="A177" s="12">
        <v>175</v>
      </c>
      <c r="B177" s="20" t="str">
        <f>IF('بنود العقد'!B177&lt;&gt;"", 'بنود العقد'!B177, "")</f>
        <v>قواطع الحمامات مكونة من ألواح الفينوليك المضغوط ارتفاع 2 متر ذو المقاومة الشديدة للماء مع طبقة ميلامين بلون رمادي غامق مقاومة للخدش وسهلة التنظيف ، سمك الألواح هو  19 ملم ،. قواطع الحمامات تشمل إكسسوارات عالية الجودة ) مفصلات ذاتية الإغلاق وقفل ( والأبواب والاكسسوارات والعلاقات من الستانلس ستيل brushed finish وكل ما يلزم لانهاء العمل حسب الأصول الفنية والمواصفلت وتعليمات المهندس المشرف .</v>
      </c>
      <c r="C177" s="12" t="str">
        <f>IF('بنود العقد'!C177&lt;&gt;"", 'بنود العقد'!C177, "")</f>
        <v>معماري</v>
      </c>
      <c r="D177" s="9">
        <f>IF('بنود العقد'!F177&lt;&gt;"", 'بنود العقد'!F177, "")</f>
        <v>611</v>
      </c>
      <c r="E177" s="18">
        <f>IF(B177&lt;&gt;"", SUMPRODUCT(('بنود المطالبات'!C$3:C$1805=A177)*'بنود المطالبات'!I$3:I$1805), "")</f>
        <v>479.99</v>
      </c>
      <c r="F177" s="18">
        <f>IFERROR(IF(AND(E177&lt;&gt;"",'بنود العقد'!E177&lt;&gt;""), E177*'بنود العقد'!E177, 0), 0)</f>
        <v>374392.2</v>
      </c>
      <c r="G177" s="9">
        <f t="shared" si="4"/>
        <v>131.01</v>
      </c>
      <c r="H177" s="9">
        <f>IF(AND('بنود العقد'!G177&lt;&gt;"",F177&lt;&gt;""), 'بنود العقد'!G177-F177, "")</f>
        <v>102187.79999999999</v>
      </c>
      <c r="I177" s="21">
        <f t="shared" si="5"/>
        <v>78.558101472995091</v>
      </c>
    </row>
    <row r="178" spans="1:9" ht="24" customHeight="1">
      <c r="A178" s="12">
        <v>176</v>
      </c>
      <c r="B178" s="20" t="str">
        <f>IF('بنود العقد'!B178&lt;&gt;"", 'بنود العقد'!B178,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C178" s="12" t="str">
        <f>IF('بنود العقد'!C178&lt;&gt;"", 'بنود العقد'!C178, "")</f>
        <v>ميكانيكا</v>
      </c>
      <c r="D178" s="9">
        <f>IF('بنود العقد'!F178&lt;&gt;"", 'بنود العقد'!F178, "")</f>
        <v>532</v>
      </c>
      <c r="E178" s="18">
        <f>IF(B178&lt;&gt;"", SUMPRODUCT(('بنود المطالبات'!C$3:C$1805=A178)*'بنود المطالبات'!I$3:I$1805), "")</f>
        <v>1937.37</v>
      </c>
      <c r="F178" s="18">
        <f>IFERROR(IF(AND(E178&lt;&gt;"",'بنود العقد'!E178&lt;&gt;""), E178*'بنود العقد'!E178, 0), 0)</f>
        <v>127866.42</v>
      </c>
      <c r="G178" s="9">
        <f t="shared" si="4"/>
        <v>-1405.37</v>
      </c>
      <c r="H178" s="9">
        <f>IF(AND('بنود العقد'!G178&lt;&gt;"",F178&lt;&gt;""), 'بنود العقد'!G178-F178, "")</f>
        <v>-92754.42</v>
      </c>
      <c r="I178" s="21">
        <f t="shared" si="5"/>
        <v>100</v>
      </c>
    </row>
    <row r="179" spans="1:9" ht="24" customHeight="1">
      <c r="A179" s="12">
        <v>177</v>
      </c>
      <c r="B179" s="20" t="str">
        <f>IF('بنود العقد'!B179&lt;&gt;"", 'بنود العقد'!B179,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C179" s="12" t="str">
        <f>IF('بنود العقد'!C179&lt;&gt;"", 'بنود العقد'!C179, "")</f>
        <v>ميكانيكا</v>
      </c>
      <c r="D179" s="9">
        <f>IF('بنود العقد'!F179&lt;&gt;"", 'بنود العقد'!F179, "")</f>
        <v>221</v>
      </c>
      <c r="E179" s="18">
        <f>IF(B179&lt;&gt;"", SUMPRODUCT(('بنود المطالبات'!C$3:C$1805=A179)*'بنود المطالبات'!I$3:I$1805), "")</f>
        <v>495.79</v>
      </c>
      <c r="F179" s="18">
        <f>IFERROR(IF(AND(E179&lt;&gt;"",'بنود العقد'!E179&lt;&gt;""), E179*'بنود العقد'!E179, 0), 0)</f>
        <v>35101.932000000001</v>
      </c>
      <c r="G179" s="9">
        <f t="shared" si="4"/>
        <v>-274.79000000000002</v>
      </c>
      <c r="H179" s="9">
        <f>IF(AND('بنود العقد'!G179&lt;&gt;"",F179&lt;&gt;""), 'بنود العقد'!G179-F179, "")</f>
        <v>-19455.132000000001</v>
      </c>
      <c r="I179" s="21">
        <f t="shared" si="5"/>
        <v>100</v>
      </c>
    </row>
    <row r="180" spans="1:9" ht="24" customHeight="1">
      <c r="A180" s="12">
        <v>178</v>
      </c>
      <c r="B180" s="20" t="str">
        <f>IF('بنود العقد'!B180&lt;&gt;"", 'بنود العقد'!B180,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32مم</v>
      </c>
      <c r="C180" s="12" t="str">
        <f>IF('بنود العقد'!C180&lt;&gt;"", 'بنود العقد'!C180, "")</f>
        <v>ميكانيكا</v>
      </c>
      <c r="D180" s="9">
        <f>IF('بنود العقد'!F180&lt;&gt;"", 'بنود العقد'!F180, "")</f>
        <v>207</v>
      </c>
      <c r="E180" s="18">
        <f>IF(B180&lt;&gt;"", SUMPRODUCT(('بنود المطالبات'!C$3:C$1805=A180)*'بنود المطالبات'!I$3:I$1805), "")</f>
        <v>415.83</v>
      </c>
      <c r="F180" s="18">
        <f>IFERROR(IF(AND(E180&lt;&gt;"",'بنود العقد'!E180&lt;&gt;""), E180*'بنود العقد'!E180, 0), 0)</f>
        <v>42414.659999999996</v>
      </c>
      <c r="G180" s="9">
        <f t="shared" si="4"/>
        <v>-208.82999999999998</v>
      </c>
      <c r="H180" s="9">
        <f>IF(AND('بنود العقد'!G180&lt;&gt;"",F180&lt;&gt;""), 'بنود العقد'!G180-F180, "")</f>
        <v>-21300.659999999996</v>
      </c>
      <c r="I180" s="21">
        <f t="shared" si="5"/>
        <v>100</v>
      </c>
    </row>
    <row r="181" spans="1:9" ht="24" customHeight="1">
      <c r="A181" s="12">
        <v>179</v>
      </c>
      <c r="B181" s="20" t="str">
        <f>IF('بنود العقد'!B181&lt;&gt;"", 'بنود العقد'!B181,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40 مم</v>
      </c>
      <c r="C181" s="12" t="str">
        <f>IF('بنود العقد'!C181&lt;&gt;"", 'بنود العقد'!C181, "")</f>
        <v>ميكانيكا</v>
      </c>
      <c r="D181" s="9">
        <f>IF('بنود العقد'!F181&lt;&gt;"", 'بنود العقد'!F181, "")</f>
        <v>103</v>
      </c>
      <c r="E181" s="18">
        <f>IF(B181&lt;&gt;"", SUMPRODUCT(('بنود المطالبات'!C$3:C$1805=A181)*'بنود المطالبات'!I$3:I$1805), "")</f>
        <v>503.12</v>
      </c>
      <c r="F181" s="18">
        <f>IFERROR(IF(AND(E181&lt;&gt;"",'بنود العقد'!E181&lt;&gt;""), E181*'بنود العقد'!E181, 0), 0)</f>
        <v>42865.824000000001</v>
      </c>
      <c r="G181" s="9">
        <f t="shared" si="4"/>
        <v>-400.12</v>
      </c>
      <c r="H181" s="9">
        <f>IF(AND('بنود العقد'!G181&lt;&gt;"",F181&lt;&gt;""), 'بنود العقد'!G181-F181, "")</f>
        <v>-34090.224000000002</v>
      </c>
      <c r="I181" s="21">
        <f t="shared" si="5"/>
        <v>100</v>
      </c>
    </row>
    <row r="182" spans="1:9" ht="24" customHeight="1">
      <c r="A182" s="12">
        <v>180</v>
      </c>
      <c r="B182" s="20" t="str">
        <f>IF('بنود العقد'!B182&lt;&gt;"", 'بنود العقد'!B182,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الداخلية:قطر 50 مم</v>
      </c>
      <c r="C182" s="12" t="str">
        <f>IF('بنود العقد'!C182&lt;&gt;"", 'بنود العقد'!C182, "")</f>
        <v>ميكانيكا</v>
      </c>
      <c r="D182" s="9">
        <f>IF('بنود العقد'!F182&lt;&gt;"", 'بنود العقد'!F182, "")</f>
        <v>218</v>
      </c>
      <c r="E182" s="18">
        <f>IF(B182&lt;&gt;"", SUMPRODUCT(('بنود المطالبات'!C$3:C$1805=A182)*'بنود المطالبات'!I$3:I$1805), "")</f>
        <v>433</v>
      </c>
      <c r="F182" s="18">
        <f>IFERROR(IF(AND(E182&lt;&gt;"",'بنود العقد'!E182&lt;&gt;""), E182*'بنود العقد'!E182, 0), 0)</f>
        <v>41048.400000000001</v>
      </c>
      <c r="G182" s="9">
        <f t="shared" si="4"/>
        <v>-215</v>
      </c>
      <c r="H182" s="9">
        <f>IF(AND('بنود العقد'!G182&lt;&gt;"",F182&lt;&gt;""), 'بنود العقد'!G182-F182, "")</f>
        <v>-20382.000000000004</v>
      </c>
      <c r="I182" s="21">
        <f t="shared" si="5"/>
        <v>100</v>
      </c>
    </row>
    <row r="183" spans="1:9" ht="24" customHeight="1">
      <c r="A183" s="12">
        <v>181</v>
      </c>
      <c r="B183" s="20" t="str">
        <f>IF('بنود العقد'!B183&lt;&gt;"", 'بنود العقد'!B183,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C183" s="12" t="str">
        <f>IF('بنود العقد'!C183&lt;&gt;"", 'بنود العقد'!C183, "")</f>
        <v>ميكانيكا</v>
      </c>
      <c r="D183" s="9">
        <f>IF('بنود العقد'!F183&lt;&gt;"", 'بنود العقد'!F183, "")</f>
        <v>150</v>
      </c>
      <c r="E183" s="18">
        <f>IF(B183&lt;&gt;"", SUMPRODUCT(('بنود المطالبات'!C$3:C$1805=A183)*'بنود المطالبات'!I$3:I$1805), "")</f>
        <v>1122.83</v>
      </c>
      <c r="F183" s="18">
        <f>IFERROR(IF(AND(E183&lt;&gt;"",'بنود العقد'!E183&lt;&gt;""), E183*'بنود العقد'!E183, 0), 0)</f>
        <v>79496.363999999987</v>
      </c>
      <c r="G183" s="9">
        <f t="shared" si="4"/>
        <v>-972.82999999999993</v>
      </c>
      <c r="H183" s="9">
        <f>IF(AND('بنود العقد'!G183&lt;&gt;"",F183&lt;&gt;""), 'بنود العقد'!G183-F183, "")</f>
        <v>-68876.363999999987</v>
      </c>
      <c r="I183" s="21">
        <f t="shared" si="5"/>
        <v>100</v>
      </c>
    </row>
    <row r="184" spans="1:9" ht="24" customHeight="1">
      <c r="A184" s="12">
        <v>182</v>
      </c>
      <c r="B184" s="20" t="str">
        <f>IF('بنود العقد'!B184&lt;&gt;"", 'بنود العقد'!B184,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C184" s="12" t="str">
        <f>IF('بنود العقد'!C184&lt;&gt;"", 'بنود العقد'!C184, "")</f>
        <v>ميكانيكا</v>
      </c>
      <c r="D184" s="9">
        <f>IF('بنود العقد'!F184&lt;&gt;"", 'بنود العقد'!F184, "")</f>
        <v>100</v>
      </c>
      <c r="E184" s="18">
        <f>IF(B184&lt;&gt;"", SUMPRODUCT(('بنود المطالبات'!C$3:C$1805=A184)*'بنود المطالبات'!I$3:I$1805), "")</f>
        <v>144.44999999999999</v>
      </c>
      <c r="F184" s="18">
        <f>IFERROR(IF(AND(E184&lt;&gt;"",'بنود العقد'!E184&lt;&gt;""), E184*'بنود العقد'!E184, 0), 0)</f>
        <v>10920.419999999998</v>
      </c>
      <c r="G184" s="9">
        <f t="shared" si="4"/>
        <v>-44.449999999999989</v>
      </c>
      <c r="H184" s="9">
        <f>IF(AND('بنود العقد'!G184&lt;&gt;"",F184&lt;&gt;""), 'بنود العقد'!G184-F184, "")</f>
        <v>-3360.4199999999992</v>
      </c>
      <c r="I184" s="21">
        <f t="shared" si="5"/>
        <v>100</v>
      </c>
    </row>
    <row r="185" spans="1:9" ht="24" customHeight="1">
      <c r="A185" s="12">
        <v>183</v>
      </c>
      <c r="B185" s="20" t="str">
        <f>IF('بنود العقد'!B185&lt;&gt;"", 'بنود العقد'!B185, "")</f>
        <v>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التالية:توريد و تركيب و اختبار سخان بسعة 30 لتر، وقدرة 2.1  كيلو وات، مرجع     1-EWH</v>
      </c>
      <c r="C185" s="12" t="str">
        <f>IF('بنود العقد'!C185&lt;&gt;"", 'بنود العقد'!C185, "")</f>
        <v>ميكانيكا</v>
      </c>
      <c r="D185" s="9">
        <f>IF('بنود العقد'!F185&lt;&gt;"", 'بنود العقد'!F185, "")</f>
        <v>77</v>
      </c>
      <c r="E185" s="18">
        <f>IF(B185&lt;&gt;"", SUMPRODUCT(('بنود المطالبات'!C$3:C$1805=A185)*'بنود المطالبات'!I$3:I$1805), "")</f>
        <v>85</v>
      </c>
      <c r="F185" s="18">
        <f>IFERROR(IF(AND(E185&lt;&gt;"",'بنود العقد'!E185&lt;&gt;""), E185*'بنود العقد'!E185, 0), 0)</f>
        <v>57120</v>
      </c>
      <c r="G185" s="9">
        <f t="shared" si="4"/>
        <v>-8</v>
      </c>
      <c r="H185" s="9">
        <f>IF(AND('بنود العقد'!G185&lt;&gt;"",F185&lt;&gt;""), 'بنود العقد'!G185-F185, "")</f>
        <v>-5376</v>
      </c>
      <c r="I185" s="21">
        <f t="shared" si="5"/>
        <v>100</v>
      </c>
    </row>
    <row r="186" spans="1:9" ht="24" customHeight="1">
      <c r="A186" s="12">
        <v>184</v>
      </c>
      <c r="B186" s="20" t="str">
        <f>IF('بنود العقد'!B186&lt;&gt;"", 'بنود العقد'!B186, "")</f>
        <v>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التالية:اعادة تركيب و اختبار السخان الحالي بسعة 100 ليتر   بعد الكشف و المعاينة و الفحص حسب تعليمات مهندس المشرف</v>
      </c>
      <c r="C186" s="12" t="str">
        <f>IF('بنود العقد'!C186&lt;&gt;"", 'بنود العقد'!C186, "")</f>
        <v>ميكانيكا</v>
      </c>
      <c r="D186" s="9">
        <f>IF('بنود العقد'!F186&lt;&gt;"", 'بنود العقد'!F186, "")</f>
        <v>24</v>
      </c>
      <c r="E186" s="18">
        <f>IF(B186&lt;&gt;"", SUMPRODUCT(('بنود المطالبات'!C$3:C$1805=A186)*'بنود المطالبات'!I$3:I$1805), "")</f>
        <v>30</v>
      </c>
      <c r="F186" s="18">
        <f>IFERROR(IF(AND(E186&lt;&gt;"",'بنود العقد'!E186&lt;&gt;""), E186*'بنود العقد'!E186, 0), 0)</f>
        <v>24480</v>
      </c>
      <c r="G186" s="9">
        <f t="shared" si="4"/>
        <v>-6</v>
      </c>
      <c r="H186" s="9">
        <f>IF(AND('بنود العقد'!G186&lt;&gt;"",F186&lt;&gt;""), 'بنود العقد'!G186-F186, "")</f>
        <v>-4896</v>
      </c>
      <c r="I186" s="21">
        <f t="shared" si="5"/>
        <v>100</v>
      </c>
    </row>
    <row r="187" spans="1:9" ht="24" customHeight="1">
      <c r="A187" s="12">
        <v>185</v>
      </c>
      <c r="B187" s="20" t="str">
        <f>IF('بنود العقد'!B187&lt;&gt;"", 'بنود العقد'!B187,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v>
      </c>
      <c r="C187" s="12" t="str">
        <f>IF('بنود العقد'!C187&lt;&gt;"", 'بنود العقد'!C187, "")</f>
        <v>صحي</v>
      </c>
      <c r="D187" s="9">
        <f>IF('بنود العقد'!F187&lt;&gt;"", 'بنود العقد'!F187, "")</f>
        <v>426</v>
      </c>
      <c r="E187" s="18">
        <f>IF(B187&lt;&gt;"", SUMPRODUCT(('بنود المطالبات'!C$3:C$1805=A187)*'بنود المطالبات'!I$3:I$1805), "")</f>
        <v>2508.1884999999997</v>
      </c>
      <c r="F187" s="18">
        <f>IFERROR(IF(AND(E187&lt;&gt;"",'بنود العقد'!E187&lt;&gt;""), E187*'بنود العقد'!E187, 0), 0)</f>
        <v>189619.05059999996</v>
      </c>
      <c r="G187" s="9">
        <f t="shared" si="4"/>
        <v>-2082.1884999999997</v>
      </c>
      <c r="H187" s="9">
        <f>IF(AND('بنود العقد'!G187&lt;&gt;"",F187&lt;&gt;""), 'بنود العقد'!G187-F187, "")</f>
        <v>-157413.45059999995</v>
      </c>
      <c r="I187" s="21">
        <f t="shared" si="5"/>
        <v>100</v>
      </c>
    </row>
    <row r="188" spans="1:9" ht="24" customHeight="1">
      <c r="A188" s="12">
        <v>186</v>
      </c>
      <c r="B188" s="20" t="str">
        <f>IF('بنود العقد'!B188&lt;&gt;"", 'بنود العقد'!B188,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75 مم</v>
      </c>
      <c r="C188" s="12" t="str">
        <f>IF('بنود العقد'!C188&lt;&gt;"", 'بنود العقد'!C188, "")</f>
        <v>صحي</v>
      </c>
      <c r="D188" s="9">
        <f>IF('بنود العقد'!F188&lt;&gt;"", 'بنود العقد'!F188, "")</f>
        <v>934</v>
      </c>
      <c r="E188" s="18">
        <f>IF(B188&lt;&gt;"", SUMPRODUCT(('بنود المطالبات'!C$3:C$1805=A188)*'بنود المطالبات'!I$3:I$1805), "")</f>
        <v>1060.02</v>
      </c>
      <c r="F188" s="18">
        <f>IFERROR(IF(AND(E188&lt;&gt;"",'بنود العقد'!E188&lt;&gt;""), E188*'بنود العقد'!E188, 0), 0)</f>
        <v>96673.824000000008</v>
      </c>
      <c r="G188" s="9">
        <f t="shared" si="4"/>
        <v>-126.01999999999998</v>
      </c>
      <c r="H188" s="9">
        <f>IF(AND('بنود العقد'!G188&lt;&gt;"",F188&lt;&gt;""), 'بنود العقد'!G188-F188, "")</f>
        <v>-11493.024000000005</v>
      </c>
      <c r="I188" s="21">
        <f t="shared" si="5"/>
        <v>100</v>
      </c>
    </row>
    <row r="189" spans="1:9" ht="24" customHeight="1">
      <c r="A189" s="12">
        <v>187</v>
      </c>
      <c r="B189" s="20" t="str">
        <f>IF('بنود العقد'!B189&lt;&gt;"", 'بنود العقد'!B189,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v>
      </c>
      <c r="C189" s="12" t="str">
        <f>IF('بنود العقد'!C189&lt;&gt;"", 'بنود العقد'!C189, "")</f>
        <v>صحي</v>
      </c>
      <c r="D189" s="9">
        <f>IF('بنود العقد'!F189&lt;&gt;"", 'بنود العقد'!F189, "")</f>
        <v>961</v>
      </c>
      <c r="E189" s="18">
        <f>IF(B189&lt;&gt;"", SUMPRODUCT(('بنود المطالبات'!C$3:C$1805=A189)*'بنود المطالبات'!I$3:I$1805), "")</f>
        <v>3548.08</v>
      </c>
      <c r="F189" s="18">
        <f>IFERROR(IF(AND(E189&lt;&gt;"",'بنود العقد'!E189&lt;&gt;""), E189*'بنود العقد'!E189, 0), 0)</f>
        <v>361904.16</v>
      </c>
      <c r="G189" s="9">
        <f t="shared" si="4"/>
        <v>-2587.08</v>
      </c>
      <c r="H189" s="9">
        <f>IF(AND('بنود العقد'!G189&lt;&gt;"",F189&lt;&gt;""), 'بنود العقد'!G189-F189, "")</f>
        <v>-263882.15999999997</v>
      </c>
      <c r="I189" s="21">
        <f t="shared" si="5"/>
        <v>100</v>
      </c>
    </row>
    <row r="190" spans="1:9" ht="24" customHeight="1">
      <c r="A190" s="12">
        <v>188</v>
      </c>
      <c r="B190" s="20" t="str">
        <f>IF('بنود العقد'!B190&lt;&gt;"", 'بنود العقد'!B190, "")</f>
        <v>صفاية أرضية )FD(، من PVC مع مصفاة معدنية  مطلية بالكروم شاملة سيفون كما هو موصف بالمقاسات التالية:مخرج قطر 75 مم</v>
      </c>
      <c r="C190" s="12" t="str">
        <f>IF('بنود العقد'!C190&lt;&gt;"", 'بنود العقد'!C190, "")</f>
        <v>صحي</v>
      </c>
      <c r="D190" s="9">
        <f>IF('بنود العقد'!F190&lt;&gt;"", 'بنود العقد'!F190, "")</f>
        <v>161</v>
      </c>
      <c r="E190" s="18">
        <f>IF(B190&lt;&gt;"", SUMPRODUCT(('بنود المطالبات'!C$3:C$1805=A190)*'بنود المطالبات'!I$3:I$1805), "")</f>
        <v>237</v>
      </c>
      <c r="F190" s="18">
        <f>IFERROR(IF(AND(E190&lt;&gt;"",'بنود العقد'!E190&lt;&gt;""), E190*'بنود العقد'!E190, 0), 0)</f>
        <v>71100</v>
      </c>
      <c r="G190" s="9">
        <f t="shared" si="4"/>
        <v>-76</v>
      </c>
      <c r="H190" s="9">
        <f>IF(AND('بنود العقد'!G190&lt;&gt;"",F190&lt;&gt;""), 'بنود العقد'!G190-F190, "")</f>
        <v>-22800</v>
      </c>
      <c r="I190" s="21">
        <f t="shared" si="5"/>
        <v>100</v>
      </c>
    </row>
    <row r="191" spans="1:9" ht="24" customHeight="1">
      <c r="A191" s="12">
        <v>189</v>
      </c>
      <c r="B191" s="20" t="str">
        <f>IF('بنود العقد'!B191&lt;&gt;"", 'بنود العقد'!B191, "")</f>
        <v>صفاية أرضية )FD(، من PVC مع مصفاة معدنية  مطلية بالكروم شاملة سيفون كما هو موصف بالمقاسات التالية:صفاية' طولية أرضية )SD(،مع مصفاة  معدنية مطلية بالكروم شاملة سيفون مخرج قطر 50 مم</v>
      </c>
      <c r="C191" s="12" t="str">
        <f>IF('بنود العقد'!C191&lt;&gt;"", 'بنود العقد'!C191, "")</f>
        <v>صحي</v>
      </c>
      <c r="D191" s="9">
        <f>IF('بنود العقد'!F191&lt;&gt;"", 'بنود العقد'!F191, "")</f>
        <v>20</v>
      </c>
      <c r="E191" s="18">
        <f>IF(B191&lt;&gt;"", SUMPRODUCT(('بنود المطالبات'!C$3:C$1805=A191)*'بنود المطالبات'!I$3:I$1805), "")</f>
        <v>17</v>
      </c>
      <c r="F191" s="18">
        <f>IFERROR(IF(AND(E191&lt;&gt;"",'بنود العقد'!E191&lt;&gt;""), E191*'بنود العقد'!E191, 0), 0)</f>
        <v>5100</v>
      </c>
      <c r="G191" s="9">
        <f t="shared" si="4"/>
        <v>3</v>
      </c>
      <c r="H191" s="9">
        <f>IF(AND('بنود العقد'!G191&lt;&gt;"",F191&lt;&gt;""), 'بنود العقد'!G191-F191, "")</f>
        <v>900</v>
      </c>
      <c r="I191" s="21">
        <f t="shared" si="5"/>
        <v>85</v>
      </c>
    </row>
    <row r="192" spans="1:9" ht="24" customHeight="1">
      <c r="A192" s="12">
        <v>190</v>
      </c>
      <c r="B192" s="20" t="str">
        <f>IF('بنود العقد'!B192&lt;&gt;"", 'بنود العقد'!B192,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:حوض وجه على رخامة )مرجع 1-LAV ( من نفس نوع الرخام الصناعي كوريان للكاونتر والكاونتر محسوب في بند منفصل</v>
      </c>
      <c r="C192" s="12" t="str">
        <f>IF('بنود العقد'!C192&lt;&gt;"", 'بنود العقد'!C192, "")</f>
        <v>صحي</v>
      </c>
      <c r="D192" s="9">
        <f>IF('بنود العقد'!F192&lt;&gt;"", 'بنود العقد'!F192, "")</f>
        <v>68</v>
      </c>
      <c r="E192" s="18">
        <f>IF(B192&lt;&gt;"", SUMPRODUCT(('بنود المطالبات'!C$3:C$1805=A192)*'بنود المطالبات'!I$3:I$1805), "")</f>
        <v>72</v>
      </c>
      <c r="F192" s="18">
        <f>IFERROR(IF(AND(E192&lt;&gt;"",'بنود العقد'!E192&lt;&gt;""), E192*'بنود العقد'!E192, 0), 0)</f>
        <v>190080</v>
      </c>
      <c r="G192" s="9">
        <f t="shared" si="4"/>
        <v>-4</v>
      </c>
      <c r="H192" s="9">
        <f>IF(AND('بنود العقد'!G192&lt;&gt;"",F192&lt;&gt;""), 'بنود العقد'!G192-F192, "")</f>
        <v>-10560</v>
      </c>
      <c r="I192" s="21">
        <f t="shared" si="5"/>
        <v>100</v>
      </c>
    </row>
    <row r="193" spans="1:9" ht="24" customHeight="1">
      <c r="A193" s="12">
        <v>191</v>
      </c>
      <c r="B193" s="20" t="str">
        <f>IF('بنود العقد'!B193&lt;&gt;"", 'بنود العقد'!B193,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:حوض وجه كامل مع العامود، )مرجع 2-LAV(</v>
      </c>
      <c r="C193" s="12" t="str">
        <f>IF('بنود العقد'!C193&lt;&gt;"", 'بنود العقد'!C193, "")</f>
        <v>صحي</v>
      </c>
      <c r="D193" s="9">
        <f>IF('بنود العقد'!F193&lt;&gt;"", 'بنود العقد'!F193, "")</f>
        <v>48</v>
      </c>
      <c r="E193" s="18">
        <f>IF(B193&lt;&gt;"", SUMPRODUCT(('بنود المطالبات'!C$3:C$1805=A193)*'بنود المطالبات'!I$3:I$1805), "")</f>
        <v>0</v>
      </c>
      <c r="F193" s="18">
        <f>IFERROR(IF(AND(E193&lt;&gt;"",'بنود العقد'!E193&lt;&gt;""), E193*'بنود العقد'!E193, 0), 0)</f>
        <v>0</v>
      </c>
      <c r="G193" s="9">
        <f t="shared" si="4"/>
        <v>48</v>
      </c>
      <c r="H193" s="9">
        <f>IF(AND('بنود العقد'!G193&lt;&gt;"",F193&lt;&gt;""), 'بنود العقد'!G193-F193, "")</f>
        <v>92160</v>
      </c>
      <c r="I193" s="21">
        <f t="shared" si="5"/>
        <v>0</v>
      </c>
    </row>
    <row r="194" spans="1:9" ht="24" customHeight="1">
      <c r="A194" s="12">
        <v>192</v>
      </c>
      <c r="B194" s="20" t="str">
        <f>IF('بنود العقد'!B194&lt;&gt;"", 'بنود العقد'!B194, "")</f>
        <v>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غسيل أواني للمطبخ بعين واحدة )مرجع 1-KS</v>
      </c>
      <c r="C194" s="12" t="str">
        <f>IF('بنود العقد'!C194&lt;&gt;"", 'بنود العقد'!C194, "")</f>
        <v>صحي</v>
      </c>
      <c r="D194" s="9">
        <f>IF('بنود العقد'!F194&lt;&gt;"", 'بنود العقد'!F194, "")</f>
        <v>16</v>
      </c>
      <c r="E194" s="18">
        <f>IF(B194&lt;&gt;"", SUMPRODUCT(('بنود المطالبات'!C$3:C$1805=A194)*'بنود المطالبات'!I$3:I$1805), "")</f>
        <v>12</v>
      </c>
      <c r="F194" s="18">
        <f>IFERROR(IF(AND(E194&lt;&gt;"",'بنود العقد'!E194&lt;&gt;""), E194*'بنود العقد'!E194, 0), 0)</f>
        <v>36000</v>
      </c>
      <c r="G194" s="9">
        <f t="shared" si="4"/>
        <v>4</v>
      </c>
      <c r="H194" s="9">
        <f>IF(AND('بنود العقد'!G194&lt;&gt;"",F194&lt;&gt;""), 'بنود العقد'!G194-F194, "")</f>
        <v>12000</v>
      </c>
      <c r="I194" s="21">
        <f t="shared" si="5"/>
        <v>75</v>
      </c>
    </row>
    <row r="195" spans="1:9" ht="24" customHeight="1">
      <c r="A195" s="12">
        <v>193</v>
      </c>
      <c r="B195" s="20" t="str">
        <f>IF('بنود العقد'!B195&lt;&gt;"", 'بنود العقد'!B195, "")</f>
        <v>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وجه يركب على الكاونتر )مرجع 3-LAV (</v>
      </c>
      <c r="C195" s="12" t="str">
        <f>IF('بنود العقد'!C195&lt;&gt;"", 'بنود العقد'!C195, "")</f>
        <v>صحي</v>
      </c>
      <c r="D195" s="9">
        <f>IF('بنود العقد'!F195&lt;&gt;"", 'بنود العقد'!F195, "")</f>
        <v>92</v>
      </c>
      <c r="E195" s="18">
        <f>IF(B195&lt;&gt;"", SUMPRODUCT(('بنود المطالبات'!C$3:C$1805=A195)*'بنود المطالبات'!I$3:I$1805), "")</f>
        <v>115</v>
      </c>
      <c r="F195" s="18">
        <f>IFERROR(IF(AND(E195&lt;&gt;"",'بنود العقد'!E195&lt;&gt;""), E195*'بنود العقد'!E195, 0), 0)</f>
        <v>255300</v>
      </c>
      <c r="G195" s="9">
        <f t="shared" ref="G195:G258" si="6">IF(AND(D195&lt;&gt;"",E195&lt;&gt;""), D195-E195, "")</f>
        <v>-23</v>
      </c>
      <c r="H195" s="9">
        <f>IF(AND('بنود العقد'!G195&lt;&gt;"",F195&lt;&gt;""), 'بنود العقد'!G195-F195, "")</f>
        <v>-51060</v>
      </c>
      <c r="I195" s="21">
        <f t="shared" ref="I195:I258" si="7">IFERROR(IF(AND(E195&lt;&gt;"",D195&lt;&gt;"",D195&gt;0), MIN(E195/D195*100, 100), 0), 0)</f>
        <v>100</v>
      </c>
    </row>
    <row r="196" spans="1:9" ht="24" customHeight="1">
      <c r="A196" s="12">
        <v>194</v>
      </c>
      <c r="B196" s="20" t="str">
        <f>IF('بنود العقد'!B196&lt;&gt;"", 'بنود العقد'!B196,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افرنجي )مرجع 1-WWC  ( مثبت على الارض  مع خزان  طرد  مع زر دفق من الصلب الذي لا يصدأ ، مع غطاء للمرحاض مقاوم للبكتريا من نوع soft closing</v>
      </c>
      <c r="C196" s="12" t="str">
        <f>IF('بنود العقد'!C196&lt;&gt;"", 'بنود العقد'!C196, "")</f>
        <v>صحي</v>
      </c>
      <c r="D196" s="9">
        <f>IF('بنود العقد'!F196&lt;&gt;"", 'بنود العقد'!F196, "")</f>
        <v>113</v>
      </c>
      <c r="E196" s="18">
        <f>IF(B196&lt;&gt;"", SUMPRODUCT(('بنود المطالبات'!C$3:C$1805=A196)*'بنود المطالبات'!I$3:I$1805), "")</f>
        <v>0</v>
      </c>
      <c r="F196" s="18">
        <f>IFERROR(IF(AND(E196&lt;&gt;"",'بنود العقد'!E196&lt;&gt;""), E196*'بنود العقد'!E196, 0), 0)</f>
        <v>0</v>
      </c>
      <c r="G196" s="9">
        <f t="shared" si="6"/>
        <v>113</v>
      </c>
      <c r="H196" s="9">
        <f>IF(AND('بنود العقد'!G196&lt;&gt;"",F196&lt;&gt;""), 'بنود العقد'!G196-F196, "")</f>
        <v>230520</v>
      </c>
      <c r="I196" s="21">
        <f t="shared" si="7"/>
        <v>0</v>
      </c>
    </row>
    <row r="197" spans="1:9" ht="24" customHeight="1">
      <c r="A197" s="12">
        <v>195</v>
      </c>
      <c r="B197" s="20" t="str">
        <f>IF('بنود العقد'!B197&lt;&gt;"", 'بنود العقد'!B197,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افرنجي ) مرجع 2-WWC (  مثبت على الحائط بخزان  طرد مخفي مع زر دفق من الصلب الذي لا يصدأ - مع غطاء للمرحاض مقاوم للبكتريا من نوع soft closing</v>
      </c>
      <c r="C197" s="12" t="str">
        <f>IF('بنود العقد'!C197&lt;&gt;"", 'بنود العقد'!C197, "")</f>
        <v>صحي</v>
      </c>
      <c r="D197" s="9">
        <f>IF('بنود العقد'!F197&lt;&gt;"", 'بنود العقد'!F197, "")</f>
        <v>55</v>
      </c>
      <c r="E197" s="18">
        <f>IF(B197&lt;&gt;"", SUMPRODUCT(('بنود المطالبات'!C$3:C$1805=A197)*'بنود المطالبات'!I$3:I$1805), "")</f>
        <v>54</v>
      </c>
      <c r="F197" s="18">
        <f>IFERROR(IF(AND(E197&lt;&gt;"",'بنود العقد'!E197&lt;&gt;""), E197*'بنود العقد'!E197, 0), 0)</f>
        <v>149040</v>
      </c>
      <c r="G197" s="9">
        <f t="shared" si="6"/>
        <v>1</v>
      </c>
      <c r="H197" s="9">
        <f>IF(AND('بنود العقد'!G197&lt;&gt;"",F197&lt;&gt;""), 'بنود العقد'!G197-F197, "")</f>
        <v>2760</v>
      </c>
      <c r="I197" s="21">
        <f t="shared" si="7"/>
        <v>98.181818181818187</v>
      </c>
    </row>
    <row r="198" spans="1:9" ht="24" customHeight="1">
      <c r="A198" s="12">
        <v>196</v>
      </c>
      <c r="B198" s="20" t="str">
        <f>IF('بنود العقد'!B198&lt;&gt;"", 'بنود العقد'!B198,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شرقي )مرجع EWC( مثبت على الحائط بخزان  طرد مخفي مع زر دفق من الصلب الذي لا يصدأ،</v>
      </c>
      <c r="C198" s="12" t="str">
        <f>IF('بنود العقد'!C198&lt;&gt;"", 'بنود العقد'!C198, "")</f>
        <v>صحي</v>
      </c>
      <c r="D198" s="9">
        <f>IF('بنود العقد'!F198&lt;&gt;"", 'بنود العقد'!F198, "")</f>
        <v>23</v>
      </c>
      <c r="E198" s="18">
        <f>IF(B198&lt;&gt;"", SUMPRODUCT(('بنود المطالبات'!C$3:C$1805=A198)*'بنود المطالبات'!I$3:I$1805), "")</f>
        <v>28</v>
      </c>
      <c r="F198" s="18">
        <f>IFERROR(IF(AND(E198&lt;&gt;"",'بنود العقد'!E198&lt;&gt;""), E198*'بنود العقد'!E198, 0), 0)</f>
        <v>60480</v>
      </c>
      <c r="G198" s="9">
        <f t="shared" si="6"/>
        <v>-5</v>
      </c>
      <c r="H198" s="9">
        <f>IF(AND('بنود العقد'!G198&lt;&gt;"",F198&lt;&gt;""), 'بنود العقد'!G198-F198, "")</f>
        <v>-10800</v>
      </c>
      <c r="I198" s="21">
        <f t="shared" si="7"/>
        <v>100</v>
      </c>
    </row>
    <row r="199" spans="1:9" ht="24" customHeight="1">
      <c r="A199" s="12">
        <v>197</v>
      </c>
      <c r="B199" s="20" t="str">
        <f>IF('بنود العقد'!B199&lt;&gt;"", 'بنود العقد'!B199,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:مقبض رشاش مع الخرطوم وأداة التعليق، مرجع PS</v>
      </c>
      <c r="C199" s="12" t="str">
        <f>IF('بنود العقد'!C199&lt;&gt;"", 'بنود العقد'!C199, "")</f>
        <v>صحي</v>
      </c>
      <c r="D199" s="9">
        <f>IF('بنود العقد'!F199&lt;&gt;"", 'بنود العقد'!F199, "")</f>
        <v>191</v>
      </c>
      <c r="E199" s="18">
        <f>IF(B199&lt;&gt;"", SUMPRODUCT(('بنود المطالبات'!C$3:C$1805=A199)*'بنود المطالبات'!I$3:I$1805), "")</f>
        <v>183</v>
      </c>
      <c r="F199" s="18">
        <f>IFERROR(IF(AND(E199&lt;&gt;"",'بنود العقد'!E199&lt;&gt;""), E199*'بنود العقد'!E199, 0), 0)</f>
        <v>32940</v>
      </c>
      <c r="G199" s="9">
        <f t="shared" si="6"/>
        <v>8</v>
      </c>
      <c r="H199" s="9">
        <f>IF(AND('بنود العقد'!G199&lt;&gt;"",F199&lt;&gt;""), 'بنود العقد'!G199-F199, "")</f>
        <v>1440</v>
      </c>
      <c r="I199" s="21">
        <f t="shared" si="7"/>
        <v>95.81151832460732</v>
      </c>
    </row>
    <row r="200" spans="1:9" ht="24" customHeight="1">
      <c r="A200" s="12">
        <v>198</v>
      </c>
      <c r="B200" s="20" t="str">
        <f>IF('بنود العقد'!B200&lt;&gt;"", 'بنود العقد'!B200,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:خلاط مياة  يركب على الحوض</v>
      </c>
      <c r="C200" s="12" t="str">
        <f>IF('بنود العقد'!C200&lt;&gt;"", 'بنود العقد'!C200, "")</f>
        <v>صحي</v>
      </c>
      <c r="D200" s="9">
        <f>IF('بنود العقد'!F200&lt;&gt;"", 'بنود العقد'!F200, "")</f>
        <v>208</v>
      </c>
      <c r="E200" s="18">
        <f>IF(B200&lt;&gt;"", SUMPRODUCT(('بنود المطالبات'!C$3:C$1805=A200)*'بنود المطالبات'!I$3:I$1805), "")</f>
        <v>254</v>
      </c>
      <c r="F200" s="18">
        <f>IFERROR(IF(AND(E200&lt;&gt;"",'بنود العقد'!E200&lt;&gt;""), E200*'بنود العقد'!E200, 0), 0)</f>
        <v>274320</v>
      </c>
      <c r="G200" s="9">
        <f t="shared" si="6"/>
        <v>-46</v>
      </c>
      <c r="H200" s="9">
        <f>IF(AND('بنود العقد'!G200&lt;&gt;"",F200&lt;&gt;""), 'بنود العقد'!G200-F200, "")</f>
        <v>-49680</v>
      </c>
      <c r="I200" s="21">
        <f t="shared" si="7"/>
        <v>100</v>
      </c>
    </row>
    <row r="201" spans="1:9" ht="24" customHeight="1">
      <c r="A201" s="12">
        <v>199</v>
      </c>
      <c r="B201" s="20" t="str">
        <f>IF('بنود العقد'!B201&lt;&gt;"", 'بنود العقد'!B201,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C201" s="12" t="str">
        <f>IF('بنود العقد'!C201&lt;&gt;"", 'بنود العقد'!C201, "")</f>
        <v>ميكانيكا</v>
      </c>
      <c r="D201" s="9">
        <f>IF('بنود العقد'!F201&lt;&gt;"", 'بنود العقد'!F201, "")</f>
        <v>3900</v>
      </c>
      <c r="E201" s="18">
        <f>IF(B201&lt;&gt;"", SUMPRODUCT(('بنود المطالبات'!C$3:C$1805=A201)*'بنود المطالبات'!I$3:I$1805), "")</f>
        <v>8817.2800000000007</v>
      </c>
      <c r="F201" s="18">
        <f>IFERROR(IF(AND(E201&lt;&gt;"",'بنود العقد'!E201&lt;&gt;""), E201*'بنود العقد'!E201, 0), 0)</f>
        <v>952266.24000000011</v>
      </c>
      <c r="G201" s="9">
        <f t="shared" si="6"/>
        <v>-4917.2800000000007</v>
      </c>
      <c r="H201" s="9">
        <f>IF(AND('بنود العقد'!G201&lt;&gt;"",F201&lt;&gt;""), 'بنود العقد'!G201-F201, "")</f>
        <v>-531066.24000000011</v>
      </c>
      <c r="I201" s="21">
        <f t="shared" si="7"/>
        <v>100</v>
      </c>
    </row>
    <row r="202" spans="1:9" ht="24" customHeight="1">
      <c r="A202" s="12">
        <v>200</v>
      </c>
      <c r="B202" s="20" t="str">
        <f>IF('بنود العقد'!B202&lt;&gt;"", 'بنود العقد'!B202,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28</v>
      </c>
      <c r="C202" s="12" t="str">
        <f>IF('بنود العقد'!C202&lt;&gt;"", 'بنود العقد'!C202, "")</f>
        <v>ميكانيكا</v>
      </c>
      <c r="D202" s="9">
        <f>IF('بنود العقد'!F202&lt;&gt;"", 'بنود العقد'!F202, "")</f>
        <v>323</v>
      </c>
      <c r="E202" s="18">
        <f>IF(B202&lt;&gt;"", SUMPRODUCT(('بنود المطالبات'!C$3:C$1805=A202)*'بنود المطالبات'!I$3:I$1805), "")</f>
        <v>714.32</v>
      </c>
      <c r="F202" s="18">
        <f>IFERROR(IF(AND(E202&lt;&gt;"",'بنود العقد'!E202&lt;&gt;""), E202*'بنود العقد'!E202, 0), 0)</f>
        <v>98576.16</v>
      </c>
      <c r="G202" s="9">
        <f t="shared" si="6"/>
        <v>-391.32000000000005</v>
      </c>
      <c r="H202" s="9">
        <f>IF(AND('بنود العقد'!G202&lt;&gt;"",F202&lt;&gt;""), 'بنود العقد'!G202-F202, "")</f>
        <v>-54002.16</v>
      </c>
      <c r="I202" s="21">
        <f t="shared" si="7"/>
        <v>100</v>
      </c>
    </row>
    <row r="203" spans="1:9" ht="24" customHeight="1">
      <c r="A203" s="12">
        <v>201</v>
      </c>
      <c r="B203" s="20" t="str">
        <f>IF('بنود العقد'!B203&lt;&gt;"", 'بنود العقد'!B203,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33</v>
      </c>
      <c r="C203" s="12" t="str">
        <f>IF('بنود العقد'!C203&lt;&gt;"", 'بنود العقد'!C203, "")</f>
        <v>ميكانيكا</v>
      </c>
      <c r="D203" s="9">
        <f>IF('بنود العقد'!F203&lt;&gt;"", 'بنود العقد'!F203, "")</f>
        <v>660</v>
      </c>
      <c r="E203" s="18">
        <f>IF(B203&lt;&gt;"", SUMPRODUCT(('بنود المطالبات'!C$3:C$1805=A203)*'بنود المطالبات'!I$3:I$1805), "")</f>
        <v>1656.42</v>
      </c>
      <c r="F203" s="18">
        <f>IFERROR(IF(AND(E203&lt;&gt;"",'بنود العقد'!E203&lt;&gt;""), E203*'بنود العقد'!E203, 0), 0)</f>
        <v>318032.64000000001</v>
      </c>
      <c r="G203" s="9">
        <f t="shared" si="6"/>
        <v>-996.42000000000007</v>
      </c>
      <c r="H203" s="9">
        <f>IF(AND('بنود العقد'!G203&lt;&gt;"",F203&lt;&gt;""), 'بنود العقد'!G203-F203, "")</f>
        <v>-191312.64000000001</v>
      </c>
      <c r="I203" s="21">
        <f t="shared" si="7"/>
        <v>100</v>
      </c>
    </row>
    <row r="204" spans="1:9" ht="24" customHeight="1">
      <c r="A204" s="12">
        <v>202</v>
      </c>
      <c r="B204" s="20" t="str">
        <f>IF('بنود العقد'!B204&lt;&gt;"", 'بنود العقد'!B204,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40</v>
      </c>
      <c r="C204" s="12" t="str">
        <f>IF('بنود العقد'!C204&lt;&gt;"", 'بنود العقد'!C204, "")</f>
        <v>ميكانيكا</v>
      </c>
      <c r="D204" s="9">
        <f>IF('بنود العقد'!F204&lt;&gt;"", 'بنود العقد'!F204, "")</f>
        <v>600</v>
      </c>
      <c r="E204" s="18">
        <f>IF(B204&lt;&gt;"", SUMPRODUCT(('بنود المطالبات'!C$3:C$1805=A204)*'بنود المطالبات'!I$3:I$1805), "")</f>
        <v>985.49</v>
      </c>
      <c r="F204" s="18">
        <f>IFERROR(IF(AND(E204&lt;&gt;"",'بنود العقد'!E204&lt;&gt;""), E204*'بنود العقد'!E204, 0), 0)</f>
        <v>218778.78</v>
      </c>
      <c r="G204" s="9">
        <f t="shared" si="6"/>
        <v>-385.49</v>
      </c>
      <c r="H204" s="9">
        <f>IF(AND('بنود العقد'!G204&lt;&gt;"",F204&lt;&gt;""), 'بنود العقد'!G204-F204, "")</f>
        <v>-85578.78</v>
      </c>
      <c r="I204" s="21">
        <f t="shared" si="7"/>
        <v>100</v>
      </c>
    </row>
    <row r="205" spans="1:9" ht="24" customHeight="1">
      <c r="A205" s="12">
        <v>203</v>
      </c>
      <c r="B205" s="20" t="str">
        <f>IF('بنود العقد'!B205&lt;&gt;"", 'بنود العقد'!B205,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63</v>
      </c>
      <c r="C205" s="12" t="str">
        <f>IF('بنود العقد'!C205&lt;&gt;"", 'بنود العقد'!C205, "")</f>
        <v>ميكانيكا</v>
      </c>
      <c r="D205" s="9">
        <f>IF('بنود العقد'!F205&lt;&gt;"", 'بنود العقد'!F205, "")</f>
        <v>646</v>
      </c>
      <c r="E205" s="18">
        <f>IF(B205&lt;&gt;"", SUMPRODUCT(('بنود المطالبات'!C$3:C$1805=A205)*'بنود المطالبات'!I$3:I$1805), "")</f>
        <v>1506.17</v>
      </c>
      <c r="F205" s="18">
        <f>IFERROR(IF(AND(E205&lt;&gt;"",'بنود العقد'!E205&lt;&gt;""), E205*'بنود العقد'!E205, 0), 0)</f>
        <v>361480.80000000005</v>
      </c>
      <c r="G205" s="9">
        <f t="shared" si="6"/>
        <v>-860.17000000000007</v>
      </c>
      <c r="H205" s="9">
        <f>IF(AND('بنود العقد'!G205&lt;&gt;"",F205&lt;&gt;""), 'بنود العقد'!G205-F205, "")</f>
        <v>-206440.80000000005</v>
      </c>
      <c r="I205" s="21">
        <f t="shared" si="7"/>
        <v>100</v>
      </c>
    </row>
    <row r="206" spans="1:9" ht="24" customHeight="1">
      <c r="A206" s="12">
        <v>204</v>
      </c>
      <c r="B206" s="20" t="str">
        <f>IF('بنود العقد'!B206&lt;&gt;"", 'بنود العقد'!B206,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77</v>
      </c>
      <c r="C206" s="12" t="str">
        <f>IF('بنود العقد'!C206&lt;&gt;"", 'بنود العقد'!C206, "")</f>
        <v>ميكانيكا</v>
      </c>
      <c r="D206" s="9">
        <f>IF('بنود العقد'!F206&lt;&gt;"", 'بنود العقد'!F206, "")</f>
        <v>110</v>
      </c>
      <c r="E206" s="18">
        <f>IF(B206&lt;&gt;"", SUMPRODUCT(('بنود المطالبات'!C$3:C$1805=A206)*'بنود المطالبات'!I$3:I$1805), "")</f>
        <v>475.33</v>
      </c>
      <c r="F206" s="18">
        <f>IFERROR(IF(AND(E206&lt;&gt;"",'بنود العقد'!E206&lt;&gt;""), E206*'بنود العقد'!E206, 0), 0)</f>
        <v>136895.04000000001</v>
      </c>
      <c r="G206" s="9">
        <f t="shared" si="6"/>
        <v>-365.33</v>
      </c>
      <c r="H206" s="9">
        <f>IF(AND('بنود العقد'!G206&lt;&gt;"",F206&lt;&gt;""), 'بنود العقد'!G206-F206, "")</f>
        <v>-105215.04000000001</v>
      </c>
      <c r="I206" s="21">
        <f t="shared" si="7"/>
        <v>100</v>
      </c>
    </row>
    <row r="207" spans="1:9" ht="24" customHeight="1">
      <c r="A207" s="12">
        <v>205</v>
      </c>
      <c r="B207" s="20" t="str">
        <f>IF('بنود العقد'!B207&lt;&gt;"", 'بنود العقد'!B207,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94</v>
      </c>
      <c r="C207" s="12" t="str">
        <f>IF('بنود العقد'!C207&lt;&gt;"", 'بنود العقد'!C207, "")</f>
        <v>ميكانيكا</v>
      </c>
      <c r="D207" s="9">
        <f>IF('بنود العقد'!F207&lt;&gt;"", 'بنود العقد'!F207, "")</f>
        <v>314</v>
      </c>
      <c r="E207" s="18">
        <f>IF(B207&lt;&gt;"", SUMPRODUCT(('بنود المطالبات'!C$3:C$1805=A207)*'بنود المطالبات'!I$3:I$1805), "")</f>
        <v>434.35</v>
      </c>
      <c r="F207" s="18">
        <f>IFERROR(IF(AND(E207&lt;&gt;"",'بنود العقد'!E207&lt;&gt;""), E207*'بنود العقد'!E207, 0), 0)</f>
        <v>140729.4</v>
      </c>
      <c r="G207" s="9">
        <f t="shared" si="6"/>
        <v>-120.35000000000002</v>
      </c>
      <c r="H207" s="9">
        <f>IF(AND('بنود العقد'!G207&lt;&gt;"",F207&lt;&gt;""), 'بنود العقد'!G207-F207, "")</f>
        <v>-38993.399999999994</v>
      </c>
      <c r="I207" s="21">
        <f t="shared" si="7"/>
        <v>100</v>
      </c>
    </row>
    <row r="208" spans="1:9" ht="24" customHeight="1">
      <c r="A208" s="12">
        <v>206</v>
      </c>
      <c r="B208" s="20" t="str">
        <f>IF('بنود العقد'!B208&lt;&gt;"", 'بنود العقد'!B208,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141</v>
      </c>
      <c r="C208" s="12" t="str">
        <f>IF('بنود العقد'!C208&lt;&gt;"", 'بنود العقد'!C208, "")</f>
        <v>ميكانيكا</v>
      </c>
      <c r="D208" s="9">
        <f>IF('بنود العقد'!F208&lt;&gt;"", 'بنود العقد'!F208, "")</f>
        <v>200</v>
      </c>
      <c r="E208" s="18">
        <f>IF(B208&lt;&gt;"", SUMPRODUCT(('بنود المطالبات'!C$3:C$1805=A208)*'بنود المطالبات'!I$3:I$1805), "")</f>
        <v>672.92</v>
      </c>
      <c r="F208" s="18">
        <f>IFERROR(IF(AND(E208&lt;&gt;"",'بنود العقد'!E208&lt;&gt;""), E208*'بنود العقد'!E208, 0), 0)</f>
        <v>242251.19999999998</v>
      </c>
      <c r="G208" s="9">
        <f t="shared" si="6"/>
        <v>-472.91999999999996</v>
      </c>
      <c r="H208" s="9">
        <f>IF(AND('بنود العقد'!G208&lt;&gt;"",F208&lt;&gt;""), 'بنود العقد'!G208-F208, "")</f>
        <v>-170251.19999999998</v>
      </c>
      <c r="I208" s="21">
        <f t="shared" si="7"/>
        <v>100</v>
      </c>
    </row>
    <row r="209" spans="1:9" ht="24" customHeight="1">
      <c r="A209" s="12">
        <v>207</v>
      </c>
      <c r="B209" s="20" t="str">
        <f>IF('بنود العقد'!B209&lt;&gt;"", 'بنود العقد'!B209,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C209" s="12" t="str">
        <f>IF('بنود العقد'!C209&lt;&gt;"", 'بنود العقد'!C209, "")</f>
        <v>ميكانيكا</v>
      </c>
      <c r="D209" s="9">
        <f>IF('بنود العقد'!F209&lt;&gt;"", 'بنود العقد'!F209, "")</f>
        <v>1938</v>
      </c>
      <c r="E209" s="18">
        <f>IF(B209&lt;&gt;"", SUMPRODUCT(('بنود المطالبات'!C$3:C$1805=A209)*'بنود المطالبات'!I$3:I$1805), "")</f>
        <v>0</v>
      </c>
      <c r="F209" s="18">
        <f>IFERROR(IF(AND(E209&lt;&gt;"",'بنود العقد'!E209&lt;&gt;""), E209*'بنود العقد'!E209, 0), 0)</f>
        <v>0</v>
      </c>
      <c r="G209" s="9">
        <f t="shared" si="6"/>
        <v>1938</v>
      </c>
      <c r="H209" s="9">
        <f>IF(AND('بنود العقد'!G209&lt;&gt;"",F209&lt;&gt;""), 'بنود العقد'!G209-F209, "")</f>
        <v>209304</v>
      </c>
      <c r="I209" s="21">
        <f t="shared" si="7"/>
        <v>0</v>
      </c>
    </row>
    <row r="210" spans="1:9" ht="24" customHeight="1">
      <c r="A210" s="12">
        <v>208</v>
      </c>
      <c r="B210" s="20" t="str">
        <f>IF('بنود العقد'!B210&lt;&gt;"", 'بنود العقد'!B210,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32 mm dia.</v>
      </c>
      <c r="C210" s="12" t="str">
        <f>IF('بنود العقد'!C210&lt;&gt;"", 'بنود العقد'!C210, "")</f>
        <v>ميكانيكا</v>
      </c>
      <c r="D210" s="9">
        <f>IF('بنود العقد'!F210&lt;&gt;"", 'بنود العقد'!F210, "")</f>
        <v>100</v>
      </c>
      <c r="E210" s="18">
        <f>IF(B210&lt;&gt;"", SUMPRODUCT(('بنود المطالبات'!C$3:C$1805=A210)*'بنود المطالبات'!I$3:I$1805), "")</f>
        <v>0</v>
      </c>
      <c r="F210" s="18">
        <f>IFERROR(IF(AND(E210&lt;&gt;"",'بنود العقد'!E210&lt;&gt;""), E210*'بنود العقد'!E210, 0), 0)</f>
        <v>0</v>
      </c>
      <c r="G210" s="9">
        <f t="shared" si="6"/>
        <v>100</v>
      </c>
      <c r="H210" s="9">
        <f>IF(AND('بنود العقد'!G210&lt;&gt;"",F210&lt;&gt;""), 'بنود العقد'!G210-F210, "")</f>
        <v>13800</v>
      </c>
      <c r="I210" s="21">
        <f t="shared" si="7"/>
        <v>0</v>
      </c>
    </row>
    <row r="211" spans="1:9" ht="24" customHeight="1">
      <c r="A211" s="12">
        <v>209</v>
      </c>
      <c r="B211" s="20" t="str">
        <f>IF('بنود العقد'!B211&lt;&gt;"", 'بنود العقد'!B211,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40 mm dia.</v>
      </c>
      <c r="C211" s="12" t="str">
        <f>IF('بنود العقد'!C211&lt;&gt;"", 'بنود العقد'!C211, "")</f>
        <v>ميكانيكا</v>
      </c>
      <c r="D211" s="9">
        <f>IF('بنود العقد'!F211&lt;&gt;"", 'بنود العقد'!F211, "")</f>
        <v>397</v>
      </c>
      <c r="E211" s="18">
        <f>IF(B211&lt;&gt;"", SUMPRODUCT(('بنود المطالبات'!C$3:C$1805=A211)*'بنود المطالبات'!I$3:I$1805), "")</f>
        <v>0</v>
      </c>
      <c r="F211" s="18">
        <f>IFERROR(IF(AND(E211&lt;&gt;"",'بنود العقد'!E211&lt;&gt;""), E211*'بنود العقد'!E211, 0), 0)</f>
        <v>0</v>
      </c>
      <c r="G211" s="9">
        <f t="shared" si="6"/>
        <v>397</v>
      </c>
      <c r="H211" s="9">
        <f>IF(AND('بنود العقد'!G211&lt;&gt;"",F211&lt;&gt;""), 'بنود العقد'!G211-F211, "")</f>
        <v>76224</v>
      </c>
      <c r="I211" s="21">
        <f t="shared" si="7"/>
        <v>0</v>
      </c>
    </row>
    <row r="212" spans="1:9" ht="24" customHeight="1">
      <c r="A212" s="12">
        <v>210</v>
      </c>
      <c r="B212" s="20" t="str">
        <f>IF('بنود العقد'!B212&lt;&gt;"", 'بنود العقد'!B212,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50 mm dia.</v>
      </c>
      <c r="C212" s="12" t="str">
        <f>IF('بنود العقد'!C212&lt;&gt;"", 'بنود العقد'!C212, "")</f>
        <v>ميكانيكا</v>
      </c>
      <c r="D212" s="9">
        <f>IF('بنود العقد'!F212&lt;&gt;"", 'بنود العقد'!F212, "")</f>
        <v>111</v>
      </c>
      <c r="E212" s="18">
        <f>IF(B212&lt;&gt;"", SUMPRODUCT(('بنود المطالبات'!C$3:C$1805=A212)*'بنود المطالبات'!I$3:I$1805), "")</f>
        <v>0</v>
      </c>
      <c r="F212" s="18">
        <f>IFERROR(IF(AND(E212&lt;&gt;"",'بنود العقد'!E212&lt;&gt;""), E212*'بنود العقد'!E212, 0), 0)</f>
        <v>0</v>
      </c>
      <c r="G212" s="9">
        <f t="shared" si="6"/>
        <v>111</v>
      </c>
      <c r="H212" s="9">
        <f>IF(AND('بنود العقد'!G212&lt;&gt;"",F212&lt;&gt;""), 'بنود العقد'!G212-F212, "")</f>
        <v>24642</v>
      </c>
      <c r="I212" s="21">
        <f t="shared" si="7"/>
        <v>0</v>
      </c>
    </row>
    <row r="213" spans="1:9" ht="24" customHeight="1">
      <c r="A213" s="12">
        <v>211</v>
      </c>
      <c r="B213" s="20" t="str">
        <f>IF('بنود العقد'!B213&lt;&gt;"", 'بنود العقد'!B213,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63 mm dia.</v>
      </c>
      <c r="C213" s="12" t="str">
        <f>IF('بنود العقد'!C213&lt;&gt;"", 'بنود العقد'!C213, "")</f>
        <v>ميكانيكا</v>
      </c>
      <c r="D213" s="9">
        <f>IF('بنود العقد'!F213&lt;&gt;"", 'بنود العقد'!F213, "")</f>
        <v>100</v>
      </c>
      <c r="E213" s="18">
        <f>IF(B213&lt;&gt;"", SUMPRODUCT(('بنود المطالبات'!C$3:C$1805=A213)*'بنود المطالبات'!I$3:I$1805), "")</f>
        <v>0</v>
      </c>
      <c r="F213" s="18">
        <f>IFERROR(IF(AND(E213&lt;&gt;"",'بنود العقد'!E213&lt;&gt;""), E213*'بنود العقد'!E213, 0), 0)</f>
        <v>0</v>
      </c>
      <c r="G213" s="9">
        <f t="shared" si="6"/>
        <v>100</v>
      </c>
      <c r="H213" s="9">
        <f>IF(AND('بنود العقد'!G213&lt;&gt;"",F213&lt;&gt;""), 'بنود العقد'!G213-F213, "")</f>
        <v>24000</v>
      </c>
      <c r="I213" s="21">
        <f t="shared" si="7"/>
        <v>0</v>
      </c>
    </row>
    <row r="214" spans="1:9" ht="24" customHeight="1">
      <c r="A214" s="12">
        <v>212</v>
      </c>
      <c r="B214" s="20" t="str">
        <f>IF('بنود العقد'!B214&lt;&gt;"", 'بنود العقد'!B214,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80 mm dia.</v>
      </c>
      <c r="C214" s="12" t="str">
        <f>IF('بنود العقد'!C214&lt;&gt;"", 'بنود العقد'!C214, "")</f>
        <v>ميكانيكا</v>
      </c>
      <c r="D214" s="9">
        <f>IF('بنود العقد'!F214&lt;&gt;"", 'بنود العقد'!F214, "")</f>
        <v>50</v>
      </c>
      <c r="E214" s="18">
        <f>IF(B214&lt;&gt;"", SUMPRODUCT(('بنود المطالبات'!C$3:C$1805=A214)*'بنود المطالبات'!I$3:I$1805), "")</f>
        <v>0</v>
      </c>
      <c r="F214" s="18">
        <f>IFERROR(IF(AND(E214&lt;&gt;"",'بنود العقد'!E214&lt;&gt;""), E214*'بنود العقد'!E214, 0), 0)</f>
        <v>0</v>
      </c>
      <c r="G214" s="9">
        <f t="shared" si="6"/>
        <v>50</v>
      </c>
      <c r="H214" s="9">
        <f>IF(AND('بنود العقد'!G214&lt;&gt;"",F214&lt;&gt;""), 'بنود العقد'!G214-F214, "")</f>
        <v>14400</v>
      </c>
      <c r="I214" s="21">
        <f t="shared" si="7"/>
        <v>0</v>
      </c>
    </row>
    <row r="215" spans="1:9" ht="24" customHeight="1">
      <c r="A215" s="12">
        <v>213</v>
      </c>
      <c r="B215" s="20" t="str">
        <f>IF('بنود العقد'!B215&lt;&gt;"", 'بنود العقد'!B215,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100 mm dia.</v>
      </c>
      <c r="C215" s="12" t="str">
        <f>IF('بنود العقد'!C215&lt;&gt;"", 'بنود العقد'!C215, "")</f>
        <v>ميكانيكا</v>
      </c>
      <c r="D215" s="9">
        <f>IF('بنود العقد'!F215&lt;&gt;"", 'بنود العقد'!F215, "")</f>
        <v>40</v>
      </c>
      <c r="E215" s="18">
        <f>IF(B215&lt;&gt;"", SUMPRODUCT(('بنود المطالبات'!C$3:C$1805=A215)*'بنود المطالبات'!I$3:I$1805), "")</f>
        <v>0</v>
      </c>
      <c r="F215" s="18">
        <f>IFERROR(IF(AND(E215&lt;&gt;"",'بنود العقد'!E215&lt;&gt;""), E215*'بنود العقد'!E215, 0), 0)</f>
        <v>0</v>
      </c>
      <c r="G215" s="9">
        <f t="shared" si="6"/>
        <v>40</v>
      </c>
      <c r="H215" s="9">
        <f>IF(AND('بنود العقد'!G215&lt;&gt;"",F215&lt;&gt;""), 'بنود العقد'!G215-F215, "")</f>
        <v>12960</v>
      </c>
      <c r="I215" s="21">
        <f t="shared" si="7"/>
        <v>0</v>
      </c>
    </row>
    <row r="216" spans="1:9" ht="24" customHeight="1">
      <c r="A216" s="12">
        <v>214</v>
      </c>
      <c r="B216" s="20" t="str">
        <f>IF('بنود العقد'!B216&lt;&gt;"", 'بنود العقد'!B216, "")</f>
        <v>توريد و تركيب و اختبار رشاشات آلية اوتوماتيكية كما هو موصف رشاشات معلقة، ذات فتحة 2/1 بوصة، ومعامل 5.6 =K   ودرجة حرارة تشغيل 68 درجة مئوية</v>
      </c>
      <c r="C216" s="12" t="str">
        <f>IF('بنود العقد'!C216&lt;&gt;"", 'بنود العقد'!C216, "")</f>
        <v>ميكانيكا</v>
      </c>
      <c r="D216" s="9">
        <f>IF('بنود العقد'!F216&lt;&gt;"", 'بنود العقد'!F216, "")</f>
        <v>1048</v>
      </c>
      <c r="E216" s="18">
        <f>IF(B216&lt;&gt;"", SUMPRODUCT(('بنود المطالبات'!C$3:C$1805=A216)*'بنود المطالبات'!I$3:I$1805), "")</f>
        <v>0</v>
      </c>
      <c r="F216" s="18">
        <f>IFERROR(IF(AND(E216&lt;&gt;"",'بنود العقد'!E216&lt;&gt;""), E216*'بنود العقد'!E216, 0), 0)</f>
        <v>0</v>
      </c>
      <c r="G216" s="9">
        <f t="shared" si="6"/>
        <v>1048</v>
      </c>
      <c r="H216" s="9">
        <f>IF(AND('بنود العقد'!G216&lt;&gt;"",F216&lt;&gt;""), 'بنود العقد'!G216-F216, "")</f>
        <v>69168</v>
      </c>
      <c r="I216" s="21">
        <f t="shared" si="7"/>
        <v>0</v>
      </c>
    </row>
    <row r="217" spans="1:9" ht="24" customHeight="1">
      <c r="A217" s="12">
        <v>215</v>
      </c>
      <c r="B217" s="20" t="str">
        <f>IF('بنود العقد'!B217&lt;&gt;"", 'بنود العقد'!B217, "")</f>
        <v>توريد و تركيب و اختبار رشاشات آلية اوتوماتيكية كما هو موصف رشاشات من النوع المخفي، ذات فتحة 2/1 بوصة، ومعامل 5.6 =K   ودرجة حرارة تشغيل 68 درجة مئوية</v>
      </c>
      <c r="C217" s="12" t="str">
        <f>IF('بنود العقد'!C217&lt;&gt;"", 'بنود العقد'!C217, "")</f>
        <v>ميكانيكا</v>
      </c>
      <c r="D217" s="9">
        <f>IF('بنود العقد'!F217&lt;&gt;"", 'بنود العقد'!F217, "")</f>
        <v>1000</v>
      </c>
      <c r="E217" s="18">
        <f>IF(B217&lt;&gt;"", SUMPRODUCT(('بنود المطالبات'!C$3:C$1805=A217)*'بنود المطالبات'!I$3:I$1805), "")</f>
        <v>2161</v>
      </c>
      <c r="F217" s="18">
        <f>IFERROR(IF(AND(E217&lt;&gt;"",'بنود العقد'!E217&lt;&gt;""), E217*'بنود العقد'!E217, 0), 0)</f>
        <v>194490</v>
      </c>
      <c r="G217" s="9">
        <f t="shared" si="6"/>
        <v>-1161</v>
      </c>
      <c r="H217" s="9">
        <f>IF(AND('بنود العقد'!G217&lt;&gt;"",F217&lt;&gt;""), 'بنود العقد'!G217-F217, "")</f>
        <v>-104490</v>
      </c>
      <c r="I217" s="21">
        <f t="shared" si="7"/>
        <v>100</v>
      </c>
    </row>
    <row r="218" spans="1:9" ht="24" customHeight="1">
      <c r="A218" s="12">
        <v>216</v>
      </c>
      <c r="B218" s="20" t="str">
        <f>IF('بنود العقد'!B218&lt;&gt;"", 'بنود العقد'!B218, "")</f>
        <v>توريد و تركيب و اختبار رشاشات آلية اوتوماتيكية كما هو موصف رشاشات عامودية، ذات فتحة 2/1 بوصة، ومعامل 5.6 =K   ودرجة حرارة تشغيل 68 درجة مئوية</v>
      </c>
      <c r="C218" s="12" t="str">
        <f>IF('بنود العقد'!C218&lt;&gt;"", 'بنود العقد'!C218, "")</f>
        <v>ميكانيكا</v>
      </c>
      <c r="D218" s="9">
        <f>IF('بنود العقد'!F218&lt;&gt;"", 'بنود العقد'!F218, "")</f>
        <v>508</v>
      </c>
      <c r="E218" s="18">
        <f>IF(B218&lt;&gt;"", SUMPRODUCT(('بنود المطالبات'!C$3:C$1805=A218)*'بنود المطالبات'!I$3:I$1805), "")</f>
        <v>695</v>
      </c>
      <c r="F218" s="18">
        <f>IFERROR(IF(AND(E218&lt;&gt;"",'بنود العقد'!E218&lt;&gt;""), E218*'بنود العقد'!E218, 0), 0)</f>
        <v>62550</v>
      </c>
      <c r="G218" s="9">
        <f t="shared" si="6"/>
        <v>-187</v>
      </c>
      <c r="H218" s="9">
        <f>IF(AND('بنود العقد'!G218&lt;&gt;"",F218&lt;&gt;""), 'بنود العقد'!G218-F218, "")</f>
        <v>-16830</v>
      </c>
      <c r="I218" s="21">
        <f t="shared" si="7"/>
        <v>100</v>
      </c>
    </row>
    <row r="219" spans="1:9" ht="24" customHeight="1">
      <c r="A219" s="12">
        <v>217</v>
      </c>
      <c r="B219" s="20" t="str">
        <f>IF('بنود العقد'!B219&lt;&gt;"", 'بنود العقد'!B219, "")</f>
        <v>توريد و تركيب طفايات حريق قابلة للحمل كما هو محددنوع ABC ، سعة 6 كغ ، بودرة جافّة مرجع 1-FE</v>
      </c>
      <c r="C219" s="12" t="str">
        <f>IF('بنود العقد'!C219&lt;&gt;"", 'بنود العقد'!C219, "")</f>
        <v>ميكانيكا</v>
      </c>
      <c r="D219" s="9">
        <f>IF('بنود العقد'!F219&lt;&gt;"", 'بنود العقد'!F219, "")</f>
        <v>48</v>
      </c>
      <c r="E219" s="18">
        <f>IF(B219&lt;&gt;"", SUMPRODUCT(('بنود المطالبات'!C$3:C$1805=A219)*'بنود المطالبات'!I$3:I$1805), "")</f>
        <v>48</v>
      </c>
      <c r="F219" s="18">
        <f>IFERROR(IF(AND(E219&lt;&gt;"",'بنود العقد'!E219&lt;&gt;""), E219*'بنود العقد'!E219, 0), 0)</f>
        <v>8640</v>
      </c>
      <c r="G219" s="9">
        <f t="shared" si="6"/>
        <v>0</v>
      </c>
      <c r="H219" s="9">
        <f>IF(AND('بنود العقد'!G219&lt;&gt;"",F219&lt;&gt;""), 'بنود العقد'!G219-F219, "")</f>
        <v>0</v>
      </c>
      <c r="I219" s="21">
        <f t="shared" si="7"/>
        <v>100</v>
      </c>
    </row>
    <row r="220" spans="1:9" ht="24" customHeight="1">
      <c r="A220" s="12">
        <v>218</v>
      </c>
      <c r="B220" s="20" t="str">
        <f>IF('بنود العقد'!B220&lt;&gt;"", 'بنود العقد'!B220, "")</f>
        <v>توريد و تركيب نظام  غازي200FM لغرف الكهرباء و السنترال و ما يتطلبه النظام من تعديلاتمعمارية على ان يتم تقديمها للاعتماد من قبل مهندس المشرف  ،  مرجع 3-FE</v>
      </c>
      <c r="C220" s="12" t="str">
        <f>IF('بنود العقد'!C220&lt;&gt;"", 'بنود العقد'!C220, "")</f>
        <v>ميكانيكا</v>
      </c>
      <c r="D220" s="9">
        <f>IF('بنود العقد'!F220&lt;&gt;"", 'بنود العقد'!F220, "")</f>
        <v>36</v>
      </c>
      <c r="E220" s="18">
        <f>IF(B220&lt;&gt;"", SUMPRODUCT(('بنود المطالبات'!C$3:C$1805=A220)*'بنود المطالبات'!I$3:I$1805), "")</f>
        <v>13.5</v>
      </c>
      <c r="F220" s="18">
        <f>IFERROR(IF(AND(E220&lt;&gt;"",'بنود العقد'!E220&lt;&gt;""), E220*'بنود العقد'!E220, 0), 0)</f>
        <v>729000</v>
      </c>
      <c r="G220" s="9">
        <f t="shared" si="6"/>
        <v>22.5</v>
      </c>
      <c r="H220" s="9">
        <f>IF(AND('بنود العقد'!G220&lt;&gt;"",F220&lt;&gt;""), 'بنود العقد'!G220-F220, "")</f>
        <v>1215000</v>
      </c>
      <c r="I220" s="21">
        <f t="shared" si="7"/>
        <v>37.5</v>
      </c>
    </row>
    <row r="221" spans="1:9" ht="24" customHeight="1">
      <c r="A221" s="12">
        <v>219</v>
      </c>
      <c r="B221" s="20" t="str">
        <f>IF('بنود العقد'!B221&lt;&gt;"", 'بنود العقد'!B221, "")</f>
        <v>توريد و تركيب كبائن مكافحة الحريق class II مزوده بمحبس 5.1 بوصة و خرطوم قماشي من مادةمعتمدة و ايضا بها طفاية حريق ABC  سعة 6 كيلو</v>
      </c>
      <c r="C221" s="12" t="str">
        <f>IF('بنود العقد'!C221&lt;&gt;"", 'بنود العقد'!C221, "")</f>
        <v>ميكانيكا</v>
      </c>
      <c r="D221" s="9">
        <f>IF('بنود العقد'!F221&lt;&gt;"", 'بنود العقد'!F221, "")</f>
        <v>30</v>
      </c>
      <c r="E221" s="18">
        <f>IF(B221&lt;&gt;"", SUMPRODUCT(('بنود المطالبات'!C$3:C$1805=A221)*'بنود المطالبات'!I$3:I$1805), "")</f>
        <v>41</v>
      </c>
      <c r="F221" s="18">
        <f>IFERROR(IF(AND(E221&lt;&gt;"",'بنود العقد'!E221&lt;&gt;""), E221*'بنود العقد'!E221, 0), 0)</f>
        <v>196800</v>
      </c>
      <c r="G221" s="9">
        <f t="shared" si="6"/>
        <v>-11</v>
      </c>
      <c r="H221" s="9">
        <f>IF(AND('بنود العقد'!G221&lt;&gt;"",F221&lt;&gt;""), 'بنود العقد'!G221-F221, "")</f>
        <v>-52800</v>
      </c>
      <c r="I221" s="21">
        <f t="shared" si="7"/>
        <v>100</v>
      </c>
    </row>
    <row r="222" spans="1:9" ht="24" customHeight="1">
      <c r="A222" s="12">
        <v>220</v>
      </c>
      <c r="B222" s="20" t="str">
        <f>IF('بنود العقد'!B222&lt;&gt;"", 'بنود العقد'!B222, "")</f>
        <v xml:space="preserve"> توريد و تركيب طفايات حريق  نوع 2Co ، سعة 6 كغ ، بودرة جافّة</v>
      </c>
      <c r="C222" s="12" t="str">
        <f>IF('بنود العقد'!C222&lt;&gt;"", 'بنود العقد'!C222, "")</f>
        <v>ميكانيكا</v>
      </c>
      <c r="D222" s="9">
        <f>IF('بنود العقد'!F222&lt;&gt;"", 'بنود العقد'!F222, "")</f>
        <v>5</v>
      </c>
      <c r="E222" s="18">
        <f>IF(B222&lt;&gt;"", SUMPRODUCT(('بنود المطالبات'!C$3:C$1805=A222)*'بنود المطالبات'!I$3:I$1805), "")</f>
        <v>0</v>
      </c>
      <c r="F222" s="18">
        <f>IFERROR(IF(AND(E222&lt;&gt;"",'بنود العقد'!E222&lt;&gt;""), E222*'بنود العقد'!E222, 0), 0)</f>
        <v>0</v>
      </c>
      <c r="G222" s="9">
        <f t="shared" si="6"/>
        <v>5</v>
      </c>
      <c r="H222" s="9">
        <f>IF(AND('بنود العقد'!G222&lt;&gt;"",F222&lt;&gt;""), 'بنود العقد'!G222-F222, "")</f>
        <v>2100</v>
      </c>
      <c r="I222" s="21">
        <f t="shared" si="7"/>
        <v>0</v>
      </c>
    </row>
    <row r="223" spans="1:9" ht="24" customHeight="1">
      <c r="A223" s="12">
        <v>221</v>
      </c>
      <c r="B223" s="20" t="str">
        <f>IF('بنود العقد'!B223&lt;&gt;"", 'بنود العقد'!B223,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01-VAV ، اجمالي الهواء 0-250 ) ق/د( استطاعة التخزين 5.1 )ك/و(</v>
      </c>
      <c r="C223" s="12" t="str">
        <f>IF('بنود العقد'!C223&lt;&gt;"", 'بنود العقد'!C223, "")</f>
        <v>تكييف</v>
      </c>
      <c r="D223" s="9">
        <f>IF('بنود العقد'!F223&lt;&gt;"", 'بنود العقد'!F223, "")</f>
        <v>9</v>
      </c>
      <c r="E223" s="18">
        <f>IF(B223&lt;&gt;"", SUMPRODUCT(('بنود المطالبات'!C$3:C$1805=A223)*'بنود المطالبات'!I$3:I$1805), "")</f>
        <v>77</v>
      </c>
      <c r="F223" s="18">
        <f>IFERROR(IF(AND(E223&lt;&gt;"",'بنود العقد'!E223&lt;&gt;""), E223*'بنود العقد'!E223, 0), 0)</f>
        <v>508200</v>
      </c>
      <c r="G223" s="9">
        <f t="shared" si="6"/>
        <v>-68</v>
      </c>
      <c r="H223" s="9">
        <f>IF(AND('بنود العقد'!G223&lt;&gt;"",F223&lt;&gt;""), 'بنود العقد'!G223-F223, "")</f>
        <v>-448800</v>
      </c>
      <c r="I223" s="21">
        <f t="shared" si="7"/>
        <v>100</v>
      </c>
    </row>
    <row r="224" spans="1:9" ht="24" customHeight="1">
      <c r="A224" s="12">
        <v>222</v>
      </c>
      <c r="B224" s="20" t="str">
        <f>IF('بنود العقد'!B224&lt;&gt;"", 'بنود العقد'!B224,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02-VAV ، اجمالي الهواء 0-500 ) ق/د( استطاعة التخزين 2 )ك/و(</v>
      </c>
      <c r="C224" s="12" t="str">
        <f>IF('بنود العقد'!C224&lt;&gt;"", 'بنود العقد'!C224, "")</f>
        <v>تكييف</v>
      </c>
      <c r="D224" s="9">
        <f>IF('بنود العقد'!F224&lt;&gt;"", 'بنود العقد'!F224, "")</f>
        <v>127</v>
      </c>
      <c r="E224" s="18">
        <f>IF(B224&lt;&gt;"", SUMPRODUCT(('بنود المطالبات'!C$3:C$1805=A224)*'بنود المطالبات'!I$3:I$1805), "")</f>
        <v>104</v>
      </c>
      <c r="F224" s="18">
        <f>IFERROR(IF(AND(E224&lt;&gt;"",'بنود العقد'!E224&lt;&gt;""), E224*'بنود العقد'!E224, 0), 0)</f>
        <v>723840</v>
      </c>
      <c r="G224" s="9">
        <f t="shared" si="6"/>
        <v>23</v>
      </c>
      <c r="H224" s="9">
        <f>IF(AND('بنود العقد'!G224&lt;&gt;"",F224&lt;&gt;""), 'بنود العقد'!G224-F224, "")</f>
        <v>160080</v>
      </c>
      <c r="I224" s="21">
        <f t="shared" si="7"/>
        <v>81.889763779527556</v>
      </c>
    </row>
    <row r="225" spans="1:9" ht="24" customHeight="1">
      <c r="A225" s="12">
        <v>223</v>
      </c>
      <c r="B225" s="20" t="str">
        <f>IF('بنود العقد'!B225&lt;&gt;"", 'بنود العقد'!B225, "")</f>
        <v xml:space="preserve">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03-VAV ، اجمالي الهواء 0-750 ) ق/د( استطاعة التخزين 3 )ك/و( </v>
      </c>
      <c r="C225" s="12" t="str">
        <f>IF('بنود العقد'!C225&lt;&gt;"", 'بنود العقد'!C225, "")</f>
        <v>تكييف</v>
      </c>
      <c r="D225" s="9">
        <f>IF('بنود العقد'!F225&lt;&gt;"", 'بنود العقد'!F225, "")</f>
        <v>51</v>
      </c>
      <c r="E225" s="18">
        <f>IF(B225&lt;&gt;"", SUMPRODUCT(('بنود المطالبات'!C$3:C$1805=A225)*'بنود المطالبات'!I$3:I$1805), "")</f>
        <v>83</v>
      </c>
      <c r="F225" s="18">
        <f>IFERROR(IF(AND(E225&lt;&gt;"",'بنود العقد'!E225&lt;&gt;""), E225*'بنود العقد'!E225, 0), 0)</f>
        <v>597600</v>
      </c>
      <c r="G225" s="9">
        <f t="shared" si="6"/>
        <v>-32</v>
      </c>
      <c r="H225" s="9">
        <f>IF(AND('بنود العقد'!G225&lt;&gt;"",F225&lt;&gt;""), 'بنود العقد'!G225-F225, "")</f>
        <v>-230400</v>
      </c>
      <c r="I225" s="21">
        <f t="shared" si="7"/>
        <v>100</v>
      </c>
    </row>
    <row r="226" spans="1:9" ht="24" customHeight="1">
      <c r="A226" s="12">
        <v>224</v>
      </c>
      <c r="B226" s="20" t="str">
        <f>IF('بنود العقد'!B226&lt;&gt;"", 'بنود العقد'!B226,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04-VAV ، اجمالي الهواء 0-1000 ) ق/د( استطاعة التخزين 5.3 )ك/و(</v>
      </c>
      <c r="C226" s="12" t="str">
        <f>IF('بنود العقد'!C226&lt;&gt;"", 'بنود العقد'!C226, "")</f>
        <v>تكييف</v>
      </c>
      <c r="D226" s="9">
        <f>IF('بنود العقد'!F226&lt;&gt;"", 'بنود العقد'!F226, "")</f>
        <v>24</v>
      </c>
      <c r="E226" s="18">
        <f>IF(B226&lt;&gt;"", SUMPRODUCT(('بنود المطالبات'!C$3:C$1805=A226)*'بنود المطالبات'!I$3:I$1805), "")</f>
        <v>38</v>
      </c>
      <c r="F226" s="18">
        <f>IFERROR(IF(AND(E226&lt;&gt;"",'بنود العقد'!E226&lt;&gt;""), E226*'بنود العقد'!E226, 0), 0)</f>
        <v>273600</v>
      </c>
      <c r="G226" s="9">
        <f t="shared" si="6"/>
        <v>-14</v>
      </c>
      <c r="H226" s="9">
        <f>IF(AND('بنود العقد'!G226&lt;&gt;"",F226&lt;&gt;""), 'بنود العقد'!G226-F226, "")</f>
        <v>-100800</v>
      </c>
      <c r="I226" s="21">
        <f t="shared" si="7"/>
        <v>100</v>
      </c>
    </row>
    <row r="227" spans="1:9" ht="24" customHeight="1">
      <c r="A227" s="12">
        <v>225</v>
      </c>
      <c r="B227" s="20" t="str">
        <f>IF('بنود العقد'!B227&lt;&gt;"", 'بنود العقد'!B227,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05-VAV ، اجمالي الهواء 0-1500 ) ق/د( استطاعة التخزين 5.3 )ك/و(</v>
      </c>
      <c r="C227" s="12" t="str">
        <f>IF('بنود العقد'!C227&lt;&gt;"", 'بنود العقد'!C227, "")</f>
        <v>تكييف</v>
      </c>
      <c r="D227" s="9">
        <f>IF('بنود العقد'!F227&lt;&gt;"", 'بنود العقد'!F227, "")</f>
        <v>44</v>
      </c>
      <c r="E227" s="18">
        <f>IF(B227&lt;&gt;"", SUMPRODUCT(('بنود المطالبات'!C$3:C$1805=A227)*'بنود المطالبات'!I$3:I$1805), "")</f>
        <v>47</v>
      </c>
      <c r="F227" s="18">
        <f>IFERROR(IF(AND(E227&lt;&gt;"",'بنود العقد'!E227&lt;&gt;""), E227*'بنود العقد'!E227, 0), 0)</f>
        <v>423000</v>
      </c>
      <c r="G227" s="9">
        <f t="shared" si="6"/>
        <v>-3</v>
      </c>
      <c r="H227" s="9">
        <f>IF(AND('بنود العقد'!G227&lt;&gt;"",F227&lt;&gt;""), 'بنود العقد'!G227-F227, "")</f>
        <v>-27000</v>
      </c>
      <c r="I227" s="21">
        <f t="shared" si="7"/>
        <v>100</v>
      </c>
    </row>
    <row r="228" spans="1:9" ht="24" customHeight="1">
      <c r="A228" s="12">
        <v>226</v>
      </c>
      <c r="B228" s="20" t="str">
        <f>IF('بنود العقد'!B228&lt;&gt;"", 'بنود العقد'!B228,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06-VAV ، اجمالي الهواء 0-2000 ) ق/د( استطاعة التخزين 6.3 )ك/و(</v>
      </c>
      <c r="C228" s="12" t="str">
        <f>IF('بنود العقد'!C228&lt;&gt;"", 'بنود العقد'!C228, "")</f>
        <v>تكييف</v>
      </c>
      <c r="D228" s="9">
        <f>IF('بنود العقد'!F228&lt;&gt;"", 'بنود العقد'!F228, "")</f>
        <v>49</v>
      </c>
      <c r="E228" s="18">
        <f>IF(B228&lt;&gt;"", SUMPRODUCT(('بنود المطالبات'!C$3:C$1805=A228)*'بنود المطالبات'!I$3:I$1805), "")</f>
        <v>32</v>
      </c>
      <c r="F228" s="18">
        <f>IFERROR(IF(AND(E228&lt;&gt;"",'بنود العقد'!E228&lt;&gt;""), E228*'بنود العقد'!E228, 0), 0)</f>
        <v>326400</v>
      </c>
      <c r="G228" s="9">
        <f t="shared" si="6"/>
        <v>17</v>
      </c>
      <c r="H228" s="9">
        <f>IF(AND('بنود العقد'!G228&lt;&gt;"",F228&lt;&gt;""), 'بنود العقد'!G228-F228, "")</f>
        <v>173400</v>
      </c>
      <c r="I228" s="21">
        <f t="shared" si="7"/>
        <v>65.306122448979593</v>
      </c>
    </row>
    <row r="229" spans="1:9" ht="24" customHeight="1">
      <c r="A229" s="12">
        <v>227</v>
      </c>
      <c r="B229" s="20" t="str">
        <f>IF('بنود العقد'!B229&lt;&gt;"", 'بنود العقد'!B229,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07-VAV ، اجمالي الهواء 0-2500 ) ق/د( استطاعة التخزين 7.3 )ك/و(</v>
      </c>
      <c r="C229" s="12" t="str">
        <f>IF('بنود العقد'!C229&lt;&gt;"", 'بنود العقد'!C229, "")</f>
        <v>تكييف</v>
      </c>
      <c r="D229" s="9">
        <f>IF('بنود العقد'!F229&lt;&gt;"", 'بنود العقد'!F229, "")</f>
        <v>24</v>
      </c>
      <c r="E229" s="18">
        <f>IF(B229&lt;&gt;"", SUMPRODUCT(('بنود المطالبات'!C$3:C$1805=A229)*'بنود المطالبات'!I$3:I$1805), "")</f>
        <v>22</v>
      </c>
      <c r="F229" s="18">
        <f>IFERROR(IF(AND(E229&lt;&gt;"",'بنود العقد'!E229&lt;&gt;""), E229*'بنود العقد'!E229, 0), 0)</f>
        <v>237600</v>
      </c>
      <c r="G229" s="9">
        <f t="shared" si="6"/>
        <v>2</v>
      </c>
      <c r="H229" s="9">
        <f>IF(AND('بنود العقد'!G229&lt;&gt;"",F229&lt;&gt;""), 'بنود العقد'!G229-F229, "")</f>
        <v>21600</v>
      </c>
      <c r="I229" s="21">
        <f t="shared" si="7"/>
        <v>91.666666666666657</v>
      </c>
    </row>
    <row r="230" spans="1:9" ht="24" customHeight="1">
      <c r="A230" s="12">
        <v>228</v>
      </c>
      <c r="B230" s="20" t="str">
        <f>IF('بنود العقد'!B230&lt;&gt;"", 'بنود العقد'!B230, "")</f>
        <v>فك و ترحيل VAV الموجودة حاليا  و تركيبها حسب المخطط  المعدل و حسب تعليمات المهندس المشرف. على المقاول معاينة الوحدات الموجودة و الاستفادة بإعادة تركيبها بعد عمل الفحوصات و الاختبارات المناسبة لحسن ضمان عملها و حسب تعليمات المهندس المشرف</v>
      </c>
      <c r="C230" s="12" t="str">
        <f>IF('بنود العقد'!C230&lt;&gt;"", 'بنود العقد'!C230, "")</f>
        <v>تكييف</v>
      </c>
      <c r="D230" s="9">
        <f>IF('بنود العقد'!F230&lt;&gt;"", 'بنود العقد'!F230, "")</f>
        <v>100</v>
      </c>
      <c r="E230" s="18">
        <f>IF(B230&lt;&gt;"", SUMPRODUCT(('بنود المطالبات'!C$3:C$1805=A230)*'بنود المطالبات'!I$3:I$1805), "")</f>
        <v>0</v>
      </c>
      <c r="F230" s="18">
        <f>IFERROR(IF(AND(E230&lt;&gt;"",'بنود العقد'!E230&lt;&gt;""), E230*'بنود العقد'!E230, 0), 0)</f>
        <v>0</v>
      </c>
      <c r="G230" s="9">
        <f t="shared" si="6"/>
        <v>100</v>
      </c>
      <c r="H230" s="9">
        <f>IF(AND('بنود العقد'!G230&lt;&gt;"",F230&lt;&gt;""), 'بنود العقد'!G230-F230, "")</f>
        <v>180000</v>
      </c>
      <c r="I230" s="21">
        <f t="shared" si="7"/>
        <v>0</v>
      </c>
    </row>
    <row r="231" spans="1:9" ht="24" customHeight="1">
      <c r="A231" s="12">
        <v>229</v>
      </c>
      <c r="B231" s="20" t="str">
        <f>IF('بنود العقد'!B231&lt;&gt;"", 'بنود العقد'!B231, "")</f>
        <v>فك وإعادة تهيئة و اصلاح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C231" s="12" t="str">
        <f>IF('بنود العقد'!C231&lt;&gt;"", 'بنود العقد'!C231, "")</f>
        <v>تكييف</v>
      </c>
      <c r="D231" s="9">
        <f>IF('بنود العقد'!F231&lt;&gt;"", 'بنود العقد'!F231, "")</f>
        <v>2000</v>
      </c>
      <c r="E231" s="18">
        <f>IF(B231&lt;&gt;"", SUMPRODUCT(('بنود المطالبات'!C$3:C$1805=A231)*'بنود المطالبات'!I$3:I$1805), "")</f>
        <v>0</v>
      </c>
      <c r="F231" s="18">
        <f>IFERROR(IF(AND(E231&lt;&gt;"",'بنود العقد'!E231&lt;&gt;""), E231*'بنود العقد'!E231, 0), 0)</f>
        <v>0</v>
      </c>
      <c r="G231" s="9">
        <f t="shared" si="6"/>
        <v>2000</v>
      </c>
      <c r="H231" s="9">
        <f>IF(AND('بنود العقد'!G231&lt;&gt;"",F231&lt;&gt;""), 'بنود العقد'!G231-F231, "")</f>
        <v>528000</v>
      </c>
      <c r="I231" s="21">
        <f t="shared" si="7"/>
        <v>0</v>
      </c>
    </row>
    <row r="232" spans="1:9" ht="24" customHeight="1">
      <c r="A232" s="12">
        <v>230</v>
      </c>
      <c r="B232" s="20" t="str">
        <f>IF('بنود العقد'!B232&lt;&gt;"", 'بنود العقد'!B232,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C232" s="12" t="str">
        <f>IF('بنود العقد'!C232&lt;&gt;"", 'بنود العقد'!C232, "")</f>
        <v>تكييف</v>
      </c>
      <c r="D232" s="9">
        <f>IF('بنود العقد'!F232&lt;&gt;"", 'بنود العقد'!F232, "")</f>
        <v>7000</v>
      </c>
      <c r="E232" s="18">
        <f>IF(B232&lt;&gt;"", SUMPRODUCT(('بنود المطالبات'!C$3:C$1805=A232)*'بنود المطالبات'!I$3:I$1805), "")</f>
        <v>13014.4</v>
      </c>
      <c r="F232" s="18">
        <f>IFERROR(IF(AND(E232&lt;&gt;"",'بنود العقد'!E232&lt;&gt;""), E232*'بنود العقد'!E232, 0), 0)</f>
        <v>3904320</v>
      </c>
      <c r="G232" s="9">
        <f t="shared" si="6"/>
        <v>-6014.4</v>
      </c>
      <c r="H232" s="9">
        <f>IF(AND('بنود العقد'!G232&lt;&gt;"",F232&lt;&gt;""), 'بنود العقد'!G232-F232, "")</f>
        <v>-1804320</v>
      </c>
      <c r="I232" s="21">
        <f t="shared" si="7"/>
        <v>100</v>
      </c>
    </row>
    <row r="233" spans="1:9" ht="24" customHeight="1">
      <c r="A233" s="12">
        <v>231</v>
      </c>
      <c r="B233" s="20" t="str">
        <f>IF('بنود العقد'!B233&lt;&gt;"", 'بنود العقد'!B233, "")</f>
        <v>ناشرة هواء ذات فتحات طولية  للهواء الداخل مصنعة من الألمنيوم المشكل بالبثق ومطلية بمسحوق البولستركاملة، مخمدات صوت ذات أرياش متضادّة ،وصندوق حجمى معزول من الداخل بعازل صوتى وميكانيزم للتحكم فى الهواء من واجهة الناشر وكل قطع الأكسسوار حسب المواصفات والمخططات مع توفير عينات للاعتماد من مهندس المشرف. ثلاثة فتحات / ثقب 25مم عرض</v>
      </c>
      <c r="C233" s="12" t="str">
        <f>IF('بنود العقد'!C233&lt;&gt;"", 'بنود العقد'!C233, "")</f>
        <v>تكييف</v>
      </c>
      <c r="D233" s="9">
        <f>IF('بنود العقد'!F233&lt;&gt;"", 'بنود العقد'!F233, "")</f>
        <v>1925</v>
      </c>
      <c r="E233" s="18">
        <f>IF(B233&lt;&gt;"", SUMPRODUCT(('بنود المطالبات'!C$3:C$1805=A233)*'بنود المطالبات'!I$3:I$1805), "")</f>
        <v>1597</v>
      </c>
      <c r="F233" s="18">
        <f>IFERROR(IF(AND(E233&lt;&gt;"",'بنود العقد'!E233&lt;&gt;""), E233*'بنود العقد'!E233, 0), 0)</f>
        <v>766560</v>
      </c>
      <c r="G233" s="9">
        <f t="shared" si="6"/>
        <v>328</v>
      </c>
      <c r="H233" s="9">
        <f>IF(AND('بنود العقد'!G233&lt;&gt;"",F233&lt;&gt;""), 'بنود العقد'!G233-F233, "")</f>
        <v>157440</v>
      </c>
      <c r="I233" s="21">
        <f t="shared" si="7"/>
        <v>82.961038961038952</v>
      </c>
    </row>
    <row r="234" spans="1:9" ht="24" customHeight="1">
      <c r="A234" s="12">
        <v>232</v>
      </c>
      <c r="B234" s="20" t="str">
        <f>IF('بنود العقد'!B234&lt;&gt;"", 'بنود العقد'!B234, "")</f>
        <v>ناشرة هواء ذات فتحات طولية للهواء الراجع مصنعة من الألمنيوم المشكل بالبثق ومطلية بمسحوق البولستركاملة، وكل قطع الأكسسوار حسب المواصفات والمخططات مع توفير عينات للاعتماد من مهندس المشرف. ثلاثة فتحات / ثقب 25مم عرض</v>
      </c>
      <c r="C234" s="12" t="str">
        <f>IF('بنود العقد'!C234&lt;&gt;"", 'بنود العقد'!C234, "")</f>
        <v>تكييف</v>
      </c>
      <c r="D234" s="9">
        <f>IF('بنود العقد'!F234&lt;&gt;"", 'بنود العقد'!F234, "")</f>
        <v>1925</v>
      </c>
      <c r="E234" s="18">
        <f>IF(B234&lt;&gt;"", SUMPRODUCT(('بنود المطالبات'!C$3:C$1805=A234)*'بنود المطالبات'!I$3:I$1805), "")</f>
        <v>1634</v>
      </c>
      <c r="F234" s="18">
        <f>IFERROR(IF(AND(E234&lt;&gt;"",'بنود العقد'!E234&lt;&gt;""), E234*'بنود العقد'!E234, 0), 0)</f>
        <v>784320</v>
      </c>
      <c r="G234" s="9">
        <f t="shared" si="6"/>
        <v>291</v>
      </c>
      <c r="H234" s="9">
        <f>IF(AND('بنود العقد'!G234&lt;&gt;"",F234&lt;&gt;""), 'بنود العقد'!G234-F234, "")</f>
        <v>139680</v>
      </c>
      <c r="I234" s="21">
        <f t="shared" si="7"/>
        <v>84.883116883116884</v>
      </c>
    </row>
    <row r="235" spans="1:9" ht="24" customHeight="1">
      <c r="A235" s="12">
        <v>233</v>
      </c>
      <c r="B235" s="20" t="str">
        <f>IF('بنود العقد'!B235&lt;&gt;"", 'بنود العقد'!B235, "")</f>
        <v xml:space="preserve"> جريلات تغذية من الالومينيوم مغطاة ببودرة البوليستر كاملة وجميع الملحقات حسب المخططات..والمواصفات مع توفير عينات للاعتماد من مهندس المشرف 600mm X 600mm</v>
      </c>
      <c r="C235" s="12" t="str">
        <f>IF('بنود العقد'!C235&lt;&gt;"", 'بنود العقد'!C235, "")</f>
        <v>تكييف</v>
      </c>
      <c r="D235" s="9">
        <f>IF('بنود العقد'!F235&lt;&gt;"", 'بنود العقد'!F235, "")</f>
        <v>724</v>
      </c>
      <c r="E235" s="18">
        <f>IF(B235&lt;&gt;"", SUMPRODUCT(('بنود المطالبات'!C$3:C$1805=A235)*'بنود المطالبات'!I$3:I$1805), "")</f>
        <v>655</v>
      </c>
      <c r="F235" s="18">
        <f>IFERROR(IF(AND(E235&lt;&gt;"",'بنود العقد'!E235&lt;&gt;""), E235*'بنود العقد'!E235, 0), 0)</f>
        <v>298680</v>
      </c>
      <c r="G235" s="9">
        <f t="shared" si="6"/>
        <v>69</v>
      </c>
      <c r="H235" s="9">
        <f>IF(AND('بنود العقد'!G235&lt;&gt;"",F235&lt;&gt;""), 'بنود العقد'!G235-F235, "")</f>
        <v>31464</v>
      </c>
      <c r="I235" s="21">
        <f t="shared" si="7"/>
        <v>90.469613259668506</v>
      </c>
    </row>
    <row r="236" spans="1:9" ht="24" customHeight="1">
      <c r="A236" s="12">
        <v>234</v>
      </c>
      <c r="B236" s="20" t="str">
        <f>IF('بنود العقد'!B236&lt;&gt;"", 'بنود العقد'!B236, "")</f>
        <v xml:space="preserve"> جريلات رجوع من الالومينيوم مغطاة ببودرة البوليستر كاملة وجميع الملحقات حسب المخططات.والمواصفات مع توفير عينات للاعتماد من مهندس المشرف 600mm X 600mm</v>
      </c>
      <c r="C236" s="12" t="str">
        <f>IF('بنود العقد'!C236&lt;&gt;"", 'بنود العقد'!C236, "")</f>
        <v>تكييف</v>
      </c>
      <c r="D236" s="9">
        <f>IF('بنود العقد'!F236&lt;&gt;"", 'بنود العقد'!F236, "")</f>
        <v>724</v>
      </c>
      <c r="E236" s="18">
        <f>IF(B236&lt;&gt;"", SUMPRODUCT(('بنود المطالبات'!C$3:C$1805=A236)*'بنود المطالبات'!I$3:I$1805), "")</f>
        <v>336</v>
      </c>
      <c r="F236" s="18">
        <f>IFERROR(IF(AND(E236&lt;&gt;"",'بنود العقد'!E236&lt;&gt;""), E236*'بنود العقد'!E236, 0), 0)</f>
        <v>88704</v>
      </c>
      <c r="G236" s="9">
        <f t="shared" si="6"/>
        <v>388</v>
      </c>
      <c r="H236" s="9">
        <f>IF(AND('بنود العقد'!G236&lt;&gt;"",F236&lt;&gt;""), 'بنود العقد'!G236-F236, "")</f>
        <v>102432</v>
      </c>
      <c r="I236" s="21">
        <f t="shared" si="7"/>
        <v>46.408839779005525</v>
      </c>
    </row>
    <row r="237" spans="1:9" ht="24" customHeight="1">
      <c r="A237" s="12">
        <v>235</v>
      </c>
      <c r="B237" s="20" t="str">
        <f>IF('بنود العقد'!B237&lt;&gt;"", 'بنود العقد'!B237, "")</f>
        <v xml:space="preserve"> جريلات لسحب الهواء من الالمونيوم مغطاة ببودرة البوليستر كاملة بجميع ملحقات التركيب وحسب.المخططات والمواصفات مع توفير عينات للاعتماد من مهندس المشرف 150mm X 150MM</v>
      </c>
      <c r="C237" s="12" t="str">
        <f>IF('بنود العقد'!C237&lt;&gt;"", 'بنود العقد'!C237, "")</f>
        <v>تكييف</v>
      </c>
      <c r="D237" s="9">
        <f>IF('بنود العقد'!F237&lt;&gt;"", 'بنود العقد'!F237, "")</f>
        <v>102</v>
      </c>
      <c r="E237" s="18">
        <f>IF(B237&lt;&gt;"", SUMPRODUCT(('بنود المطالبات'!C$3:C$1805=A237)*'بنود المطالبات'!I$3:I$1805), "")</f>
        <v>241</v>
      </c>
      <c r="F237" s="18">
        <f>IFERROR(IF(AND(E237&lt;&gt;"",'بنود العقد'!E237&lt;&gt;""), E237*'بنود العقد'!E237, 0), 0)</f>
        <v>50610</v>
      </c>
      <c r="G237" s="9">
        <f t="shared" si="6"/>
        <v>-139</v>
      </c>
      <c r="H237" s="9">
        <f>IF(AND('بنود العقد'!G237&lt;&gt;"",F237&lt;&gt;""), 'بنود العقد'!G237-F237, "")</f>
        <v>-29190</v>
      </c>
      <c r="I237" s="21">
        <f t="shared" si="7"/>
        <v>100</v>
      </c>
    </row>
    <row r="238" spans="1:9" ht="24" customHeight="1">
      <c r="A238" s="12">
        <v>236</v>
      </c>
      <c r="B238" s="20" t="str">
        <f>IF('بنود العقد'!B238&lt;&gt;"", 'بنود العقد'!B238,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المشرف.Dia 150 mm</v>
      </c>
      <c r="C238" s="12" t="str">
        <f>IF('بنود العقد'!C238&lt;&gt;"", 'بنود العقد'!C238, "")</f>
        <v>تكييف</v>
      </c>
      <c r="D238" s="9">
        <f>IF('بنود العقد'!F238&lt;&gt;"", 'بنود العقد'!F238, "")</f>
        <v>240</v>
      </c>
      <c r="E238" s="18">
        <f>IF(B238&lt;&gt;"", SUMPRODUCT(('بنود المطالبات'!C$3:C$1805=A238)*'بنود المطالبات'!I$3:I$1805), "")</f>
        <v>220.6</v>
      </c>
      <c r="F238" s="18">
        <f>IFERROR(IF(AND(E238&lt;&gt;"",'بنود العقد'!E238&lt;&gt;""), E238*'بنود العقد'!E238, 0), 0)</f>
        <v>10059.36</v>
      </c>
      <c r="G238" s="9">
        <f t="shared" si="6"/>
        <v>19.400000000000006</v>
      </c>
      <c r="H238" s="9">
        <f>IF(AND('بنود العقد'!G238&lt;&gt;"",F238&lt;&gt;""), 'بنود العقد'!G238-F238, "")</f>
        <v>884.63999999999942</v>
      </c>
      <c r="I238" s="21">
        <f t="shared" si="7"/>
        <v>91.916666666666671</v>
      </c>
    </row>
    <row r="239" spans="1:9" ht="24" customHeight="1">
      <c r="A239" s="12">
        <v>237</v>
      </c>
      <c r="B239" s="20" t="str">
        <f>IF('بنود العقد'!B239&lt;&gt;"", 'بنود العقد'!B239,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200 mm</v>
      </c>
      <c r="C239" s="12" t="str">
        <f>IF('بنود العقد'!C239&lt;&gt;"", 'بنود العقد'!C239, "")</f>
        <v>تكييف</v>
      </c>
      <c r="D239" s="9">
        <f>IF('بنود العقد'!F239&lt;&gt;"", 'بنود العقد'!F239, "")</f>
        <v>2964</v>
      </c>
      <c r="E239" s="18">
        <f>IF(B239&lt;&gt;"", SUMPRODUCT(('بنود المطالبات'!C$3:C$1805=A239)*'بنود المطالبات'!I$3:I$1805), "")</f>
        <v>679</v>
      </c>
      <c r="F239" s="18">
        <f>IFERROR(IF(AND(E239&lt;&gt;"",'بنود العقد'!E239&lt;&gt;""), E239*'بنود العقد'!E239, 0), 0)</f>
        <v>36666</v>
      </c>
      <c r="G239" s="9">
        <f t="shared" si="6"/>
        <v>2285</v>
      </c>
      <c r="H239" s="9">
        <f>IF(AND('بنود العقد'!G239&lt;&gt;"",F239&lt;&gt;""), 'بنود العقد'!G239-F239, "")</f>
        <v>123390</v>
      </c>
      <c r="I239" s="21">
        <f t="shared" si="7"/>
        <v>22.908232118758434</v>
      </c>
    </row>
    <row r="240" spans="1:9" ht="24" customHeight="1">
      <c r="A240" s="12">
        <v>238</v>
      </c>
      <c r="B240" s="20" t="str">
        <f>IF('بنود العقد'!B240&lt;&gt;"", 'بنود العقد'!B240,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250 mm</v>
      </c>
      <c r="C240" s="12" t="str">
        <f>IF('بنود العقد'!C240&lt;&gt;"", 'بنود العقد'!C240, "")</f>
        <v>تكييف</v>
      </c>
      <c r="D240" s="9">
        <f>IF('بنود العقد'!F240&lt;&gt;"", 'بنود العقد'!F240, "")</f>
        <v>60</v>
      </c>
      <c r="E240" s="18">
        <f>IF(B240&lt;&gt;"", SUMPRODUCT(('بنود المطالبات'!C$3:C$1805=A240)*'بنود المطالبات'!I$3:I$1805), "")</f>
        <v>871.6</v>
      </c>
      <c r="F240" s="18">
        <f>IFERROR(IF(AND(E240&lt;&gt;"",'بنود العقد'!E240&lt;&gt;""), E240*'بنود العقد'!E240, 0), 0)</f>
        <v>57525.599999999999</v>
      </c>
      <c r="G240" s="9">
        <f t="shared" si="6"/>
        <v>-811.6</v>
      </c>
      <c r="H240" s="9">
        <f>IF(AND('بنود العقد'!G240&lt;&gt;"",F240&lt;&gt;""), 'بنود العقد'!G240-F240, "")</f>
        <v>-53565.599999999999</v>
      </c>
      <c r="I240" s="21">
        <f t="shared" si="7"/>
        <v>100</v>
      </c>
    </row>
    <row r="241" spans="1:9" ht="24" customHeight="1">
      <c r="A241" s="12">
        <v>239</v>
      </c>
      <c r="B241" s="20" t="str">
        <f>IF('بنود العقد'!B241&lt;&gt;"", 'بنود العقد'!B241, "")</f>
        <v xml:space="preserve"> توريد و تركيب مراوح سحب الهواء )طرد مركزي فوق السطح ( تشمل عمليات الاختبار و الموازنة : تشمل عمليات التوريد و التركيب و الاختبار و التثبيت مراوح سحب الهواء )طرد مركزي فوق السطح ( سعة 6500 قدم مكعب بالدقيقة</v>
      </c>
      <c r="C241" s="12" t="str">
        <f>IF('بنود العقد'!C241&lt;&gt;"", 'بنود العقد'!C241, "")</f>
        <v>تكييف</v>
      </c>
      <c r="D241" s="9">
        <f>IF('بنود العقد'!F241&lt;&gt;"", 'بنود العقد'!F241, "")</f>
        <v>1</v>
      </c>
      <c r="E241" s="18">
        <f>IF(B241&lt;&gt;"", SUMPRODUCT(('بنود المطالبات'!C$3:C$1805=A241)*'بنود المطالبات'!I$3:I$1805), "")</f>
        <v>4</v>
      </c>
      <c r="F241" s="18">
        <f>IFERROR(IF(AND(E241&lt;&gt;"",'بنود العقد'!E241&lt;&gt;""), E241*'بنود العقد'!E241, 0), 0)</f>
        <v>72000</v>
      </c>
      <c r="G241" s="9">
        <f t="shared" si="6"/>
        <v>-3</v>
      </c>
      <c r="H241" s="9">
        <f>IF(AND('بنود العقد'!G241&lt;&gt;"",F241&lt;&gt;""), 'بنود العقد'!G241-F241, "")</f>
        <v>-54000</v>
      </c>
      <c r="I241" s="21">
        <f t="shared" si="7"/>
        <v>100</v>
      </c>
    </row>
    <row r="242" spans="1:9" ht="24" customHeight="1">
      <c r="A242" s="12">
        <v>240</v>
      </c>
      <c r="B242" s="20" t="str">
        <f>IF('بنود العقد'!B242&lt;&gt;"", 'بنود العقد'!B242, "")</f>
        <v xml:space="preserve"> توريد و تركيب مراوح سحب الهواء )طرد مركزي فوق السطح ( تشمل عمليات الاختبار و الموازنة : تشمل عمليات التوريد و التركيب و الاختبار و التثبيت مراوح سحب الهواء )طرد مركزي فوق السطح ( سعة 7500 قدم مكعب بالدقيقة</v>
      </c>
      <c r="C242" s="12" t="str">
        <f>IF('بنود العقد'!C242&lt;&gt;"", 'بنود العقد'!C242, "")</f>
        <v>تكييف</v>
      </c>
      <c r="D242" s="9">
        <f>IF('بنود العقد'!F242&lt;&gt;"", 'بنود العقد'!F242, "")</f>
        <v>1</v>
      </c>
      <c r="E242" s="18">
        <f>IF(B242&lt;&gt;"", SUMPRODUCT(('بنود المطالبات'!C$3:C$1805=A242)*'بنود المطالبات'!I$3:I$1805), "")</f>
        <v>0</v>
      </c>
      <c r="F242" s="18">
        <f>IFERROR(IF(AND(E242&lt;&gt;"",'بنود العقد'!E242&lt;&gt;""), E242*'بنود العقد'!E242, 0), 0)</f>
        <v>0</v>
      </c>
      <c r="G242" s="9">
        <f t="shared" si="6"/>
        <v>1</v>
      </c>
      <c r="H242" s="9">
        <f>IF(AND('بنود العقد'!G242&lt;&gt;"",F242&lt;&gt;""), 'بنود العقد'!G242-F242, "")</f>
        <v>24000</v>
      </c>
      <c r="I242" s="21">
        <f t="shared" si="7"/>
        <v>0</v>
      </c>
    </row>
    <row r="243" spans="1:9" ht="24" customHeight="1">
      <c r="A243" s="12">
        <v>241</v>
      </c>
      <c r="B243" s="20" t="str">
        <f>IF('بنود العقد'!B243&lt;&gt;"", 'بنود العقد'!B243, "")</f>
        <v xml:space="preserve"> توريد و تركيب مراوح سحب الهواء )طرد مركزي فوق السطح ( تشمل عمليات الاختبار و الموازنة : تشمل عمليات التوريد و التركيب و الاختبار و التثبيت مراوح سحب الهواء )طرد مركزي فوق السطح ( سعة9000  قدم مكعب بالدقيقة</v>
      </c>
      <c r="C243" s="12" t="str">
        <f>IF('بنود العقد'!C243&lt;&gt;"", 'بنود العقد'!C243, "")</f>
        <v>تكييف</v>
      </c>
      <c r="D243" s="9">
        <f>IF('بنود العقد'!F243&lt;&gt;"", 'بنود العقد'!F243, "")</f>
        <v>2</v>
      </c>
      <c r="E243" s="18">
        <f>IF(B243&lt;&gt;"", SUMPRODUCT(('بنود المطالبات'!C$3:C$1805=A243)*'بنود المطالبات'!I$3:I$1805), "")</f>
        <v>0</v>
      </c>
      <c r="F243" s="18">
        <f>IFERROR(IF(AND(E243&lt;&gt;"",'بنود العقد'!E243&lt;&gt;""), E243*'بنود العقد'!E243, 0), 0)</f>
        <v>0</v>
      </c>
      <c r="G243" s="9">
        <f t="shared" si="6"/>
        <v>2</v>
      </c>
      <c r="H243" s="9">
        <f>IF(AND('بنود العقد'!G243&lt;&gt;"",F243&lt;&gt;""), 'بنود العقد'!G243-F243, "")</f>
        <v>60000</v>
      </c>
      <c r="I243" s="21">
        <f t="shared" si="7"/>
        <v>0</v>
      </c>
    </row>
    <row r="244" spans="1:9" ht="24" customHeight="1">
      <c r="A244" s="12">
        <v>242</v>
      </c>
      <c r="B244" s="20" t="str">
        <f>IF('بنود العقد'!B244&lt;&gt;"", 'بنود العقد'!B244, "")</f>
        <v>الموازنة والضبط والتهيئة لتشغيل أنظمة تكييف الهواء ،و يجب ان تحتوي على جميع التجهيزات والادوات المطلوبة لإجراء الاختبار والتهيئة للتشغيل والتشغيل مع ضبط كميات الهواء وموازنة الهواء  لنظام التكييف، ويجب ايضا ان تكون مد ة الاختبار حسب متطلبات المنظمات العالمية مثل )NEBB( كما هو  مطلوب بالكود السعودي و اشري ASHREE ويجب ان يكون المقاول المختص عضوا فى احد المنظمات مع تقديم الشهادة لذلك.</v>
      </c>
      <c r="C244" s="12" t="str">
        <f>IF('بنود العقد'!C244&lt;&gt;"", 'بنود العقد'!C244, "")</f>
        <v>تكييف</v>
      </c>
      <c r="D244" s="9">
        <f>IF('بنود العقد'!F244&lt;&gt;"", 'بنود العقد'!F244, "")</f>
        <v>1</v>
      </c>
      <c r="E244" s="18">
        <f>IF(B244&lt;&gt;"", SUMPRODUCT(('بنود المطالبات'!C$3:C$1805=A244)*'بنود المطالبات'!I$3:I$1805), "")</f>
        <v>0.17199999999999999</v>
      </c>
      <c r="F244" s="18">
        <f>IFERROR(IF(AND(E244&lt;&gt;"",'بنود العقد'!E244&lt;&gt;""), E244*'بنود العقد'!E244, 0), 0)</f>
        <v>37152</v>
      </c>
      <c r="G244" s="9">
        <f t="shared" si="6"/>
        <v>0.82800000000000007</v>
      </c>
      <c r="H244" s="9">
        <f>IF(AND('بنود العقد'!G244&lt;&gt;"",F244&lt;&gt;""), 'بنود العقد'!G244-F244, "")</f>
        <v>178848</v>
      </c>
      <c r="I244" s="21">
        <f t="shared" si="7"/>
        <v>17.2</v>
      </c>
    </row>
    <row r="245" spans="1:9" ht="24" customHeight="1">
      <c r="A245" s="12">
        <v>243</v>
      </c>
      <c r="B245" s="20" t="str">
        <f>IF('بنود العقد'!B245&lt;&gt;"", 'بنود العقد'!B245, "")</f>
        <v>نظام إدارة المبنى BMS    تصميم وتوريد وتركيب نظام لإدارة المبنى أتوماتيكياً على أن يكون نظام التشغيل )OPEN PROTOCOL ( حسب توصيات الاستشارى المشرف وذلك للتحكم في تشغيل ومراقبة الانظمة الميكانيكية والكهربائية التالية :                                                  ـ التشلرات والمراوح ووحدات مناولة الهواء ووحدات ملف المروحة ومضخات المياه ووحدة ضخ الهواء وإنظمة الحريق والتحكم في الأنظمة والمعدات الميكانيكية بالمبنى - والتحكم في تشغيل ومتابعة حالة اللوحات الكهربائية الرئيسية والثانوية والمصاعد وكل الأنظمة التي يراها الاستشاري لأزمة مع الأخذ في الاعتبار قابلية التوسع في المباني المستقبلية .توريد وتركيب وتوصيل نظام إدارة المباني ) BMS ( لأنظمة HVAC ، وأنظمة السباكة ، ونظام الحريق ، والأنظمة الكهربائية والخدمات الخارجية ، كاملة بما في ذلك وحدات التحكم ونقاط التحكم والأسلاك والقنوات وصناديق السحب وصناديق التوصيل الثانوية وجميع عمليات التثبيت الضرورية مستلزمات؛ كل ما هو محدد ومفصل على الرسومات والموصوفة في المواصفات. والنظام يجب ان يتضمن البرامج واجهزة التحكم واجهزة المواقع ونقاط التحكم والاسلاك المتصلة بباقي الانظمة والمواسير وعلب السحب وعلب التوصيل الثانوية وجميع اكسسوارات ومتطلبات التركيبات الضرورية وهذه الاجهزة يجب ان يتم توصيلها مع جميع انظمة شبكة IP سواء من خلال تمكين اجهزة IP او من خلال بوابة IP او الموزع ويجب ان تشمل وحدات التحكم الطرفية التركيبات الضرورية والبرمجة والدمج عند اللزوم لتأسيس الاتصال والتعامل بين اجهزة التركيبات الالكتروميكانيكية وانظمة السلامة وانظمة الامن حسب اوامر ونظام التشغيل ووفقا لنظام وحسب تعليمات مهندس المشرف و يجب ان يتوافق النظام مع الانظمة الحالية للترشيد و المراقبة و يكون النظام لكامل المبني</v>
      </c>
      <c r="C245" s="12" t="str">
        <f>IF('بنود العقد'!C245&lt;&gt;"", 'بنود العقد'!C245, "")</f>
        <v>كهرباء</v>
      </c>
      <c r="D245" s="9">
        <f>IF('بنود العقد'!F245&lt;&gt;"", 'بنود العقد'!F245, "")</f>
        <v>1</v>
      </c>
      <c r="E245" s="18">
        <f>IF(B245&lt;&gt;"", SUMPRODUCT(('بنود المطالبات'!C$3:C$1805=A245)*'بنود المطالبات'!I$3:I$1805), "")</f>
        <v>0.91700000000000004</v>
      </c>
      <c r="F245" s="18">
        <f>IFERROR(IF(AND(E245&lt;&gt;"",'بنود العقد'!E245&lt;&gt;""), E245*'بنود العقد'!E245, 0), 0)</f>
        <v>2310840</v>
      </c>
      <c r="G245" s="9">
        <f t="shared" si="6"/>
        <v>8.2999999999999963E-2</v>
      </c>
      <c r="H245" s="9">
        <f>IF(AND('بنود العقد'!G245&lt;&gt;"",F245&lt;&gt;""), 'بنود العقد'!G245-F245, "")</f>
        <v>209160</v>
      </c>
      <c r="I245" s="21">
        <f t="shared" si="7"/>
        <v>91.7</v>
      </c>
    </row>
    <row r="246" spans="1:9" ht="24" customHeight="1">
      <c r="A246" s="12">
        <v>244</v>
      </c>
      <c r="B246" s="20" t="str">
        <f>IF('بنود العقد'!B246&lt;&gt;"", 'بنود العقد'!B246,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اللازمة.PP-1,  200 A ,MCCB</v>
      </c>
      <c r="C246" s="12" t="str">
        <f>IF('بنود العقد'!C246&lt;&gt;"", 'بنود العقد'!C246, "")</f>
        <v>كهرباء</v>
      </c>
      <c r="D246" s="9">
        <f>IF('بنود العقد'!F246&lt;&gt;"", 'بنود العقد'!F246, "")</f>
        <v>6</v>
      </c>
      <c r="E246" s="18">
        <f>IF(B246&lt;&gt;"", SUMPRODUCT(('بنود المطالبات'!C$3:C$1805=A246)*'بنود المطالبات'!I$3:I$1805), "")</f>
        <v>16</v>
      </c>
      <c r="F246" s="18">
        <f>IFERROR(IF(AND(E246&lt;&gt;"",'بنود العقد'!E246&lt;&gt;""), E246*'بنود العقد'!E246, 0), 0)</f>
        <v>153600</v>
      </c>
      <c r="G246" s="9">
        <f t="shared" si="6"/>
        <v>-10</v>
      </c>
      <c r="H246" s="9">
        <f>IF(AND('بنود العقد'!G246&lt;&gt;"",F246&lt;&gt;""), 'بنود العقد'!G246-F246, "")</f>
        <v>-96000</v>
      </c>
      <c r="I246" s="21">
        <f t="shared" si="7"/>
        <v>100</v>
      </c>
    </row>
    <row r="247" spans="1:9" ht="24" customHeight="1">
      <c r="A247" s="12">
        <v>245</v>
      </c>
      <c r="B247" s="20" t="str">
        <f>IF('بنود العقد'!B247&lt;&gt;"", 'بنود العقد'!B247,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 PP-2, 200 A , MCCB</v>
      </c>
      <c r="C247" s="12" t="str">
        <f>IF('بنود العقد'!C247&lt;&gt;"", 'بنود العقد'!C247, "")</f>
        <v>كهرباء</v>
      </c>
      <c r="D247" s="9">
        <f>IF('بنود العقد'!F247&lt;&gt;"", 'بنود العقد'!F247, "")</f>
        <v>6</v>
      </c>
      <c r="E247" s="18">
        <f>IF(B247&lt;&gt;"", SUMPRODUCT(('بنود المطالبات'!C$3:C$1805=A247)*'بنود المطالبات'!I$3:I$1805), "")</f>
        <v>12</v>
      </c>
      <c r="F247" s="18">
        <f>IFERROR(IF(AND(E247&lt;&gt;"",'بنود العقد'!E247&lt;&gt;""), E247*'بنود العقد'!E247, 0), 0)</f>
        <v>115200</v>
      </c>
      <c r="G247" s="9">
        <f t="shared" si="6"/>
        <v>-6</v>
      </c>
      <c r="H247" s="9">
        <f>IF(AND('بنود العقد'!G247&lt;&gt;"",F247&lt;&gt;""), 'بنود العقد'!G247-F247, "")</f>
        <v>-57600</v>
      </c>
      <c r="I247" s="21">
        <f t="shared" si="7"/>
        <v>100</v>
      </c>
    </row>
    <row r="248" spans="1:9" ht="24" customHeight="1">
      <c r="A248" s="12">
        <v>246</v>
      </c>
      <c r="B248" s="20" t="str">
        <f>IF('بنود العقد'!B248&lt;&gt;"", 'بنود العقد'!B248,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 PP-3, 200 A , MCCB</v>
      </c>
      <c r="C248" s="12" t="str">
        <f>IF('بنود العقد'!C248&lt;&gt;"", 'بنود العقد'!C248, "")</f>
        <v>كهرباء</v>
      </c>
      <c r="D248" s="9">
        <f>IF('بنود العقد'!F248&lt;&gt;"", 'بنود العقد'!F248, "")</f>
        <v>6</v>
      </c>
      <c r="E248" s="18">
        <f>IF(B248&lt;&gt;"", SUMPRODUCT(('بنود المطالبات'!C$3:C$1805=A248)*'بنود المطالبات'!I$3:I$1805), "")</f>
        <v>15</v>
      </c>
      <c r="F248" s="18">
        <f>IFERROR(IF(AND(E248&lt;&gt;"",'بنود العقد'!E248&lt;&gt;""), E248*'بنود العقد'!E248, 0), 0)</f>
        <v>144000</v>
      </c>
      <c r="G248" s="9">
        <f t="shared" si="6"/>
        <v>-9</v>
      </c>
      <c r="H248" s="9">
        <f>IF(AND('بنود العقد'!G248&lt;&gt;"",F248&lt;&gt;""), 'بنود العقد'!G248-F248, "")</f>
        <v>-86400</v>
      </c>
      <c r="I248" s="21">
        <f t="shared" si="7"/>
        <v>100</v>
      </c>
    </row>
    <row r="249" spans="1:9" ht="24" customHeight="1">
      <c r="A249" s="12">
        <v>247</v>
      </c>
      <c r="B249" s="20" t="str">
        <f>IF('بنود العقد'!B249&lt;&gt;"", 'بنود العقد'!B249,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اللازمة.PP-4, 200 A , MCCB</v>
      </c>
      <c r="C249" s="12" t="str">
        <f>IF('بنود العقد'!C249&lt;&gt;"", 'بنود العقد'!C249, "")</f>
        <v>كهرباء</v>
      </c>
      <c r="D249" s="9">
        <f>IF('بنود العقد'!F249&lt;&gt;"", 'بنود العقد'!F249, "")</f>
        <v>6</v>
      </c>
      <c r="E249" s="18">
        <f>IF(B249&lt;&gt;"", SUMPRODUCT(('بنود المطالبات'!C$3:C$1805=A249)*'بنود المطالبات'!I$3:I$1805), "")</f>
        <v>17</v>
      </c>
      <c r="F249" s="18">
        <f>IFERROR(IF(AND(E249&lt;&gt;"",'بنود العقد'!E249&lt;&gt;""), E249*'بنود العقد'!E249, 0), 0)</f>
        <v>163200</v>
      </c>
      <c r="G249" s="9">
        <f t="shared" si="6"/>
        <v>-11</v>
      </c>
      <c r="H249" s="9">
        <f>IF(AND('بنود العقد'!G249&lt;&gt;"",F249&lt;&gt;""), 'بنود العقد'!G249-F249, "")</f>
        <v>-105600</v>
      </c>
      <c r="I249" s="21">
        <f t="shared" si="7"/>
        <v>100</v>
      </c>
    </row>
    <row r="250" spans="1:9" ht="24" customHeight="1">
      <c r="A250" s="12">
        <v>248</v>
      </c>
      <c r="B250" s="20" t="str">
        <f>IF('بنود العقد'!B250&lt;&gt;"", 'بنود العقد'!B250,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v>
      </c>
      <c r="C250" s="12" t="str">
        <f>IF('بنود العقد'!C250&lt;&gt;"", 'بنود العقد'!C250, "")</f>
        <v>كهرباء</v>
      </c>
      <c r="D250" s="9">
        <f>IF('بنود العقد'!F250&lt;&gt;"", 'بنود العقد'!F250, "")</f>
        <v>282</v>
      </c>
      <c r="E250" s="18">
        <f>IF(B250&lt;&gt;"", SUMPRODUCT(('بنود المطالبات'!C$3:C$1805=A250)*'بنود المطالبات'!I$3:I$1805), "")</f>
        <v>374</v>
      </c>
      <c r="F250" s="18">
        <f>IFERROR(IF(AND(E250&lt;&gt;"",'بنود العقد'!E250&lt;&gt;""), E250*'بنود العقد'!E250, 0), 0)</f>
        <v>80784</v>
      </c>
      <c r="G250" s="9">
        <f t="shared" si="6"/>
        <v>-92</v>
      </c>
      <c r="H250" s="9">
        <f>IF(AND('بنود العقد'!G250&lt;&gt;"",F250&lt;&gt;""), 'بنود العقد'!G250-F250, "")</f>
        <v>-19872</v>
      </c>
      <c r="I250" s="21">
        <f t="shared" si="7"/>
        <v>100</v>
      </c>
    </row>
    <row r="251" spans="1:9" ht="24" customHeight="1">
      <c r="A251" s="12">
        <v>249</v>
      </c>
      <c r="B251" s="20" t="str">
        <f>IF('بنود العقد'!B251&lt;&gt;"", 'بنود العقد'!B251,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مقبس ثنائي سقفى، من النوع المؤرض، 15 أمبير، 230 فولت، طور واحد، قطبين، 3 أسلاك.</v>
      </c>
      <c r="C251" s="12" t="str">
        <f>IF('بنود العقد'!C251&lt;&gt;"", 'بنود العقد'!C251, "")</f>
        <v>كهرباء</v>
      </c>
      <c r="D251" s="9">
        <f>IF('بنود العقد'!F251&lt;&gt;"", 'بنود العقد'!F251, "")</f>
        <v>126</v>
      </c>
      <c r="E251" s="18">
        <f>IF(B251&lt;&gt;"", SUMPRODUCT(('بنود المطالبات'!C$3:C$1805=A251)*'بنود المطالبات'!I$3:I$1805), "")</f>
        <v>179</v>
      </c>
      <c r="F251" s="18">
        <f>IFERROR(IF(AND(E251&lt;&gt;"",'بنود العقد'!E251&lt;&gt;""), E251*'بنود العقد'!E251, 0), 0)</f>
        <v>38664</v>
      </c>
      <c r="G251" s="9">
        <f t="shared" si="6"/>
        <v>-53</v>
      </c>
      <c r="H251" s="9">
        <f>IF(AND('بنود العقد'!G251&lt;&gt;"",F251&lt;&gt;""), 'بنود العقد'!G251-F251, "")</f>
        <v>-11448</v>
      </c>
      <c r="I251" s="21">
        <f t="shared" si="7"/>
        <v>100</v>
      </c>
    </row>
    <row r="252" spans="1:9" ht="24" customHeight="1">
      <c r="A252" s="12">
        <v>250</v>
      </c>
      <c r="B252" s="20" t="str">
        <f>IF('بنود العقد'!B252&lt;&gt;"", 'بنود العقد'!B252,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الارض، من النوع المؤرض، 15 أمبير، 230 فولت، طور واحد، قطبين، 3 أسلاك.</v>
      </c>
      <c r="C252" s="12" t="str">
        <f>IF('بنود العقد'!C252&lt;&gt;"", 'بنود العقد'!C252, "")</f>
        <v>كهرباء</v>
      </c>
      <c r="D252" s="9">
        <f>IF('بنود العقد'!F252&lt;&gt;"", 'بنود العقد'!F252, "")</f>
        <v>120</v>
      </c>
      <c r="E252" s="18">
        <f>IF(B252&lt;&gt;"", SUMPRODUCT(('بنود المطالبات'!C$3:C$1805=A252)*'بنود المطالبات'!I$3:I$1805), "")</f>
        <v>0</v>
      </c>
      <c r="F252" s="18">
        <f>IFERROR(IF(AND(E252&lt;&gt;"",'بنود العقد'!E252&lt;&gt;""), E252*'بنود العقد'!E252, 0), 0)</f>
        <v>0</v>
      </c>
      <c r="G252" s="9">
        <f t="shared" si="6"/>
        <v>120</v>
      </c>
      <c r="H252" s="9">
        <f>IF(AND('بنود العقد'!G252&lt;&gt;"",F252&lt;&gt;""), 'بنود العقد'!G252-F252, "")</f>
        <v>50400</v>
      </c>
      <c r="I252" s="21">
        <f t="shared" si="7"/>
        <v>0</v>
      </c>
    </row>
    <row r="253" spans="1:9" ht="24" customHeight="1">
      <c r="A253" s="12">
        <v>251</v>
      </c>
      <c r="B253" s="20" t="str">
        <f>IF('بنود العقد'!B253&lt;&gt;"", 'بنود العقد'!B253, "")</f>
        <v xml:space="preserve">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 RESIDUAL CURRENT DEVICE, 30mA TRIPPING( </v>
      </c>
      <c r="C253" s="12" t="str">
        <f>IF('بنود العقد'!C253&lt;&gt;"", 'بنود العقد'!C253, "")</f>
        <v>كهرباء</v>
      </c>
      <c r="D253" s="9">
        <f>IF('بنود العقد'!F253&lt;&gt;"", 'بنود العقد'!F253, "")</f>
        <v>50</v>
      </c>
      <c r="E253" s="18">
        <f>IF(B253&lt;&gt;"", SUMPRODUCT(('بنود المطالبات'!C$3:C$1805=A253)*'بنود المطالبات'!I$3:I$1805), "")</f>
        <v>86</v>
      </c>
      <c r="F253" s="18">
        <f>IFERROR(IF(AND(E253&lt;&gt;"",'بنود العقد'!E253&lt;&gt;""), E253*'بنود العقد'!E253, 0), 0)</f>
        <v>43344</v>
      </c>
      <c r="G253" s="9">
        <f t="shared" si="6"/>
        <v>-36</v>
      </c>
      <c r="H253" s="9">
        <f>IF(AND('بنود العقد'!G253&lt;&gt;"",F253&lt;&gt;""), 'بنود العقد'!G253-F253, "")</f>
        <v>-18144</v>
      </c>
      <c r="I253" s="21">
        <f t="shared" si="7"/>
        <v>100</v>
      </c>
    </row>
    <row r="254" spans="1:9" ht="24" customHeight="1">
      <c r="A254" s="12">
        <v>252</v>
      </c>
      <c r="B254" s="20" t="str">
        <f>IF('بنود العقد'!B254&lt;&gt;"", 'بنود العقد'!B254, "")</f>
        <v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مخرج مقبس متعدد الاستخدام ومؤرض 30 أمبير ، 230 فولت 3 أسلاك ، 1 فاز ، للمطبخ</v>
      </c>
      <c r="C254" s="12" t="str">
        <f>IF('بنود العقد'!C254&lt;&gt;"", 'بنود العقد'!C254, "")</f>
        <v>كهرباء</v>
      </c>
      <c r="D254" s="9">
        <f>IF('بنود العقد'!F254&lt;&gt;"", 'بنود العقد'!F254, "")</f>
        <v>32</v>
      </c>
      <c r="E254" s="18">
        <f>IF(B254&lt;&gt;"", SUMPRODUCT(('بنود المطالبات'!C$3:C$1805=A254)*'بنود المطالبات'!I$3:I$1805), "")</f>
        <v>0</v>
      </c>
      <c r="F254" s="18">
        <f>IFERROR(IF(AND(E254&lt;&gt;"",'بنود العقد'!E254&lt;&gt;""), E254*'بنود العقد'!E254, 0), 0)</f>
        <v>0</v>
      </c>
      <c r="G254" s="9">
        <f t="shared" si="6"/>
        <v>32</v>
      </c>
      <c r="H254" s="9">
        <f>IF(AND('بنود العقد'!G254&lt;&gt;"",F254&lt;&gt;""), 'بنود العقد'!G254-F254, "")</f>
        <v>12288</v>
      </c>
      <c r="I254" s="21">
        <f t="shared" si="7"/>
        <v>0</v>
      </c>
    </row>
    <row r="255" spans="1:9" ht="24" customHeight="1">
      <c r="A255" s="12">
        <v>253</v>
      </c>
      <c r="B255" s="20" t="str">
        <f>IF('بنود العقد'!B255&lt;&gt;"", 'بنود العقد'!B255, "")</f>
        <v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المشرفمخرج  ومؤرض 30 أمبير ، 230 فولت 3 أسلاك ، 1 فاز لمجفف الأيدي</v>
      </c>
      <c r="C255" s="12" t="str">
        <f>IF('بنود العقد'!C255&lt;&gt;"", 'بنود العقد'!C255, "")</f>
        <v>كهرباء</v>
      </c>
      <c r="D255" s="9">
        <f>IF('بنود العقد'!F255&lt;&gt;"", 'بنود العقد'!F255, "")</f>
        <v>72</v>
      </c>
      <c r="E255" s="18">
        <f>IF(B255&lt;&gt;"", SUMPRODUCT(('بنود المطالبات'!C$3:C$1805=A255)*'بنود المطالبات'!I$3:I$1805), "")</f>
        <v>102</v>
      </c>
      <c r="F255" s="18">
        <f>IFERROR(IF(AND(E255&lt;&gt;"",'بنود العقد'!E255&lt;&gt;""), E255*'بنود العقد'!E255, 0), 0)</f>
        <v>26928</v>
      </c>
      <c r="G255" s="9">
        <f t="shared" si="6"/>
        <v>-30</v>
      </c>
      <c r="H255" s="9">
        <f>IF(AND('بنود العقد'!G255&lt;&gt;"",F255&lt;&gt;""), 'بنود العقد'!G255-F255, "")</f>
        <v>-7920</v>
      </c>
      <c r="I255" s="21">
        <f t="shared" si="7"/>
        <v>100</v>
      </c>
    </row>
    <row r="256" spans="1:9" ht="24" customHeight="1">
      <c r="A256" s="12">
        <v>254</v>
      </c>
      <c r="B256" s="20" t="str">
        <f>IF('بنود العقد'!B256&lt;&gt;"", 'بنود العقد'!B256,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)A(  )تحتوى على  4 قوى &amp; 4 داتا (</v>
      </c>
      <c r="C256" s="12" t="str">
        <f>IF('بنود العقد'!C256&lt;&gt;"", 'بنود العقد'!C256, "")</f>
        <v>كهرباء</v>
      </c>
      <c r="D256" s="9">
        <f>IF('بنود العقد'!F256&lt;&gt;"", 'بنود العقد'!F256, "")</f>
        <v>286</v>
      </c>
      <c r="E256" s="18">
        <f>IF(B256&lt;&gt;"", SUMPRODUCT(('بنود المطالبات'!C$3:C$1805=A256)*'بنود المطالبات'!I$3:I$1805), "")</f>
        <v>513</v>
      </c>
      <c r="F256" s="18">
        <f>IFERROR(IF(AND(E256&lt;&gt;"",'بنود العقد'!E256&lt;&gt;""), E256*'بنود العقد'!E256, 0), 0)</f>
        <v>1108080</v>
      </c>
      <c r="G256" s="9">
        <f t="shared" si="6"/>
        <v>-227</v>
      </c>
      <c r="H256" s="9">
        <f>IF(AND('بنود العقد'!G256&lt;&gt;"",F256&lt;&gt;""), 'بنود العقد'!G256-F256, "")</f>
        <v>-490320</v>
      </c>
      <c r="I256" s="21">
        <f t="shared" si="7"/>
        <v>100</v>
      </c>
    </row>
    <row r="257" spans="1:9" ht="24" customHeight="1">
      <c r="A257" s="12">
        <v>255</v>
      </c>
      <c r="B257" s="20" t="str">
        <f>IF('بنود العقد'!B257&lt;&gt;"", 'بنود العقد'!B257,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)B(   )تحتوى على 2 قوى &amp; 2 داتا (</v>
      </c>
      <c r="C257" s="12" t="str">
        <f>IF('بنود العقد'!C257&lt;&gt;"", 'بنود العقد'!C257, "")</f>
        <v>كهرباء</v>
      </c>
      <c r="D257" s="9">
        <f>IF('بنود العقد'!F257&lt;&gt;"", 'بنود العقد'!F257, "")</f>
        <v>20</v>
      </c>
      <c r="E257" s="18">
        <f>IF(B257&lt;&gt;"", SUMPRODUCT(('بنود المطالبات'!C$3:C$1805=A257)*'بنود المطالبات'!I$3:I$1805), "")</f>
        <v>490</v>
      </c>
      <c r="F257" s="18">
        <f>IFERROR(IF(AND(E257&lt;&gt;"",'بنود العقد'!E257&lt;&gt;""), E257*'بنود العقد'!E257, 0), 0)</f>
        <v>882000</v>
      </c>
      <c r="G257" s="9">
        <f t="shared" si="6"/>
        <v>-470</v>
      </c>
      <c r="H257" s="9">
        <f>IF(AND('بنود العقد'!G257&lt;&gt;"",F257&lt;&gt;""), 'بنود العقد'!G257-F257, "")</f>
        <v>-846000</v>
      </c>
      <c r="I257" s="21">
        <f t="shared" si="7"/>
        <v>100</v>
      </c>
    </row>
    <row r="258" spans="1:9" ht="24" customHeight="1">
      <c r="A258" s="12">
        <v>256</v>
      </c>
      <c r="B258" s="20" t="str">
        <f>IF('بنود العقد'!B258&lt;&gt;"", 'بنود العقد'!B258,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)1FB(   )تحتوى على 1 قوى (</v>
      </c>
      <c r="C258" s="12" t="str">
        <f>IF('بنود العقد'!C258&lt;&gt;"", 'بنود العقد'!C258, "")</f>
        <v>كهرباء</v>
      </c>
      <c r="D258" s="9">
        <f>IF('بنود العقد'!F258&lt;&gt;"", 'بنود العقد'!F258, "")</f>
        <v>141</v>
      </c>
      <c r="E258" s="18">
        <f>IF(B258&lt;&gt;"", SUMPRODUCT(('بنود المطالبات'!C$3:C$1805=A258)*'بنود المطالبات'!I$3:I$1805), "")</f>
        <v>131</v>
      </c>
      <c r="F258" s="18">
        <f>IFERROR(IF(AND(E258&lt;&gt;"",'بنود العقد'!E258&lt;&gt;""), E258*'بنود العقد'!E258, 0), 0)</f>
        <v>94320</v>
      </c>
      <c r="G258" s="9">
        <f t="shared" si="6"/>
        <v>10</v>
      </c>
      <c r="H258" s="9">
        <f>IF(AND('بنود العقد'!G258&lt;&gt;"",F258&lt;&gt;""), 'بنود العقد'!G258-F258, "")</f>
        <v>7200</v>
      </c>
      <c r="I258" s="21">
        <f t="shared" si="7"/>
        <v>92.907801418439718</v>
      </c>
    </row>
    <row r="259" spans="1:9" ht="24" customHeight="1">
      <c r="A259" s="12">
        <v>257</v>
      </c>
      <c r="B259" s="20" t="str">
        <f>IF('بنود العقد'!B259&lt;&gt;"", 'بنود العقد'!B259,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)2FB(   )تحتوى على 2 قوى (</v>
      </c>
      <c r="C259" s="12" t="str">
        <f>IF('بنود العقد'!C259&lt;&gt;"", 'بنود العقد'!C259, "")</f>
        <v>كهرباء</v>
      </c>
      <c r="D259" s="9">
        <f>IF('بنود العقد'!F259&lt;&gt;"", 'بنود العقد'!F259, "")</f>
        <v>4</v>
      </c>
      <c r="E259" s="18">
        <f>IF(B259&lt;&gt;"", SUMPRODUCT(('بنود المطالبات'!C$3:C$1805=A259)*'بنود المطالبات'!I$3:I$1805), "")</f>
        <v>10</v>
      </c>
      <c r="F259" s="18">
        <f>IFERROR(IF(AND(E259&lt;&gt;"",'بنود العقد'!E259&lt;&gt;""), E259*'بنود العقد'!E259, 0), 0)</f>
        <v>9600</v>
      </c>
      <c r="G259" s="9">
        <f t="shared" ref="G259:G322" si="8">IF(AND(D259&lt;&gt;"",E259&lt;&gt;""), D259-E259, "")</f>
        <v>-6</v>
      </c>
      <c r="H259" s="9">
        <f>IF(AND('بنود العقد'!G259&lt;&gt;"",F259&lt;&gt;""), 'بنود العقد'!G259-F259, "")</f>
        <v>-5760</v>
      </c>
      <c r="I259" s="21">
        <f t="shared" ref="I259:I322" si="9">IFERROR(IF(AND(E259&lt;&gt;"",D259&lt;&gt;"",D259&gt;0), MIN(E259/D259*100, 100), 0), 0)</f>
        <v>100</v>
      </c>
    </row>
    <row r="260" spans="1:9" ht="24" customHeight="1">
      <c r="A260" s="12">
        <v>258</v>
      </c>
      <c r="B260" s="20" t="str">
        <f>IF('بنود العقد'!B260&lt;&gt;"", 'بنود العقد'!B260, "")</f>
        <v xml:space="preserve"> 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وحتى كابينة الداتا  وحسب CAT 6A UTP المقابس + )ب( مآخذ للهاتف والبيانات ذات كابلات .بالوزارة IT  مواصفات إدارة الـ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Type JB 1U  ( 2 power &amp; 1 data )</v>
      </c>
      <c r="C260" s="12" t="str">
        <f>IF('بنود العقد'!C260&lt;&gt;"", 'بنود العقد'!C260, "")</f>
        <v>كهرباء</v>
      </c>
      <c r="D260" s="9">
        <f>IF('بنود العقد'!F260&lt;&gt;"", 'بنود العقد'!F260, "")</f>
        <v>119</v>
      </c>
      <c r="E260" s="18">
        <f>IF(B260&lt;&gt;"", SUMPRODUCT(('بنود المطالبات'!C$3:C$1805=A260)*'بنود المطالبات'!I$3:I$1805), "")</f>
        <v>0</v>
      </c>
      <c r="F260" s="18">
        <f>IFERROR(IF(AND(E260&lt;&gt;"",'بنود العقد'!E260&lt;&gt;""), E260*'بنود العقد'!E260, 0), 0)</f>
        <v>0</v>
      </c>
      <c r="G260" s="9">
        <f t="shared" si="8"/>
        <v>119</v>
      </c>
      <c r="H260" s="9">
        <f>IF(AND('بنود العقد'!G260&lt;&gt;"",F260&lt;&gt;""), 'بنود العقد'!G260-F260, "")</f>
        <v>71400</v>
      </c>
      <c r="I260" s="21">
        <f t="shared" si="9"/>
        <v>0</v>
      </c>
    </row>
    <row r="261" spans="1:9" ht="24" customHeight="1">
      <c r="A261" s="12">
        <v>259</v>
      </c>
      <c r="B261" s="20" t="str">
        <f>IF('بنود العقد'!B261&lt;&gt;"", 'بنود العقد'!B261, "")</f>
        <v xml:space="preserve"> 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وحتى كابينة الداتا  وحسب CAT 6A UTP المقابس + )ب( مآخذ للهاتف والبيانات ذات كابلات .بالوزارة IT  مواصفات إدارة الـ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Type JB 2U  ( 4 power &amp; 2 data )</v>
      </c>
      <c r="C261" s="12" t="str">
        <f>IF('بنود العقد'!C261&lt;&gt;"", 'بنود العقد'!C261, "")</f>
        <v>كهرباء</v>
      </c>
      <c r="D261" s="9">
        <f>IF('بنود العقد'!F261&lt;&gt;"", 'بنود العقد'!F261, "")</f>
        <v>75</v>
      </c>
      <c r="E261" s="18">
        <f>IF(B261&lt;&gt;"", SUMPRODUCT(('بنود المطالبات'!C$3:C$1805=A261)*'بنود المطالبات'!I$3:I$1805), "")</f>
        <v>0</v>
      </c>
      <c r="F261" s="18">
        <f>IFERROR(IF(AND(E261&lt;&gt;"",'بنود العقد'!E261&lt;&gt;""), E261*'بنود العقد'!E261, 0), 0)</f>
        <v>0</v>
      </c>
      <c r="G261" s="9">
        <f t="shared" si="8"/>
        <v>75</v>
      </c>
      <c r="H261" s="9">
        <f>IF(AND('بنود العقد'!G261&lt;&gt;"",F261&lt;&gt;""), 'بنود العقد'!G261-F261, "")</f>
        <v>63000</v>
      </c>
      <c r="I261" s="21">
        <f t="shared" si="9"/>
        <v>0</v>
      </c>
    </row>
    <row r="262" spans="1:9" ht="24" customHeight="1">
      <c r="A262" s="12">
        <v>260</v>
      </c>
      <c r="B262" s="20" t="str">
        <f>IF('بنود العقد'!B262&lt;&gt;"", 'بنود العقد'!B262, "")</f>
        <v xml:space="preserve"> 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وحتى كابينة الداتا  وحسب CAT 6A UTP المقابس + )ب( مآخذ للهاتف والبيانات ذات كابلات .بالوزارة IT  مواصفات إدارة الـ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Type JB 4U ( 8 power &amp; 4 data )</v>
      </c>
      <c r="C262" s="12" t="str">
        <f>IF('بنود العقد'!C262&lt;&gt;"", 'بنود العقد'!C262, "")</f>
        <v>كهرباء</v>
      </c>
      <c r="D262" s="9">
        <f>IF('بنود العقد'!F262&lt;&gt;"", 'بنود العقد'!F262, "")</f>
        <v>324</v>
      </c>
      <c r="E262" s="18">
        <f>IF(B262&lt;&gt;"", SUMPRODUCT(('بنود المطالبات'!C$3:C$1805=A262)*'بنود المطالبات'!I$3:I$1805), "")</f>
        <v>0</v>
      </c>
      <c r="F262" s="18">
        <f>IFERROR(IF(AND(E262&lt;&gt;"",'بنود العقد'!E262&lt;&gt;""), E262*'بنود العقد'!E262, 0), 0)</f>
        <v>0</v>
      </c>
      <c r="G262" s="9">
        <f t="shared" si="8"/>
        <v>324</v>
      </c>
      <c r="H262" s="9">
        <f>IF(AND('بنود العقد'!G262&lt;&gt;"",F262&lt;&gt;""), 'بنود العقد'!G262-F262, "")</f>
        <v>466560</v>
      </c>
      <c r="I262" s="21">
        <f t="shared" si="9"/>
        <v>0</v>
      </c>
    </row>
    <row r="263" spans="1:9" ht="24" customHeight="1">
      <c r="A263" s="12">
        <v>261</v>
      </c>
      <c r="B263" s="20" t="str">
        <f>IF('بنود العقد'!B263&lt;&gt;"", 'بنود العقد'!B263, "")</f>
        <v xml:space="preserve"> توريد وتركيب واختبار والتشغيل التجريبي لمفاتيح فصل على الحمل من النوع عالية التحمل مع ماسورة  التثبيت المعدنية المرنة والمانعة لنفاذ السوائل، وقطع الإكسسوارعلى المقاول المعاينة و فحص الشبكة الحالية و الاستفادة من التمديدات الحالية و دمجها مع التركيبات الجديدة بعد عمل الاختبارات اللازمة و بعدالموافقة من مهندس المشرف  وبالإستطاعات التالية 30 A, 250 V, 2P</v>
      </c>
      <c r="C263" s="12" t="str">
        <f>IF('بنود العقد'!C263&lt;&gt;"", 'بنود العقد'!C263, "")</f>
        <v>كهرباء</v>
      </c>
      <c r="D263" s="9">
        <f>IF('بنود العقد'!F263&lt;&gt;"", 'بنود العقد'!F263, "")</f>
        <v>445</v>
      </c>
      <c r="E263" s="18">
        <f>IF(B263&lt;&gt;"", SUMPRODUCT(('بنود المطالبات'!C$3:C$1805=A263)*'بنود المطالبات'!I$3:I$1805), "")</f>
        <v>513</v>
      </c>
      <c r="F263" s="18">
        <f>IFERROR(IF(AND(E263&lt;&gt;"",'بنود العقد'!E263&lt;&gt;""), E263*'بنود العقد'!E263, 0), 0)</f>
        <v>196992</v>
      </c>
      <c r="G263" s="9">
        <f t="shared" si="8"/>
        <v>-68</v>
      </c>
      <c r="H263" s="9">
        <f>IF(AND('بنود العقد'!G263&lt;&gt;"",F263&lt;&gt;""), 'بنود العقد'!G263-F263, "")</f>
        <v>-26112</v>
      </c>
      <c r="I263" s="21">
        <f t="shared" si="9"/>
        <v>100</v>
      </c>
    </row>
    <row r="264" spans="1:9" ht="24" customHeight="1">
      <c r="A264" s="12">
        <v>262</v>
      </c>
      <c r="B264" s="20" t="str">
        <f>IF('بنود العقد'!B264&lt;&gt;"", 'بنود العقد'!B264,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v>
      </c>
      <c r="C264" s="12" t="str">
        <f>IF('بنود العقد'!C264&lt;&gt;"", 'بنود العقد'!C264, "")</f>
        <v>كهرباء</v>
      </c>
      <c r="D264" s="9">
        <f>IF('بنود العقد'!F264&lt;&gt;"", 'بنود العقد'!F264, "")</f>
        <v>530</v>
      </c>
      <c r="E264" s="18">
        <f>IF(B264&lt;&gt;"", SUMPRODUCT(('بنود المطالبات'!C$3:C$1805=A264)*'بنود المطالبات'!I$3:I$1805), "")</f>
        <v>289</v>
      </c>
      <c r="F264" s="18">
        <f>IFERROR(IF(AND(E264&lt;&gt;"",'بنود العقد'!E264&lt;&gt;""), E264*'بنود العقد'!E264, 0), 0)</f>
        <v>100572</v>
      </c>
      <c r="G264" s="9">
        <f t="shared" si="8"/>
        <v>241</v>
      </c>
      <c r="H264" s="9">
        <f>IF(AND('بنود العقد'!G264&lt;&gt;"",F264&lt;&gt;""), 'بنود العقد'!G264-F264, "")</f>
        <v>83868</v>
      </c>
      <c r="I264" s="21">
        <f t="shared" si="9"/>
        <v>54.528301886792448</v>
      </c>
    </row>
    <row r="265" spans="1:9" ht="24" customHeight="1">
      <c r="A265" s="12">
        <v>263</v>
      </c>
      <c r="B265" s="20" t="str">
        <f>IF('بنود العقد'!B265&lt;&gt;"", 'بنود العقد'!B265,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A1E</v>
      </c>
      <c r="C265" s="12" t="str">
        <f>IF('بنود العقد'!C265&lt;&gt;"", 'بنود العقد'!C265, "")</f>
        <v>كهرباء</v>
      </c>
      <c r="D265" s="9">
        <f>IF('بنود العقد'!F265&lt;&gt;"", 'بنود العقد'!F265, "")</f>
        <v>241</v>
      </c>
      <c r="E265" s="18">
        <f>IF(B265&lt;&gt;"", SUMPRODUCT(('بنود المطالبات'!C$3:C$1805=A265)*'بنود المطالبات'!I$3:I$1805), "")</f>
        <v>220</v>
      </c>
      <c r="F265" s="18">
        <f>IFERROR(IF(AND(E265&lt;&gt;"",'بنود العقد'!E265&lt;&gt;""), E265*'بنود العقد'!E265, 0), 0)</f>
        <v>145200</v>
      </c>
      <c r="G265" s="9">
        <f t="shared" si="8"/>
        <v>21</v>
      </c>
      <c r="H265" s="9">
        <f>IF(AND('بنود العقد'!G265&lt;&gt;"",F265&lt;&gt;""), 'بنود العقد'!G265-F265, "")</f>
        <v>13860</v>
      </c>
      <c r="I265" s="21">
        <f t="shared" si="9"/>
        <v>91.286307053941911</v>
      </c>
    </row>
    <row r="266" spans="1:9" ht="24" customHeight="1">
      <c r="A266" s="12">
        <v>264</v>
      </c>
      <c r="B266" s="20" t="str">
        <f>IF('بنود العقد'!B266&lt;&gt;"", 'بنود العقد'!B266,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A2</v>
      </c>
      <c r="C266" s="12" t="str">
        <f>IF('بنود العقد'!C266&lt;&gt;"", 'بنود العقد'!C266, "")</f>
        <v>كهرباء</v>
      </c>
      <c r="D266" s="9">
        <f>IF('بنود العقد'!F266&lt;&gt;"", 'بنود العقد'!F266, "")</f>
        <v>1113</v>
      </c>
      <c r="E266" s="18">
        <f>IF(B266&lt;&gt;"", SUMPRODUCT(('بنود المطالبات'!C$3:C$1805=A266)*'بنود المطالبات'!I$3:I$1805), "")</f>
        <v>1160</v>
      </c>
      <c r="F266" s="18">
        <f>IFERROR(IF(AND(E266&lt;&gt;"",'بنود العقد'!E266&lt;&gt;""), E266*'بنود العقد'!E266, 0), 0)</f>
        <v>1211040</v>
      </c>
      <c r="G266" s="9">
        <f t="shared" si="8"/>
        <v>-47</v>
      </c>
      <c r="H266" s="9">
        <f>IF(AND('بنود العقد'!G266&lt;&gt;"",F266&lt;&gt;""), 'بنود العقد'!G266-F266, "")</f>
        <v>-49068</v>
      </c>
      <c r="I266" s="21">
        <f t="shared" si="9"/>
        <v>100</v>
      </c>
    </row>
    <row r="267" spans="1:9" ht="24" customHeight="1">
      <c r="A267" s="12">
        <v>265</v>
      </c>
      <c r="B267" s="20" t="str">
        <f>IF('بنود العقد'!B267&lt;&gt;"", 'بنود العقد'!B267,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A3</v>
      </c>
      <c r="C267" s="12" t="str">
        <f>IF('بنود العقد'!C267&lt;&gt;"", 'بنود العقد'!C267, "")</f>
        <v>كهرباء</v>
      </c>
      <c r="D267" s="9">
        <f>IF('بنود العقد'!F267&lt;&gt;"", 'بنود العقد'!F267, "")</f>
        <v>8</v>
      </c>
      <c r="E267" s="18">
        <f>IF(B267&lt;&gt;"", SUMPRODUCT(('بنود المطالبات'!C$3:C$1805=A267)*'بنود المطالبات'!I$3:I$1805), "")</f>
        <v>0</v>
      </c>
      <c r="F267" s="18">
        <f>IFERROR(IF(AND(E267&lt;&gt;"",'بنود العقد'!E267&lt;&gt;""), E267*'بنود العقد'!E267, 0), 0)</f>
        <v>0</v>
      </c>
      <c r="G267" s="9">
        <f t="shared" si="8"/>
        <v>8</v>
      </c>
      <c r="H267" s="9">
        <f>IF(AND('بنود العقد'!G267&lt;&gt;"",F267&lt;&gt;""), 'بنود العقد'!G267-F267, "")</f>
        <v>8352</v>
      </c>
      <c r="I267" s="21">
        <f t="shared" si="9"/>
        <v>0</v>
      </c>
    </row>
    <row r="268" spans="1:9" ht="24" customHeight="1">
      <c r="A268" s="12">
        <v>266</v>
      </c>
      <c r="B268" s="20" t="str">
        <f>IF('بنود العقد'!B268&lt;&gt;"", 'بنود العقد'!B268,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A4</v>
      </c>
      <c r="C268" s="12" t="str">
        <f>IF('بنود العقد'!C268&lt;&gt;"", 'بنود العقد'!C268, "")</f>
        <v>كهرباء</v>
      </c>
      <c r="D268" s="9">
        <f>IF('بنود العقد'!F268&lt;&gt;"", 'بنود العقد'!F268, "")</f>
        <v>1</v>
      </c>
      <c r="E268" s="18">
        <f>IF(B268&lt;&gt;"", SUMPRODUCT(('بنود المطالبات'!C$3:C$1805=A268)*'بنود المطالبات'!I$3:I$1805), "")</f>
        <v>1</v>
      </c>
      <c r="F268" s="18">
        <f>IFERROR(IF(AND(E268&lt;&gt;"",'بنود العقد'!E268&lt;&gt;""), E268*'بنود العقد'!E268, 0), 0)</f>
        <v>1044</v>
      </c>
      <c r="G268" s="9">
        <f t="shared" si="8"/>
        <v>0</v>
      </c>
      <c r="H268" s="9">
        <f>IF(AND('بنود العقد'!G268&lt;&gt;"",F268&lt;&gt;""), 'بنود العقد'!G268-F268, "")</f>
        <v>0</v>
      </c>
      <c r="I268" s="21">
        <f t="shared" si="9"/>
        <v>100</v>
      </c>
    </row>
    <row r="269" spans="1:9" ht="24" customHeight="1">
      <c r="A269" s="12">
        <v>267</v>
      </c>
      <c r="B269" s="20" t="str">
        <f>IF('بنود العقد'!B269&lt;&gt;"", 'بنود العقد'!B269,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A5</v>
      </c>
      <c r="C269" s="12" t="str">
        <f>IF('بنود العقد'!C269&lt;&gt;"", 'بنود العقد'!C269, "")</f>
        <v>كهرباء</v>
      </c>
      <c r="D269" s="9">
        <f>IF('بنود العقد'!F269&lt;&gt;"", 'بنود العقد'!F269, "")</f>
        <v>4</v>
      </c>
      <c r="E269" s="18">
        <f>IF(B269&lt;&gt;"", SUMPRODUCT(('بنود المطالبات'!C$3:C$1805=A269)*'بنود المطالبات'!I$3:I$1805), "")</f>
        <v>0</v>
      </c>
      <c r="F269" s="18">
        <f>IFERROR(IF(AND(E269&lt;&gt;"",'بنود العقد'!E269&lt;&gt;""), E269*'بنود العقد'!E269, 0), 0)</f>
        <v>0</v>
      </c>
      <c r="G269" s="9">
        <f t="shared" si="8"/>
        <v>4</v>
      </c>
      <c r="H269" s="9">
        <f>IF(AND('بنود العقد'!G269&lt;&gt;"",F269&lt;&gt;""), 'بنود العقد'!G269-F269, "")</f>
        <v>4176</v>
      </c>
      <c r="I269" s="21">
        <f t="shared" si="9"/>
        <v>0</v>
      </c>
    </row>
    <row r="270" spans="1:9" ht="24" customHeight="1">
      <c r="A270" s="12">
        <v>268</v>
      </c>
      <c r="B270" s="20" t="str">
        <f>IF('بنود العقد'!B270&lt;&gt;"", 'بنود العقد'!B270,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A6</v>
      </c>
      <c r="C270" s="12" t="str">
        <f>IF('بنود العقد'!C270&lt;&gt;"", 'بنود العقد'!C270, "")</f>
        <v>كهرباء</v>
      </c>
      <c r="D270" s="9">
        <f>IF('بنود العقد'!F270&lt;&gt;"", 'بنود العقد'!F270, "")</f>
        <v>1</v>
      </c>
      <c r="E270" s="18">
        <f>IF(B270&lt;&gt;"", SUMPRODUCT(('بنود المطالبات'!C$3:C$1805=A270)*'بنود المطالبات'!I$3:I$1805), "")</f>
        <v>1</v>
      </c>
      <c r="F270" s="18">
        <f>IFERROR(IF(AND(E270&lt;&gt;"",'بنود العقد'!E270&lt;&gt;""), E270*'بنود العقد'!E270, 0), 0)</f>
        <v>1044</v>
      </c>
      <c r="G270" s="9">
        <f t="shared" si="8"/>
        <v>0</v>
      </c>
      <c r="H270" s="9">
        <f>IF(AND('بنود العقد'!G270&lt;&gt;"",F270&lt;&gt;""), 'بنود العقد'!G270-F270, "")</f>
        <v>0</v>
      </c>
      <c r="I270" s="21">
        <f t="shared" si="9"/>
        <v>100</v>
      </c>
    </row>
    <row r="271" spans="1:9" ht="24" customHeight="1">
      <c r="A271" s="12">
        <v>269</v>
      </c>
      <c r="B271" s="20" t="str">
        <f>IF('بنود العقد'!B271&lt;&gt;"", 'بنود العقد'!B271,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A7</v>
      </c>
      <c r="C271" s="12" t="str">
        <f>IF('بنود العقد'!C271&lt;&gt;"", 'بنود العقد'!C271, "")</f>
        <v>كهرباء</v>
      </c>
      <c r="D271" s="9">
        <f>IF('بنود العقد'!F271&lt;&gt;"", 'بنود العقد'!F271, "")</f>
        <v>2</v>
      </c>
      <c r="E271" s="18">
        <f>IF(B271&lt;&gt;"", SUMPRODUCT(('بنود المطالبات'!C$3:C$1805=A271)*'بنود المطالبات'!I$3:I$1805), "")</f>
        <v>2</v>
      </c>
      <c r="F271" s="18">
        <f>IFERROR(IF(AND(E271&lt;&gt;"",'بنود العقد'!E271&lt;&gt;""), E271*'بنود العقد'!E271, 0), 0)</f>
        <v>2088</v>
      </c>
      <c r="G271" s="9">
        <f t="shared" si="8"/>
        <v>0</v>
      </c>
      <c r="H271" s="9">
        <f>IF(AND('بنود العقد'!G271&lt;&gt;"",F271&lt;&gt;""), 'بنود العقد'!G271-F271, "")</f>
        <v>0</v>
      </c>
      <c r="I271" s="21">
        <f t="shared" si="9"/>
        <v>100</v>
      </c>
    </row>
    <row r="272" spans="1:9" ht="24" customHeight="1">
      <c r="A272" s="12">
        <v>270</v>
      </c>
      <c r="B272" s="20" t="str">
        <f>IF('بنود العقد'!B272&lt;&gt;"", 'بنود العقد'!B272,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A8</v>
      </c>
      <c r="C272" s="12" t="str">
        <f>IF('بنود العقد'!C272&lt;&gt;"", 'بنود العقد'!C272, "")</f>
        <v>كهرباء</v>
      </c>
      <c r="D272" s="9">
        <f>IF('بنود العقد'!F272&lt;&gt;"", 'بنود العقد'!F272, "")</f>
        <v>12</v>
      </c>
      <c r="E272" s="18">
        <f>IF(B272&lt;&gt;"", SUMPRODUCT(('بنود المطالبات'!C$3:C$1805=A272)*'بنود المطالبات'!I$3:I$1805), "")</f>
        <v>11</v>
      </c>
      <c r="F272" s="18">
        <f>IFERROR(IF(AND(E272&lt;&gt;"",'بنود العقد'!E272&lt;&gt;""), E272*'بنود العقد'!E272, 0), 0)</f>
        <v>11484</v>
      </c>
      <c r="G272" s="9">
        <f t="shared" si="8"/>
        <v>1</v>
      </c>
      <c r="H272" s="9">
        <f>IF(AND('بنود العقد'!G272&lt;&gt;"",F272&lt;&gt;""), 'بنود العقد'!G272-F272, "")</f>
        <v>1044</v>
      </c>
      <c r="I272" s="21">
        <f t="shared" si="9"/>
        <v>91.666666666666657</v>
      </c>
    </row>
    <row r="273" spans="1:9" ht="24" customHeight="1">
      <c r="A273" s="12">
        <v>271</v>
      </c>
      <c r="B273" s="20" t="str">
        <f>IF('بنود العقد'!B273&lt;&gt;"", 'بنود العقد'!B273,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v>
      </c>
      <c r="C273" s="12" t="str">
        <f>IF('بنود العقد'!C273&lt;&gt;"", 'بنود العقد'!C273, "")</f>
        <v>كهرباء</v>
      </c>
      <c r="D273" s="9">
        <f>IF('بنود العقد'!F273&lt;&gt;"", 'بنود العقد'!F273, "")</f>
        <v>4</v>
      </c>
      <c r="E273" s="18">
        <f>IF(B273&lt;&gt;"", SUMPRODUCT(('بنود المطالبات'!C$3:C$1805=A273)*'بنود المطالبات'!I$3:I$1805), "")</f>
        <v>4</v>
      </c>
      <c r="F273" s="18">
        <f>IFERROR(IF(AND(E273&lt;&gt;"",'بنود العقد'!E273&lt;&gt;""), E273*'بنود العقد'!E273, 0), 0)</f>
        <v>4176</v>
      </c>
      <c r="G273" s="9">
        <f t="shared" si="8"/>
        <v>0</v>
      </c>
      <c r="H273" s="9">
        <f>IF(AND('بنود العقد'!G273&lt;&gt;"",F273&lt;&gt;""), 'بنود العقد'!G273-F273, "")</f>
        <v>0</v>
      </c>
      <c r="I273" s="21">
        <f t="shared" si="9"/>
        <v>100</v>
      </c>
    </row>
    <row r="274" spans="1:9" ht="24" customHeight="1">
      <c r="A274" s="12">
        <v>272</v>
      </c>
      <c r="B274" s="20" t="str">
        <f>IF('بنود العقد'!B274&lt;&gt;"", 'بنود العقد'!B274,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B1</v>
      </c>
      <c r="C274" s="12" t="str">
        <f>IF('بنود العقد'!C274&lt;&gt;"", 'بنود العقد'!C274, "")</f>
        <v>كهرباء</v>
      </c>
      <c r="D274" s="9">
        <f>IF('بنود العقد'!F274&lt;&gt;"", 'بنود العقد'!F274, "")</f>
        <v>343</v>
      </c>
      <c r="E274" s="18">
        <f>IF(B274&lt;&gt;"", SUMPRODUCT(('بنود المطالبات'!C$3:C$1805=A274)*'بنود المطالبات'!I$3:I$1805), "")</f>
        <v>91</v>
      </c>
      <c r="F274" s="18">
        <f>IFERROR(IF(AND(E274&lt;&gt;"",'بنود العقد'!E274&lt;&gt;""), E274*'بنود العقد'!E274, 0), 0)</f>
        <v>65520</v>
      </c>
      <c r="G274" s="9">
        <f t="shared" si="8"/>
        <v>252</v>
      </c>
      <c r="H274" s="9">
        <f>IF(AND('بنود العقد'!G274&lt;&gt;"",F274&lt;&gt;""), 'بنود العقد'!G274-F274, "")</f>
        <v>181440</v>
      </c>
      <c r="I274" s="21">
        <f t="shared" si="9"/>
        <v>26.530612244897959</v>
      </c>
    </row>
    <row r="275" spans="1:9" ht="24" customHeight="1">
      <c r="A275" s="12">
        <v>273</v>
      </c>
      <c r="B275" s="20" t="str">
        <f>IF('بنود العقد'!B275&lt;&gt;"", 'بنود العقد'!B275,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B2</v>
      </c>
      <c r="C275" s="12" t="str">
        <f>IF('بنود العقد'!C275&lt;&gt;"", 'بنود العقد'!C275, "")</f>
        <v>كهرباء</v>
      </c>
      <c r="D275" s="9">
        <f>IF('بنود العقد'!F275&lt;&gt;"", 'بنود العقد'!F275, "")</f>
        <v>54</v>
      </c>
      <c r="E275" s="18">
        <f>IF(B275&lt;&gt;"", SUMPRODUCT(('بنود المطالبات'!C$3:C$1805=A275)*'بنود المطالبات'!I$3:I$1805), "")</f>
        <v>0</v>
      </c>
      <c r="F275" s="18">
        <f>IFERROR(IF(AND(E275&lt;&gt;"",'بنود العقد'!E275&lt;&gt;""), E275*'بنود العقد'!E275, 0), 0)</f>
        <v>0</v>
      </c>
      <c r="G275" s="9">
        <f t="shared" si="8"/>
        <v>54</v>
      </c>
      <c r="H275" s="9">
        <f>IF(AND('بنود العقد'!G275&lt;&gt;"",F275&lt;&gt;""), 'بنود العقد'!G275-F275, "")</f>
        <v>42120</v>
      </c>
      <c r="I275" s="21">
        <f t="shared" si="9"/>
        <v>0</v>
      </c>
    </row>
    <row r="276" spans="1:9" ht="24" customHeight="1">
      <c r="A276" s="12">
        <v>274</v>
      </c>
      <c r="B276" s="20" t="str">
        <f>IF('بنود العقد'!B276&lt;&gt;"", 'بنود العقد'!B276,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C1</v>
      </c>
      <c r="C276" s="12" t="str">
        <f>IF('بنود العقد'!C276&lt;&gt;"", 'بنود العقد'!C276, "")</f>
        <v>كهرباء</v>
      </c>
      <c r="D276" s="9">
        <f>IF('بنود العقد'!F276&lt;&gt;"", 'بنود العقد'!F276, "")</f>
        <v>172</v>
      </c>
      <c r="E276" s="18">
        <f>IF(B276&lt;&gt;"", SUMPRODUCT(('بنود المطالبات'!C$3:C$1805=A276)*'بنود المطالبات'!I$3:I$1805), "")</f>
        <v>167</v>
      </c>
      <c r="F276" s="18">
        <f>IFERROR(IF(AND(E276&lt;&gt;"",'بنود العقد'!E276&lt;&gt;""), E276*'بنود العقد'!E276, 0), 0)</f>
        <v>188376</v>
      </c>
      <c r="G276" s="9">
        <f t="shared" si="8"/>
        <v>5</v>
      </c>
      <c r="H276" s="9">
        <f>IF(AND('بنود العقد'!G276&lt;&gt;"",F276&lt;&gt;""), 'بنود العقد'!G276-F276, "")</f>
        <v>5640</v>
      </c>
      <c r="I276" s="21">
        <f t="shared" si="9"/>
        <v>97.093023255813947</v>
      </c>
    </row>
    <row r="277" spans="1:9" ht="24" customHeight="1">
      <c r="A277" s="12">
        <v>275</v>
      </c>
      <c r="B277" s="20" t="str">
        <f>IF('بنود العقد'!B277&lt;&gt;"", 'بنود العقد'!B277,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v>
      </c>
      <c r="C277" s="12" t="str">
        <f>IF('بنود العقد'!C277&lt;&gt;"", 'بنود العقد'!C277, "")</f>
        <v>كهرباء</v>
      </c>
      <c r="D277" s="9">
        <f>IF('بنود العقد'!F277&lt;&gt;"", 'بنود العقد'!F277, "")</f>
        <v>1422</v>
      </c>
      <c r="E277" s="18">
        <f>IF(B277&lt;&gt;"", SUMPRODUCT(('بنود المطالبات'!C$3:C$1805=A277)*'بنود المطالبات'!I$3:I$1805), "")</f>
        <v>1556</v>
      </c>
      <c r="F277" s="18">
        <f>IFERROR(IF(AND(E277&lt;&gt;"",'بنود العقد'!E277&lt;&gt;""), E277*'بنود العقد'!E277, 0), 0)</f>
        <v>653520</v>
      </c>
      <c r="G277" s="9">
        <f t="shared" si="8"/>
        <v>-134</v>
      </c>
      <c r="H277" s="9">
        <f>IF(AND('بنود العقد'!G277&lt;&gt;"",F277&lt;&gt;""), 'بنود العقد'!G277-F277, "")</f>
        <v>-56280</v>
      </c>
      <c r="I277" s="21">
        <f t="shared" si="9"/>
        <v>100</v>
      </c>
    </row>
    <row r="278" spans="1:9" ht="24" customHeight="1">
      <c r="A278" s="12">
        <v>276</v>
      </c>
      <c r="B278" s="20" t="str">
        <f>IF('بنود العقد'!B278&lt;&gt;"", 'بنود العقد'!B278,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v>
      </c>
      <c r="C278" s="12" t="str">
        <f>IF('بنود العقد'!C278&lt;&gt;"", 'بنود العقد'!C278, "")</f>
        <v>كهرباء</v>
      </c>
      <c r="D278" s="9">
        <f>IF('بنود العقد'!F278&lt;&gt;"", 'بنود العقد'!F278, "")</f>
        <v>1062</v>
      </c>
      <c r="E278" s="18">
        <f>IF(B278&lt;&gt;"", SUMPRODUCT(('بنود المطالبات'!C$3:C$1805=A278)*'بنود المطالبات'!I$3:I$1805), "")</f>
        <v>986</v>
      </c>
      <c r="F278" s="18">
        <f>IFERROR(IF(AND(E278&lt;&gt;"",'بنود العقد'!E278&lt;&gt;""), E278*'بنود العقد'!E278, 0), 0)</f>
        <v>437784</v>
      </c>
      <c r="G278" s="9">
        <f t="shared" si="8"/>
        <v>76</v>
      </c>
      <c r="H278" s="9">
        <f>IF(AND('بنود العقد'!G278&lt;&gt;"",F278&lt;&gt;""), 'بنود العقد'!G278-F278, "")</f>
        <v>33744</v>
      </c>
      <c r="I278" s="21">
        <f t="shared" si="9"/>
        <v>92.843691148775903</v>
      </c>
    </row>
    <row r="279" spans="1:9" ht="24" customHeight="1">
      <c r="A279" s="12">
        <v>277</v>
      </c>
      <c r="B279" s="20" t="str">
        <f>IF('بنود العقد'!B279&lt;&gt;"", 'بنود العقد'!B279,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v>
      </c>
      <c r="C279" s="12" t="str">
        <f>IF('بنود العقد'!C279&lt;&gt;"", 'بنود العقد'!C279, "")</f>
        <v>كهرباء</v>
      </c>
      <c r="D279" s="9">
        <f>IF('بنود العقد'!F279&lt;&gt;"", 'بنود العقد'!F279, "")</f>
        <v>284</v>
      </c>
      <c r="E279" s="18">
        <f>IF(B279&lt;&gt;"", SUMPRODUCT(('بنود المطالبات'!C$3:C$1805=A279)*'بنود المطالبات'!I$3:I$1805), "")</f>
        <v>274</v>
      </c>
      <c r="F279" s="18">
        <f>IFERROR(IF(AND(E279&lt;&gt;"",'بنود العقد'!E279&lt;&gt;""), E279*'بنود العقد'!E279, 0), 0)</f>
        <v>82200</v>
      </c>
      <c r="G279" s="9">
        <f t="shared" si="8"/>
        <v>10</v>
      </c>
      <c r="H279" s="9">
        <f>IF(AND('بنود العقد'!G279&lt;&gt;"",F279&lt;&gt;""), 'بنود العقد'!G279-F279, "")</f>
        <v>3000</v>
      </c>
      <c r="I279" s="21">
        <f t="shared" si="9"/>
        <v>96.478873239436624</v>
      </c>
    </row>
    <row r="280" spans="1:9" ht="24" customHeight="1">
      <c r="A280" s="12">
        <v>278</v>
      </c>
      <c r="B280" s="20" t="str">
        <f>IF('بنود العقد'!B280&lt;&gt;"", 'بنود العقد'!B280,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C5</v>
      </c>
      <c r="C280" s="12" t="str">
        <f>IF('بنود العقد'!C280&lt;&gt;"", 'بنود العقد'!C280, "")</f>
        <v>كهرباء</v>
      </c>
      <c r="D280" s="9">
        <f>IF('بنود العقد'!F280&lt;&gt;"", 'بنود العقد'!F280, "")</f>
        <v>149</v>
      </c>
      <c r="E280" s="18">
        <f>IF(B280&lt;&gt;"", SUMPRODUCT(('بنود المطالبات'!C$3:C$1805=A280)*'بنود المطالبات'!I$3:I$1805), "")</f>
        <v>286</v>
      </c>
      <c r="F280" s="18">
        <f>IFERROR(IF(AND(E280&lt;&gt;"",'بنود العقد'!E280&lt;&gt;""), E280*'بنود العقد'!E280, 0), 0)</f>
        <v>125268</v>
      </c>
      <c r="G280" s="9">
        <f t="shared" si="8"/>
        <v>-137</v>
      </c>
      <c r="H280" s="9">
        <f>IF(AND('بنود العقد'!G280&lt;&gt;"",F280&lt;&gt;""), 'بنود العقد'!G280-F280, "")</f>
        <v>-60006</v>
      </c>
      <c r="I280" s="21">
        <f t="shared" si="9"/>
        <v>100</v>
      </c>
    </row>
    <row r="281" spans="1:9" ht="24" customHeight="1">
      <c r="A281" s="12">
        <v>279</v>
      </c>
      <c r="B281" s="20" t="str">
        <f>IF('بنود العقد'!B281&lt;&gt;"", 'بنود العقد'!B281,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C6</v>
      </c>
      <c r="C281" s="12" t="str">
        <f>IF('بنود العقد'!C281&lt;&gt;"", 'بنود العقد'!C281, "")</f>
        <v>كهرباء</v>
      </c>
      <c r="D281" s="9">
        <f>IF('بنود العقد'!F281&lt;&gt;"", 'بنود العقد'!F281, "")</f>
        <v>158</v>
      </c>
      <c r="E281" s="18">
        <f>IF(B281&lt;&gt;"", SUMPRODUCT(('بنود المطالبات'!C$3:C$1805=A281)*'بنود المطالبات'!I$3:I$1805), "")</f>
        <v>178</v>
      </c>
      <c r="F281" s="18">
        <f>IFERROR(IF(AND(E281&lt;&gt;"",'بنود العقد'!E281&lt;&gt;""), E281*'بنود العقد'!E281, 0), 0)</f>
        <v>51264</v>
      </c>
      <c r="G281" s="9">
        <f t="shared" si="8"/>
        <v>-20</v>
      </c>
      <c r="H281" s="9">
        <f>IF(AND('بنود العقد'!G281&lt;&gt;"",F281&lt;&gt;""), 'بنود العقد'!G281-F281, "")</f>
        <v>-5760</v>
      </c>
      <c r="I281" s="21">
        <f t="shared" si="9"/>
        <v>100</v>
      </c>
    </row>
    <row r="282" spans="1:9" ht="24" customHeight="1">
      <c r="A282" s="12">
        <v>280</v>
      </c>
      <c r="B282" s="20" t="str">
        <f>IF('بنود العقد'!B282&lt;&gt;"", 'بنود العقد'!B282,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C7</v>
      </c>
      <c r="C282" s="12" t="str">
        <f>IF('بنود العقد'!C282&lt;&gt;"", 'بنود العقد'!C282, "")</f>
        <v>كهرباء</v>
      </c>
      <c r="D282" s="9">
        <f>IF('بنود العقد'!F282&lt;&gt;"", 'بنود العقد'!F282, "")</f>
        <v>27</v>
      </c>
      <c r="E282" s="18">
        <f>IF(B282&lt;&gt;"", SUMPRODUCT(('بنود المطالبات'!C$3:C$1805=A282)*'بنود المطالبات'!I$3:I$1805), "")</f>
        <v>32</v>
      </c>
      <c r="F282" s="18">
        <f>IFERROR(IF(AND(E282&lt;&gt;"",'بنود العقد'!E282&lt;&gt;""), E282*'بنود العقد'!E282, 0), 0)</f>
        <v>10752</v>
      </c>
      <c r="G282" s="9">
        <f t="shared" si="8"/>
        <v>-5</v>
      </c>
      <c r="H282" s="9">
        <f>IF(AND('بنود العقد'!G282&lt;&gt;"",F282&lt;&gt;""), 'بنود العقد'!G282-F282, "")</f>
        <v>-1680</v>
      </c>
      <c r="I282" s="21">
        <f t="shared" si="9"/>
        <v>100</v>
      </c>
    </row>
    <row r="283" spans="1:9" ht="24" customHeight="1">
      <c r="A283" s="12">
        <v>281</v>
      </c>
      <c r="B283" s="20" t="str">
        <f>IF('بنود العقد'!B283&lt;&gt;"", 'بنود العقد'!B283,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D1</v>
      </c>
      <c r="C283" s="12" t="str">
        <f>IF('بنود العقد'!C283&lt;&gt;"", 'بنود العقد'!C283, "")</f>
        <v>كهرباء</v>
      </c>
      <c r="D283" s="9">
        <f>IF('بنود العقد'!F283&lt;&gt;"", 'بنود العقد'!F283, "")</f>
        <v>56</v>
      </c>
      <c r="E283" s="18">
        <f>IF(B283&lt;&gt;"", SUMPRODUCT(('بنود المطالبات'!C$3:C$1805=A283)*'بنود المطالبات'!I$3:I$1805), "")</f>
        <v>26</v>
      </c>
      <c r="F283" s="18">
        <f>IFERROR(IF(AND(E283&lt;&gt;"",'بنود العقد'!E283&lt;&gt;""), E283*'بنود العقد'!E283, 0), 0)</f>
        <v>24336</v>
      </c>
      <c r="G283" s="9">
        <f t="shared" si="8"/>
        <v>30</v>
      </c>
      <c r="H283" s="9">
        <f>IF(AND('بنود العقد'!G283&lt;&gt;"",F283&lt;&gt;""), 'بنود العقد'!G283-F283, "")</f>
        <v>28080</v>
      </c>
      <c r="I283" s="21">
        <f t="shared" si="9"/>
        <v>46.428571428571431</v>
      </c>
    </row>
    <row r="284" spans="1:9" ht="24" customHeight="1">
      <c r="A284" s="12">
        <v>282</v>
      </c>
      <c r="B284" s="20" t="str">
        <f>IF('بنود العقد'!B284&lt;&gt;"", 'بنود العقد'!B284,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D2</v>
      </c>
      <c r="C284" s="12" t="str">
        <f>IF('بنود العقد'!C284&lt;&gt;"", 'بنود العقد'!C284, "")</f>
        <v>كهرباء</v>
      </c>
      <c r="D284" s="9">
        <f>IF('بنود العقد'!F284&lt;&gt;"", 'بنود العقد'!F284, "")</f>
        <v>20</v>
      </c>
      <c r="E284" s="18">
        <f>IF(B284&lt;&gt;"", SUMPRODUCT(('بنود المطالبات'!C$3:C$1805=A284)*'بنود المطالبات'!I$3:I$1805), "")</f>
        <v>10</v>
      </c>
      <c r="F284" s="18">
        <f>IFERROR(IF(AND(E284&lt;&gt;"",'بنود العقد'!E284&lt;&gt;""), E284*'بنود العقد'!E284, 0), 0)</f>
        <v>9360</v>
      </c>
      <c r="G284" s="9">
        <f t="shared" si="8"/>
        <v>10</v>
      </c>
      <c r="H284" s="9">
        <f>IF(AND('بنود العقد'!G284&lt;&gt;"",F284&lt;&gt;""), 'بنود العقد'!G284-F284, "")</f>
        <v>9360</v>
      </c>
      <c r="I284" s="21">
        <f t="shared" si="9"/>
        <v>50</v>
      </c>
    </row>
    <row r="285" spans="1:9" ht="24" customHeight="1">
      <c r="A285" s="12">
        <v>283</v>
      </c>
      <c r="B285" s="20" t="str">
        <f>IF('بنود العقد'!B285&lt;&gt;"", 'بنود العقد'!B285,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D3</v>
      </c>
      <c r="C285" s="12" t="str">
        <f>IF('بنود العقد'!C285&lt;&gt;"", 'بنود العقد'!C285, "")</f>
        <v>كهرباء</v>
      </c>
      <c r="D285" s="9">
        <f>IF('بنود العقد'!F285&lt;&gt;"", 'بنود العقد'!F285, "")</f>
        <v>179</v>
      </c>
      <c r="E285" s="18">
        <f>IF(B285&lt;&gt;"", SUMPRODUCT(('بنود المطالبات'!C$3:C$1805=A285)*'بنود المطالبات'!I$3:I$1805), "")</f>
        <v>95</v>
      </c>
      <c r="F285" s="18">
        <f>IFERROR(IF(AND(E285&lt;&gt;"",'بنود العقد'!E285&lt;&gt;""), E285*'بنود العقد'!E285, 0), 0)</f>
        <v>27360</v>
      </c>
      <c r="G285" s="9">
        <f t="shared" si="8"/>
        <v>84</v>
      </c>
      <c r="H285" s="9">
        <f>IF(AND('بنود العقد'!G285&lt;&gt;"",F285&lt;&gt;""), 'بنود العقد'!G285-F285, "")</f>
        <v>24192</v>
      </c>
      <c r="I285" s="21">
        <f t="shared" si="9"/>
        <v>53.072625698324025</v>
      </c>
    </row>
    <row r="286" spans="1:9" ht="24" customHeight="1">
      <c r="A286" s="12">
        <v>284</v>
      </c>
      <c r="B286" s="20" t="str">
        <f>IF('بنود العقد'!B286&lt;&gt;"", 'بنود العقد'!B286,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D4</v>
      </c>
      <c r="C286" s="12" t="str">
        <f>IF('بنود العقد'!C286&lt;&gt;"", 'بنود العقد'!C286, "")</f>
        <v>كهرباء</v>
      </c>
      <c r="D286" s="9">
        <f>IF('بنود العقد'!F286&lt;&gt;"", 'بنود العقد'!F286, "")</f>
        <v>6</v>
      </c>
      <c r="E286" s="18">
        <f>IF(B286&lt;&gt;"", SUMPRODUCT(('بنود المطالبات'!C$3:C$1805=A286)*'بنود المطالبات'!I$3:I$1805), "")</f>
        <v>3</v>
      </c>
      <c r="F286" s="18">
        <f>IFERROR(IF(AND(E286&lt;&gt;"",'بنود العقد'!E286&lt;&gt;""), E286*'بنود العقد'!E286, 0), 0)</f>
        <v>16200</v>
      </c>
      <c r="G286" s="9">
        <f t="shared" si="8"/>
        <v>3</v>
      </c>
      <c r="H286" s="9">
        <f>IF(AND('بنود العقد'!G286&lt;&gt;"",F286&lt;&gt;""), 'بنود العقد'!G286-F286, "")</f>
        <v>16200</v>
      </c>
      <c r="I286" s="21">
        <f t="shared" si="9"/>
        <v>50</v>
      </c>
    </row>
    <row r="287" spans="1:9" ht="24" customHeight="1">
      <c r="A287" s="12">
        <v>285</v>
      </c>
      <c r="B287" s="20" t="str">
        <f>IF('بنود العقد'!B287&lt;&gt;"", 'بنود العقد'!B287,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E1</v>
      </c>
      <c r="C287" s="12" t="str">
        <f>IF('بنود العقد'!C287&lt;&gt;"", 'بنود العقد'!C287, "")</f>
        <v>كهرباء</v>
      </c>
      <c r="D287" s="9">
        <f>IF('بنود العقد'!F287&lt;&gt;"", 'بنود العقد'!F287, "")</f>
        <v>12</v>
      </c>
      <c r="E287" s="18">
        <f>IF(B287&lt;&gt;"", SUMPRODUCT(('بنود المطالبات'!C$3:C$1805=A287)*'بنود المطالبات'!I$3:I$1805), "")</f>
        <v>8</v>
      </c>
      <c r="F287" s="18">
        <f>IFERROR(IF(AND(E287&lt;&gt;"",'بنود العقد'!E287&lt;&gt;""), E287*'بنود العقد'!E287, 0), 0)</f>
        <v>4320</v>
      </c>
      <c r="G287" s="9">
        <f t="shared" si="8"/>
        <v>4</v>
      </c>
      <c r="H287" s="9">
        <f>IF(AND('بنود العقد'!G287&lt;&gt;"",F287&lt;&gt;""), 'بنود العقد'!G287-F287, "")</f>
        <v>2160</v>
      </c>
      <c r="I287" s="21">
        <f t="shared" si="9"/>
        <v>66.666666666666657</v>
      </c>
    </row>
    <row r="288" spans="1:9" ht="24" customHeight="1">
      <c r="A288" s="12">
        <v>286</v>
      </c>
      <c r="B288" s="20" t="str">
        <f>IF('بنود العقد'!B288&lt;&gt;"", 'بنود العقد'!B288,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E2</v>
      </c>
      <c r="C288" s="12" t="str">
        <f>IF('بنود العقد'!C288&lt;&gt;"", 'بنود العقد'!C288, "")</f>
        <v>كهرباء</v>
      </c>
      <c r="D288" s="9">
        <f>IF('بنود العقد'!F288&lt;&gt;"", 'بنود العقد'!F288, "")</f>
        <v>186</v>
      </c>
      <c r="E288" s="18">
        <f>IF(B288&lt;&gt;"", SUMPRODUCT(('بنود المطالبات'!C$3:C$1805=A288)*'بنود المطالبات'!I$3:I$1805), "")</f>
        <v>248</v>
      </c>
      <c r="F288" s="18">
        <f>IFERROR(IF(AND(E288&lt;&gt;"",'بنود العقد'!E288&lt;&gt;""), E288*'بنود العقد'!E288, 0), 0)</f>
        <v>124992</v>
      </c>
      <c r="G288" s="9">
        <f t="shared" si="8"/>
        <v>-62</v>
      </c>
      <c r="H288" s="9">
        <f>IF(AND('بنود العقد'!G288&lt;&gt;"",F288&lt;&gt;""), 'بنود العقد'!G288-F288, "")</f>
        <v>-31248</v>
      </c>
      <c r="I288" s="21">
        <f t="shared" si="9"/>
        <v>100</v>
      </c>
    </row>
    <row r="289" spans="1:9" ht="24" customHeight="1">
      <c r="A289" s="12">
        <v>287</v>
      </c>
      <c r="B289" s="20" t="str">
        <f>IF('بنود العقد'!B289&lt;&gt;"", 'بنود العقد'!B289,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E3</v>
      </c>
      <c r="C289" s="12" t="str">
        <f>IF('بنود العقد'!C289&lt;&gt;"", 'بنود العقد'!C289, "")</f>
        <v>كهرباء</v>
      </c>
      <c r="D289" s="9">
        <f>IF('بنود العقد'!F289&lt;&gt;"", 'بنود العقد'!F289, "")</f>
        <v>260</v>
      </c>
      <c r="E289" s="18">
        <f>IF(B289&lt;&gt;"", SUMPRODUCT(('بنود المطالبات'!C$3:C$1805=A289)*'بنود المطالبات'!I$3:I$1805), "")</f>
        <v>70</v>
      </c>
      <c r="F289" s="18">
        <f>IFERROR(IF(AND(E289&lt;&gt;"",'بنود العقد'!E289&lt;&gt;""), E289*'بنود العقد'!E289, 0), 0)</f>
        <v>52080</v>
      </c>
      <c r="G289" s="9">
        <f t="shared" si="8"/>
        <v>190</v>
      </c>
      <c r="H289" s="9">
        <f>IF(AND('بنود العقد'!G289&lt;&gt;"",F289&lt;&gt;""), 'بنود العقد'!G289-F289, "")</f>
        <v>141360</v>
      </c>
      <c r="I289" s="21">
        <f t="shared" si="9"/>
        <v>26.923076923076923</v>
      </c>
    </row>
    <row r="290" spans="1:9" ht="24" customHeight="1">
      <c r="A290" s="12">
        <v>288</v>
      </c>
      <c r="B290" s="20" t="str">
        <f>IF('بنود العقد'!B290&lt;&gt;"", 'بنود العقد'!B290,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LB1</v>
      </c>
      <c r="C290" s="12" t="str">
        <f>IF('بنود العقد'!C290&lt;&gt;"", 'بنود العقد'!C290, "")</f>
        <v>كهرباء</v>
      </c>
      <c r="D290" s="9">
        <f>IF('بنود العقد'!F290&lt;&gt;"", 'بنود العقد'!F290, "")</f>
        <v>5772</v>
      </c>
      <c r="E290" s="18">
        <f>IF(B290&lt;&gt;"", SUMPRODUCT(('بنود المطالبات'!C$3:C$1805=A290)*'بنود المطالبات'!I$3:I$1805), "")</f>
        <v>6877.75</v>
      </c>
      <c r="F290" s="18">
        <f>IFERROR(IF(AND(E290&lt;&gt;"",'بنود العقد'!E290&lt;&gt;""), E290*'بنود العقد'!E290, 0), 0)</f>
        <v>1171968.6000000001</v>
      </c>
      <c r="G290" s="9">
        <f t="shared" si="8"/>
        <v>-1105.75</v>
      </c>
      <c r="H290" s="9">
        <f>IF(AND('بنود العقد'!G290&lt;&gt;"",F290&lt;&gt;""), 'بنود العقد'!G290-F290, "")</f>
        <v>-188419.80000000005</v>
      </c>
      <c r="I290" s="21">
        <f t="shared" si="9"/>
        <v>100</v>
      </c>
    </row>
    <row r="291" spans="1:9" ht="24" customHeight="1">
      <c r="A291" s="12">
        <v>289</v>
      </c>
      <c r="B291" s="20" t="str">
        <f>IF('بنود العقد'!B291&lt;&gt;"", 'بنود العقد'!B291,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LB2</v>
      </c>
      <c r="C291" s="12" t="str">
        <f>IF('بنود العقد'!C291&lt;&gt;"", 'بنود العقد'!C291, "")</f>
        <v>كهرباء</v>
      </c>
      <c r="D291" s="9">
        <f>IF('بنود العقد'!F291&lt;&gt;"", 'بنود العقد'!F291, "")</f>
        <v>14</v>
      </c>
      <c r="E291" s="18">
        <f>IF(B291&lt;&gt;"", SUMPRODUCT(('بنود المطالبات'!C$3:C$1805=A291)*'بنود المطالبات'!I$3:I$1805), "")</f>
        <v>10</v>
      </c>
      <c r="F291" s="18">
        <f>IFERROR(IF(AND(E291&lt;&gt;"",'بنود العقد'!E291&lt;&gt;""), E291*'بنود العقد'!E291, 0), 0)</f>
        <v>138000</v>
      </c>
      <c r="G291" s="9">
        <f t="shared" si="8"/>
        <v>4</v>
      </c>
      <c r="H291" s="9">
        <f>IF(AND('بنود العقد'!G291&lt;&gt;"",F291&lt;&gt;""), 'بنود العقد'!G291-F291, "")</f>
        <v>55200</v>
      </c>
      <c r="I291" s="21">
        <f t="shared" si="9"/>
        <v>71.428571428571431</v>
      </c>
    </row>
    <row r="292" spans="1:9" ht="24" customHeight="1">
      <c r="A292" s="12">
        <v>290</v>
      </c>
      <c r="B292" s="20" t="str">
        <f>IF('بنود العقد'!B292&lt;&gt;"", 'بنود العقد'!B292,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LB3</v>
      </c>
      <c r="C292" s="12" t="str">
        <f>IF('بنود العقد'!C292&lt;&gt;"", 'بنود العقد'!C292, "")</f>
        <v>كهرباء</v>
      </c>
      <c r="D292" s="9">
        <f>IF('بنود العقد'!F292&lt;&gt;"", 'بنود العقد'!F292, "")</f>
        <v>237</v>
      </c>
      <c r="E292" s="18">
        <f>IF(B292&lt;&gt;"", SUMPRODUCT(('بنود المطالبات'!C$3:C$1805=A292)*'بنود المطالبات'!I$3:I$1805), "")</f>
        <v>187</v>
      </c>
      <c r="F292" s="18">
        <f>IFERROR(IF(AND(E292&lt;&gt;"",'بنود العقد'!E292&lt;&gt;""), E292*'بنود العقد'!E292, 0), 0)</f>
        <v>168300</v>
      </c>
      <c r="G292" s="9">
        <f t="shared" si="8"/>
        <v>50</v>
      </c>
      <c r="H292" s="9">
        <f>IF(AND('بنود العقد'!G292&lt;&gt;"",F292&lt;&gt;""), 'بنود العقد'!G292-F292, "")</f>
        <v>45000</v>
      </c>
      <c r="I292" s="21">
        <f t="shared" si="9"/>
        <v>78.902953586497887</v>
      </c>
    </row>
    <row r="293" spans="1:9" ht="24" customHeight="1">
      <c r="A293" s="12">
        <v>291</v>
      </c>
      <c r="B293" s="20" t="str">
        <f>IF('بنود العقد'!B293&lt;&gt;"", 'بنود العقد'!B293,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LB4</v>
      </c>
      <c r="C293" s="12" t="str">
        <f>IF('بنود العقد'!C293&lt;&gt;"", 'بنود العقد'!C293, "")</f>
        <v>كهرباء</v>
      </c>
      <c r="D293" s="9">
        <f>IF('بنود العقد'!F293&lt;&gt;"", 'بنود العقد'!F293, "")</f>
        <v>132</v>
      </c>
      <c r="E293" s="18">
        <f>IF(B293&lt;&gt;"", SUMPRODUCT(('بنود المطالبات'!C$3:C$1805=A293)*'بنود المطالبات'!I$3:I$1805), "")</f>
        <v>144</v>
      </c>
      <c r="F293" s="18">
        <f>IFERROR(IF(AND(E293&lt;&gt;"",'بنود العقد'!E293&lt;&gt;""), E293*'بنود العقد'!E293, 0), 0)</f>
        <v>158976</v>
      </c>
      <c r="G293" s="9">
        <f t="shared" si="8"/>
        <v>-12</v>
      </c>
      <c r="H293" s="9">
        <f>IF(AND('بنود العقد'!G293&lt;&gt;"",F293&lt;&gt;""), 'بنود العقد'!G293-F293, "")</f>
        <v>-13248</v>
      </c>
      <c r="I293" s="21">
        <f t="shared" si="9"/>
        <v>100</v>
      </c>
    </row>
    <row r="294" spans="1:9" ht="24" customHeight="1">
      <c r="A294" s="12">
        <v>292</v>
      </c>
      <c r="B294" s="20" t="str">
        <f>IF('بنود العقد'!B294&lt;&gt;"", 'بنود العقد'!B294, "")</f>
        <v xml:space="preserve"> توريد وتركيب وتوصيل وإختبار وفحص اجهزة الإنارة ويشمل اللمبات وأقواس التركيب وحبال التعليق وعلبEMT أو PVC  وقطع الأكسسوار و ايضا نقاط الانارة متضمنة مواسير/أقنية قاسية عالية التحمل ذات أسلاك لاتقل عن 0.4 مم2 لنقطة الإنارة وتوصيل أطراف أسلاك التأريض،وكل الأعمال المساعدة كما.هو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LB5</v>
      </c>
      <c r="C294" s="12" t="str">
        <f>IF('بنود العقد'!C294&lt;&gt;"", 'بنود العقد'!C294, "")</f>
        <v>كهرباء</v>
      </c>
      <c r="D294" s="9">
        <f>IF('بنود العقد'!F294&lt;&gt;"", 'بنود العقد'!F294, "")</f>
        <v>263</v>
      </c>
      <c r="E294" s="18">
        <f>IF(B294&lt;&gt;"", SUMPRODUCT(('بنود المطالبات'!C$3:C$1805=A294)*'بنود المطالبات'!I$3:I$1805), "")</f>
        <v>0</v>
      </c>
      <c r="F294" s="18">
        <f>IFERROR(IF(AND(E294&lt;&gt;"",'بنود العقد'!E294&lt;&gt;""), E294*'بنود العقد'!E294, 0), 0)</f>
        <v>0</v>
      </c>
      <c r="G294" s="9">
        <f t="shared" si="8"/>
        <v>263</v>
      </c>
      <c r="H294" s="9">
        <f>IF(AND('بنود العقد'!G294&lt;&gt;"",F294&lt;&gt;""), 'بنود العقد'!G294-F294, "")</f>
        <v>45762</v>
      </c>
      <c r="I294" s="21">
        <f t="shared" si="9"/>
        <v>0</v>
      </c>
    </row>
    <row r="295" spans="1:9" ht="24" customHeight="1">
      <c r="A295" s="12">
        <v>293</v>
      </c>
      <c r="B295" s="20" t="str">
        <f>IF('بنود العقد'!B295&lt;&gt;"", 'بنود العقد'!B295,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LB6</v>
      </c>
      <c r="C295" s="12" t="str">
        <f>IF('بنود العقد'!C295&lt;&gt;"", 'بنود العقد'!C295, "")</f>
        <v>كهرباء</v>
      </c>
      <c r="D295" s="9">
        <f>IF('بنود العقد'!F295&lt;&gt;"", 'بنود العقد'!F295, "")</f>
        <v>25</v>
      </c>
      <c r="E295" s="18">
        <f>IF(B295&lt;&gt;"", SUMPRODUCT(('بنود المطالبات'!C$3:C$1805=A295)*'بنود المطالبات'!I$3:I$1805), "")</f>
        <v>0</v>
      </c>
      <c r="F295" s="18">
        <f>IFERROR(IF(AND(E295&lt;&gt;"",'بنود العقد'!E295&lt;&gt;""), E295*'بنود العقد'!E295, 0), 0)</f>
        <v>0</v>
      </c>
      <c r="G295" s="9">
        <f t="shared" si="8"/>
        <v>25</v>
      </c>
      <c r="H295" s="9">
        <f>IF(AND('بنود العقد'!G295&lt;&gt;"",F295&lt;&gt;""), 'بنود العقد'!G295-F295, "")</f>
        <v>4350</v>
      </c>
      <c r="I295" s="21">
        <f t="shared" si="9"/>
        <v>0</v>
      </c>
    </row>
    <row r="296" spans="1:9" ht="24" customHeight="1">
      <c r="A296" s="12">
        <v>294</v>
      </c>
      <c r="B296" s="20" t="str">
        <f>IF('بنود العقد'!B296&lt;&gt;"", 'بنود العقد'!B296,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LB7</v>
      </c>
      <c r="C296" s="12" t="str">
        <f>IF('بنود العقد'!C296&lt;&gt;"", 'بنود العقد'!C296, "")</f>
        <v>كهرباء</v>
      </c>
      <c r="D296" s="9">
        <f>IF('بنود العقد'!F296&lt;&gt;"", 'بنود العقد'!F296, "")</f>
        <v>2</v>
      </c>
      <c r="E296" s="18">
        <f>IF(B296&lt;&gt;"", SUMPRODUCT(('بنود المطالبات'!C$3:C$1805=A296)*'بنود المطالبات'!I$3:I$1805), "")</f>
        <v>0</v>
      </c>
      <c r="F296" s="18">
        <f>IFERROR(IF(AND(E296&lt;&gt;"",'بنود العقد'!E296&lt;&gt;""), E296*'بنود العقد'!E296, 0), 0)</f>
        <v>0</v>
      </c>
      <c r="G296" s="9">
        <f t="shared" si="8"/>
        <v>2</v>
      </c>
      <c r="H296" s="9">
        <f>IF(AND('بنود العقد'!G296&lt;&gt;"",F296&lt;&gt;""), 'بنود العقد'!G296-F296, "")</f>
        <v>348</v>
      </c>
      <c r="I296" s="21">
        <f t="shared" si="9"/>
        <v>0</v>
      </c>
    </row>
    <row r="297" spans="1:9" ht="24" customHeight="1">
      <c r="A297" s="12">
        <v>295</v>
      </c>
      <c r="B297" s="20" t="str">
        <f>IF('بنود العقد'!B297&lt;&gt;"", 'بنود العقد'!B297,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ES-1</v>
      </c>
      <c r="C297" s="12" t="str">
        <f>IF('بنود العقد'!C297&lt;&gt;"", 'بنود العقد'!C297, "")</f>
        <v>كهرباء</v>
      </c>
      <c r="D297" s="9">
        <f>IF('بنود العقد'!F297&lt;&gt;"", 'بنود العقد'!F297, "")</f>
        <v>430</v>
      </c>
      <c r="E297" s="18">
        <f>IF(B297&lt;&gt;"", SUMPRODUCT(('بنود المطالبات'!C$3:C$1805=A297)*'بنود المطالبات'!I$3:I$1805), "")</f>
        <v>334</v>
      </c>
      <c r="F297" s="18">
        <f>IFERROR(IF(AND(E297&lt;&gt;"",'بنود العقد'!E297&lt;&gt;""), E297*'بنود العقد'!E297, 0), 0)</f>
        <v>120240</v>
      </c>
      <c r="G297" s="9">
        <f t="shared" si="8"/>
        <v>96</v>
      </c>
      <c r="H297" s="9">
        <f>IF(AND('بنود العقد'!G297&lt;&gt;"",F297&lt;&gt;""), 'بنود العقد'!G297-F297, "")</f>
        <v>34560</v>
      </c>
      <c r="I297" s="21">
        <f t="shared" si="9"/>
        <v>77.674418604651166</v>
      </c>
    </row>
    <row r="298" spans="1:9" ht="24" customHeight="1">
      <c r="A298" s="12">
        <v>296</v>
      </c>
      <c r="B298" s="20" t="str">
        <f>IF('بنود العقد'!B298&lt;&gt;"", 'بنود العقد'!B298,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E2</v>
      </c>
      <c r="C298" s="12" t="str">
        <f>IF('بنود العقد'!C298&lt;&gt;"", 'بنود العقد'!C298, "")</f>
        <v>كهرباء</v>
      </c>
      <c r="D298" s="9">
        <f>IF('بنود العقد'!F298&lt;&gt;"", 'بنود العقد'!F298, "")</f>
        <v>248</v>
      </c>
      <c r="E298" s="18">
        <f>IF(B298&lt;&gt;"", SUMPRODUCT(('بنود المطالبات'!C$3:C$1805=A298)*'بنود المطالبات'!I$3:I$1805), "")</f>
        <v>0</v>
      </c>
      <c r="F298" s="18">
        <f>IFERROR(IF(AND(E298&lt;&gt;"",'بنود العقد'!E298&lt;&gt;""), E298*'بنود العقد'!E298, 0), 0)</f>
        <v>0</v>
      </c>
      <c r="G298" s="9">
        <f t="shared" si="8"/>
        <v>248</v>
      </c>
      <c r="H298" s="9">
        <f>IF(AND('بنود العقد'!G298&lt;&gt;"",F298&lt;&gt;""), 'بنود العقد'!G298-F298, "")</f>
        <v>124992</v>
      </c>
      <c r="I298" s="21">
        <f t="shared" si="9"/>
        <v>0</v>
      </c>
    </row>
    <row r="299" spans="1:9" ht="24" customHeight="1">
      <c r="A299" s="12">
        <v>297</v>
      </c>
      <c r="B299" s="20" t="str">
        <f>IF('بنود العقد'!B299&lt;&gt;"", 'بنود العقد'!B299,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E3</v>
      </c>
      <c r="C299" s="12" t="str">
        <f>IF('بنود العقد'!C299&lt;&gt;"", 'بنود العقد'!C299, "")</f>
        <v>كهرباء</v>
      </c>
      <c r="D299" s="9">
        <f>IF('بنود العقد'!F299&lt;&gt;"", 'بنود العقد'!F299, "")</f>
        <v>260</v>
      </c>
      <c r="E299" s="18">
        <f>IF(B299&lt;&gt;"", SUMPRODUCT(('بنود المطالبات'!C$3:C$1805=A299)*'بنود المطالبات'!I$3:I$1805), "")</f>
        <v>0</v>
      </c>
      <c r="F299" s="18">
        <f>IFERROR(IF(AND(E299&lt;&gt;"",'بنود العقد'!E299&lt;&gt;""), E299*'بنود العقد'!E299, 0), 0)</f>
        <v>0</v>
      </c>
      <c r="G299" s="9">
        <f t="shared" si="8"/>
        <v>260</v>
      </c>
      <c r="H299" s="9">
        <f>IF(AND('بنود العقد'!G299&lt;&gt;"",F299&lt;&gt;""), 'بنود العقد'!G299-F299, "")</f>
        <v>109200</v>
      </c>
      <c r="I299" s="21">
        <f t="shared" si="9"/>
        <v>0</v>
      </c>
    </row>
    <row r="300" spans="1:9" ht="24" customHeight="1">
      <c r="A300" s="12">
        <v>298</v>
      </c>
      <c r="B300" s="20" t="str">
        <f>IF('بنود العقد'!B300&lt;&gt;"", 'بنود العقد'!B300,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P1</v>
      </c>
      <c r="C300" s="12" t="str">
        <f>IF('بنود العقد'!C300&lt;&gt;"", 'بنود العقد'!C300, "")</f>
        <v>كهرباء</v>
      </c>
      <c r="D300" s="9">
        <f>IF('بنود العقد'!F300&lt;&gt;"", 'بنود العقد'!F300, "")</f>
        <v>75</v>
      </c>
      <c r="E300" s="18">
        <f>IF(B300&lt;&gt;"", SUMPRODUCT(('بنود المطالبات'!C$3:C$1805=A300)*'بنود المطالبات'!I$3:I$1805), "")</f>
        <v>102</v>
      </c>
      <c r="F300" s="18">
        <f>IFERROR(IF(AND(E300&lt;&gt;"",'بنود العقد'!E300&lt;&gt;""), E300*'بنود العقد'!E300, 0), 0)</f>
        <v>42840</v>
      </c>
      <c r="G300" s="9">
        <f t="shared" si="8"/>
        <v>-27</v>
      </c>
      <c r="H300" s="9">
        <f>IF(AND('بنود العقد'!G300&lt;&gt;"",F300&lt;&gt;""), 'بنود العقد'!G300-F300, "")</f>
        <v>-11340</v>
      </c>
      <c r="I300" s="21">
        <f t="shared" si="9"/>
        <v>100</v>
      </c>
    </row>
    <row r="301" spans="1:9" ht="24" customHeight="1">
      <c r="A301" s="12">
        <v>299</v>
      </c>
      <c r="B301" s="20" t="str">
        <f>IF('بنود العقد'!B301&lt;&gt;"", 'بنود العقد'!B301,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T1</v>
      </c>
      <c r="C301" s="12" t="str">
        <f>IF('بنود العقد'!C301&lt;&gt;"", 'بنود العقد'!C301, "")</f>
        <v>كهرباء</v>
      </c>
      <c r="D301" s="9">
        <f>IF('بنود العقد'!F301&lt;&gt;"", 'بنود العقد'!F301, "")</f>
        <v>1146</v>
      </c>
      <c r="E301" s="18">
        <f>IF(B301&lt;&gt;"", SUMPRODUCT(('بنود المطالبات'!C$3:C$1805=A301)*'بنود المطالبات'!I$3:I$1805), "")</f>
        <v>860</v>
      </c>
      <c r="F301" s="18">
        <f>IFERROR(IF(AND(E301&lt;&gt;"",'بنود العقد'!E301&lt;&gt;""), E301*'بنود العقد'!E301, 0), 0)</f>
        <v>639840</v>
      </c>
      <c r="G301" s="9">
        <f t="shared" si="8"/>
        <v>286</v>
      </c>
      <c r="H301" s="9">
        <f>IF(AND('بنود العقد'!G301&lt;&gt;"",F301&lt;&gt;""), 'بنود العقد'!G301-F301, "")</f>
        <v>212784</v>
      </c>
      <c r="I301" s="21">
        <f t="shared" si="9"/>
        <v>75.043630017452017</v>
      </c>
    </row>
    <row r="302" spans="1:9" ht="24" customHeight="1">
      <c r="A302" s="12">
        <v>300</v>
      </c>
      <c r="B302" s="20" t="str">
        <f>IF('بنود العقد'!B302&lt;&gt;"", 'بنود العقد'!B302,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CH-1</v>
      </c>
      <c r="C302" s="12" t="str">
        <f>IF('بنود العقد'!C302&lt;&gt;"", 'بنود العقد'!C302, "")</f>
        <v>كهرباء</v>
      </c>
      <c r="D302" s="9">
        <f>IF('بنود العقد'!F302&lt;&gt;"", 'بنود العقد'!F302, "")</f>
        <v>4</v>
      </c>
      <c r="E302" s="18">
        <f>IF(B302&lt;&gt;"", SUMPRODUCT(('بنود المطالبات'!C$3:C$1805=A302)*'بنود المطالبات'!I$3:I$1805), "")</f>
        <v>4</v>
      </c>
      <c r="F302" s="18">
        <f>IFERROR(IF(AND(E302&lt;&gt;"",'بنود العقد'!E302&lt;&gt;""), E302*'بنود العقد'!E302, 0), 0)</f>
        <v>57600</v>
      </c>
      <c r="G302" s="9">
        <f t="shared" si="8"/>
        <v>0</v>
      </c>
      <c r="H302" s="9">
        <f>IF(AND('بنود العقد'!G302&lt;&gt;"",F302&lt;&gt;""), 'بنود العقد'!G302-F302, "")</f>
        <v>0</v>
      </c>
      <c r="I302" s="21">
        <f t="shared" si="9"/>
        <v>100</v>
      </c>
    </row>
    <row r="303" spans="1:9" ht="24" customHeight="1">
      <c r="A303" s="12">
        <v>301</v>
      </c>
      <c r="B303" s="20" t="str">
        <f>IF('بنود العقد'!B303&lt;&gt;"", 'بنود العقد'!B303,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CH-2</v>
      </c>
      <c r="C303" s="12" t="str">
        <f>IF('بنود العقد'!C303&lt;&gt;"", 'بنود العقد'!C303, "")</f>
        <v>كهرباء</v>
      </c>
      <c r="D303" s="9">
        <f>IF('بنود العقد'!F303&lt;&gt;"", 'بنود العقد'!F303, "")</f>
        <v>6</v>
      </c>
      <c r="E303" s="18">
        <f>IF(B303&lt;&gt;"", SUMPRODUCT(('بنود المطالبات'!C$3:C$1805=A303)*'بنود المطالبات'!I$3:I$1805), "")</f>
        <v>6</v>
      </c>
      <c r="F303" s="18">
        <f>IFERROR(IF(AND(E303&lt;&gt;"",'بنود العقد'!E303&lt;&gt;""), E303*'بنود العقد'!E303, 0), 0)</f>
        <v>25200</v>
      </c>
      <c r="G303" s="9">
        <f t="shared" si="8"/>
        <v>0</v>
      </c>
      <c r="H303" s="9">
        <f>IF(AND('بنود العقد'!G303&lt;&gt;"",F303&lt;&gt;""), 'بنود العقد'!G303-F303, "")</f>
        <v>0</v>
      </c>
      <c r="I303" s="21">
        <f t="shared" si="9"/>
        <v>100</v>
      </c>
    </row>
    <row r="304" spans="1:9" ht="24" customHeight="1">
      <c r="A304" s="12">
        <v>302</v>
      </c>
      <c r="B304" s="20" t="str">
        <f>IF('بنود العقد'!B304&lt;&gt;"", 'بنود العقد'!B304,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CH-3</v>
      </c>
      <c r="C304" s="12" t="str">
        <f>IF('بنود العقد'!C304&lt;&gt;"", 'بنود العقد'!C304, "")</f>
        <v>كهرباء</v>
      </c>
      <c r="D304" s="9">
        <f>IF('بنود العقد'!F304&lt;&gt;"", 'بنود العقد'!F304, "")</f>
        <v>3</v>
      </c>
      <c r="E304" s="18">
        <f>IF(B304&lt;&gt;"", SUMPRODUCT(('بنود المطالبات'!C$3:C$1805=A304)*'بنود المطالبات'!I$3:I$1805), "")</f>
        <v>2</v>
      </c>
      <c r="F304" s="18">
        <f>IFERROR(IF(AND(E304&lt;&gt;"",'بنود العقد'!E304&lt;&gt;""), E304*'بنود العقد'!E304, 0), 0)</f>
        <v>36000</v>
      </c>
      <c r="G304" s="9">
        <f t="shared" si="8"/>
        <v>1</v>
      </c>
      <c r="H304" s="9">
        <f>IF(AND('بنود العقد'!G304&lt;&gt;"",F304&lt;&gt;""), 'بنود العقد'!G304-F304, "")</f>
        <v>18000</v>
      </c>
      <c r="I304" s="21">
        <f t="shared" si="9"/>
        <v>66.666666666666657</v>
      </c>
    </row>
    <row r="305" spans="1:9" ht="24" customHeight="1">
      <c r="A305" s="12">
        <v>303</v>
      </c>
      <c r="B305" s="20" t="str">
        <f>IF('بنود العقد'!B305&lt;&gt;"", 'بنود العقد'!B305,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مفتاح أحادي ، أحادي الكباّس، 10 أمبير</v>
      </c>
      <c r="C305" s="12" t="str">
        <f>IF('بنود العقد'!C305&lt;&gt;"", 'بنود العقد'!C305, "")</f>
        <v>كهرباء</v>
      </c>
      <c r="D305" s="9">
        <f>IF('بنود العقد'!F305&lt;&gt;"", 'بنود العقد'!F305, "")</f>
        <v>226</v>
      </c>
      <c r="E305" s="18">
        <f>IF(B305&lt;&gt;"", SUMPRODUCT(('بنود المطالبات'!C$3:C$1805=A305)*'بنود المطالبات'!I$3:I$1805), "")</f>
        <v>238</v>
      </c>
      <c r="F305" s="18">
        <f>IFERROR(IF(AND(E305&lt;&gt;"",'بنود العقد'!E305&lt;&gt;""), E305*'بنود العقد'!E305, 0), 0)</f>
        <v>51408</v>
      </c>
      <c r="G305" s="9">
        <f t="shared" si="8"/>
        <v>-12</v>
      </c>
      <c r="H305" s="9">
        <f>IF(AND('بنود العقد'!G305&lt;&gt;"",F305&lt;&gt;""), 'بنود العقد'!G305-F305, "")</f>
        <v>-2592</v>
      </c>
      <c r="I305" s="21">
        <f t="shared" si="9"/>
        <v>100</v>
      </c>
    </row>
    <row r="306" spans="1:9" ht="24" customHeight="1">
      <c r="A306" s="12">
        <v>304</v>
      </c>
      <c r="B306" s="20" t="str">
        <f>IF('بنود العقد'!B306&lt;&gt;"", 'بنود العقد'!B306,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أحادي ، ثنائي الكباّس، 10 أمبير</v>
      </c>
      <c r="C306" s="12" t="str">
        <f>IF('بنود العقد'!C306&lt;&gt;"", 'بنود العقد'!C306, "")</f>
        <v>كهرباء</v>
      </c>
      <c r="D306" s="9">
        <f>IF('بنود العقد'!F306&lt;&gt;"", 'بنود العقد'!F306, "")</f>
        <v>490</v>
      </c>
      <c r="E306" s="18">
        <f>IF(B306&lt;&gt;"", SUMPRODUCT(('بنود المطالبات'!C$3:C$1805=A306)*'بنود المطالبات'!I$3:I$1805), "")</f>
        <v>486</v>
      </c>
      <c r="F306" s="18">
        <f>IFERROR(IF(AND(E306&lt;&gt;"",'بنود العقد'!E306&lt;&gt;""), E306*'بنود العقد'!E306, 0), 0)</f>
        <v>104976</v>
      </c>
      <c r="G306" s="9">
        <f t="shared" si="8"/>
        <v>4</v>
      </c>
      <c r="H306" s="9">
        <f>IF(AND('بنود العقد'!G306&lt;&gt;"",F306&lt;&gt;""), 'بنود العقد'!G306-F306, "")</f>
        <v>864</v>
      </c>
      <c r="I306" s="21">
        <f t="shared" si="9"/>
        <v>99.183673469387756</v>
      </c>
    </row>
    <row r="307" spans="1:9" ht="24" customHeight="1">
      <c r="A307" s="12">
        <v>305</v>
      </c>
      <c r="B307" s="20" t="str">
        <f>IF('بنود العقد'!B307&lt;&gt;"", 'بنود العقد'!B307,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ثلاثي ، ثلاثي الكباّس، 10 أمبير</v>
      </c>
      <c r="C307" s="12" t="str">
        <f>IF('بنود العقد'!C307&lt;&gt;"", 'بنود العقد'!C307, "")</f>
        <v>كهرباء</v>
      </c>
      <c r="D307" s="9">
        <f>IF('بنود العقد'!F307&lt;&gt;"", 'بنود العقد'!F307, "")</f>
        <v>108</v>
      </c>
      <c r="E307" s="18">
        <f>IF(B307&lt;&gt;"", SUMPRODUCT(('بنود المطالبات'!C$3:C$1805=A307)*'بنود المطالبات'!I$3:I$1805), "")</f>
        <v>67</v>
      </c>
      <c r="F307" s="18">
        <f>IFERROR(IF(AND(E307&lt;&gt;"",'بنود العقد'!E307&lt;&gt;""), E307*'بنود العقد'!E307, 0), 0)</f>
        <v>8040</v>
      </c>
      <c r="G307" s="9">
        <f t="shared" si="8"/>
        <v>41</v>
      </c>
      <c r="H307" s="9">
        <f>IF(AND('بنود العقد'!G307&lt;&gt;"",F307&lt;&gt;""), 'بنود العقد'!G307-F307, "")</f>
        <v>4920</v>
      </c>
      <c r="I307" s="21">
        <f t="shared" si="9"/>
        <v>62.037037037037038</v>
      </c>
    </row>
    <row r="308" spans="1:9" ht="24" customHeight="1">
      <c r="A308" s="12">
        <v>306</v>
      </c>
      <c r="B308" s="20" t="str">
        <f>IF('بنود العقد'!B308&lt;&gt;"", 'بنود العقد'!B308,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ثنائي ، ثنائي الكباّس، 10 أمبير</v>
      </c>
      <c r="C308" s="12" t="str">
        <f>IF('بنود العقد'!C308&lt;&gt;"", 'بنود العقد'!C308, "")</f>
        <v>كهرباء</v>
      </c>
      <c r="D308" s="9">
        <f>IF('بنود العقد'!F308&lt;&gt;"", 'بنود العقد'!F308, "")</f>
        <v>66</v>
      </c>
      <c r="E308" s="18">
        <f>IF(B308&lt;&gt;"", SUMPRODUCT(('بنود المطالبات'!C$3:C$1805=A308)*'بنود المطالبات'!I$3:I$1805), "")</f>
        <v>11</v>
      </c>
      <c r="F308" s="18">
        <f>IFERROR(IF(AND(E308&lt;&gt;"",'بنود العقد'!E308&lt;&gt;""), E308*'بنود العقد'!E308, 0), 0)</f>
        <v>2376</v>
      </c>
      <c r="G308" s="9">
        <f t="shared" si="8"/>
        <v>55</v>
      </c>
      <c r="H308" s="9">
        <f>IF(AND('بنود العقد'!G308&lt;&gt;"",F308&lt;&gt;""), 'بنود العقد'!G308-F308, "")</f>
        <v>11880</v>
      </c>
      <c r="I308" s="21">
        <f t="shared" si="9"/>
        <v>16.666666666666664</v>
      </c>
    </row>
    <row r="309" spans="1:9" ht="24" customHeight="1">
      <c r="A309" s="12">
        <v>307</v>
      </c>
      <c r="B309" s="20" t="str">
        <f>IF('بنود العقد'!B309&lt;&gt;"", 'بنود العقد'!B309, "")</f>
        <v xml:space="preserve"> توريد وتركيب وتوصيل وتجريب مفاتيح ذات أضواء دليلية وتشمل الماسورة والأسلاك حسب المبيّن على.المخططات و ذلك لسخانات المياه  وحسب المواصفات 20 Amp., 230 V, 1PH</v>
      </c>
      <c r="C309" s="12" t="str">
        <f>IF('بنود العقد'!C309&lt;&gt;"", 'بنود العقد'!C309, "")</f>
        <v>كهرباء</v>
      </c>
      <c r="D309" s="9">
        <f>IF('بنود العقد'!F309&lt;&gt;"", 'بنود العقد'!F309, "")</f>
        <v>77</v>
      </c>
      <c r="E309" s="18">
        <f>IF(B309&lt;&gt;"", SUMPRODUCT(('بنود المطالبات'!C$3:C$1805=A309)*'بنود المطالبات'!I$3:I$1805), "")</f>
        <v>111</v>
      </c>
      <c r="F309" s="18">
        <f>IFERROR(IF(AND(E309&lt;&gt;"",'بنود العقد'!E309&lt;&gt;""), E309*'بنود العقد'!E309, 0), 0)</f>
        <v>33300</v>
      </c>
      <c r="G309" s="9">
        <f t="shared" si="8"/>
        <v>-34</v>
      </c>
      <c r="H309" s="9">
        <f>IF(AND('بنود العقد'!G309&lt;&gt;"",F309&lt;&gt;""), 'بنود العقد'!G309-F309, "")</f>
        <v>-10200</v>
      </c>
      <c r="I309" s="21">
        <f t="shared" si="9"/>
        <v>100</v>
      </c>
    </row>
    <row r="310" spans="1:9" ht="24" customHeight="1">
      <c r="A310" s="12">
        <v>308</v>
      </c>
      <c r="B310" s="20" t="str">
        <f>IF('بنود العقد'!B310&lt;&gt;"", 'بنود العقد'!B310, "")</f>
        <v>توريد وتركيب و فحص وتسليم نظام انذار حريق معنون  يتضمن لوحة إنذار رئيسية مرتبطة بحاسب مع طابعة  مزود  ببرنامج مصنع خصيصاً لهذا النوع من الأنظمة  قادر على التوافق مع نظام المراقبة التلفزيونية  و التحكم بالدخول و المراقبة . و ذلك باستخدام كوابل مخصصة لأنظمة إنذار الحريق ذات غلاف خارجي من نوع LSOH و يجب أن لا يقل الناقل عن Cx1.5mm2   و يتم التركيب ضمن مواسير من النوع EMT    و تشمل اعمال المدنية إن لزم ذلك  وكل ما يلزم لإتمام العمل على اكمل وجه.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على المقاول عمل ربط  انذار الحريق مع نظام ادارة المبنى BMS</v>
      </c>
      <c r="C310" s="12" t="str">
        <f>IF('بنود العقد'!C310&lt;&gt;"", 'بنود العقد'!C310, "")</f>
        <v>كهرباء</v>
      </c>
      <c r="D310" s="9">
        <f>IF('بنود العقد'!F310&lt;&gt;"", 'بنود العقد'!F310, "")</f>
        <v>1</v>
      </c>
      <c r="E310" s="18">
        <f>IF(B310&lt;&gt;"", SUMPRODUCT(('بنود المطالبات'!C$3:C$1805=A310)*'بنود المطالبات'!I$3:I$1805), "")</f>
        <v>1</v>
      </c>
      <c r="F310" s="18">
        <f>IFERROR(IF(AND(E310&lt;&gt;"",'بنود العقد'!E310&lt;&gt;""), E310*'بنود العقد'!E310, 0), 0)</f>
        <v>28800</v>
      </c>
      <c r="G310" s="9">
        <f t="shared" si="8"/>
        <v>0</v>
      </c>
      <c r="H310" s="9">
        <f>IF(AND('بنود العقد'!G310&lt;&gt;"",F310&lt;&gt;""), 'بنود العقد'!G310-F310, "")</f>
        <v>0</v>
      </c>
      <c r="I310" s="21">
        <f t="shared" si="9"/>
        <v>100</v>
      </c>
    </row>
    <row r="311" spans="1:9" ht="24" customHeight="1">
      <c r="A311" s="12">
        <v>309</v>
      </c>
      <c r="B311" s="20" t="str">
        <f>IF('بنود العقد'!B311&lt;&gt;"", 'بنود العقد'!B311, "")</f>
        <v xml:space="preserve"> كاشف انذار دخان من النوع المعنون طبقا للمخططات  ومواصفات المشروع</v>
      </c>
      <c r="C311" s="12" t="str">
        <f>IF('بنود العقد'!C311&lt;&gt;"", 'بنود العقد'!C311, "")</f>
        <v>كهرباء</v>
      </c>
      <c r="D311" s="9">
        <f>IF('بنود العقد'!F311&lt;&gt;"", 'بنود العقد'!F311, "")</f>
        <v>715</v>
      </c>
      <c r="E311" s="18">
        <f>IF(B311&lt;&gt;"", SUMPRODUCT(('بنود المطالبات'!C$3:C$1805=A311)*'بنود المطالبات'!I$3:I$1805), "")</f>
        <v>886</v>
      </c>
      <c r="F311" s="18">
        <f>IFERROR(IF(AND(E311&lt;&gt;"",'بنود العقد'!E311&lt;&gt;""), E311*'بنود العقد'!E311, 0), 0)</f>
        <v>244536</v>
      </c>
      <c r="G311" s="9">
        <f t="shared" si="8"/>
        <v>-171</v>
      </c>
      <c r="H311" s="9">
        <f>IF(AND('بنود العقد'!G311&lt;&gt;"",F311&lt;&gt;""), 'بنود العقد'!G311-F311, "")</f>
        <v>-47196</v>
      </c>
      <c r="I311" s="21">
        <f t="shared" si="9"/>
        <v>100</v>
      </c>
    </row>
    <row r="312" spans="1:9" ht="24" customHeight="1">
      <c r="A312" s="12">
        <v>310</v>
      </c>
      <c r="B312" s="20" t="str">
        <f>IF('بنود العقد'!B312&lt;&gt;"", 'بنود العقد'!B312, "")</f>
        <v>كاشف إنذار حراري من النوع المعنون طبقا للمخططات  ومواصفات المشروع</v>
      </c>
      <c r="C312" s="12" t="str">
        <f>IF('بنود العقد'!C312&lt;&gt;"", 'بنود العقد'!C312, "")</f>
        <v>كهرباء</v>
      </c>
      <c r="D312" s="9">
        <f>IF('بنود العقد'!F312&lt;&gt;"", 'بنود العقد'!F312, "")</f>
        <v>13</v>
      </c>
      <c r="E312" s="18">
        <f>IF(B312&lt;&gt;"", SUMPRODUCT(('بنود المطالبات'!C$3:C$1805=A312)*'بنود المطالبات'!I$3:I$1805), "")</f>
        <v>0</v>
      </c>
      <c r="F312" s="18">
        <f>IFERROR(IF(AND(E312&lt;&gt;"",'بنود العقد'!E312&lt;&gt;""), E312*'بنود العقد'!E312, 0), 0)</f>
        <v>0</v>
      </c>
      <c r="G312" s="9">
        <f t="shared" si="8"/>
        <v>13</v>
      </c>
      <c r="H312" s="9">
        <f>IF(AND('بنود العقد'!G312&lt;&gt;"",F312&lt;&gt;""), 'بنود العقد'!G312-F312, "")</f>
        <v>3900</v>
      </c>
      <c r="I312" s="21">
        <f t="shared" si="9"/>
        <v>0</v>
      </c>
    </row>
    <row r="313" spans="1:9" ht="24" customHeight="1">
      <c r="A313" s="12">
        <v>311</v>
      </c>
      <c r="B313" s="20" t="str">
        <f>IF('بنود العقد'!B313&lt;&gt;"", 'بنود العقد'!B313, "")</f>
        <v xml:space="preserve"> وحدة إنذار حريق يدوية من النوع المعنون طبقا للمخططات  ومواصفات المشروع</v>
      </c>
      <c r="C313" s="12" t="str">
        <f>IF('بنود العقد'!C313&lt;&gt;"", 'بنود العقد'!C313, "")</f>
        <v>كهرباء</v>
      </c>
      <c r="D313" s="9">
        <f>IF('بنود العقد'!F313&lt;&gt;"", 'بنود العقد'!F313, "")</f>
        <v>54</v>
      </c>
      <c r="E313" s="18">
        <f>IF(B313&lt;&gt;"", SUMPRODUCT(('بنود المطالبات'!C$3:C$1805=A313)*'بنود المطالبات'!I$3:I$1805), "")</f>
        <v>48</v>
      </c>
      <c r="F313" s="18">
        <f>IFERROR(IF(AND(E313&lt;&gt;"",'بنود العقد'!E313&lt;&gt;""), E313*'بنود العقد'!E313, 0), 0)</f>
        <v>18432</v>
      </c>
      <c r="G313" s="9">
        <f t="shared" si="8"/>
        <v>6</v>
      </c>
      <c r="H313" s="9">
        <f>IF(AND('بنود العقد'!G313&lt;&gt;"",F313&lt;&gt;""), 'بنود العقد'!G313-F313, "")</f>
        <v>2304</v>
      </c>
      <c r="I313" s="21">
        <f t="shared" si="9"/>
        <v>88.888888888888886</v>
      </c>
    </row>
    <row r="314" spans="1:9" ht="24" customHeight="1">
      <c r="A314" s="12">
        <v>312</v>
      </c>
      <c r="B314" s="20" t="str">
        <f>IF('بنود العقد'!B314&lt;&gt;"", 'بنود العقد'!B314, "")</f>
        <v>وحدة عزل )fault isolator( من النوع المعنون طبقا للمخططات  ومواصفات المشروع</v>
      </c>
      <c r="C314" s="12" t="str">
        <f>IF('بنود العقد'!C314&lt;&gt;"", 'بنود العقد'!C314, "")</f>
        <v>كهرباء</v>
      </c>
      <c r="D314" s="9">
        <f>IF('بنود العقد'!F314&lt;&gt;"", 'بنود العقد'!F314, "")</f>
        <v>46</v>
      </c>
      <c r="E314" s="18">
        <f>IF(B314&lt;&gt;"", SUMPRODUCT(('بنود المطالبات'!C$3:C$1805=A314)*'بنود المطالبات'!I$3:I$1805), "")</f>
        <v>0</v>
      </c>
      <c r="F314" s="18">
        <f>IFERROR(IF(AND(E314&lt;&gt;"",'بنود العقد'!E314&lt;&gt;""), E314*'بنود العقد'!E314, 0), 0)</f>
        <v>0</v>
      </c>
      <c r="G314" s="9">
        <f t="shared" si="8"/>
        <v>46</v>
      </c>
      <c r="H314" s="9">
        <f>IF(AND('بنود العقد'!G314&lt;&gt;"",F314&lt;&gt;""), 'بنود العقد'!G314-F314, "")</f>
        <v>4968</v>
      </c>
      <c r="I314" s="21">
        <f t="shared" si="9"/>
        <v>0</v>
      </c>
    </row>
    <row r="315" spans="1:9" ht="24" customHeight="1">
      <c r="A315" s="12">
        <v>313</v>
      </c>
      <c r="B315" s="20" t="str">
        <f>IF('بنود العقد'!B315&lt;&gt;"", 'بنود العقد'!B315, "")</f>
        <v>وحدة تحكم  )Control module( من النوع المعنون طبقا للمخططات  ومواصفات المشروع</v>
      </c>
      <c r="C315" s="12" t="str">
        <f>IF('بنود العقد'!C315&lt;&gt;"", 'بنود العقد'!C315, "")</f>
        <v>كهرباء</v>
      </c>
      <c r="D315" s="9">
        <f>IF('بنود العقد'!F315&lt;&gt;"", 'بنود العقد'!F315, "")</f>
        <v>69</v>
      </c>
      <c r="E315" s="18">
        <f>IF(B315&lt;&gt;"", SUMPRODUCT(('بنود المطالبات'!C$3:C$1805=A315)*'بنود المطالبات'!I$3:I$1805), "")</f>
        <v>218</v>
      </c>
      <c r="F315" s="18">
        <f>IFERROR(IF(AND(E315&lt;&gt;"",'بنود العقد'!E315&lt;&gt;""), E315*'بنود العقد'!E315, 0), 0)</f>
        <v>91560</v>
      </c>
      <c r="G315" s="9">
        <f t="shared" si="8"/>
        <v>-149</v>
      </c>
      <c r="H315" s="9">
        <f>IF(AND('بنود العقد'!G315&lt;&gt;"",F315&lt;&gt;""), 'بنود العقد'!G315-F315, "")</f>
        <v>-62580</v>
      </c>
      <c r="I315" s="21">
        <f t="shared" si="9"/>
        <v>100</v>
      </c>
    </row>
    <row r="316" spans="1:9" ht="24" customHeight="1">
      <c r="A316" s="12">
        <v>314</v>
      </c>
      <c r="B316" s="20" t="str">
        <f>IF('بنود العقد'!B316&lt;&gt;"", 'بنود العقد'!B316, "")</f>
        <v>وحدة جرس إنذار حريق داخلى طبقا للمخططات  ومواصفات المشروع</v>
      </c>
      <c r="C316" s="12" t="str">
        <f>IF('بنود العقد'!C316&lt;&gt;"", 'بنود العقد'!C316, "")</f>
        <v>كهرباء</v>
      </c>
      <c r="D316" s="9">
        <f>IF('بنود العقد'!F316&lt;&gt;"", 'بنود العقد'!F316, "")</f>
        <v>24</v>
      </c>
      <c r="E316" s="18">
        <f>IF(B316&lt;&gt;"", SUMPRODUCT(('بنود المطالبات'!C$3:C$1805=A316)*'بنود المطالبات'!I$3:I$1805), "")</f>
        <v>46</v>
      </c>
      <c r="F316" s="18">
        <f>IFERROR(IF(AND(E316&lt;&gt;"",'بنود العقد'!E316&lt;&gt;""), E316*'بنود العقد'!E316, 0), 0)</f>
        <v>26496</v>
      </c>
      <c r="G316" s="9">
        <f t="shared" si="8"/>
        <v>-22</v>
      </c>
      <c r="H316" s="9">
        <f>IF(AND('بنود العقد'!G316&lt;&gt;"",F316&lt;&gt;""), 'بنود العقد'!G316-F316, "")</f>
        <v>-12672</v>
      </c>
      <c r="I316" s="21">
        <f t="shared" si="9"/>
        <v>100</v>
      </c>
    </row>
    <row r="317" spans="1:9" ht="24" customHeight="1">
      <c r="A317" s="12">
        <v>315</v>
      </c>
      <c r="B317" s="20" t="str">
        <f>IF('بنود العقد'!B317&lt;&gt;"", 'بنود العقد'!B317, "")</f>
        <v>وحدة هاتف رجل الاطفاء حريق داخلى )fireman telephone Jack ( طبقا للمخططات  ومواصفات المشروع</v>
      </c>
      <c r="C317" s="12" t="str">
        <f>IF('بنود العقد'!C317&lt;&gt;"", 'بنود العقد'!C317, "")</f>
        <v>كهرباء</v>
      </c>
      <c r="D317" s="9">
        <f>IF('بنود العقد'!F317&lt;&gt;"", 'بنود العقد'!F317, "")</f>
        <v>24</v>
      </c>
      <c r="E317" s="18">
        <f>IF(B317&lt;&gt;"", SUMPRODUCT(('بنود المطالبات'!C$3:C$1805=A317)*'بنود المطالبات'!I$3:I$1805), "")</f>
        <v>0</v>
      </c>
      <c r="F317" s="18">
        <f>IFERROR(IF(AND(E317&lt;&gt;"",'بنود العقد'!E317&lt;&gt;""), E317*'بنود العقد'!E317, 0), 0)</f>
        <v>0</v>
      </c>
      <c r="G317" s="9">
        <f t="shared" si="8"/>
        <v>24</v>
      </c>
      <c r="H317" s="9">
        <f>IF(AND('بنود العقد'!G317&lt;&gt;"",F317&lt;&gt;""), 'بنود العقد'!G317-F317, "")</f>
        <v>23040</v>
      </c>
      <c r="I317" s="21">
        <f t="shared" si="9"/>
        <v>0</v>
      </c>
    </row>
    <row r="318" spans="1:9" ht="24" customHeight="1">
      <c r="A318" s="12">
        <v>316</v>
      </c>
      <c r="B318" s="20" t="str">
        <f>IF('بنود العقد'!B318&lt;&gt;"", 'بنود العقد'!B318, "")</f>
        <v>وحدات لاسلكية لتوفير خدمة شبكة المعلومات )Wireless Access Points(</v>
      </c>
      <c r="C318" s="12" t="str">
        <f>IF('بنود العقد'!C318&lt;&gt;"", 'بنود العقد'!C318, "")</f>
        <v>كهرباء</v>
      </c>
      <c r="D318" s="9">
        <f>IF('بنود العقد'!F318&lt;&gt;"", 'بنود العقد'!F318, "")</f>
        <v>181</v>
      </c>
      <c r="E318" s="18">
        <f>IF(B318&lt;&gt;"", SUMPRODUCT(('بنود المطالبات'!C$3:C$1805=A318)*'بنود المطالبات'!I$3:I$1805), "")</f>
        <v>171</v>
      </c>
      <c r="F318" s="18">
        <f>IFERROR(IF(AND(E318&lt;&gt;"",'بنود العقد'!E318&lt;&gt;""), E318*'بنود العقد'!E318, 0), 0)</f>
        <v>184680</v>
      </c>
      <c r="G318" s="9">
        <f t="shared" si="8"/>
        <v>10</v>
      </c>
      <c r="H318" s="9">
        <f>IF(AND('بنود العقد'!G318&lt;&gt;"",F318&lt;&gt;""), 'بنود العقد'!G318-F318, "")</f>
        <v>10800</v>
      </c>
      <c r="I318" s="21">
        <f t="shared" si="9"/>
        <v>94.475138121546962</v>
      </c>
    </row>
    <row r="319" spans="1:9" ht="24" customHeight="1">
      <c r="A319" s="12">
        <v>317</v>
      </c>
      <c r="B319" s="20" t="str">
        <f>IF('بنود العقد'!B319&lt;&gt;"", 'بنود العقد'!B319, "")</f>
        <v>عن طريق مقاول متخصص ذو خبرة كبيرة في هذا المجال ويقدم للاعتماد من إدارة الـ IT بالوزارة و يربط النظام مع الانظمة المعنية بالتحكم و الموازنة و يشمل البند جميع الوصلات و الكابلات و غيرها من المتطلبات الخاصة بنهو النظام كاملا توريد وتركيب واختبارنقاط كاميرا مراقبة داخلية سقفية و جميع ما يلزم من توصيلات و تركيبات و خلافة  لنهو النظام .</v>
      </c>
      <c r="C319" s="12" t="str">
        <f>IF('بنود العقد'!C319&lt;&gt;"", 'بنود العقد'!C319, "")</f>
        <v>كهرباء</v>
      </c>
      <c r="D319" s="9">
        <f>IF('بنود العقد'!F319&lt;&gt;"", 'بنود العقد'!F319, "")</f>
        <v>258</v>
      </c>
      <c r="E319" s="18">
        <f>IF(B319&lt;&gt;"", SUMPRODUCT(('بنود المطالبات'!C$3:C$1805=A319)*'بنود المطالبات'!I$3:I$1805), "")</f>
        <v>253</v>
      </c>
      <c r="F319" s="18">
        <f>IFERROR(IF(AND(E319&lt;&gt;"",'بنود العقد'!E319&lt;&gt;""), E319*'بنود العقد'!E319, 0), 0)</f>
        <v>667920</v>
      </c>
      <c r="G319" s="9">
        <f t="shared" si="8"/>
        <v>5</v>
      </c>
      <c r="H319" s="9">
        <f>IF(AND('بنود العقد'!G319&lt;&gt;"",F319&lt;&gt;""), 'بنود العقد'!G319-F319, "")</f>
        <v>13200</v>
      </c>
      <c r="I319" s="21">
        <f t="shared" si="9"/>
        <v>98.062015503875969</v>
      </c>
    </row>
    <row r="320" spans="1:9" ht="24" customHeight="1">
      <c r="A320" s="12">
        <v>318</v>
      </c>
      <c r="B320" s="20" t="str">
        <f>IF('بنود العقد'!B320&lt;&gt;"", 'بنود العقد'!B320, "")</f>
        <v>توريد وتركيب واختبار نظام التحكم فى الدخول بروتوكول IP  مع البرامج الخاصة بنظام التحكم بتقنية dual RFID integration ، مع المواسير والكابلات وكل الملحقات لضمان عمل النظام على الوجه الاكمل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لوحة التحكم الرئيسية فى الابواب )IASC( ذات دارة خرج  )poE - ( IP</v>
      </c>
      <c r="C320" s="12" t="str">
        <f>IF('بنود العقد'!C320&lt;&gt;"", 'بنود العقد'!C320, "")</f>
        <v>كهرباء</v>
      </c>
      <c r="D320" s="9">
        <f>IF('بنود العقد'!F320&lt;&gt;"", 'بنود العقد'!F320, "")</f>
        <v>120</v>
      </c>
      <c r="E320" s="18">
        <f>IF(B320&lt;&gt;"", SUMPRODUCT(('بنود المطالبات'!C$3:C$1805=A320)*'بنود المطالبات'!I$3:I$1805), "")</f>
        <v>12</v>
      </c>
      <c r="F320" s="18">
        <f>IFERROR(IF(AND(E320&lt;&gt;"",'بنود العقد'!E320&lt;&gt;""), E320*'بنود العقد'!E320, 0), 0)</f>
        <v>34848</v>
      </c>
      <c r="G320" s="9">
        <f t="shared" si="8"/>
        <v>108</v>
      </c>
      <c r="H320" s="9">
        <f>IF(AND('بنود العقد'!G320&lt;&gt;"",F320&lt;&gt;""), 'بنود العقد'!G320-F320, "")</f>
        <v>313632</v>
      </c>
      <c r="I320" s="21">
        <f t="shared" si="9"/>
        <v>10</v>
      </c>
    </row>
    <row r="321" spans="1:9" ht="24" customHeight="1">
      <c r="A321" s="12">
        <v>319</v>
      </c>
      <c r="B321" s="20" t="str">
        <f>IF('بنود العقد'!B321&lt;&gt;"", 'بنود العقد'!B321, "")</f>
        <v>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قارىء من النوع التقاربى      ( reader card Proximity )</v>
      </c>
      <c r="C321" s="12" t="str">
        <f>IF('بنود العقد'!C321&lt;&gt;"", 'بنود العقد'!C321, "")</f>
        <v>كهرباء</v>
      </c>
      <c r="D321" s="9">
        <f>IF('بنود العقد'!F321&lt;&gt;"", 'بنود العقد'!F321, "")</f>
        <v>182</v>
      </c>
      <c r="E321" s="18">
        <f>IF(B321&lt;&gt;"", SUMPRODUCT(('بنود المطالبات'!C$3:C$1805=A321)*'بنود المطالبات'!I$3:I$1805), "")</f>
        <v>0</v>
      </c>
      <c r="F321" s="18">
        <f>IFERROR(IF(AND(E321&lt;&gt;"",'بنود العقد'!E321&lt;&gt;""), E321*'بنود العقد'!E321, 0), 0)</f>
        <v>0</v>
      </c>
      <c r="G321" s="9">
        <f t="shared" si="8"/>
        <v>182</v>
      </c>
      <c r="H321" s="9">
        <f>IF(AND('بنود العقد'!G321&lt;&gt;"",F321&lt;&gt;""), 'بنود العقد'!G321-F321, "")</f>
        <v>180180</v>
      </c>
      <c r="I321" s="21">
        <f t="shared" si="9"/>
        <v>0</v>
      </c>
    </row>
    <row r="322" spans="1:9" ht="24" customHeight="1">
      <c r="A322" s="12">
        <v>320</v>
      </c>
      <c r="B322" s="20" t="str">
        <f>IF('بنود العقد'!B322&lt;&gt;"", 'بنود العقد'!B322,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بطاقات تعريف ذكية</v>
      </c>
      <c r="C322" s="12" t="str">
        <f>IF('بنود العقد'!C322&lt;&gt;"", 'بنود العقد'!C322, "")</f>
        <v>كهرباء</v>
      </c>
      <c r="D322" s="9">
        <f>IF('بنود العقد'!F322&lt;&gt;"", 'بنود العقد'!F322, "")</f>
        <v>500</v>
      </c>
      <c r="E322" s="18">
        <f>IF(B322&lt;&gt;"", SUMPRODUCT(('بنود المطالبات'!C$3:C$1805=A322)*'بنود المطالبات'!I$3:I$1805), "")</f>
        <v>8</v>
      </c>
      <c r="F322" s="18">
        <f>IFERROR(IF(AND(E322&lt;&gt;"",'بنود العقد'!E322&lt;&gt;""), E322*'بنود العقد'!E322, 0), 0)</f>
        <v>576</v>
      </c>
      <c r="G322" s="9">
        <f t="shared" si="8"/>
        <v>492</v>
      </c>
      <c r="H322" s="9">
        <f>IF(AND('بنود العقد'!G322&lt;&gt;"",F322&lt;&gt;""), 'بنود العقد'!G322-F322, "")</f>
        <v>35424</v>
      </c>
      <c r="I322" s="21">
        <f t="shared" si="9"/>
        <v>1.6</v>
      </c>
    </row>
    <row r="323" spans="1:9" ht="24" customHeight="1">
      <c r="A323" s="12">
        <v>321</v>
      </c>
      <c r="B323" s="20" t="str">
        <f>IF('بنود العقد'!B323&lt;&gt;"", 'بنود العقد'!B323,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قفل كهربائى       locks( door magnetic )Electro</v>
      </c>
      <c r="C323" s="12" t="str">
        <f>IF('بنود العقد'!C323&lt;&gt;"", 'بنود العقد'!C323, "")</f>
        <v>كهرباء</v>
      </c>
      <c r="D323" s="9">
        <f>IF('بنود العقد'!F323&lt;&gt;"", 'بنود العقد'!F323, "")</f>
        <v>116</v>
      </c>
      <c r="E323" s="18">
        <f>IF(B323&lt;&gt;"", SUMPRODUCT(('بنود المطالبات'!C$3:C$1805=A323)*'بنود المطالبات'!I$3:I$1805), "")</f>
        <v>0</v>
      </c>
      <c r="F323" s="18">
        <f>IFERROR(IF(AND(E323&lt;&gt;"",'بنود العقد'!E323&lt;&gt;""), E323*'بنود العقد'!E323, 0), 0)</f>
        <v>0</v>
      </c>
      <c r="G323" s="9">
        <f t="shared" ref="G323:G386" si="10">IF(AND(D323&lt;&gt;"",E323&lt;&gt;""), D323-E323, "")</f>
        <v>116</v>
      </c>
      <c r="H323" s="9">
        <f>IF(AND('بنود العقد'!G323&lt;&gt;"",F323&lt;&gt;""), 'بنود العقد'!G323-F323, "")</f>
        <v>109968</v>
      </c>
      <c r="I323" s="21">
        <f t="shared" ref="I323:I386" si="11">IFERROR(IF(AND(E323&lt;&gt;"",D323&lt;&gt;"",D323&gt;0), MIN(E323/D323*100, 100), 0), 0)</f>
        <v>0</v>
      </c>
    </row>
    <row r="324" spans="1:9" ht="24" customHeight="1">
      <c r="A324" s="12">
        <v>322</v>
      </c>
      <c r="B324" s="20" t="str">
        <f>IF('بنود العقد'!B324&lt;&gt;"", 'بنود العقد'!B324,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قفل كهربائى لبابين      locks( door magnetic )Electro</v>
      </c>
      <c r="C324" s="12" t="str">
        <f>IF('بنود العقد'!C324&lt;&gt;"", 'بنود العقد'!C324, "")</f>
        <v>كهرباء</v>
      </c>
      <c r="D324" s="9">
        <f>IF('بنود العقد'!F324&lt;&gt;"", 'بنود العقد'!F324, "")</f>
        <v>95</v>
      </c>
      <c r="E324" s="18">
        <f>IF(B324&lt;&gt;"", SUMPRODUCT(('بنود المطالبات'!C$3:C$1805=A324)*'بنود المطالبات'!I$3:I$1805), "")</f>
        <v>8</v>
      </c>
      <c r="F324" s="18">
        <f>IFERROR(IF(AND(E324&lt;&gt;"",'بنود العقد'!E324&lt;&gt;""), E324*'بنود العقد'!E324, 0), 0)</f>
        <v>11040</v>
      </c>
      <c r="G324" s="9">
        <f t="shared" si="10"/>
        <v>87</v>
      </c>
      <c r="H324" s="9">
        <f>IF(AND('بنود العقد'!G324&lt;&gt;"",F324&lt;&gt;""), 'بنود العقد'!G324-F324, "")</f>
        <v>120060</v>
      </c>
      <c r="I324" s="21">
        <f t="shared" si="11"/>
        <v>8.4210526315789469</v>
      </c>
    </row>
    <row r="325" spans="1:9" ht="24" customHeight="1">
      <c r="A325" s="12">
        <v>323</v>
      </c>
      <c r="B325" s="20" t="str">
        <f>IF('بنود العقد'!B325&lt;&gt;"", 'بنود العقد'!B325,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زر خروج من النوع button( )Push</v>
      </c>
      <c r="C325" s="12" t="str">
        <f>IF('بنود العقد'!C325&lt;&gt;"", 'بنود العقد'!C325, "")</f>
        <v>كهرباء</v>
      </c>
      <c r="D325" s="9">
        <f>IF('بنود العقد'!F325&lt;&gt;"", 'بنود العقد'!F325, "")</f>
        <v>218</v>
      </c>
      <c r="E325" s="18">
        <f>IF(B325&lt;&gt;"", SUMPRODUCT(('بنود المطالبات'!C$3:C$1805=A325)*'بنود المطالبات'!I$3:I$1805), "")</f>
        <v>15</v>
      </c>
      <c r="F325" s="18">
        <f>IFERROR(IF(AND(E325&lt;&gt;"",'بنود العقد'!E325&lt;&gt;""), E325*'بنود العقد'!E325, 0), 0)</f>
        <v>9090</v>
      </c>
      <c r="G325" s="9">
        <f t="shared" si="10"/>
        <v>203</v>
      </c>
      <c r="H325" s="9">
        <f>IF(AND('بنود العقد'!G325&lt;&gt;"",F325&lt;&gt;""), 'بنود العقد'!G325-F325, "")</f>
        <v>123018</v>
      </c>
      <c r="I325" s="21">
        <f t="shared" si="11"/>
        <v>6.8807339449541285</v>
      </c>
    </row>
    <row r="326" spans="1:9" ht="24" customHeight="1">
      <c r="A326" s="12">
        <v>324</v>
      </c>
      <c r="B326" s="20" t="str">
        <f>IF('بنود العقد'!B326&lt;&gt;"", 'بنود العقد'!B326, "")</f>
        <v xml:space="preserve">توريد وتركيب وإختبار نظام النداء الصوتي العام يتضمن كافة الكابالت و المواسير و العلب و النهايات مع كامل اكسسوارات التركيب الالزمة وتشغيل تجهيزات الصوت و تركيب المعدات الرئيسية بغرفة التحكم حسب المخططات و المواصفات وتعليمات الشركة المصنعة مشتمال على كل ما يلزم التمام العمل
و ربطه مع نظام الحريق و ادارة المبنى و يتكون من االتي -:
سماعة سقفية 6 وات
</v>
      </c>
      <c r="C326" s="12" t="str">
        <f>IF('بنود العقد'!C326&lt;&gt;"", 'بنود العقد'!C326, "")</f>
        <v>كهرباء</v>
      </c>
      <c r="D326" s="9">
        <f>IF('بنود العقد'!F326&lt;&gt;"", 'بنود العقد'!F326, "")</f>
        <v>252</v>
      </c>
      <c r="E326" s="18">
        <f>IF(B326&lt;&gt;"", SUMPRODUCT(('بنود المطالبات'!C$3:C$1805=A326)*'بنود المطالبات'!I$3:I$1805), "")</f>
        <v>153</v>
      </c>
      <c r="F326" s="18">
        <f>IFERROR(IF(AND(E326&lt;&gt;"",'بنود العقد'!E326&lt;&gt;""), E326*'بنود العقد'!E326, 0), 0)</f>
        <v>64260</v>
      </c>
      <c r="G326" s="9">
        <f t="shared" si="10"/>
        <v>99</v>
      </c>
      <c r="H326" s="9">
        <f>IF(AND('بنود العقد'!G326&lt;&gt;"",F326&lt;&gt;""), 'بنود العقد'!G326-F326, "")</f>
        <v>41580</v>
      </c>
      <c r="I326" s="21">
        <f t="shared" si="11"/>
        <v>60.714285714285708</v>
      </c>
    </row>
    <row r="327" spans="1:9" ht="24" customHeight="1">
      <c r="A327" s="12">
        <v>325</v>
      </c>
      <c r="B327" s="20" t="str">
        <f>IF('بنود العقد'!B327&lt;&gt;"", 'بنود العقد'!B327, "")</f>
        <v>انة معدنية مع باب زجاجي مع قفل قياس 19 بوصة شاملة للمراوح وجميع االكسسوارات مع جهاز مكبر صوت و مكرفون لنظام النداء
الصوتي و جهاز التجميع والتحكم بنظام الصوت الرقمي متضمنا 8 مدخل يشمل التوصيالت و التركيبات
الالزمة لنهو العمل - 8 مخرج، مرتبط بنظام االنذار من الحريق ، ثنائي المراقبة ، مرتبط
بنظام التحكم بااللي للمبنى شامال لجميع المعدات و التوصيالت الالزمة.</v>
      </c>
      <c r="C327" s="12" t="str">
        <f>IF('بنود العقد'!C327&lt;&gt;"", 'بنود العقد'!C327, "")</f>
        <v>كهرباء</v>
      </c>
      <c r="D327" s="9">
        <f>IF('بنود العقد'!F327&lt;&gt;"", 'بنود العقد'!F327, "")</f>
        <v>1</v>
      </c>
      <c r="E327" s="18">
        <f>IF(B327&lt;&gt;"", SUMPRODUCT(('بنود المطالبات'!C$3:C$1805=A327)*'بنود المطالبات'!I$3:I$1805), "")</f>
        <v>0</v>
      </c>
      <c r="F327" s="18">
        <f>IFERROR(IF(AND(E327&lt;&gt;"",'بنود العقد'!E327&lt;&gt;""), E327*'بنود العقد'!E327, 0), 0)</f>
        <v>0</v>
      </c>
      <c r="G327" s="9">
        <f t="shared" si="10"/>
        <v>1</v>
      </c>
      <c r="H327" s="9">
        <f>IF(AND('بنود العقد'!G327&lt;&gt;"",F327&lt;&gt;""), 'بنود العقد'!G327-F327, "")</f>
        <v>90000</v>
      </c>
      <c r="I327" s="21">
        <f t="shared" si="11"/>
        <v>0</v>
      </c>
    </row>
    <row r="328" spans="1:9" ht="24" customHeight="1">
      <c r="A328" s="12">
        <v>326</v>
      </c>
      <c r="B328" s="20" t="str">
        <f>IF('بنود العقد'!B328&lt;&gt;"", 'بنود العقد'!B328, "")</f>
        <v>هيز وتركيب وإختبار لنظام الصوت و الصورة بغرفة اإلجتماعات conferance( )video ويتضمن كافة الكابالت و المواسير و العلب و النهايات مع كامل اكسسوارات التركيب الالزمة شامال و الملحقات
الالزمة ا لتعليمات ومواصفات إدارة الـ IT ، وعلى أن يحتوي لتجهيزات التالية:
تمديدات لكاميرا (FHD) IP سقفية عدد 2
سماعات سففية عدد 4
وحدة نداء (ميكرفون)
محطة عمل</v>
      </c>
      <c r="C328" s="12" t="str">
        <f>IF('بنود العقد'!C328&lt;&gt;"", 'بنود العقد'!C328, "")</f>
        <v>كهرباء</v>
      </c>
      <c r="D328" s="9">
        <f>IF('بنود العقد'!F328&lt;&gt;"", 'بنود العقد'!F328, "")</f>
        <v>15</v>
      </c>
      <c r="E328" s="18">
        <f>IF(B328&lt;&gt;"", SUMPRODUCT(('بنود المطالبات'!C$3:C$1805=A328)*'بنود المطالبات'!I$3:I$1805), "")</f>
        <v>0</v>
      </c>
      <c r="F328" s="18">
        <f>IFERROR(IF(AND(E328&lt;&gt;"",'بنود العقد'!E328&lt;&gt;""), E328*'بنود العقد'!E328, 0), 0)</f>
        <v>0</v>
      </c>
      <c r="G328" s="9">
        <f t="shared" si="10"/>
        <v>15</v>
      </c>
      <c r="H328" s="9">
        <f>IF(AND('بنود العقد'!G328&lt;&gt;"",F328&lt;&gt;""), 'بنود العقد'!G328-F328, "")</f>
        <v>216000</v>
      </c>
      <c r="I328" s="21">
        <f t="shared" si="11"/>
        <v>0</v>
      </c>
    </row>
    <row r="329" spans="1:9" ht="24" customHeight="1">
      <c r="A329" s="12">
        <v>327</v>
      </c>
      <c r="B329" s="20" t="str">
        <f>IF('بنود العقد'!B329&lt;&gt;"", 'بنود العقد'!B329, "")</f>
        <v xml:space="preserve">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فردي حائطي مزود بعدد واحد مأخذ RJ-45
</v>
      </c>
      <c r="C329" s="12" t="str">
        <f>IF('بنود العقد'!C329&lt;&gt;"", 'بنود العقد'!C329, "")</f>
        <v>كهرباء</v>
      </c>
      <c r="D329" s="9">
        <f>IF('بنود العقد'!F329&lt;&gt;"", 'بنود العقد'!F329, "")</f>
        <v>206</v>
      </c>
      <c r="E329" s="18">
        <f>IF(B329&lt;&gt;"", SUMPRODUCT(('بنود المطالبات'!C$3:C$1805=A329)*'بنود المطالبات'!I$3:I$1805), "")</f>
        <v>290</v>
      </c>
      <c r="F329" s="18">
        <f>IFERROR(IF(AND(E329&lt;&gt;"",'بنود العقد'!E329&lt;&gt;""), E329*'بنود العقد'!E329, 0), 0)</f>
        <v>125280</v>
      </c>
      <c r="G329" s="9">
        <f t="shared" si="10"/>
        <v>-84</v>
      </c>
      <c r="H329" s="9">
        <f>IF(AND('بنود العقد'!G329&lt;&gt;"",F329&lt;&gt;""), 'بنود العقد'!G329-F329, "")</f>
        <v>-36288</v>
      </c>
      <c r="I329" s="21">
        <f t="shared" si="11"/>
        <v>100</v>
      </c>
    </row>
    <row r="330" spans="1:9" ht="24" customHeight="1">
      <c r="A330" s="12">
        <v>328</v>
      </c>
      <c r="B330" s="20" t="str">
        <f>IF('بنود العقد'!B330&lt;&gt;"", 'بنود العقد'!B330, "")</f>
        <v>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HDMI مع الكوابل اللازمة</v>
      </c>
      <c r="C330" s="12" t="str">
        <f>IF('بنود العقد'!C330&lt;&gt;"", 'بنود العقد'!C330, "")</f>
        <v>كهرباء</v>
      </c>
      <c r="D330" s="9">
        <f>IF('بنود العقد'!F330&lt;&gt;"", 'بنود العقد'!F330, "")</f>
        <v>33</v>
      </c>
      <c r="E330" s="18">
        <f>IF(B330&lt;&gt;"", SUMPRODUCT(('بنود المطالبات'!C$3:C$1805=A330)*'بنود المطالبات'!I$3:I$1805), "")</f>
        <v>49</v>
      </c>
      <c r="F330" s="18">
        <f>IFERROR(IF(AND(E330&lt;&gt;"",'بنود العقد'!E330&lt;&gt;""), E330*'بنود العقد'!E330, 0), 0)</f>
        <v>26460</v>
      </c>
      <c r="G330" s="9">
        <f t="shared" si="10"/>
        <v>-16</v>
      </c>
      <c r="H330" s="9">
        <f>IF(AND('بنود العقد'!G330&lt;&gt;"",F330&lt;&gt;""), 'بنود العقد'!G330-F330, "")</f>
        <v>-8640</v>
      </c>
      <c r="I330" s="21">
        <f t="shared" si="11"/>
        <v>100</v>
      </c>
    </row>
    <row r="331" spans="1:9" ht="24" customHeight="1">
      <c r="A331" s="12">
        <v>329</v>
      </c>
      <c r="B331" s="20" t="str">
        <f>IF('بنود العقد'!B331&lt;&gt;"", 'بنود العقد'!B331, "")</f>
        <v xml:space="preserve">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الانواع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فردي سقفى مزود بعدد واحد مأخذ RJ-45</v>
      </c>
      <c r="C331" s="12" t="str">
        <f>IF('بنود العقد'!C331&lt;&gt;"", 'بنود العقد'!C331, "")</f>
        <v>كهرباء</v>
      </c>
      <c r="D331" s="9">
        <f>IF('بنود العقد'!F331&lt;&gt;"", 'بنود العقد'!F331, "")</f>
        <v>1</v>
      </c>
      <c r="E331" s="18">
        <f>IF(B331&lt;&gt;"", SUMPRODUCT(('بنود المطالبات'!C$3:C$1805=A331)*'بنود المطالبات'!I$3:I$1805), "")</f>
        <v>0</v>
      </c>
      <c r="F331" s="18">
        <f>IFERROR(IF(AND(E331&lt;&gt;"",'بنود العقد'!E331&lt;&gt;""), E331*'بنود العقد'!E331, 0), 0)</f>
        <v>0</v>
      </c>
      <c r="G331" s="9">
        <f t="shared" si="10"/>
        <v>1</v>
      </c>
      <c r="H331" s="9">
        <f>IF(AND('بنود العقد'!G331&lt;&gt;"",F331&lt;&gt;""), 'بنود العقد'!G331-F331, "")</f>
        <v>420</v>
      </c>
      <c r="I331" s="21">
        <f t="shared" si="11"/>
        <v>0</v>
      </c>
    </row>
    <row r="332" spans="1:9" ht="24" customHeight="1">
      <c r="A332" s="12">
        <v>330</v>
      </c>
      <c r="B332" s="20" t="str">
        <f>IF('بنود العقد'!B332&lt;&gt;"", 'بنود العقد'!B332, "")</f>
        <v>خزانة تجهيزات 42 U مقاس 2000×1000×800 ملم من أجود األنواع العالمية مع جميع االكسسوارات الالزمة من قاطع رئيسي 32( أمبير) وموزعات و مراوح و منظمات مسير الكوابل و كل
ما يلزم التمام العمل وحسب مواصفات وتعليمات إدارة الـ IT بالوزارة.</v>
      </c>
      <c r="C332" s="12" t="str">
        <f>IF('بنود العقد'!C332&lt;&gt;"", 'بنود العقد'!C332, "")</f>
        <v>كهرباء</v>
      </c>
      <c r="D332" s="9">
        <f>IF('بنود العقد'!F332&lt;&gt;"", 'بنود العقد'!F332, "")</f>
        <v>12</v>
      </c>
      <c r="E332" s="18">
        <f>IF(B332&lt;&gt;"", SUMPRODUCT(('بنود المطالبات'!C$3:C$1805=A332)*'بنود المطالبات'!I$3:I$1805), "")</f>
        <v>12</v>
      </c>
      <c r="F332" s="18">
        <f>IFERROR(IF(AND(E332&lt;&gt;"",'بنود العقد'!E332&lt;&gt;""), E332*'بنود العقد'!E332, 0), 0)</f>
        <v>792000</v>
      </c>
      <c r="G332" s="9">
        <f t="shared" si="10"/>
        <v>0</v>
      </c>
      <c r="H332" s="9">
        <f>IF(AND('بنود العقد'!G332&lt;&gt;"",F332&lt;&gt;""), 'بنود العقد'!G332-F332, "")</f>
        <v>0</v>
      </c>
      <c r="I332" s="21">
        <f t="shared" si="11"/>
        <v>100</v>
      </c>
    </row>
    <row r="333" spans="1:9" ht="24" customHeight="1">
      <c r="A333" s="12">
        <v>331</v>
      </c>
      <c r="B333" s="20" t="str">
        <f>IF('بنود العقد'!B333&lt;&gt;"", 'بنود العقد'!B333, "")</f>
        <v>لوحة توزيع رئيسية لنظام كابالت األلياف الضوئية Panel Patch Optical مزودة بعدد )12( موصل
من النوع Multimode</v>
      </c>
      <c r="C333" s="12" t="str">
        <f>IF('بنود العقد'!C333&lt;&gt;"", 'بنود العقد'!C333, "")</f>
        <v>كهرباء</v>
      </c>
      <c r="D333" s="9">
        <f>IF('بنود العقد'!F333&lt;&gt;"", 'بنود العقد'!F333, "")</f>
        <v>12</v>
      </c>
      <c r="E333" s="18">
        <f>IF(B333&lt;&gt;"", SUMPRODUCT(('بنود المطالبات'!C$3:C$1805=A333)*'بنود المطالبات'!I$3:I$1805), "")</f>
        <v>12</v>
      </c>
      <c r="F333" s="18">
        <f>IFERROR(IF(AND(E333&lt;&gt;"",'بنود العقد'!E333&lt;&gt;""), E333*'بنود العقد'!E333, 0), 0)</f>
        <v>31680</v>
      </c>
      <c r="G333" s="9">
        <f t="shared" si="10"/>
        <v>0</v>
      </c>
      <c r="H333" s="9">
        <f>IF(AND('بنود العقد'!G333&lt;&gt;"",F333&lt;&gt;""), 'بنود العقد'!G333-F333, "")</f>
        <v>0</v>
      </c>
      <c r="I333" s="21">
        <f t="shared" si="11"/>
        <v>100</v>
      </c>
    </row>
    <row r="334" spans="1:9" ht="24" customHeight="1">
      <c r="A334" s="12">
        <v>332</v>
      </c>
      <c r="B334" s="20" t="str">
        <f>IF('بنود العقد'!B334&lt;&gt;"", 'بنود العقد'!B334, "")</f>
        <v>لوحات توزيع كابالت نحاسية Panel Patch a 6 CAT مع الوصالت لعدد 24 مخرج</v>
      </c>
      <c r="C334" s="12" t="str">
        <f>IF('بنود العقد'!C334&lt;&gt;"", 'بنود العقد'!C334, "")</f>
        <v>كهرباء</v>
      </c>
      <c r="D334" s="9">
        <f>IF('بنود العقد'!F334&lt;&gt;"", 'بنود العقد'!F334, "")</f>
        <v>55</v>
      </c>
      <c r="E334" s="18">
        <f>IF(B334&lt;&gt;"", SUMPRODUCT(('بنود المطالبات'!C$3:C$1805=A334)*'بنود المطالبات'!I$3:I$1805), "")</f>
        <v>77</v>
      </c>
      <c r="F334" s="18">
        <f>IFERROR(IF(AND(E334&lt;&gt;"",'بنود العقد'!E334&lt;&gt;""), E334*'بنود العقد'!E334, 0), 0)</f>
        <v>184800</v>
      </c>
      <c r="G334" s="9">
        <f t="shared" si="10"/>
        <v>-22</v>
      </c>
      <c r="H334" s="9">
        <f>IF(AND('بنود العقد'!G334&lt;&gt;"",F334&lt;&gt;""), 'بنود العقد'!G334-F334, "")</f>
        <v>-52800</v>
      </c>
      <c r="I334" s="21">
        <f t="shared" si="11"/>
        <v>100</v>
      </c>
    </row>
    <row r="335" spans="1:9" ht="24" customHeight="1">
      <c r="A335" s="12">
        <v>333</v>
      </c>
      <c r="B335" s="20" t="str">
        <f>IF('بنود العقد'!B335&lt;&gt;"", 'بنود العقد'!B335, "")</f>
        <v xml:space="preserve">توريد وتركيب وتوصيل جميع تمديدات كابالت األلياف الضوئية ( الفايبر) من نوع 12core - multimode من الموزعات الفرعية بكبائن األدوارإلى الموزع الرئيسى بغرفة الداتا الرئيسية وذلك حسب المواصفات القياسية والبند يشمل كافة وسائل وإكسسوارات التركيب والتثبيت و على المقاول تقديم
الحسابات لالعتمادها من قبل المهندس المشرف
</v>
      </c>
      <c r="C335" s="12" t="str">
        <f>IF('بنود العقد'!C335&lt;&gt;"", 'بنود العقد'!C335, "")</f>
        <v>كهرباء</v>
      </c>
      <c r="D335" s="9">
        <f>IF('بنود العقد'!F335&lt;&gt;"", 'بنود العقد'!F335, "")</f>
        <v>6</v>
      </c>
      <c r="E335" s="18">
        <f>IF(B335&lt;&gt;"", SUMPRODUCT(('بنود المطالبات'!C$3:C$1805=A335)*'بنود المطالبات'!I$3:I$1805), "")</f>
        <v>12</v>
      </c>
      <c r="F335" s="18">
        <f>IFERROR(IF(AND(E335&lt;&gt;"",'بنود العقد'!E335&lt;&gt;""), E335*'بنود العقد'!E335, 0), 0)</f>
        <v>172800</v>
      </c>
      <c r="G335" s="9">
        <f t="shared" si="10"/>
        <v>-6</v>
      </c>
      <c r="H335" s="9">
        <f>IF(AND('بنود العقد'!G335&lt;&gt;"",F335&lt;&gt;""), 'بنود العقد'!G335-F335, "")</f>
        <v>-86400</v>
      </c>
      <c r="I335" s="21">
        <f t="shared" si="11"/>
        <v>100</v>
      </c>
    </row>
    <row r="336" spans="1:9" ht="24" customHeight="1">
      <c r="A336" s="12">
        <v>334</v>
      </c>
      <c r="B336" s="20" t="str">
        <f>IF('بنود العقد'!B336&lt;&gt;"", 'بنود العقد'!B336, "")</f>
        <v xml:space="preserve">فك و تقطيع وتنزيل و ترحيل مواسير شبكة الصرف و التغذية القائمة و البند يشمل فك القطع والترحيل خارج الموقع وتسليم جميع مكونات شبكة الصرف و التغذية للجهة مالكة المشروع </v>
      </c>
      <c r="C336" s="12" t="str">
        <f>IF('بنود العقد'!C336&lt;&gt;"", 'بنود العقد'!C336, "")</f>
        <v>معماري</v>
      </c>
      <c r="D336" s="9">
        <f>IF('بنود العقد'!F336&lt;&gt;"", 'بنود العقد'!F336, "")</f>
        <v>0</v>
      </c>
      <c r="E336" s="18">
        <f>IF(B336&lt;&gt;"", SUMPRODUCT(('بنود المطالبات'!C$3:C$1805=A336)*'بنود المطالبات'!I$3:I$1805), "")</f>
        <v>4894.1000000000004</v>
      </c>
      <c r="F336" s="18">
        <f>IFERROR(IF(AND(E336&lt;&gt;"",'بنود العقد'!E336&lt;&gt;""), E336*'بنود العقد'!E336, 0), 0)</f>
        <v>80865.214300000007</v>
      </c>
      <c r="G336" s="9">
        <f t="shared" si="10"/>
        <v>-4894.1000000000004</v>
      </c>
      <c r="H336" s="9">
        <f>IF(AND('بنود العقد'!G336&lt;&gt;"",F336&lt;&gt;""), 'بنود العقد'!G336-F336, "")</f>
        <v>-80865.214300000007</v>
      </c>
      <c r="I336" s="21">
        <f t="shared" si="11"/>
        <v>0</v>
      </c>
    </row>
    <row r="337" spans="1:9" ht="24" customHeight="1">
      <c r="A337" s="12">
        <v>335</v>
      </c>
      <c r="B337" s="20" t="str">
        <f>IF('بنود العقد'!B337&lt;&gt;"", 'بنود العقد'!B337, "")</f>
        <v xml:space="preserve"> توريد و تركيب خرسانة مسلحة ، لا يقل إجهاد كسرها عن 35 ميجا باسكال لزوم خرسانات  الأسقف ، بأسمنت من النوع (أ)، طبقاً للمخططات . ويشمل السعر القوالب  وحديد التسليح  و الربط مع الكمرات الحالية بالتكسير و المضافات الخرسانية و الخلط والنقل والصب والمعالجة والاختبار حسب المخططات لإنهاء الأعمال حسب اصول الصنع وتوجيهات المهندس المشرف </v>
      </c>
      <c r="C337" s="12" t="str">
        <f>IF('بنود العقد'!C337&lt;&gt;"", 'بنود العقد'!C337, "")</f>
        <v>مدني</v>
      </c>
      <c r="D337" s="9">
        <f>IF('بنود العقد'!F337&lt;&gt;"", 'بنود العقد'!F337, "")</f>
        <v>0</v>
      </c>
      <c r="E337" s="18">
        <f>IF(B337&lt;&gt;"", SUMPRODUCT(('بنود المطالبات'!C$3:C$1805=A337)*'بنود المطالبات'!I$3:I$1805), "")</f>
        <v>45</v>
      </c>
      <c r="F337" s="18">
        <f>IFERROR(IF(AND(E337&lt;&gt;"",'بنود العقد'!E337&lt;&gt;""), E337*'بنود العقد'!E337, 0), 0)</f>
        <v>72000</v>
      </c>
      <c r="G337" s="9">
        <f t="shared" si="10"/>
        <v>-45</v>
      </c>
      <c r="H337" s="9">
        <f>IF(AND('بنود العقد'!G337&lt;&gt;"",F337&lt;&gt;""), 'بنود العقد'!G337-F337, "")</f>
        <v>-72000</v>
      </c>
      <c r="I337" s="21">
        <f t="shared" si="11"/>
        <v>0</v>
      </c>
    </row>
    <row r="338" spans="1:9" ht="24" customHeight="1">
      <c r="A338" s="12">
        <v>336</v>
      </c>
      <c r="B338" s="20" t="str">
        <f>IF('بنود العقد'!B338&lt;&gt;"", 'بنود العقد'!B338, "")</f>
        <v xml:space="preserve">ازالة واعادة انشاء مبنى غرفة الحراسة   أعمال الإزالة و الحفر والردم </v>
      </c>
      <c r="C338" s="12" t="str">
        <f>IF('بنود العقد'!C338&lt;&gt;"", 'بنود العقد'!C338, "")</f>
        <v>مدني</v>
      </c>
      <c r="D338" s="9">
        <f>IF('بنود العقد'!F338&lt;&gt;"", 'بنود العقد'!F338, "")</f>
        <v>0</v>
      </c>
      <c r="E338" s="18">
        <f>IF(B338&lt;&gt;"", SUMPRODUCT(('بنود المطالبات'!C$3:C$1805=A338)*'بنود المطالبات'!I$3:I$1805), "")</f>
        <v>11.29</v>
      </c>
      <c r="F338" s="18">
        <f>IFERROR(IF(AND(E338&lt;&gt;"",'بنود العقد'!E338&lt;&gt;""), E338*'بنود العقد'!E338, 0), 0)</f>
        <v>75665.579999999987</v>
      </c>
      <c r="G338" s="9">
        <f t="shared" si="10"/>
        <v>-11.29</v>
      </c>
      <c r="H338" s="9">
        <f>IF(AND('بنود العقد'!G338&lt;&gt;"",F338&lt;&gt;""), 'بنود العقد'!G338-F338, "")</f>
        <v>-75665.579999999987</v>
      </c>
      <c r="I338" s="21">
        <f t="shared" si="11"/>
        <v>0</v>
      </c>
    </row>
    <row r="339" spans="1:9" ht="24" customHeight="1">
      <c r="A339" s="12">
        <v>337</v>
      </c>
      <c r="B339" s="20" t="str">
        <f>IF('بنود العقد'!B339&lt;&gt;"", 'بنود العقد'!B339, "")</f>
        <v xml:space="preserve">أعمال الهيكل الخرساني و المباني والتشطيبات المعمارية لغرفة الحارس </v>
      </c>
      <c r="C339" s="12" t="str">
        <f>IF('بنود العقد'!C339&lt;&gt;"", 'بنود العقد'!C339, "")</f>
        <v>مدني</v>
      </c>
      <c r="D339" s="9">
        <f>IF('بنود العقد'!F339&lt;&gt;"", 'بنود العقد'!F339, "")</f>
        <v>0</v>
      </c>
      <c r="E339" s="18">
        <f>IF(B339&lt;&gt;"", SUMPRODUCT(('بنود المطالبات'!C$3:C$1805=A339)*'بنود المطالبات'!I$3:I$1805), "")</f>
        <v>11.29</v>
      </c>
      <c r="F339" s="18">
        <f>IFERROR(IF(AND(E339&lt;&gt;"",'بنود العقد'!E339&lt;&gt;""), E339*'بنود العقد'!E339, 0), 0)</f>
        <v>58403.17</v>
      </c>
      <c r="G339" s="9">
        <f t="shared" si="10"/>
        <v>-11.29</v>
      </c>
      <c r="H339" s="9">
        <f>IF(AND('بنود العقد'!G339&lt;&gt;"",F339&lt;&gt;""), 'بنود العقد'!G339-F339, "")</f>
        <v>-58403.17</v>
      </c>
      <c r="I339" s="21">
        <f t="shared" si="11"/>
        <v>0</v>
      </c>
    </row>
    <row r="340" spans="1:9" ht="24" customHeight="1">
      <c r="A340" s="12">
        <v>338</v>
      </c>
      <c r="B340" s="20" t="str">
        <f>IF('بنود العقد'!B340&lt;&gt;"", 'بنود العقد'!B340, "")</f>
        <v xml:space="preserve">الأعمال الميكانيكية لغرفة الحارس  </v>
      </c>
      <c r="C340" s="12" t="str">
        <f>IF('بنود العقد'!C340&lt;&gt;"", 'بنود العقد'!C340, "")</f>
        <v>ميكانيكا</v>
      </c>
      <c r="D340" s="9">
        <f>IF('بنود العقد'!F340&lt;&gt;"", 'بنود العقد'!F340, "")</f>
        <v>0</v>
      </c>
      <c r="E340" s="18">
        <f>IF(B340&lt;&gt;"", SUMPRODUCT(('بنود المطالبات'!C$3:C$1805=A340)*'بنود المطالبات'!I$3:I$1805), "")</f>
        <v>1</v>
      </c>
      <c r="F340" s="18">
        <f>IFERROR(IF(AND(E340&lt;&gt;"",'بنود العقد'!E340&lt;&gt;""), E340*'بنود العقد'!E340, 0), 0)</f>
        <v>6392</v>
      </c>
      <c r="G340" s="9">
        <f t="shared" si="10"/>
        <v>-1</v>
      </c>
      <c r="H340" s="9">
        <f>IF(AND('بنود العقد'!G340&lt;&gt;"",F340&lt;&gt;""), 'بنود العقد'!G340-F340, "")</f>
        <v>-6392</v>
      </c>
      <c r="I340" s="21">
        <f t="shared" si="11"/>
        <v>0</v>
      </c>
    </row>
    <row r="341" spans="1:9" ht="24" customHeight="1">
      <c r="A341" s="12">
        <v>339</v>
      </c>
      <c r="B341" s="20" t="str">
        <f>IF('بنود العقد'!B341&lt;&gt;"", 'بنود العقد'!B341, "")</f>
        <v xml:space="preserve">الأعمال الكهربائية لغرفة الحارس </v>
      </c>
      <c r="C341" s="12" t="str">
        <f>IF('بنود العقد'!C341&lt;&gt;"", 'بنود العقد'!C341, "")</f>
        <v>كهرباء</v>
      </c>
      <c r="D341" s="9">
        <f>IF('بنود العقد'!F341&lt;&gt;"", 'بنود العقد'!F341, "")</f>
        <v>0</v>
      </c>
      <c r="E341" s="18">
        <f>IF(B341&lt;&gt;"", SUMPRODUCT(('بنود المطالبات'!C$3:C$1805=A341)*'بنود المطالبات'!I$3:I$1805), "")</f>
        <v>11.29</v>
      </c>
      <c r="F341" s="18">
        <f>IFERROR(IF(AND(E341&lt;&gt;"",'بنود العقد'!E341&lt;&gt;""), E341*'بنود العقد'!E341, 0), 0)</f>
        <v>14400.394999999999</v>
      </c>
      <c r="G341" s="9">
        <f t="shared" si="10"/>
        <v>-11.29</v>
      </c>
      <c r="H341" s="9">
        <f>IF(AND('بنود العقد'!G341&lt;&gt;"",F341&lt;&gt;""), 'بنود العقد'!G341-F341, "")</f>
        <v>-14400.394999999999</v>
      </c>
      <c r="I341" s="21">
        <f t="shared" si="11"/>
        <v>0</v>
      </c>
    </row>
    <row r="342" spans="1:9" ht="24" customHeight="1">
      <c r="A342" s="12">
        <v>340</v>
      </c>
      <c r="B342" s="20" t="str">
        <f>IF('بنود العقد'!B342&lt;&gt;"", 'بنود العقد'!B342, "")</f>
        <v>ازالة وتكسير وترحيل ارضيات الخرسانة</v>
      </c>
      <c r="C342" s="12" t="str">
        <f>IF('بنود العقد'!C342&lt;&gt;"", 'بنود العقد'!C342, "")</f>
        <v>مدني</v>
      </c>
      <c r="D342" s="9">
        <f>IF('بنود العقد'!F342&lt;&gt;"", 'بنود العقد'!F342, "")</f>
        <v>0</v>
      </c>
      <c r="E342" s="18">
        <f>IF(B342&lt;&gt;"", SUMPRODUCT(('بنود المطالبات'!C$3:C$1805=A342)*'بنود المطالبات'!I$3:I$1805), "")</f>
        <v>3560.14</v>
      </c>
      <c r="F342" s="18">
        <f>IFERROR(IF(AND(E342&lt;&gt;"",'بنود العقد'!E342&lt;&gt;""), E342*'بنود العقد'!E342, 0), 0)</f>
        <v>247144.91879999998</v>
      </c>
      <c r="G342" s="9">
        <f t="shared" si="10"/>
        <v>-3560.14</v>
      </c>
      <c r="H342" s="9">
        <f>IF(AND('بنود العقد'!G342&lt;&gt;"",F342&lt;&gt;""), 'بنود العقد'!G342-F342, "")</f>
        <v>-247144.91879999998</v>
      </c>
      <c r="I342" s="21">
        <f t="shared" si="11"/>
        <v>0</v>
      </c>
    </row>
    <row r="343" spans="1:9" ht="24" customHeight="1">
      <c r="A343" s="12">
        <v>341</v>
      </c>
      <c r="B343" s="20" t="str">
        <f>IF('بنود العقد'!B343&lt;&gt;"", 'بنود العقد'!B343, "")</f>
        <v xml:space="preserve">فك و تقطيع وتنزيل و ترحيل مواسير شبكة مكافحة الحريق القائمة و البند يشمل فك الرشاشات والترحيل خارج الموقع وتسليم جميع مكونات شبكة الحريق للجهة مالكة المشروع </v>
      </c>
      <c r="C343" s="12" t="str">
        <f>IF('بنود العقد'!C343&lt;&gt;"", 'بنود العقد'!C343, "")</f>
        <v>ميكانيكا</v>
      </c>
      <c r="D343" s="9">
        <f>IF('بنود العقد'!F343&lt;&gt;"", 'بنود العقد'!F343, "")</f>
        <v>0</v>
      </c>
      <c r="E343" s="18">
        <f>IF(B343&lt;&gt;"", SUMPRODUCT(('بنود المطالبات'!C$3:C$1805=A343)*'بنود المطالبات'!I$3:I$1805), "")</f>
        <v>15190.22</v>
      </c>
      <c r="F343" s="18">
        <f>IFERROR(IF(AND(E343&lt;&gt;"",'بنود العقد'!E343&lt;&gt;""), E343*'بنود العقد'!E343, 0), 0)</f>
        <v>317171.79359999998</v>
      </c>
      <c r="G343" s="9">
        <f t="shared" si="10"/>
        <v>-15190.22</v>
      </c>
      <c r="H343" s="9">
        <f>IF(AND('بنود العقد'!G343&lt;&gt;"",F343&lt;&gt;""), 'بنود العقد'!G343-F343, "")</f>
        <v>-317171.79359999998</v>
      </c>
      <c r="I343" s="21">
        <f t="shared" si="11"/>
        <v>0</v>
      </c>
    </row>
    <row r="344" spans="1:9" ht="24" customHeight="1">
      <c r="A344" s="12">
        <v>342</v>
      </c>
      <c r="B344" s="20" t="str">
        <f>IF('بنود العقد'!B344&lt;&gt;"", 'بنود العقد'!B344, "")</f>
        <v xml:space="preserve">فك وفحص و إختبار وحدات VAV القائمة بالمبنى و البند يشمل  الترحيل لمستودعات الجهة مالكة المشروع بمدينة الرياض </v>
      </c>
      <c r="C344" s="12" t="str">
        <f>IF('بنود العقد'!C344&lt;&gt;"", 'بنود العقد'!C344, "")</f>
        <v>تكييف</v>
      </c>
      <c r="D344" s="9">
        <f>IF('بنود العقد'!F344&lt;&gt;"", 'بنود العقد'!F344, "")</f>
        <v>0</v>
      </c>
      <c r="E344" s="18">
        <f>IF(B344&lt;&gt;"", SUMPRODUCT(('بنود المطالبات'!C$3:C$1805=A344)*'بنود المطالبات'!I$3:I$1805), "")</f>
        <v>275</v>
      </c>
      <c r="F344" s="18">
        <f>IFERROR(IF(AND(E344&lt;&gt;"",'بنود العقد'!E344&lt;&gt;""), E344*'بنود العقد'!E344, 0), 0)</f>
        <v>123750</v>
      </c>
      <c r="G344" s="9">
        <f t="shared" si="10"/>
        <v>-275</v>
      </c>
      <c r="H344" s="9">
        <f>IF(AND('بنود العقد'!G344&lt;&gt;"",F344&lt;&gt;""), 'بنود العقد'!G344-F344, "")</f>
        <v>-123750</v>
      </c>
      <c r="I344" s="21">
        <f t="shared" si="11"/>
        <v>0</v>
      </c>
    </row>
    <row r="345" spans="1:9" ht="24" customHeight="1">
      <c r="A345" s="12">
        <v>343</v>
      </c>
      <c r="B345" s="20" t="str">
        <f>IF('بنود العقد'!B345&lt;&gt;"", 'بنود العقد'!B345, "")</f>
        <v xml:space="preserve">فك و إزالة  مجاري الهواء من الصفائح المعدنية المجلفنة شامل الاكواع و التفريعات و التحويله و العامة وحاملة التعليق و الترحيل إلى مستودعات الجهة مالكة المشروع بمدينة الرياض  </v>
      </c>
      <c r="C345" s="12" t="str">
        <f>IF('بنود العقد'!C345&lt;&gt;"", 'بنود العقد'!C345, "")</f>
        <v>صحي</v>
      </c>
      <c r="D345" s="9">
        <f>IF('بنود العقد'!F345&lt;&gt;"", 'بنود العقد'!F345, "")</f>
        <v>0</v>
      </c>
      <c r="E345" s="18">
        <f>IF(B345&lt;&gt;"", SUMPRODUCT(('بنود المطالبات'!C$3:C$1805=A345)*'بنود المطالبات'!I$3:I$1805), "")</f>
        <v>12908.3</v>
      </c>
      <c r="F345" s="18">
        <f>IFERROR(IF(AND(E345&lt;&gt;"",'بنود العقد'!E345&lt;&gt;""), E345*'بنود العقد'!E345, 0), 0)</f>
        <v>1368279.7999999998</v>
      </c>
      <c r="G345" s="9">
        <f t="shared" si="10"/>
        <v>-12908.3</v>
      </c>
      <c r="H345" s="9">
        <f>IF(AND('بنود العقد'!G345&lt;&gt;"",F345&lt;&gt;""), 'بنود العقد'!G345-F345, "")</f>
        <v>-1368279.7999999998</v>
      </c>
      <c r="I345" s="21">
        <f t="shared" si="11"/>
        <v>0</v>
      </c>
    </row>
    <row r="346" spans="1:9" ht="24" customHeight="1">
      <c r="A346" s="12">
        <v>344</v>
      </c>
      <c r="B346" s="20" t="str">
        <f>IF('بنود العقد'!B346&lt;&gt;"", 'بنود العقد'!B346, "")</f>
        <v xml:space="preserve">تصنيع و توريد و تركيب شباك دبل أكشن (Tilt &amp;turn)مقاس
 (1.0متر *3.0متر ) ثابت مع مفصلات </v>
      </c>
      <c r="C346" s="12" t="str">
        <f>IF('بنود العقد'!C346&lt;&gt;"", 'بنود العقد'!C346, "")</f>
        <v>معماري</v>
      </c>
      <c r="D346" s="9">
        <f>IF('بنود العقد'!F346&lt;&gt;"", 'بنود العقد'!F346, "")</f>
        <v>0</v>
      </c>
      <c r="E346" s="18">
        <f>IF(B346&lt;&gt;"", SUMPRODUCT(('بنود المطالبات'!C$3:C$1805=A346)*'بنود المطالبات'!I$3:I$1805), "")</f>
        <v>60</v>
      </c>
      <c r="F346" s="18">
        <f>IFERROR(IF(AND(E346&lt;&gt;"",'بنود العقد'!E346&lt;&gt;""), E346*'بنود العقد'!E346, 0), 0)</f>
        <v>99900</v>
      </c>
      <c r="G346" s="9">
        <f t="shared" si="10"/>
        <v>-60</v>
      </c>
      <c r="H346" s="9">
        <f>IF(AND('بنود العقد'!G346&lt;&gt;"",F346&lt;&gt;""), 'بنود العقد'!G346-F346, "")</f>
        <v>-99900</v>
      </c>
      <c r="I346" s="21">
        <f t="shared" si="11"/>
        <v>0</v>
      </c>
    </row>
    <row r="347" spans="1:9" ht="24" customHeight="1">
      <c r="A347" s="12">
        <v>345</v>
      </c>
      <c r="B347" s="20" t="str">
        <f>IF('بنود العقد'!B347&lt;&gt;"", 'بنود العقد'!B347, "")</f>
        <v xml:space="preserve">تصنيع و توريد و تركيب شباك دبل أكشن (Tilt &amp;turn)مقاس
 1.0 متر * 4.40متر ) ثابت مع مفصلات </v>
      </c>
      <c r="C347" s="12" t="str">
        <f>IF('بنود العقد'!C347&lt;&gt;"", 'بنود العقد'!C347, "")</f>
        <v>معماري</v>
      </c>
      <c r="D347" s="9">
        <f>IF('بنود العقد'!F347&lt;&gt;"", 'بنود العقد'!F347, "")</f>
        <v>0</v>
      </c>
      <c r="E347" s="18">
        <f>IF(B347&lt;&gt;"", SUMPRODUCT(('بنود المطالبات'!C$3:C$1805=A347)*'بنود المطالبات'!I$3:I$1805), "")</f>
        <v>8.8000000000000007</v>
      </c>
      <c r="F347" s="18">
        <f>IFERROR(IF(AND(E347&lt;&gt;"",'بنود العقد'!E347&lt;&gt;""), E347*'بنود العقد'!E347, 0), 0)</f>
        <v>14652.000000000002</v>
      </c>
      <c r="G347" s="9">
        <f t="shared" si="10"/>
        <v>-8.8000000000000007</v>
      </c>
      <c r="H347" s="9">
        <f>IF(AND('بنود العقد'!G347&lt;&gt;"",F347&lt;&gt;""), 'بنود العقد'!G347-F347, "")</f>
        <v>-14652.000000000002</v>
      </c>
      <c r="I347" s="21">
        <f t="shared" si="11"/>
        <v>0</v>
      </c>
    </row>
    <row r="348" spans="1:9" ht="24" customHeight="1">
      <c r="A348" s="12">
        <v>346</v>
      </c>
      <c r="B348" s="20" t="str">
        <f>IF('بنود العقد'!B348&lt;&gt;"", 'بنود العقد'!B348, "")</f>
        <v xml:space="preserve">
توريد وتركيب مرحاض افرنجي مثبت على الحائط  مع محبس دفق (Flush valve)  مع زر دفق من الكروم ، مع غطاء للمرحاض مقاوم للبكتريا من نوع soft closing</v>
      </c>
      <c r="C348" s="12" t="str">
        <f>IF('بنود العقد'!C348&lt;&gt;"", 'بنود العقد'!C348, "")</f>
        <v>صحي</v>
      </c>
      <c r="D348" s="9">
        <f>IF('بنود العقد'!F348&lt;&gt;"", 'بنود العقد'!F348, "")</f>
        <v>0</v>
      </c>
      <c r="E348" s="18">
        <f>IF(B348&lt;&gt;"", SUMPRODUCT(('بنود المطالبات'!C$3:C$1805=A348)*'بنود المطالبات'!I$3:I$1805), "")</f>
        <v>75</v>
      </c>
      <c r="F348" s="18">
        <f>IFERROR(IF(AND(E348&lt;&gt;"",'بنود العقد'!E348&lt;&gt;""), E348*'بنود العقد'!E348, 0), 0)</f>
        <v>180629.25</v>
      </c>
      <c r="G348" s="9">
        <f t="shared" si="10"/>
        <v>-75</v>
      </c>
      <c r="H348" s="9">
        <f>IF(AND('بنود العقد'!G348&lt;&gt;"",F348&lt;&gt;""), 'بنود العقد'!G348-F348, "")</f>
        <v>-180629.25</v>
      </c>
      <c r="I348" s="21">
        <f t="shared" si="11"/>
        <v>0</v>
      </c>
    </row>
    <row r="349" spans="1:9" ht="24" customHeight="1">
      <c r="A349" s="12">
        <v>347</v>
      </c>
      <c r="B349" s="20" t="str">
        <f>IF('بنود العقد'!B349&lt;&gt;"", 'بنود العقد'!B349, "")</f>
        <v xml:space="preserve">
توريد وتركيب مرحاض افرنجي مثبت على الحائط  مع محبس دفق (Flush valve) مزود بحساس مع زر دفق من الكروم، مع غطاء للمرحاض مقاوم للبكتريا من نوع soft closing</v>
      </c>
      <c r="C349" s="12" t="str">
        <f>IF('بنود العقد'!C349&lt;&gt;"", 'بنود العقد'!C349, "")</f>
        <v>صحي</v>
      </c>
      <c r="D349" s="9">
        <f>IF('بنود العقد'!F349&lt;&gt;"", 'بنود العقد'!F349, "")</f>
        <v>0</v>
      </c>
      <c r="E349" s="18">
        <f>IF(B349&lt;&gt;"", SUMPRODUCT(('بنود المطالبات'!C$3:C$1805=A349)*'بنود المطالبات'!I$3:I$1805), "")</f>
        <v>24</v>
      </c>
      <c r="F349" s="18">
        <f>IFERROR(IF(AND(E349&lt;&gt;"",'بنود العقد'!E349&lt;&gt;""), E349*'بنود العقد'!E349, 0), 0)</f>
        <v>100482.95999999999</v>
      </c>
      <c r="G349" s="9">
        <f t="shared" si="10"/>
        <v>-24</v>
      </c>
      <c r="H349" s="9">
        <f>IF(AND('بنود العقد'!G349&lt;&gt;"",F349&lt;&gt;""), 'بنود العقد'!G349-F349, "")</f>
        <v>-100482.95999999999</v>
      </c>
      <c r="I349" s="21">
        <f t="shared" si="11"/>
        <v>0</v>
      </c>
    </row>
    <row r="350" spans="1:9" ht="24" customHeight="1">
      <c r="A350" s="12">
        <v>348</v>
      </c>
      <c r="B350" s="20" t="str">
        <f>IF('بنود العقد'!B350&lt;&gt;"", 'بنود العقد'!B350, "")</f>
        <v>توريد وتركيب برادات مياة حسب العينة المعتمدة ويتم التركيب طبقاً للمخططات والمواصفات الفنية وبحسب توجيهات واعتماد المهندس المشرف.</v>
      </c>
      <c r="C350" s="12" t="str">
        <f>IF('بنود العقد'!C350&lt;&gt;"", 'بنود العقد'!C350, "")</f>
        <v>ميكانيكا</v>
      </c>
      <c r="D350" s="9">
        <f>IF('بنود العقد'!F350&lt;&gt;"", 'بنود العقد'!F350, "")</f>
        <v>0</v>
      </c>
      <c r="E350" s="18">
        <f>IF(B350&lt;&gt;"", SUMPRODUCT(('بنود المطالبات'!C$3:C$1805=A350)*'بنود المطالبات'!I$3:I$1805), "")</f>
        <v>23</v>
      </c>
      <c r="F350" s="18">
        <f>IFERROR(IF(AND(E350&lt;&gt;"",'بنود العقد'!E350&lt;&gt;""), E350*'بنود العقد'!E350, 0), 0)</f>
        <v>289800</v>
      </c>
      <c r="G350" s="9">
        <f t="shared" si="10"/>
        <v>-23</v>
      </c>
      <c r="H350" s="9">
        <f>IF(AND('بنود العقد'!G350&lt;&gt;"",F350&lt;&gt;""), 'بنود العقد'!G350-F350, "")</f>
        <v>-289800</v>
      </c>
      <c r="I350" s="21">
        <f t="shared" si="11"/>
        <v>0</v>
      </c>
    </row>
    <row r="351" spans="1:9" ht="24" customHeight="1">
      <c r="A351" s="12">
        <v>349</v>
      </c>
      <c r="B351" s="20" t="str">
        <f>IF('بنود العقد'!B351&lt;&gt;"", 'بنود العقد'!B351, "")</f>
        <v xml:space="preserve"> توريد و تركيب مراوح سحب الهواء (AXIAL INLINE FAN)  تشمل عمليات التوريد و التركيب و الاختبار و التثبيت  سعة 100 قدم مكعب بالدقيقة بالدور الثالث والرابع والخامس</v>
      </c>
      <c r="C351" s="12" t="str">
        <f>IF('بنود العقد'!C351&lt;&gt;"", 'بنود العقد'!C351, "")</f>
        <v>تكييف</v>
      </c>
      <c r="D351" s="9">
        <f>IF('بنود العقد'!F351&lt;&gt;"", 'بنود العقد'!F351, "")</f>
        <v>0</v>
      </c>
      <c r="E351" s="18">
        <f>IF(B351&lt;&gt;"", SUMPRODUCT(('بنود المطالبات'!C$3:C$1805=A351)*'بنود المطالبات'!I$3:I$1805), "")</f>
        <v>6</v>
      </c>
      <c r="F351" s="18">
        <f>IFERROR(IF(AND(E351&lt;&gt;"",'بنود العقد'!E351&lt;&gt;""), E351*'بنود العقد'!E351, 0), 0)</f>
        <v>6962.4000000000005</v>
      </c>
      <c r="G351" s="9">
        <f t="shared" si="10"/>
        <v>-6</v>
      </c>
      <c r="H351" s="9">
        <f>IF(AND('بنود العقد'!G351&lt;&gt;"",F351&lt;&gt;""), 'بنود العقد'!G351-F351, "")</f>
        <v>-6962.4000000000005</v>
      </c>
      <c r="I351" s="21">
        <f t="shared" si="11"/>
        <v>0</v>
      </c>
    </row>
    <row r="352" spans="1:9" ht="24" customHeight="1">
      <c r="A352" s="12">
        <v>350</v>
      </c>
      <c r="B352" s="20" t="str">
        <f>IF('بنود العقد'!B352&lt;&gt;"", 'بنود العقد'!B352, "")</f>
        <v xml:space="preserve">توريد وتركيب  
سماعة معلقة 6 وات لون اسود مع الكابلات والتمديدات  حسب المخططات   والبند يشمل جميع التمديدات المواسير للسماعات قطر 3/4  بوصة من الEMT  وسحب الاسلاك  الخاصة بنظام الصوت. </v>
      </c>
      <c r="C352" s="12" t="str">
        <f>IF('بنود العقد'!C352&lt;&gt;"", 'بنود العقد'!C352, "")</f>
        <v>كهرباء</v>
      </c>
      <c r="D352" s="9">
        <f>IF('بنود العقد'!F352&lt;&gt;"", 'بنود العقد'!F352, "")</f>
        <v>0</v>
      </c>
      <c r="E352" s="18">
        <f>IF(B352&lt;&gt;"", SUMPRODUCT(('بنود المطالبات'!C$3:C$1805=A352)*'بنود المطالبات'!I$3:I$1805), "")</f>
        <v>133</v>
      </c>
      <c r="F352" s="18">
        <f>IFERROR(IF(AND(E352&lt;&gt;"",'بنود العقد'!E352&lt;&gt;""), E352*'بنود العقد'!E352, 0), 0)</f>
        <v>183540</v>
      </c>
      <c r="G352" s="9">
        <f t="shared" si="10"/>
        <v>-133</v>
      </c>
      <c r="H352" s="9">
        <f>IF(AND('بنود العقد'!G352&lt;&gt;"",F352&lt;&gt;""), 'بنود العقد'!G352-F352, "")</f>
        <v>-183540</v>
      </c>
      <c r="I352" s="21">
        <f t="shared" si="11"/>
        <v>0</v>
      </c>
    </row>
    <row r="353" spans="1:9" ht="24" customHeight="1">
      <c r="A353" s="12">
        <v>351</v>
      </c>
      <c r="B353" s="20" t="str">
        <f>IF('بنود العقد'!B353&lt;&gt;"", 'بنود العقد'!B353, "")</f>
        <v>توريد وتركيب وفرد دهان ايبوكسي لزوم الدربزينات بالفناء الوسطي و البهو الداخلي بين الادوار و المدخل ويتم التركيب طبقاً للمخططات والمواصفات الفنية و المواد المعتمدة  .</v>
      </c>
      <c r="C353" s="12" t="str">
        <f>IF('بنود العقد'!C353&lt;&gt;"", 'بنود العقد'!C353, "")</f>
        <v>معماري</v>
      </c>
      <c r="D353" s="9">
        <f>IF('بنود العقد'!F353&lt;&gt;"", 'بنود العقد'!F353, "")</f>
        <v>0</v>
      </c>
      <c r="E353" s="18">
        <f>IF(B353&lt;&gt;"", SUMPRODUCT(('بنود المطالبات'!C$3:C$1805=A353)*'بنود المطالبات'!I$3:I$1805), "")</f>
        <v>860</v>
      </c>
      <c r="F353" s="18">
        <f>IFERROR(IF(AND(E353&lt;&gt;"",'بنود العقد'!E353&lt;&gt;""), E353*'بنود العقد'!E353, 0), 0)</f>
        <v>38700</v>
      </c>
      <c r="G353" s="9">
        <f t="shared" si="10"/>
        <v>-860</v>
      </c>
      <c r="H353" s="9">
        <f>IF(AND('بنود العقد'!G353&lt;&gt;"",F353&lt;&gt;""), 'بنود العقد'!G353-F353, "")</f>
        <v>-38700</v>
      </c>
      <c r="I353" s="21">
        <f t="shared" si="11"/>
        <v>0</v>
      </c>
    </row>
    <row r="354" spans="1:9" ht="24" customHeight="1">
      <c r="A354" s="12">
        <v>352</v>
      </c>
      <c r="B354" s="20" t="str">
        <f>IF('بنود العقد'!B354&lt;&gt;"", 'بنود العقد'!B354, "")</f>
        <v>توريد وتركيب ابواب خشبيةWD02 حسب العينة المعتمدة ويتم التركيب طبقاً للمخططات والمواصفات الفنية وبحسب توجيهات واعتماد المهندس المشرف.</v>
      </c>
      <c r="C354" s="12" t="str">
        <f>IF('بنود العقد'!C354&lt;&gt;"", 'بنود العقد'!C354, "")</f>
        <v>معماري</v>
      </c>
      <c r="D354" s="9">
        <f>IF('بنود العقد'!F354&lt;&gt;"", 'بنود العقد'!F354, "")</f>
        <v>0</v>
      </c>
      <c r="E354" s="18">
        <f>IF(B354&lt;&gt;"", SUMPRODUCT(('بنود المطالبات'!C$3:C$1805=A354)*'بنود المطالبات'!I$3:I$1805), "")</f>
        <v>3</v>
      </c>
      <c r="F354" s="18">
        <f>IFERROR(IF(AND(E354&lt;&gt;"",'بنود العقد'!E354&lt;&gt;""), E354*'بنود العقد'!E354, 0), 0)</f>
        <v>50400</v>
      </c>
      <c r="G354" s="9">
        <f t="shared" si="10"/>
        <v>-3</v>
      </c>
      <c r="H354" s="9">
        <f>IF(AND('بنود العقد'!G354&lt;&gt;"",F354&lt;&gt;""), 'بنود العقد'!G354-F354, "")</f>
        <v>-50400</v>
      </c>
      <c r="I354" s="21">
        <f t="shared" si="11"/>
        <v>0</v>
      </c>
    </row>
    <row r="355" spans="1:9" ht="24" customHeight="1">
      <c r="A355" s="12">
        <v>353</v>
      </c>
      <c r="B355" s="20" t="str">
        <f>IF('بنود العقد'!B355&lt;&gt;"", 'بنود العقد'!B355,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والمنحنيات والتفريعات والدعامات ، كما هو مبين في المخططات لتركيب مايلي من الأقطار الداخلية مع ربطه بالشبكة الحالية لاقرب نقطة و على المقاول تقديم المخططات التنفيذية و الحسابات الهيدروليكية و اعتمادها قبل البدأ بتنفيذ الاعمال من المهندس المشرف للاقطار  الداخلية :
قطر 75 مم</v>
      </c>
      <c r="C355" s="12" t="str">
        <f>IF('بنود العقد'!C355&lt;&gt;"", 'بنود العقد'!C355, "")</f>
        <v>ميكانيكا</v>
      </c>
      <c r="D355" s="9">
        <f>IF('بنود العقد'!F355&lt;&gt;"", 'بنود العقد'!F355, "")</f>
        <v>0</v>
      </c>
      <c r="E355" s="18">
        <f>IF(B355&lt;&gt;"", SUMPRODUCT(('بنود المطالبات'!C$3:C$1805=A355)*'بنود المطالبات'!I$3:I$1805), "")</f>
        <v>80</v>
      </c>
      <c r="F355" s="18">
        <f>IFERROR(IF(AND(E355&lt;&gt;"",'بنود العقد'!E355&lt;&gt;""), E355*'بنود العقد'!E355, 0), 0)</f>
        <v>23840</v>
      </c>
      <c r="G355" s="9">
        <f t="shared" si="10"/>
        <v>-80</v>
      </c>
      <c r="H355" s="9">
        <f>IF(AND('بنود العقد'!G355&lt;&gt;"",F355&lt;&gt;""), 'بنود العقد'!G355-F355, "")</f>
        <v>-23840</v>
      </c>
      <c r="I355" s="21">
        <f t="shared" si="11"/>
        <v>0</v>
      </c>
    </row>
    <row r="356" spans="1:9" ht="24" customHeight="1">
      <c r="A356" s="12">
        <v>354</v>
      </c>
      <c r="B356" s="20" t="str">
        <f>IF('بنود العقد'!B356&lt;&gt;"", 'بنود العقد'!B356,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والمنحنيات والتفريعات والدعامات ، كما هو مبين في المخططات لتركيب مايلي من الأقطار الداخلية مع ربطه بالشبكة الحالية لاقرب نقطة و على المقاول تقديم المخططات التنفيذية و الحسابات الهيدروليكية و اعتمادها قبل البدأ بتنفيذ الاعمال من المهندس المشرف للاقطار  الداخلية :
قطر 63 مم</v>
      </c>
      <c r="C356" s="12" t="str">
        <f>IF('بنود العقد'!C356&lt;&gt;"", 'بنود العقد'!C356, "")</f>
        <v>ميكانيكا</v>
      </c>
      <c r="D356" s="9">
        <f>IF('بنود العقد'!F356&lt;&gt;"", 'بنود العقد'!F356, "")</f>
        <v>0</v>
      </c>
      <c r="E356" s="18">
        <f>IF(B356&lt;&gt;"", SUMPRODUCT(('بنود المطالبات'!C$3:C$1805=A356)*'بنود المطالبات'!I$3:I$1805), "")</f>
        <v>40</v>
      </c>
      <c r="F356" s="18">
        <f>IFERROR(IF(AND(E356&lt;&gt;"",'بنود العقد'!E356&lt;&gt;""), E356*'بنود العقد'!E356, 0), 0)</f>
        <v>7160</v>
      </c>
      <c r="G356" s="9">
        <f t="shared" si="10"/>
        <v>-40</v>
      </c>
      <c r="H356" s="9">
        <f>IF(AND('بنود العقد'!G356&lt;&gt;"",F356&lt;&gt;""), 'بنود العقد'!G356-F356, "")</f>
        <v>-7160</v>
      </c>
      <c r="I356" s="21">
        <f t="shared" si="11"/>
        <v>0</v>
      </c>
    </row>
    <row r="357" spans="1:9" ht="24" customHeight="1">
      <c r="A357" s="12">
        <v>355</v>
      </c>
      <c r="B357" s="20" t="str">
        <f>IF('بنود العقد'!B357&lt;&gt;"", 'بنود العقد'!B357, "")</f>
        <v>توريد وتركيب محبس بوابة (GATE VALVE) يركب علي شبكة المواسير داخل المبني ، والبند يشمل جميع القطع والتوصيلات اللازمة للتركيب وذلك للأقطار التالية:
قطر 3 بوصة</v>
      </c>
      <c r="C357" s="12" t="str">
        <f>IF('بنود العقد'!C357&lt;&gt;"", 'بنود العقد'!C357, "")</f>
        <v>ميكانيكا</v>
      </c>
      <c r="D357" s="9">
        <f>IF('بنود العقد'!F357&lt;&gt;"", 'بنود العقد'!F357, "")</f>
        <v>0</v>
      </c>
      <c r="E357" s="18">
        <f>IF(B357&lt;&gt;"", SUMPRODUCT(('بنود المطالبات'!C$3:C$1805=A357)*'بنود المطالبات'!I$3:I$1805), "")</f>
        <v>4</v>
      </c>
      <c r="F357" s="18">
        <f>IFERROR(IF(AND(E357&lt;&gt;"",'بنود العقد'!E357&lt;&gt;""), E357*'بنود العقد'!E357, 0), 0)</f>
        <v>8720</v>
      </c>
      <c r="G357" s="9">
        <f t="shared" si="10"/>
        <v>-4</v>
      </c>
      <c r="H357" s="9">
        <f>IF(AND('بنود العقد'!G357&lt;&gt;"",F357&lt;&gt;""), 'بنود العقد'!G357-F357, "")</f>
        <v>-8720</v>
      </c>
      <c r="I357" s="21">
        <f t="shared" si="11"/>
        <v>0</v>
      </c>
    </row>
    <row r="358" spans="1:9" ht="24" customHeight="1">
      <c r="A358" s="12">
        <v>356</v>
      </c>
      <c r="B358" s="20" t="str">
        <f>IF('بنود العقد'!B358&lt;&gt;"", 'بنود العقد'!B358, "")</f>
        <v>توريد وتركيب محبس بوابة (GATE VALVE) يركب علي شبكة المواسير داخل المبني ، والبند يشمل جميع القطع والتوصيلات اللازمة للتركيب وذلك للأقطار التالية:
قطر 2.5 بوصة</v>
      </c>
      <c r="C358" s="12" t="str">
        <f>IF('بنود العقد'!C358&lt;&gt;"", 'بنود العقد'!C358, "")</f>
        <v>ميكانيكا</v>
      </c>
      <c r="D358" s="9">
        <f>IF('بنود العقد'!F358&lt;&gt;"", 'بنود العقد'!F358, "")</f>
        <v>0</v>
      </c>
      <c r="E358" s="18">
        <f>IF(B358&lt;&gt;"", SUMPRODUCT(('بنود المطالبات'!C$3:C$1805=A358)*'بنود المطالبات'!I$3:I$1805), "")</f>
        <v>32</v>
      </c>
      <c r="F358" s="18">
        <f>IFERROR(IF(AND(E358&lt;&gt;"",'بنود العقد'!E358&lt;&gt;""), E358*'بنود العقد'!E358, 0), 0)</f>
        <v>53216</v>
      </c>
      <c r="G358" s="9">
        <f t="shared" si="10"/>
        <v>-32</v>
      </c>
      <c r="H358" s="9">
        <f>IF(AND('بنود العقد'!G358&lt;&gt;"",F358&lt;&gt;""), 'بنود العقد'!G358-F358, "")</f>
        <v>-53216</v>
      </c>
      <c r="I358" s="21">
        <f t="shared" si="11"/>
        <v>0</v>
      </c>
    </row>
    <row r="359" spans="1:9" ht="24" customHeight="1">
      <c r="A359" s="12">
        <v>357</v>
      </c>
      <c r="B359" s="20" t="str">
        <f>IF('بنود العقد'!B359&lt;&gt;"", 'بنود العقد'!B359, "")</f>
        <v>توريد وتركيب محبس بوابة (GATE VALVE) يركب علي شبكة المواسير داخل المبني ، والبند يشمل جميع القطع والتوصيلات اللازمة للتركيب وذلك للأقطار التالية:
قطر 1.25 بوصة</v>
      </c>
      <c r="C359" s="12" t="str">
        <f>IF('بنود العقد'!C359&lt;&gt;"", 'بنود العقد'!C359, "")</f>
        <v>ميكانيكا</v>
      </c>
      <c r="D359" s="9">
        <f>IF('بنود العقد'!F359&lt;&gt;"", 'بنود العقد'!F359, "")</f>
        <v>0</v>
      </c>
      <c r="E359" s="18">
        <f>IF(B359&lt;&gt;"", SUMPRODUCT(('بنود المطالبات'!C$3:C$1805=A359)*'بنود المطالبات'!I$3:I$1805), "")</f>
        <v>28</v>
      </c>
      <c r="F359" s="18">
        <f>IFERROR(IF(AND(E359&lt;&gt;"",'بنود العقد'!E359&lt;&gt;""), E359*'بنود العقد'!E359, 0), 0)</f>
        <v>17388</v>
      </c>
      <c r="G359" s="9">
        <f t="shared" si="10"/>
        <v>-28</v>
      </c>
      <c r="H359" s="9">
        <f>IF(AND('بنود العقد'!G359&lt;&gt;"",F359&lt;&gt;""), 'بنود العقد'!G359-F359, "")</f>
        <v>-17388</v>
      </c>
      <c r="I359" s="21">
        <f t="shared" si="11"/>
        <v>0</v>
      </c>
    </row>
    <row r="360" spans="1:9" ht="24" customHeight="1">
      <c r="A360" s="12">
        <v>358</v>
      </c>
      <c r="B360" s="20" t="str">
        <f>IF('بنود العقد'!B360&lt;&gt;"", 'بنود العقد'!B360, "")</f>
        <v>توريد وتركيب محبس تخفيض ضغط (PRV) يركب علي شبكة المواسير داخل المبني ، والبند يشمل جميع القطع والتوصيلات اللازمة للتركيب وذلك للأقطار التالية:
قطر 2 بوصة</v>
      </c>
      <c r="C360" s="12" t="str">
        <f>IF('بنود العقد'!C360&lt;&gt;"", 'بنود العقد'!C360, "")</f>
        <v>ميكانيكا</v>
      </c>
      <c r="D360" s="9">
        <f>IF('بنود العقد'!F360&lt;&gt;"", 'بنود العقد'!F360, "")</f>
        <v>0</v>
      </c>
      <c r="E360" s="18">
        <f>IF(B360&lt;&gt;"", SUMPRODUCT(('بنود المطالبات'!C$3:C$1805=A360)*'بنود المطالبات'!I$3:I$1805), "")</f>
        <v>28</v>
      </c>
      <c r="F360" s="18">
        <f>IFERROR(IF(AND(E360&lt;&gt;"",'بنود العقد'!E360&lt;&gt;""), E360*'بنود العقد'!E360, 0), 0)</f>
        <v>49616</v>
      </c>
      <c r="G360" s="9">
        <f t="shared" si="10"/>
        <v>-28</v>
      </c>
      <c r="H360" s="9">
        <f>IF(AND('بنود العقد'!G360&lt;&gt;"",F360&lt;&gt;""), 'بنود العقد'!G360-F360, "")</f>
        <v>-49616</v>
      </c>
      <c r="I360" s="21">
        <f t="shared" si="11"/>
        <v>0</v>
      </c>
    </row>
    <row r="361" spans="1:9" ht="24" customHeight="1">
      <c r="A361" s="12">
        <v>359</v>
      </c>
      <c r="B361" s="20" t="str">
        <f>IF('بنود العقد'!B361&lt;&gt;"", 'بنود العقد'!B361, "")</f>
        <v>توريد وتركيب محبس تخفيض ضغط (PRV) يركب علي شبكة المواسير داخل المبني ، والبند يشمل جميع القطع والتوصيلات اللازمة للتركيب وذلك للأقطار التالية:
قطر 1.25 بوصة</v>
      </c>
      <c r="C361" s="12" t="str">
        <f>IF('بنود العقد'!C361&lt;&gt;"", 'بنود العقد'!C361, "")</f>
        <v>ميكانيكا</v>
      </c>
      <c r="D361" s="9">
        <f>IF('بنود العقد'!F361&lt;&gt;"", 'بنود العقد'!F361, "")</f>
        <v>0</v>
      </c>
      <c r="E361" s="18">
        <f>IF(B361&lt;&gt;"", SUMPRODUCT(('بنود المطالبات'!C$3:C$1805=A361)*'بنود المطالبات'!I$3:I$1805), "")</f>
        <v>28</v>
      </c>
      <c r="F361" s="18">
        <f>IFERROR(IF(AND(E361&lt;&gt;"",'بنود العقد'!E361&lt;&gt;""), E361*'بنود العقد'!E361, 0), 0)</f>
        <v>21616</v>
      </c>
      <c r="G361" s="9">
        <f t="shared" si="10"/>
        <v>-28</v>
      </c>
      <c r="H361" s="9">
        <f>IF(AND('بنود العقد'!G361&lt;&gt;"",F361&lt;&gt;""), 'بنود العقد'!G361-F361, "")</f>
        <v>-21616</v>
      </c>
      <c r="I361" s="21">
        <f t="shared" si="11"/>
        <v>0</v>
      </c>
    </row>
    <row r="362" spans="1:9" ht="24" customHeight="1">
      <c r="A362" s="12">
        <v>360</v>
      </c>
      <c r="B362" s="20" t="str">
        <f>IF('بنود العقد'!B362&lt;&gt;"", 'بنود العقد'!B362, "")</f>
        <v>توريد وتركيب محبس تنفيس الهواء (AUTOMATIC AIR VENT) يركب علي شبكة المواسير داخل المبني ، والبند يشمل جميع القطع والتوصيلات اللازمة للتركيب وذلك للأقطار التالية:
قطر 1 بوصة</v>
      </c>
      <c r="C362" s="12" t="str">
        <f>IF('بنود العقد'!C362&lt;&gt;"", 'بنود العقد'!C362, "")</f>
        <v>ميكانيكا</v>
      </c>
      <c r="D362" s="9">
        <f>IF('بنود العقد'!F362&lt;&gt;"", 'بنود العقد'!F362, "")</f>
        <v>0</v>
      </c>
      <c r="E362" s="18">
        <f>IF(B362&lt;&gt;"", SUMPRODUCT(('بنود المطالبات'!C$3:C$1805=A362)*'بنود المطالبات'!I$3:I$1805), "")</f>
        <v>8</v>
      </c>
      <c r="F362" s="18">
        <f>IFERROR(IF(AND(E362&lt;&gt;"",'بنود العقد'!E362&lt;&gt;""), E362*'بنود العقد'!E362, 0), 0)</f>
        <v>720</v>
      </c>
      <c r="G362" s="9">
        <f t="shared" si="10"/>
        <v>-8</v>
      </c>
      <c r="H362" s="9">
        <f>IF(AND('بنود العقد'!G362&lt;&gt;"",F362&lt;&gt;""), 'بنود العقد'!G362-F362, "")</f>
        <v>-720</v>
      </c>
      <c r="I362" s="21">
        <f t="shared" si="11"/>
        <v>0</v>
      </c>
    </row>
    <row r="363" spans="1:9" ht="24" customHeight="1">
      <c r="A363" s="12">
        <v>361</v>
      </c>
      <c r="B363" s="20" t="str">
        <f>IF('بنود العقد'!B363&lt;&gt;"", 'بنود العقد'!B363, "")</f>
        <v>01-MT 02&amp; MT رخام مون ستون غراي رمادي فاتح و رمادي غامق 
مقاس  1200× 300 مم لمنطقة القهوة و المدخل سماكة 16مم .</v>
      </c>
      <c r="C363" s="12" t="str">
        <f>IF('بنود العقد'!C363&lt;&gt;"", 'بنود العقد'!C363, "")</f>
        <v>معماري</v>
      </c>
      <c r="D363" s="9">
        <f>IF('بنود العقد'!F363&lt;&gt;"", 'بنود العقد'!F363, "")</f>
        <v>0</v>
      </c>
      <c r="E363" s="18">
        <f>IF(B363&lt;&gt;"", SUMPRODUCT(('بنود المطالبات'!C$3:C$1805=A363)*'بنود المطالبات'!I$3:I$1805), "")</f>
        <v>1207</v>
      </c>
      <c r="F363" s="18">
        <f>IFERROR(IF(AND(E363&lt;&gt;"",'بنود العقد'!E363&lt;&gt;""), E363*'بنود العقد'!E363, 0), 0)</f>
        <v>547978</v>
      </c>
      <c r="G363" s="9">
        <f t="shared" si="10"/>
        <v>-1207</v>
      </c>
      <c r="H363" s="9">
        <f>IF(AND('بنود العقد'!G363&lt;&gt;"",F363&lt;&gt;""), 'بنود العقد'!G363-F363, "")</f>
        <v>-547978</v>
      </c>
      <c r="I363" s="21">
        <f t="shared" si="11"/>
        <v>0</v>
      </c>
    </row>
    <row r="364" spans="1:9" ht="24" customHeight="1">
      <c r="A364" s="12">
        <v>362</v>
      </c>
      <c r="B364" s="20" t="str">
        <f>IF('بنود العقد'!B364&lt;&gt;"", 'بنود العقد'!B364, "")</f>
        <v>01-MT 02&amp; MT رخام مون ستون غراي رمادي فاتح و رمادي غامق 
مقاس  1200× 300 مم لمنطقة القهوة و المدخل سماكة 30مم .</v>
      </c>
      <c r="C364" s="12" t="str">
        <f>IF('بنود العقد'!C364&lt;&gt;"", 'بنود العقد'!C364, "")</f>
        <v>معماري</v>
      </c>
      <c r="D364" s="9">
        <f>IF('بنود العقد'!F364&lt;&gt;"", 'بنود العقد'!F364, "")</f>
        <v>0</v>
      </c>
      <c r="E364" s="18">
        <f>IF(B364&lt;&gt;"", SUMPRODUCT(('بنود المطالبات'!C$3:C$1805=A364)*'بنود المطالبات'!I$3:I$1805), "")</f>
        <v>854.22</v>
      </c>
      <c r="F364" s="18">
        <f>IFERROR(IF(AND(E364&lt;&gt;"",'بنود العقد'!E364&lt;&gt;""), E364*'بنود العقد'!E364, 0), 0)</f>
        <v>520219.98000000004</v>
      </c>
      <c r="G364" s="9">
        <f t="shared" si="10"/>
        <v>-854.22</v>
      </c>
      <c r="H364" s="9">
        <f>IF(AND('بنود العقد'!G364&lt;&gt;"",F364&lt;&gt;""), 'بنود العقد'!G364-F364, "")</f>
        <v>-520219.98000000004</v>
      </c>
      <c r="I364" s="21">
        <f t="shared" si="11"/>
        <v>0</v>
      </c>
    </row>
    <row r="365" spans="1:9" ht="24" customHeight="1">
      <c r="A365" s="12">
        <v>363</v>
      </c>
      <c r="B365" s="20" t="str">
        <f>IF('بنود العقد'!B365&lt;&gt;"", 'بنود العقد'!B365, "")</f>
        <v>رخام مون ستون غراي رمادي فاتح  الواح مقاس 1000× 1000 مم بحسب اعتماد المهندس المشرف للممرات  سماكة 30مم</v>
      </c>
      <c r="C365" s="12" t="str">
        <f>IF('بنود العقد'!C365&lt;&gt;"", 'بنود العقد'!C365, "")</f>
        <v>معماري</v>
      </c>
      <c r="D365" s="9">
        <f>IF('بنود العقد'!F365&lt;&gt;"", 'بنود العقد'!F365, "")</f>
        <v>0</v>
      </c>
      <c r="E365" s="18">
        <f>IF(B365&lt;&gt;"", SUMPRODUCT(('بنود المطالبات'!C$3:C$1805=A365)*'بنود المطالبات'!I$3:I$1805), "")</f>
        <v>0</v>
      </c>
      <c r="F365" s="18">
        <f>IFERROR(IF(AND(E365&lt;&gt;"",'بنود العقد'!E365&lt;&gt;""), E365*'بنود العقد'!E365, 0), 0)</f>
        <v>0</v>
      </c>
      <c r="G365" s="9">
        <f t="shared" si="10"/>
        <v>0</v>
      </c>
      <c r="H365" s="9">
        <f>IF(AND('بنود العقد'!G365&lt;&gt;"",F365&lt;&gt;""), 'بنود العقد'!G365-F365, "")</f>
        <v>0</v>
      </c>
      <c r="I365" s="21">
        <f t="shared" si="11"/>
        <v>0</v>
      </c>
    </row>
    <row r="366" spans="1:9" ht="24" customHeight="1">
      <c r="A366" s="12">
        <v>364</v>
      </c>
      <c r="B366" s="20" t="str">
        <f>IF('بنود العقد'!B366&lt;&gt;"", 'بنود العقد'!B366, "")</f>
        <v>رخام رمادي بيترا غراي للدور السادس ألواح مقاس 1000× 1000 مم بحسب اعتماد المهندس سماكة 30مم</v>
      </c>
      <c r="C366" s="12" t="str">
        <f>IF('بنود العقد'!C366&lt;&gt;"", 'بنود العقد'!C366, "")</f>
        <v>معماري</v>
      </c>
      <c r="D366" s="9">
        <f>IF('بنود العقد'!F366&lt;&gt;"", 'بنود العقد'!F366, "")</f>
        <v>0</v>
      </c>
      <c r="E366" s="18">
        <f>IF(B366&lt;&gt;"", SUMPRODUCT(('بنود المطالبات'!C$3:C$1805=A366)*'بنود المطالبات'!I$3:I$1805), "")</f>
        <v>1355</v>
      </c>
      <c r="F366" s="18">
        <f>IFERROR(IF(AND(E366&lt;&gt;"",'بنود العقد'!E366&lt;&gt;""), E366*'بنود العقد'!E366, 0), 0)</f>
        <v>971535</v>
      </c>
      <c r="G366" s="9">
        <f t="shared" si="10"/>
        <v>-1355</v>
      </c>
      <c r="H366" s="9">
        <f>IF(AND('بنود العقد'!G366&lt;&gt;"",F366&lt;&gt;""), 'بنود العقد'!G366-F366, "")</f>
        <v>-971535</v>
      </c>
      <c r="I366" s="21">
        <f t="shared" si="11"/>
        <v>0</v>
      </c>
    </row>
    <row r="367" spans="1:9" ht="24" customHeight="1">
      <c r="A367" s="12">
        <v>365</v>
      </c>
      <c r="B367" s="20" t="str">
        <f>IF('بنود العقد'!B367&lt;&gt;"", 'بنود العقد'!B367, "")</f>
        <v>رخام مون ستون غراي فاتح للدرج في الفناء الوسطي ب عرض 30 سم وارتفاع 15 سم وطول 800 سم.</v>
      </c>
      <c r="C367" s="12" t="str">
        <f>IF('بنود العقد'!C367&lt;&gt;"", 'بنود العقد'!C367, "")</f>
        <v>معماري</v>
      </c>
      <c r="D367" s="9">
        <f>IF('بنود العقد'!F367&lt;&gt;"", 'بنود العقد'!F367, "")</f>
        <v>0</v>
      </c>
      <c r="E367" s="18">
        <f>IF(B367&lt;&gt;"", SUMPRODUCT(('بنود المطالبات'!C$3:C$1805=A367)*'بنود المطالبات'!I$3:I$1805), "")</f>
        <v>0</v>
      </c>
      <c r="F367" s="18">
        <f>IFERROR(IF(AND(E367&lt;&gt;"",'بنود العقد'!E367&lt;&gt;""), E367*'بنود العقد'!E367, 0), 0)</f>
        <v>0</v>
      </c>
      <c r="G367" s="9">
        <f t="shared" si="10"/>
        <v>0</v>
      </c>
      <c r="H367" s="9">
        <f>IF(AND('بنود العقد'!G367&lt;&gt;"",F367&lt;&gt;""), 'بنود العقد'!G367-F367, "")</f>
        <v>0</v>
      </c>
      <c r="I367" s="21">
        <f t="shared" si="11"/>
        <v>0</v>
      </c>
    </row>
    <row r="368" spans="1:9" ht="24" customHeight="1">
      <c r="A368" s="12">
        <v>366</v>
      </c>
      <c r="B368" s="20" t="str">
        <f>IF('بنود العقد'!B368&lt;&gt;"", 'بنود العقد'!B368, "")</f>
        <v>رخام مقله  ألواح مقاس 600× 600 مم بحسب اعتماد المهندس سماكة 20مم</v>
      </c>
      <c r="C368" s="12" t="str">
        <f>IF('بنود العقد'!C368&lt;&gt;"", 'بنود العقد'!C368, "")</f>
        <v>معماري</v>
      </c>
      <c r="D368" s="9">
        <f>IF('بنود العقد'!F368&lt;&gt;"", 'بنود العقد'!F368, "")</f>
        <v>0</v>
      </c>
      <c r="E368" s="18">
        <f>IF(B368&lt;&gt;"", SUMPRODUCT(('بنود المطالبات'!C$3:C$1805=A368)*'بنود المطالبات'!I$3:I$1805), "")</f>
        <v>0</v>
      </c>
      <c r="F368" s="18">
        <f>IFERROR(IF(AND(E368&lt;&gt;"",'بنود العقد'!E368&lt;&gt;""), E368*'بنود العقد'!E368, 0), 0)</f>
        <v>0</v>
      </c>
      <c r="G368" s="9">
        <f t="shared" si="10"/>
        <v>0</v>
      </c>
      <c r="H368" s="9">
        <f>IF(AND('بنود العقد'!G368&lt;&gt;"",F368&lt;&gt;""), 'بنود العقد'!G368-F368, "")</f>
        <v>0</v>
      </c>
      <c r="I368" s="21">
        <f t="shared" si="11"/>
        <v>0</v>
      </c>
    </row>
    <row r="369" spans="1:9" ht="24" customHeight="1">
      <c r="A369" s="12">
        <v>367</v>
      </c>
      <c r="B369" s="20" t="str">
        <f>IF('بنود العقد'!B369&lt;&gt;"", 'بنود العقد'!B369, "")</f>
        <v xml:space="preserve"> توريد و تركيب حوض خدمة  (JANITOR SINK) والبند يشمل كوع الصرف والخلاط وجميع ما يلزم للتركيب والتثبيت</v>
      </c>
      <c r="C369" s="12" t="str">
        <f>IF('بنود العقد'!C369&lt;&gt;"", 'بنود العقد'!C369, "")</f>
        <v>ميكانيكا</v>
      </c>
      <c r="D369" s="9">
        <f>IF('بنود العقد'!F369&lt;&gt;"", 'بنود العقد'!F369, "")</f>
        <v>0</v>
      </c>
      <c r="E369" s="18">
        <f>IF(B369&lt;&gt;"", SUMPRODUCT(('بنود المطالبات'!C$3:C$1805=A369)*'بنود المطالبات'!I$3:I$1805), "")</f>
        <v>27</v>
      </c>
      <c r="F369" s="18">
        <f>IFERROR(IF(AND(E369&lt;&gt;"",'بنود العقد'!E369&lt;&gt;""), E369*'بنود العقد'!E369, 0), 0)</f>
        <v>66015</v>
      </c>
      <c r="G369" s="9">
        <f t="shared" si="10"/>
        <v>-27</v>
      </c>
      <c r="H369" s="9">
        <f>IF(AND('بنود العقد'!G369&lt;&gt;"",F369&lt;&gt;""), 'بنود العقد'!G369-F369, "")</f>
        <v>-66015</v>
      </c>
      <c r="I369" s="21">
        <f t="shared" si="11"/>
        <v>0</v>
      </c>
    </row>
    <row r="370" spans="1:9" ht="24" customHeight="1">
      <c r="A370" s="12">
        <v>368</v>
      </c>
      <c r="B370" s="20" t="str">
        <f>IF('بنود العقد'!B370&lt;&gt;"", 'بنود العقد'!B370, "")</f>
        <v>توريد وتركيب واختبار محبس LANDING VALVE مزود بمخفض ضغط داخلي قطر 2.5 بوصة</v>
      </c>
      <c r="C370" s="12" t="str">
        <f>IF('بنود العقد'!C370&lt;&gt;"", 'بنود العقد'!C370, "")</f>
        <v>ميكانيكا</v>
      </c>
      <c r="D370" s="9">
        <f>IF('بنود العقد'!F370&lt;&gt;"", 'بنود العقد'!F370, "")</f>
        <v>0</v>
      </c>
      <c r="E370" s="18">
        <f>IF(B370&lt;&gt;"", SUMPRODUCT(('بنود المطالبات'!C$3:C$1805=A370)*'بنود المطالبات'!I$3:I$1805), "")</f>
        <v>32</v>
      </c>
      <c r="F370" s="18">
        <f>IFERROR(IF(AND(E370&lt;&gt;"",'بنود العقد'!E370&lt;&gt;""), E370*'بنود العقد'!E370, 0), 0)</f>
        <v>44160</v>
      </c>
      <c r="G370" s="9">
        <f t="shared" si="10"/>
        <v>-32</v>
      </c>
      <c r="H370" s="9">
        <f>IF(AND('بنود العقد'!G370&lt;&gt;"",F370&lt;&gt;""), 'بنود العقد'!G370-F370, "")</f>
        <v>-44160</v>
      </c>
      <c r="I370" s="21">
        <f t="shared" si="11"/>
        <v>0</v>
      </c>
    </row>
    <row r="371" spans="1:9" ht="24" customHeight="1">
      <c r="A371" s="12">
        <v>369</v>
      </c>
      <c r="B371" s="20" t="str">
        <f>IF('بنود العقد'!B371&lt;&gt;"", 'بنود العقد'!B371, "")</f>
        <v xml:space="preserve">توريد وتركيب صندوق غاطس يوضع بداخله محبس 
LANDING VALVE </v>
      </c>
      <c r="C371" s="12" t="str">
        <f>IF('بنود العقد'!C371&lt;&gt;"", 'بنود العقد'!C371, "")</f>
        <v>ميكانيكا</v>
      </c>
      <c r="D371" s="9">
        <f>IF('بنود العقد'!F371&lt;&gt;"", 'بنود العقد'!F371, "")</f>
        <v>0</v>
      </c>
      <c r="E371" s="18">
        <f>IF(B371&lt;&gt;"", SUMPRODUCT(('بنود المطالبات'!C$3:C$1805=A371)*'بنود المطالبات'!I$3:I$1805), "")</f>
        <v>32</v>
      </c>
      <c r="F371" s="18">
        <f>IFERROR(IF(AND(E371&lt;&gt;"",'بنود العقد'!E371&lt;&gt;""), E371*'بنود العقد'!E371, 0), 0)</f>
        <v>37632</v>
      </c>
      <c r="G371" s="9">
        <f t="shared" si="10"/>
        <v>-32</v>
      </c>
      <c r="H371" s="9">
        <f>IF(AND('بنود العقد'!G371&lt;&gt;"",F371&lt;&gt;""), 'بنود العقد'!G371-F371, "")</f>
        <v>-37632</v>
      </c>
      <c r="I371" s="21">
        <f t="shared" si="11"/>
        <v>0</v>
      </c>
    </row>
    <row r="372" spans="1:9" ht="24" customHeight="1">
      <c r="A372" s="12">
        <v>370</v>
      </c>
      <c r="B372" s="20" t="str">
        <f>IF('بنود العقد'!B372&lt;&gt;"", 'بنود العقد'!B372, "")</f>
        <v xml:space="preserve">توريد وتركيب جدار خشبى مقاوم للحريق </v>
      </c>
      <c r="C372" s="12" t="str">
        <f>IF('بنود العقد'!C372&lt;&gt;"", 'بنود العقد'!C372, "")</f>
        <v>معماري</v>
      </c>
      <c r="D372" s="9">
        <f>IF('بنود العقد'!F372&lt;&gt;"", 'بنود العقد'!F372, "")</f>
        <v>0</v>
      </c>
      <c r="E372" s="18">
        <f>IF(B372&lt;&gt;"", SUMPRODUCT(('بنود المطالبات'!C$3:C$1805=A372)*'بنود المطالبات'!I$3:I$1805), "")</f>
        <v>136.52000000000001</v>
      </c>
      <c r="F372" s="18">
        <f>IFERROR(IF(AND(E372&lt;&gt;"",'بنود العقد'!E372&lt;&gt;""), E372*'بنود العقد'!E372, 0), 0)</f>
        <v>359682.41800000006</v>
      </c>
      <c r="G372" s="9">
        <f t="shared" si="10"/>
        <v>-136.52000000000001</v>
      </c>
      <c r="H372" s="9">
        <f>IF(AND('بنود العقد'!G372&lt;&gt;"",F372&lt;&gt;""), 'بنود العقد'!G372-F372, "")</f>
        <v>-359682.41800000006</v>
      </c>
      <c r="I372" s="21">
        <f t="shared" si="11"/>
        <v>0</v>
      </c>
    </row>
    <row r="373" spans="1:9" ht="24" customHeight="1">
      <c r="A373" s="12">
        <v>371</v>
      </c>
      <c r="B373" s="20" t="str">
        <f>IF('بنود العقد'!B373&lt;&gt;"", 'بنود العقد'!B373, "")</f>
        <v xml:space="preserve">توريد وتركيب باب خشبى مقاوم للحريق </v>
      </c>
      <c r="C373" s="12" t="str">
        <f>IF('بنود العقد'!C373&lt;&gt;"", 'بنود العقد'!C373, "")</f>
        <v>معماري</v>
      </c>
      <c r="D373" s="9">
        <f>IF('بنود العقد'!F373&lt;&gt;"", 'بنود العقد'!F373, "")</f>
        <v>0</v>
      </c>
      <c r="E373" s="18">
        <f>IF(B373&lt;&gt;"", SUMPRODUCT(('بنود المطالبات'!C$3:C$1805=A373)*'بنود المطالبات'!I$3:I$1805), "")</f>
        <v>12</v>
      </c>
      <c r="F373" s="18">
        <f>IFERROR(IF(AND(E373&lt;&gt;"",'بنود العقد'!E373&lt;&gt;""), E373*'بنود العقد'!E373, 0), 0)</f>
        <v>112422.59999999999</v>
      </c>
      <c r="G373" s="9">
        <f t="shared" si="10"/>
        <v>-12</v>
      </c>
      <c r="H373" s="9">
        <f>IF(AND('بنود العقد'!G373&lt;&gt;"",F373&lt;&gt;""), 'بنود العقد'!G373-F373, "")</f>
        <v>-112422.59999999999</v>
      </c>
      <c r="I373" s="21">
        <f t="shared" si="11"/>
        <v>0</v>
      </c>
    </row>
    <row r="374" spans="1:9" ht="24" customHeight="1">
      <c r="A374" s="12">
        <v>372</v>
      </c>
      <c r="B374" s="20" t="str">
        <f>IF('بنود العقد'!B374&lt;&gt;"", 'بنود العقد'!B374, "")</f>
        <v>توريد وتركيب بورسلان للمبنى PW-01(A)-SUTILEGRIS PULIDO</v>
      </c>
      <c r="C374" s="12" t="str">
        <f>IF('بنود العقد'!C374&lt;&gt;"", 'بنود العقد'!C374, "")</f>
        <v>معماري</v>
      </c>
      <c r="D374" s="9">
        <f>IF('بنود العقد'!F374&lt;&gt;"", 'بنود العقد'!F374, "")</f>
        <v>0</v>
      </c>
      <c r="E374" s="18">
        <f>IF(B374&lt;&gt;"", SUMPRODUCT(('بنود المطالبات'!C$3:C$1805=A374)*'بنود المطالبات'!I$3:I$1805), "")</f>
        <v>674.32</v>
      </c>
      <c r="F374" s="18">
        <f>IFERROR(IF(AND(E374&lt;&gt;"",'بنود العقد'!E374&lt;&gt;""), E374*'بنود العقد'!E374, 0), 0)</f>
        <v>125848.3416</v>
      </c>
      <c r="G374" s="9">
        <f t="shared" si="10"/>
        <v>-674.32</v>
      </c>
      <c r="H374" s="9">
        <f>IF(AND('بنود العقد'!G374&lt;&gt;"",F374&lt;&gt;""), 'بنود العقد'!G374-F374, "")</f>
        <v>-125848.3416</v>
      </c>
      <c r="I374" s="21">
        <f t="shared" si="11"/>
        <v>0</v>
      </c>
    </row>
    <row r="375" spans="1:9" ht="24" customHeight="1">
      <c r="A375" s="12">
        <v>373</v>
      </c>
      <c r="B375" s="20" t="str">
        <f>IF('بنود العقد'!B375&lt;&gt;"", 'بنود العقد'!B375, "")</f>
        <v>توريد وتركيب بورسلان للمبنى PW-02-A(VANGLISH PULIDO)</v>
      </c>
      <c r="C375" s="12" t="str">
        <f>IF('بنود العقد'!C375&lt;&gt;"", 'بنود العقد'!C375, "")</f>
        <v>معماري</v>
      </c>
      <c r="D375" s="9">
        <f>IF('بنود العقد'!F375&lt;&gt;"", 'بنود العقد'!F375, "")</f>
        <v>0</v>
      </c>
      <c r="E375" s="18">
        <f>IF(B375&lt;&gt;"", SUMPRODUCT(('بنود المطالبات'!C$3:C$1805=A375)*'بنود المطالبات'!I$3:I$1805), "")</f>
        <v>891.92</v>
      </c>
      <c r="F375" s="18">
        <f>IFERROR(IF(AND(E375&lt;&gt;"",'بنود العقد'!E375&lt;&gt;""), E375*'بنود العقد'!E375, 0), 0)</f>
        <v>166459.02959999998</v>
      </c>
      <c r="G375" s="9">
        <f t="shared" si="10"/>
        <v>-891.92</v>
      </c>
      <c r="H375" s="9">
        <f>IF(AND('بنود العقد'!G375&lt;&gt;"",F375&lt;&gt;""), 'بنود العقد'!G375-F375, "")</f>
        <v>-166459.02959999998</v>
      </c>
      <c r="I375" s="21">
        <f t="shared" si="11"/>
        <v>0</v>
      </c>
    </row>
    <row r="376" spans="1:9" ht="24" customHeight="1">
      <c r="A376" s="12">
        <v>374</v>
      </c>
      <c r="B376" s="20" t="str">
        <f>IF('بنود العقد'!B376&lt;&gt;"", 'بنود العقد'!B376, "")</f>
        <v>توريد وتركيب بورسلان للمبنى PW-03-B(ATLANTIDA)</v>
      </c>
      <c r="C376" s="12" t="str">
        <f>IF('بنود العقد'!C376&lt;&gt;"", 'بنود العقد'!C376, "")</f>
        <v>معماري</v>
      </c>
      <c r="D376" s="9">
        <f>IF('بنود العقد'!F376&lt;&gt;"", 'بنود العقد'!F376, "")</f>
        <v>0</v>
      </c>
      <c r="E376" s="18">
        <f>IF(B376&lt;&gt;"", SUMPRODUCT(('بنود المطالبات'!C$3:C$1805=A376)*'بنود المطالبات'!I$3:I$1805), "")</f>
        <v>712.54</v>
      </c>
      <c r="F376" s="18">
        <f>IFERROR(IF(AND(E376&lt;&gt;"",'بنود العقد'!E376&lt;&gt;""), E376*'بنود العقد'!E376, 0), 0)</f>
        <v>165936.31519999998</v>
      </c>
      <c r="G376" s="9">
        <f t="shared" si="10"/>
        <v>-712.54</v>
      </c>
      <c r="H376" s="9">
        <f>IF(AND('بنود العقد'!G376&lt;&gt;"",F376&lt;&gt;""), 'بنود العقد'!G376-F376, "")</f>
        <v>-165936.31519999998</v>
      </c>
      <c r="I376" s="21">
        <f t="shared" si="11"/>
        <v>0</v>
      </c>
    </row>
    <row r="377" spans="1:9" ht="24" customHeight="1">
      <c r="A377" s="12">
        <v>375</v>
      </c>
      <c r="B377" s="20" t="str">
        <f>IF('بنود العقد'!B377&lt;&gt;"", 'بنود العقد'!B377, "")</f>
        <v xml:space="preserve">توريد وتركيب  SHOWER SET </v>
      </c>
      <c r="C377" s="12" t="str">
        <f>IF('بنود العقد'!C377&lt;&gt;"", 'بنود العقد'!C377, "")</f>
        <v>ميكانيكا</v>
      </c>
      <c r="D377" s="9">
        <f>IF('بنود العقد'!F377&lt;&gt;"", 'بنود العقد'!F377, "")</f>
        <v>0</v>
      </c>
      <c r="E377" s="18">
        <f>IF(B377&lt;&gt;"", SUMPRODUCT(('بنود المطالبات'!C$3:C$1805=A377)*'بنود المطالبات'!I$3:I$1805), "")</f>
        <v>17</v>
      </c>
      <c r="F377" s="18">
        <f>IFERROR(IF(AND(E377&lt;&gt;"",'بنود العقد'!E377&lt;&gt;""), E377*'بنود العقد'!E377, 0), 0)</f>
        <v>35373.600000000006</v>
      </c>
      <c r="G377" s="9">
        <f t="shared" si="10"/>
        <v>-17</v>
      </c>
      <c r="H377" s="9">
        <f>IF(AND('بنود العقد'!G377&lt;&gt;"",F377&lt;&gt;""), 'بنود العقد'!G377-F377, "")</f>
        <v>-35373.600000000006</v>
      </c>
      <c r="I377" s="21">
        <f t="shared" si="11"/>
        <v>0</v>
      </c>
    </row>
    <row r="378" spans="1:9" ht="24" customHeight="1">
      <c r="A378" s="12">
        <v>376</v>
      </c>
      <c r="B378" s="20" t="str">
        <f>IF('بنود العقد'!B378&lt;&gt;"", 'بنود العقد'!B378, "")</f>
        <v>توريد وتركيب واختبار وتشغيل DUCT SMOKE DEECTORS</v>
      </c>
      <c r="C378" s="12" t="str">
        <f>IF('بنود العقد'!C378&lt;&gt;"", 'بنود العقد'!C378, "")</f>
        <v>ميكانيكا</v>
      </c>
      <c r="D378" s="9">
        <f>IF('بنود العقد'!F378&lt;&gt;"", 'بنود العقد'!F378, "")</f>
        <v>0</v>
      </c>
      <c r="E378" s="18">
        <f>IF(B378&lt;&gt;"", SUMPRODUCT(('بنود المطالبات'!C$3:C$1805=A378)*'بنود المطالبات'!I$3:I$1805), "")</f>
        <v>24</v>
      </c>
      <c r="F378" s="18">
        <f>IFERROR(IF(AND(E378&lt;&gt;"",'بنود العقد'!E378&lt;&gt;""), E378*'بنود العقد'!E378, 0), 0)</f>
        <v>35312.159999999996</v>
      </c>
      <c r="G378" s="9">
        <f t="shared" si="10"/>
        <v>-24</v>
      </c>
      <c r="H378" s="9">
        <f>IF(AND('بنود العقد'!G378&lt;&gt;"",F378&lt;&gt;""), 'بنود العقد'!G378-F378, "")</f>
        <v>-35312.159999999996</v>
      </c>
      <c r="I378" s="21">
        <f t="shared" si="11"/>
        <v>0</v>
      </c>
    </row>
    <row r="379" spans="1:9" ht="24" customHeight="1">
      <c r="A379" s="12">
        <v>377</v>
      </c>
      <c r="B379" s="20" t="str">
        <f>IF('بنود العقد'!B379&lt;&gt;"", 'بنود العقد'!B379, "")</f>
        <v>توريد وتركيب واختبار وتشغيل MULTIDEECTORS</v>
      </c>
      <c r="C379" s="12" t="str">
        <f>IF('بنود العقد'!C379&lt;&gt;"", 'بنود العقد'!C379, "")</f>
        <v>ميكانيكا</v>
      </c>
      <c r="D379" s="9">
        <f>IF('بنود العقد'!F379&lt;&gt;"", 'بنود العقد'!F379, "")</f>
        <v>0</v>
      </c>
      <c r="E379" s="18">
        <f>IF(B379&lt;&gt;"", SUMPRODUCT(('بنود المطالبات'!C$3:C$1805=A379)*'بنود المطالبات'!I$3:I$1805), "")</f>
        <v>36</v>
      </c>
      <c r="F379" s="18">
        <f>IFERROR(IF(AND(E379&lt;&gt;"",'بنود العقد'!E379&lt;&gt;""), E379*'بنود العقد'!E379, 0), 0)</f>
        <v>27396</v>
      </c>
      <c r="G379" s="9">
        <f t="shared" si="10"/>
        <v>-36</v>
      </c>
      <c r="H379" s="9">
        <f>IF(AND('بنود العقد'!G379&lt;&gt;"",F379&lt;&gt;""), 'بنود العقد'!G379-F379, "")</f>
        <v>-27396</v>
      </c>
      <c r="I379" s="21">
        <f t="shared" si="11"/>
        <v>0</v>
      </c>
    </row>
    <row r="380" spans="1:9" ht="24" customHeight="1">
      <c r="A380" s="12">
        <v>378</v>
      </c>
      <c r="B380" s="20" t="str">
        <f>IF('بنود العقد'!B380&lt;&gt;"", 'بنود العقد'!B380, "")</f>
        <v xml:space="preserve">بالمتر المسطح توريد وتركيب قماش ستائر(Roller Blind)والسعر يشمل التوريد والتركيب </v>
      </c>
      <c r="C380" s="12" t="str">
        <f>IF('بنود العقد'!C380&lt;&gt;"", 'بنود العقد'!C380, "")</f>
        <v>معماري</v>
      </c>
      <c r="D380" s="9">
        <f>IF('بنود العقد'!F380&lt;&gt;"", 'بنود العقد'!F380, "")</f>
        <v>0</v>
      </c>
      <c r="E380" s="18">
        <f>IF(B380&lt;&gt;"", SUMPRODUCT(('بنود المطالبات'!C$3:C$1805=A380)*'بنود المطالبات'!I$3:I$1805), "")</f>
        <v>1127</v>
      </c>
      <c r="F380" s="18">
        <f>IFERROR(IF(AND(E380&lt;&gt;"",'بنود العقد'!E380&lt;&gt;""), E380*'بنود العقد'!E380, 0), 0)</f>
        <v>86891.7</v>
      </c>
      <c r="G380" s="9">
        <f t="shared" si="10"/>
        <v>-1127</v>
      </c>
      <c r="H380" s="9">
        <f>IF(AND('بنود العقد'!G380&lt;&gt;"",F380&lt;&gt;""), 'بنود العقد'!G380-F380, "")</f>
        <v>-86891.7</v>
      </c>
      <c r="I380" s="21">
        <f t="shared" si="11"/>
        <v>0</v>
      </c>
    </row>
    <row r="381" spans="1:9" ht="24" customHeight="1">
      <c r="A381" s="12">
        <v>379</v>
      </c>
      <c r="B381" s="20" t="str">
        <f>IF('بنود العقد'!B381&lt;&gt;"", 'بنود العقد'!B381, "")</f>
        <v xml:space="preserve">بالعدد توريد موتور سومفي فرنسي والسعر يشعمل التوريد والتركيب </v>
      </c>
      <c r="C381" s="12" t="str">
        <f>IF('بنود العقد'!C381&lt;&gt;"", 'بنود العقد'!C381, "")</f>
        <v>كهرباء</v>
      </c>
      <c r="D381" s="9">
        <f>IF('بنود العقد'!F381&lt;&gt;"", 'بنود العقد'!F381, "")</f>
        <v>0</v>
      </c>
      <c r="E381" s="18">
        <f>IF(B381&lt;&gt;"", SUMPRODUCT(('بنود المطالبات'!C$3:C$1805=A381)*'بنود المطالبات'!I$3:I$1805), "")</f>
        <v>52</v>
      </c>
      <c r="F381" s="18">
        <f>IFERROR(IF(AND(E381&lt;&gt;"",'بنود العقد'!E381&lt;&gt;""), E381*'بنود العقد'!E381, 0), 0)</f>
        <v>73281.52</v>
      </c>
      <c r="G381" s="9">
        <f t="shared" si="10"/>
        <v>-52</v>
      </c>
      <c r="H381" s="9">
        <f>IF(AND('بنود العقد'!G381&lt;&gt;"",F381&lt;&gt;""), 'بنود العقد'!G381-F381, "")</f>
        <v>-73281.52</v>
      </c>
      <c r="I381" s="21">
        <f t="shared" si="11"/>
        <v>0</v>
      </c>
    </row>
    <row r="382" spans="1:9" ht="24" customHeight="1">
      <c r="A382" s="12">
        <v>380</v>
      </c>
      <c r="B382" s="20" t="str">
        <f>IF('بنود العقد'!B382&lt;&gt;"", 'بنود العقد'!B382, "")</f>
        <v xml:space="preserve">بالعدد توريدریموت سومفي  5قناه والسعر يشعمل التوريد والتركيب </v>
      </c>
      <c r="C382" s="12" t="str">
        <f>IF('بنود العقد'!C382&lt;&gt;"", 'بنود العقد'!C382, "")</f>
        <v>كهرباء</v>
      </c>
      <c r="D382" s="9">
        <f>IF('بنود العقد'!F382&lt;&gt;"", 'بنود العقد'!F382, "")</f>
        <v>0</v>
      </c>
      <c r="E382" s="18">
        <f>IF(B382&lt;&gt;"", SUMPRODUCT(('بنود المطالبات'!C$3:C$1805=A382)*'بنود المطالبات'!I$3:I$1805), "")</f>
        <v>13</v>
      </c>
      <c r="F382" s="18">
        <f>IFERROR(IF(AND(E382&lt;&gt;"",'بنود العقد'!E382&lt;&gt;""), E382*'بنود العقد'!E382, 0), 0)</f>
        <v>4404.79</v>
      </c>
      <c r="G382" s="9">
        <f t="shared" si="10"/>
        <v>-13</v>
      </c>
      <c r="H382" s="9">
        <f>IF(AND('بنود العقد'!G382&lt;&gt;"",F382&lt;&gt;""), 'بنود العقد'!G382-F382, "")</f>
        <v>-4404.79</v>
      </c>
      <c r="I382" s="21">
        <f t="shared" si="11"/>
        <v>0</v>
      </c>
    </row>
    <row r="383" spans="1:9" ht="24" customHeight="1">
      <c r="A383" s="12">
        <v>381</v>
      </c>
      <c r="B383" s="20" t="str">
        <f>IF('بنود العقد'!B383&lt;&gt;"", 'بنود العقد'!B383, "")</f>
        <v xml:space="preserve">بالعدد توريدریموت سومفي  1قناه والسعر يشعمل التوريد والتركيب  </v>
      </c>
      <c r="C383" s="12" t="str">
        <f>IF('بنود العقد'!C383&lt;&gt;"", 'بنود العقد'!C383, "")</f>
        <v>كهرباء</v>
      </c>
      <c r="D383" s="9">
        <f>IF('بنود العقد'!F383&lt;&gt;"", 'بنود العقد'!F383, "")</f>
        <v>0</v>
      </c>
      <c r="E383" s="18">
        <f>IF(B383&lt;&gt;"", SUMPRODUCT(('بنود المطالبات'!C$3:C$1805=A383)*'بنود المطالبات'!I$3:I$1805), "")</f>
        <v>13</v>
      </c>
      <c r="F383" s="18">
        <f>IFERROR(IF(AND(E383&lt;&gt;"",'بنود العقد'!E383&lt;&gt;""), E383*'بنود العقد'!E383, 0), 0)</f>
        <v>3886.7400000000002</v>
      </c>
      <c r="G383" s="9">
        <f t="shared" si="10"/>
        <v>-13</v>
      </c>
      <c r="H383" s="9">
        <f>IF(AND('بنود العقد'!G383&lt;&gt;"",F383&lt;&gt;""), 'بنود العقد'!G383-F383, "")</f>
        <v>-3886.7400000000002</v>
      </c>
      <c r="I383" s="21">
        <f t="shared" si="11"/>
        <v>0</v>
      </c>
    </row>
    <row r="384" spans="1:9" ht="24" customHeight="1">
      <c r="A384" s="12">
        <v>382</v>
      </c>
      <c r="B384" s="20" t="str">
        <f>IF('بنود العقد'!B384&lt;&gt;"", 'بنود العقد'!B384, "")</f>
        <v xml:space="preserve">توريد وتركيب كوريان للمطابخ للدور الثالث </v>
      </c>
      <c r="C384" s="12" t="str">
        <f>IF('بنود العقد'!C384&lt;&gt;"", 'بنود العقد'!C384, "")</f>
        <v>معماري</v>
      </c>
      <c r="D384" s="9">
        <f>IF('بنود العقد'!F384&lt;&gt;"", 'بنود العقد'!F384, "")</f>
        <v>0</v>
      </c>
      <c r="E384" s="18">
        <f>IF(B384&lt;&gt;"", SUMPRODUCT(('بنود المطالبات'!C$3:C$1805=A384)*'بنود المطالبات'!I$3:I$1805), "")</f>
        <v>3</v>
      </c>
      <c r="F384" s="18">
        <f>IFERROR(IF(AND(E384&lt;&gt;"",'بنود العقد'!E384&lt;&gt;""), E384*'بنود العقد'!E384, 0), 0)</f>
        <v>27000</v>
      </c>
      <c r="G384" s="9">
        <f t="shared" si="10"/>
        <v>-3</v>
      </c>
      <c r="H384" s="9">
        <f>IF(AND('بنود العقد'!G384&lt;&gt;"",F384&lt;&gt;""), 'بنود العقد'!G384-F384, "")</f>
        <v>-27000</v>
      </c>
      <c r="I384" s="21">
        <f t="shared" si="11"/>
        <v>0</v>
      </c>
    </row>
    <row r="385" spans="1:9" ht="24" customHeight="1">
      <c r="A385" s="12">
        <v>383</v>
      </c>
      <c r="B385" s="20" t="str">
        <f>IF('بنود العقد'!B385&lt;&gt;"", 'بنود العقد'!B385, "")</f>
        <v xml:space="preserve">توريد وتركيب رخام بيترا جراى للمينى سماكة 20 مم </v>
      </c>
      <c r="C385" s="12" t="str">
        <f>IF('بنود العقد'!C385&lt;&gt;"", 'بنود العقد'!C385, "")</f>
        <v>معماري</v>
      </c>
      <c r="D385" s="9">
        <f>IF('بنود العقد'!F385&lt;&gt;"", 'بنود العقد'!F385, "")</f>
        <v>0</v>
      </c>
      <c r="E385" s="18">
        <f>IF(B385&lt;&gt;"", SUMPRODUCT(('بنود المطالبات'!C$3:C$1805=A385)*'بنود المطالبات'!I$3:I$1805), "")</f>
        <v>8</v>
      </c>
      <c r="F385" s="18">
        <f>IFERROR(IF(AND(E385&lt;&gt;"",'بنود العقد'!E385&lt;&gt;""), E385*'بنود العقد'!E385, 0), 0)</f>
        <v>52800</v>
      </c>
      <c r="G385" s="9">
        <f t="shared" si="10"/>
        <v>-8</v>
      </c>
      <c r="H385" s="9">
        <f>IF(AND('بنود العقد'!G385&lt;&gt;"",F385&lt;&gt;""), 'بنود العقد'!G385-F385, "")</f>
        <v>-52800</v>
      </c>
      <c r="I385" s="21">
        <f t="shared" si="11"/>
        <v>0</v>
      </c>
    </row>
    <row r="386" spans="1:9" ht="24" customHeight="1">
      <c r="A386" s="12">
        <v>384</v>
      </c>
      <c r="B386" s="20" t="str">
        <f>IF('بنود العقد'!B386&lt;&gt;"", 'بنود العقد'!B386, "")</f>
        <v>توريد وتركيب واختبار كابل 4*10 مم2 مع عزل حرارى بلاستيك PVC/PVC</v>
      </c>
      <c r="C386" s="12" t="str">
        <f>IF('بنود العقد'!C386&lt;&gt;"", 'بنود العقد'!C386, "")</f>
        <v>كهرباء</v>
      </c>
      <c r="D386" s="9">
        <f>IF('بنود العقد'!F386&lt;&gt;"", 'بنود العقد'!F386, "")</f>
        <v>0</v>
      </c>
      <c r="E386" s="18">
        <f>IF(B386&lt;&gt;"", SUMPRODUCT(('بنود المطالبات'!C$3:C$1805=A386)*'بنود المطالبات'!I$3:I$1805), "")</f>
        <v>742</v>
      </c>
      <c r="F386" s="18">
        <f>IFERROR(IF(AND(E386&lt;&gt;"",'بنود العقد'!E386&lt;&gt;""), E386*'بنود العقد'!E386, 0), 0)</f>
        <v>41084.54</v>
      </c>
      <c r="G386" s="9">
        <f t="shared" si="10"/>
        <v>-742</v>
      </c>
      <c r="H386" s="9">
        <f>IF(AND('بنود العقد'!G386&lt;&gt;"",F386&lt;&gt;""), 'بنود العقد'!G386-F386, "")</f>
        <v>-41084.54</v>
      </c>
      <c r="I386" s="21">
        <f t="shared" si="11"/>
        <v>0</v>
      </c>
    </row>
    <row r="387" spans="1:9" ht="24" customHeight="1">
      <c r="A387" s="12">
        <v>385</v>
      </c>
      <c r="B387" s="20" t="str">
        <f>IF('بنود العقد'!B387&lt;&gt;"", 'بنود العقد'!B387, "")</f>
        <v xml:space="preserve">توريد وتركيب ,واستبدال القواطع الخاصة بلوحة ال UPS </v>
      </c>
      <c r="C387" s="12" t="str">
        <f>IF('بنود العقد'!C387&lt;&gt;"", 'بنود العقد'!C387, "")</f>
        <v>كهرباء</v>
      </c>
      <c r="D387" s="9">
        <f>IF('بنود العقد'!F387&lt;&gt;"", 'بنود العقد'!F387, "")</f>
        <v>0</v>
      </c>
      <c r="E387" s="18">
        <f>IF(B387&lt;&gt;"", SUMPRODUCT(('بنود المطالبات'!C$3:C$1805=A387)*'بنود المطالبات'!I$3:I$1805), "")</f>
        <v>34</v>
      </c>
      <c r="F387" s="18">
        <f>IFERROR(IF(AND(E387&lt;&gt;"",'بنود العقد'!E387&lt;&gt;""), E387*'بنود العقد'!E387, 0), 0)</f>
        <v>2720</v>
      </c>
      <c r="G387" s="9">
        <f t="shared" ref="G387:G388" si="12">IF(AND(D387&lt;&gt;"",E387&lt;&gt;""), D387-E387, "")</f>
        <v>-34</v>
      </c>
      <c r="H387" s="9">
        <f>IF(AND('بنود العقد'!G387&lt;&gt;"",F387&lt;&gt;""), 'بنود العقد'!G387-F387, "")</f>
        <v>-2720</v>
      </c>
      <c r="I387" s="21">
        <f t="shared" ref="I387:I388" si="13">IFERROR(IF(AND(E387&lt;&gt;"",D387&lt;&gt;"",D387&gt;0), MIN(E387/D387*100, 100), 0), 0)</f>
        <v>0</v>
      </c>
    </row>
    <row r="388" spans="1:9" ht="24" customHeight="1">
      <c r="A388" s="12">
        <v>386</v>
      </c>
      <c r="B388" s="20" t="str">
        <f>IF('بنود العقد'!B388&lt;&gt;"", 'بنود العقد'!B388, "")</f>
        <v>توريد وتركيب فيش صناعى 32 أمبير 2P+E</v>
      </c>
      <c r="C388" s="12" t="str">
        <f>IF('بنود العقد'!C388&lt;&gt;"", 'بنود العقد'!C388, "")</f>
        <v>كهرباء</v>
      </c>
      <c r="D388" s="9">
        <f>IF('بنود العقد'!F388&lt;&gt;"", 'بنود العقد'!F388, "")</f>
        <v>0</v>
      </c>
      <c r="E388" s="18">
        <f>IF(B388&lt;&gt;"", SUMPRODUCT(('بنود المطالبات'!C$3:C$1805=A388)*'بنود المطالبات'!I$3:I$1805), "")</f>
        <v>28</v>
      </c>
      <c r="F388" s="18">
        <f>IFERROR(IF(AND(E388&lt;&gt;"",'بنود العقد'!E388&lt;&gt;""), E388*'بنود العقد'!E388, 0), 0)</f>
        <v>5342.4000000000005</v>
      </c>
      <c r="G388" s="9">
        <f t="shared" si="12"/>
        <v>-28</v>
      </c>
      <c r="H388" s="9">
        <f>IF(AND('بنود العقد'!G388&lt;&gt;"",F388&lt;&gt;""), 'بنود العقد'!G388-F388, "")</f>
        <v>-5342.4000000000005</v>
      </c>
      <c r="I388" s="21">
        <f t="shared" si="13"/>
        <v>0</v>
      </c>
    </row>
  </sheetData>
  <mergeCells count="1">
    <mergeCell ref="A1:I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5728"/>
  </sheetPr>
  <dimension ref="A1:L24"/>
  <sheetViews>
    <sheetView rightToLeft="1" workbookViewId="0">
      <selection activeCell="F14" sqref="F14"/>
    </sheetView>
  </sheetViews>
  <sheetFormatPr defaultRowHeight="13.8"/>
  <cols>
    <col min="1" max="1" width="11.59765625" bestFit="1" customWidth="1"/>
    <col min="2" max="2" width="40" customWidth="1"/>
    <col min="3" max="3" width="15" customWidth="1"/>
    <col min="4" max="5" width="16" customWidth="1"/>
    <col min="6" max="6" width="18" customWidth="1"/>
    <col min="7" max="7" width="14" customWidth="1"/>
    <col min="8" max="8" width="35" customWidth="1"/>
    <col min="9" max="9" width="22" customWidth="1"/>
    <col min="11" max="11" width="17" customWidth="1"/>
    <col min="12" max="12" width="15" customWidth="1"/>
  </cols>
  <sheetData>
    <row r="1" spans="1:12" ht="28.2" customHeight="1">
      <c r="A1" s="108" t="s">
        <v>153</v>
      </c>
      <c r="B1" s="82"/>
      <c r="C1" s="82"/>
      <c r="D1" s="82"/>
      <c r="E1" s="82"/>
      <c r="F1" s="82"/>
      <c r="G1" s="82"/>
      <c r="H1" s="82"/>
    </row>
    <row r="2" spans="1:12" ht="39.6">
      <c r="A2" s="32" t="s">
        <v>154</v>
      </c>
      <c r="B2" s="104">
        <f>العقد!I2</f>
        <v>65767202.569999993</v>
      </c>
      <c r="C2" s="105"/>
      <c r="D2" s="106"/>
    </row>
    <row r="3" spans="1:12" ht="30" customHeight="1">
      <c r="A3" s="32" t="s">
        <v>155</v>
      </c>
      <c r="B3" s="104">
        <f>SUMIF(G10:G18, "معتمد", F10:F18)</f>
        <v>6062743.5124999993</v>
      </c>
      <c r="C3" s="105"/>
      <c r="D3" s="106"/>
    </row>
    <row r="4" spans="1:12" ht="30" customHeight="1">
      <c r="A4" s="32" t="s">
        <v>156</v>
      </c>
      <c r="B4" s="107">
        <f>IF(B2&gt;0, B3/B2*100, 0)</f>
        <v>9.2184907911311207</v>
      </c>
      <c r="C4" s="105"/>
      <c r="D4" s="106"/>
    </row>
    <row r="5" spans="1:12" ht="26.4">
      <c r="A5" s="32" t="s">
        <v>157</v>
      </c>
      <c r="B5" s="104">
        <f>B2*0.1 - B3</f>
        <v>513976.74450000003</v>
      </c>
      <c r="C5" s="105"/>
      <c r="D5" s="106"/>
    </row>
    <row r="6" spans="1:12" ht="30" customHeight="1">
      <c r="A6" s="32" t="s">
        <v>126</v>
      </c>
      <c r="B6" s="109" t="str">
        <f>IF(B4&gt;=10, "🚫 متجاوز الحد", IF(B4&gt;=9, "⚠ تحذير 90%", "✅ آمن"))</f>
        <v>⚠ تحذير 90%</v>
      </c>
      <c r="C6" s="105"/>
      <c r="D6" s="106"/>
    </row>
    <row r="7" spans="1:12" ht="30" customHeight="1"/>
    <row r="8" spans="1:12" ht="30" customHeight="1">
      <c r="A8" s="3" t="s">
        <v>113</v>
      </c>
      <c r="B8" s="3" t="s">
        <v>158</v>
      </c>
      <c r="C8" s="3" t="s">
        <v>159</v>
      </c>
      <c r="D8" s="3" t="s">
        <v>160</v>
      </c>
      <c r="E8" s="3" t="s">
        <v>161</v>
      </c>
      <c r="F8" s="3" t="s">
        <v>162</v>
      </c>
      <c r="G8" s="3" t="s">
        <v>126</v>
      </c>
      <c r="H8" s="3" t="s">
        <v>163</v>
      </c>
      <c r="I8" s="31" t="s">
        <v>164</v>
      </c>
    </row>
    <row r="9" spans="1:12" ht="14.4">
      <c r="A9" s="13">
        <v>1</v>
      </c>
      <c r="B9" s="13" t="s">
        <v>165</v>
      </c>
      <c r="C9" s="13" t="s">
        <v>166</v>
      </c>
      <c r="D9" s="14">
        <f>IFERROR(SUMIFS('بنود أوامر التغيير'!J$3:J$725, 'بنود أوامر التغيير'!B$3:B$725, A9, 'بنود أوامر التغيير'!J$3:J$725, "&gt;0"), 0)</f>
        <v>13535922.935999999</v>
      </c>
      <c r="E9" s="14">
        <f>IFERROR(SUMIFS('بنود أوامر التغيير'!J$3:J$725, 'بنود أوامر التغيير'!B$3:B$725, A9, 'بنود أوامر التغيير'!J$3:J$725, "&lt;0"), 0)</f>
        <v>-10124600.018000001</v>
      </c>
      <c r="F9" s="14">
        <f t="shared" ref="F9:F18" si="0">D9+E9</f>
        <v>3411322.9179999977</v>
      </c>
      <c r="G9" s="13" t="s">
        <v>167</v>
      </c>
      <c r="H9" s="13" t="s">
        <v>168</v>
      </c>
    </row>
    <row r="10" spans="1:12">
      <c r="A10" s="12">
        <v>1</v>
      </c>
      <c r="B10" s="5" t="s">
        <v>689</v>
      </c>
      <c r="C10" s="11"/>
      <c r="D10" s="9">
        <f>IFERROR(SUMIFS('بنود أوامر التغيير'!J$3:J$725, 'بنود أوامر التغيير'!B$3:B$725, A10, 'بنود أوامر التغيير'!J$3:J$725, "&gt;0"), 0)</f>
        <v>13535922.935999999</v>
      </c>
      <c r="E10" s="9">
        <f>IFERROR(SUMIFS('بنود أوامر التغيير'!J$3:J$725, 'بنود أوامر التغيير'!B$3:B$725, A10, 'بنود أوامر التغيير'!J$3:J$725, "&lt;0"), 0)</f>
        <v>-10124600.018000001</v>
      </c>
      <c r="F10" s="10">
        <f t="shared" si="0"/>
        <v>3411322.9179999977</v>
      </c>
      <c r="G10" s="8" t="s">
        <v>167</v>
      </c>
      <c r="H10" s="19" t="s">
        <v>168</v>
      </c>
      <c r="I10" t="str">
        <f t="shared" ref="I10:I15" si="1">IF(B10&lt;&gt;"", "CMH_01-VO-" &amp; TEXT(A10, "000"), "")</f>
        <v>CMH_01-VO-001</v>
      </c>
      <c r="K10" s="64"/>
    </row>
    <row r="11" spans="1:12">
      <c r="A11" s="12">
        <v>2</v>
      </c>
      <c r="B11" s="5"/>
      <c r="C11" s="11"/>
      <c r="D11" s="9">
        <f>IFERROR(SUMIFS('بنود أوامر التغيير'!J$3:J$725, 'بنود أوامر التغيير'!B$3:B$725, A11, 'بنود أوامر التغيير'!J$3:J$725, "&gt;0"), 0)</f>
        <v>0</v>
      </c>
      <c r="E11" s="9">
        <f>IFERROR(SUMIFS('بنود أوامر التغيير'!J$3:J$725, 'بنود أوامر التغيير'!B$3:B$725, A11, 'بنود أوامر التغيير'!J$3:J$725, "&lt;0"), 0)</f>
        <v>0</v>
      </c>
      <c r="F11" s="10">
        <f t="shared" si="0"/>
        <v>0</v>
      </c>
      <c r="G11" s="8" t="s">
        <v>167</v>
      </c>
      <c r="H11" s="19" t="s">
        <v>168</v>
      </c>
      <c r="I11" t="str">
        <f t="shared" si="1"/>
        <v/>
      </c>
    </row>
    <row r="12" spans="1:12">
      <c r="A12" s="12">
        <v>3</v>
      </c>
      <c r="B12" s="5" t="s">
        <v>719</v>
      </c>
      <c r="C12" s="11"/>
      <c r="D12" s="9">
        <f>IFERROR(SUMIFS('بنود أوامر التغيير'!J$3:J$725, 'بنود أوامر التغيير'!B$3:B$725, A12, 'بنود أوامر التغيير'!J$3:J$725, "&gt;0"), 0)</f>
        <v>1042540.9</v>
      </c>
      <c r="E12" s="9">
        <f>IFERROR(SUMIFS('بنود أوامر التغيير'!J$3:J$725, 'بنود أوامر التغيير'!B$3:B$725, A12, 'بنود أوامر التغيير'!J$3:J$725, "&lt;0"), 0)</f>
        <v>0</v>
      </c>
      <c r="F12" s="10">
        <f t="shared" si="0"/>
        <v>1042540.9</v>
      </c>
      <c r="G12" s="8" t="s">
        <v>167</v>
      </c>
      <c r="H12" s="19" t="s">
        <v>168</v>
      </c>
      <c r="I12" t="str">
        <f t="shared" si="1"/>
        <v>CMH_01-VO-003</v>
      </c>
    </row>
    <row r="13" spans="1:12">
      <c r="A13" s="12">
        <v>4</v>
      </c>
      <c r="B13" s="5" t="s">
        <v>719</v>
      </c>
      <c r="C13" s="11"/>
      <c r="D13" s="9">
        <f>IFERROR(SUMIFS('بنود أوامر التغيير'!J$3:J$725, 'بنود أوامر التغيير'!B$3:B$725, A13, 'بنود أوامر التغيير'!J$3:J$725, "&gt;0"), 0)</f>
        <v>167715.9</v>
      </c>
      <c r="E13" s="9">
        <f>IFERROR(SUMIFS('بنود أوامر التغيير'!J$3:J$725, 'بنود أوامر التغيير'!B$3:B$725, A13, 'بنود أوامر التغيير'!J$3:J$725, "&lt;0"), 0)</f>
        <v>0</v>
      </c>
      <c r="F13" s="10">
        <f t="shared" si="0"/>
        <v>167715.9</v>
      </c>
      <c r="G13" s="8" t="s">
        <v>167</v>
      </c>
      <c r="H13" s="19" t="s">
        <v>168</v>
      </c>
      <c r="I13" s="80" t="str">
        <f t="shared" si="1"/>
        <v>CMH_01-VO-004</v>
      </c>
      <c r="K13" s="64"/>
    </row>
    <row r="14" spans="1:12">
      <c r="A14" s="12">
        <v>5</v>
      </c>
      <c r="B14" s="5" t="s">
        <v>689</v>
      </c>
      <c r="C14" s="11"/>
      <c r="D14" s="9">
        <f>IFERROR(SUMIFS('بنود أوامر التغيير'!J$3:J$725, 'بنود أوامر التغيير'!B$3:B$725, A14, 'بنود أوامر التغيير'!J$3:J$725, "&gt;0"), 0)</f>
        <v>7277003.8637000015</v>
      </c>
      <c r="E14" s="9">
        <f>IFERROR(SUMIFS('بنود أوامر التغيير'!J$3:J$725, 'بنود أوامر التغيير'!B$3:B$725, A14, 'بنود أوامر التغيير'!J$3:J$725, "&lt;0"), 0)</f>
        <v>-5835840.0692000007</v>
      </c>
      <c r="F14" s="10">
        <f t="shared" si="0"/>
        <v>1441163.7945000008</v>
      </c>
      <c r="G14" s="8" t="s">
        <v>167</v>
      </c>
      <c r="H14" s="19" t="s">
        <v>168</v>
      </c>
      <c r="I14" s="80" t="str">
        <f t="shared" si="1"/>
        <v>CMH_01-VO-005</v>
      </c>
      <c r="L14" s="64"/>
    </row>
    <row r="15" spans="1:12">
      <c r="A15" s="12"/>
      <c r="B15" s="5"/>
      <c r="C15" s="11"/>
      <c r="D15" s="9">
        <f>IFERROR(SUMIFS('بنود أوامر التغيير'!J$3:J$725, 'بنود أوامر التغيير'!B$3:B$725, A15, 'بنود أوامر التغيير'!J$3:J$725, "&gt;0"), 0)</f>
        <v>0</v>
      </c>
      <c r="E15" s="9">
        <f>IFERROR(SUMIFS('بنود أوامر التغيير'!J$3:J$725, 'بنود أوامر التغيير'!B$3:B$725, A15, 'بنود أوامر التغيير'!J$3:J$725, "&lt;0"), 0)</f>
        <v>0</v>
      </c>
      <c r="F15" s="10">
        <f t="shared" si="0"/>
        <v>0</v>
      </c>
      <c r="G15" s="8"/>
      <c r="H15" s="19"/>
      <c r="I15" t="str">
        <f t="shared" si="1"/>
        <v/>
      </c>
    </row>
    <row r="16" spans="1:12">
      <c r="A16" s="12"/>
      <c r="B16" s="5"/>
      <c r="C16" s="11"/>
      <c r="D16" s="9">
        <f>IFERROR(SUMIFS('بنود أوامر التغيير'!J$3:J$725, 'بنود أوامر التغيير'!B$3:B$725, A16, 'بنود أوامر التغيير'!J$3:J$725, "&gt;0"), 0)</f>
        <v>0</v>
      </c>
      <c r="E16" s="9">
        <f>IFERROR(SUMIFS('بنود أوامر التغيير'!J$3:J$725, 'بنود أوامر التغيير'!B$3:B$725, A16, 'بنود أوامر التغيير'!J$3:J$725, "&lt;0"), 0)</f>
        <v>0</v>
      </c>
      <c r="F16" s="10">
        <f t="shared" si="0"/>
        <v>0</v>
      </c>
      <c r="G16" s="8"/>
      <c r="H16" s="19"/>
      <c r="I16" s="64"/>
    </row>
    <row r="17" spans="1:9">
      <c r="A17" s="12"/>
      <c r="B17" s="5"/>
      <c r="C17" s="11"/>
      <c r="D17" s="9">
        <f>IFERROR(SUMIFS('بنود أوامر التغيير'!J$3:J$725, 'بنود أوامر التغيير'!B$3:B$725, A17, 'بنود أوامر التغيير'!J$3:J$725, "&gt;0"), 0)</f>
        <v>0</v>
      </c>
      <c r="E17" s="9">
        <f>IFERROR(SUMIFS('بنود أوامر التغيير'!J$3:J$725, 'بنود أوامر التغيير'!B$3:B$725, A17, 'بنود أوامر التغيير'!J$3:J$725, "&lt;0"), 0)</f>
        <v>0</v>
      </c>
      <c r="F17" s="10">
        <f t="shared" si="0"/>
        <v>0</v>
      </c>
      <c r="G17" s="8"/>
      <c r="H17" s="19"/>
    </row>
    <row r="18" spans="1:9">
      <c r="A18" s="12"/>
      <c r="B18" s="5"/>
      <c r="C18" s="11"/>
      <c r="D18" s="9">
        <f>IFERROR(SUMIFS('بنود أوامر التغيير'!J$3:J$725, 'بنود أوامر التغيير'!B$3:B$725, A18, 'بنود أوامر التغيير'!J$3:J$725, "&gt;0"), 0)</f>
        <v>0</v>
      </c>
      <c r="E18" s="9">
        <f>IFERROR(SUMIFS('بنود أوامر التغيير'!J$3:J$725, 'بنود أوامر التغيير'!B$3:B$725, A18, 'بنود أوامر التغيير'!J$3:J$725, "&lt;0"), 0)</f>
        <v>0</v>
      </c>
      <c r="F18" s="10">
        <f t="shared" si="0"/>
        <v>0</v>
      </c>
      <c r="G18" s="8"/>
      <c r="H18" s="19"/>
    </row>
    <row r="19" spans="1:9">
      <c r="I19" s="64"/>
    </row>
    <row r="21" spans="1:9">
      <c r="H21" s="64"/>
    </row>
    <row r="22" spans="1:9">
      <c r="H22" s="64"/>
    </row>
    <row r="23" spans="1:9">
      <c r="H23" s="64"/>
    </row>
    <row r="24" spans="1:9">
      <c r="F24" s="64"/>
    </row>
  </sheetData>
  <mergeCells count="6">
    <mergeCell ref="B3:D3"/>
    <mergeCell ref="B5:D5"/>
    <mergeCell ref="B4:D4"/>
    <mergeCell ref="A1:H1"/>
    <mergeCell ref="B6:D6"/>
    <mergeCell ref="B2:D2"/>
  </mergeCells>
  <conditionalFormatting sqref="B6">
    <cfRule type="expression" dxfId="11" priority="1">
      <formula>$B$4&gt;=10</formula>
    </cfRule>
    <cfRule type="expression" dxfId="10" priority="2">
      <formula>AND($B$4&gt;=9, $B$4&lt;10)</formula>
    </cfRule>
    <cfRule type="expression" dxfId="9" priority="3">
      <formula>$B$4&lt;9</formula>
    </cfRule>
  </conditionalFormatting>
  <conditionalFormatting sqref="B4">
    <cfRule type="expression" dxfId="8" priority="4">
      <formula>$B$4&gt;=10</formula>
    </cfRule>
    <cfRule type="expression" dxfId="7" priority="5">
      <formula>AND($B$4&gt;=9, $B$4&lt;10)</formula>
    </cfRule>
  </conditionalFormatting>
  <dataValidations count="1">
    <dataValidation type="list" allowBlank="1" promptTitle="حالة الأمر" sqref="G9:G18" xr:uid="{00000000-0002-0000-0600-000000000000}">
      <formula1>"مسودة,مُقدَّمة,قيد المراجعة,معتمد,مرفوض,مرتجع"</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5728"/>
  </sheetPr>
  <dimension ref="A1:M726"/>
  <sheetViews>
    <sheetView rightToLeft="1" workbookViewId="0">
      <selection activeCell="I582" sqref="I582"/>
    </sheetView>
  </sheetViews>
  <sheetFormatPr defaultRowHeight="13.8"/>
  <cols>
    <col min="1" max="1" width="6" customWidth="1"/>
    <col min="2" max="2" width="14" customWidth="1"/>
    <col min="3" max="3" width="18" customWidth="1"/>
    <col min="4" max="4" width="14" customWidth="1"/>
    <col min="5" max="5" width="38" customWidth="1"/>
    <col min="6" max="6" width="10" customWidth="1"/>
    <col min="7" max="7" width="16" customWidth="1"/>
    <col min="8" max="9" width="14" customWidth="1"/>
    <col min="10" max="10" width="18" customWidth="1"/>
    <col min="11" max="11" width="16" customWidth="1"/>
    <col min="12" max="12" width="22" customWidth="1"/>
    <col min="13" max="13" width="25" customWidth="1"/>
  </cols>
  <sheetData>
    <row r="1" spans="1:13" ht="34.950000000000003" customHeight="1">
      <c r="A1" s="3" t="s">
        <v>113</v>
      </c>
      <c r="B1" s="3" t="s">
        <v>169</v>
      </c>
      <c r="C1" s="3" t="s">
        <v>170</v>
      </c>
      <c r="D1" s="3" t="s">
        <v>171</v>
      </c>
      <c r="E1" s="3" t="s">
        <v>137</v>
      </c>
      <c r="F1" s="3" t="s">
        <v>138</v>
      </c>
      <c r="G1" s="3" t="s">
        <v>101</v>
      </c>
      <c r="H1" s="3" t="s">
        <v>172</v>
      </c>
      <c r="I1" s="3" t="s">
        <v>173</v>
      </c>
      <c r="J1" s="3" t="s">
        <v>174</v>
      </c>
      <c r="K1" s="31" t="s">
        <v>99</v>
      </c>
      <c r="L1" s="31" t="s">
        <v>105</v>
      </c>
      <c r="M1" s="3" t="s">
        <v>127</v>
      </c>
    </row>
    <row r="2" spans="1:13" ht="14.4">
      <c r="A2" s="13">
        <v>1</v>
      </c>
      <c r="B2" s="13"/>
      <c r="C2" s="13"/>
      <c r="D2" s="13"/>
      <c r="E2" s="13"/>
      <c r="F2" s="13"/>
      <c r="G2" s="14"/>
      <c r="H2" s="13"/>
      <c r="I2" s="13"/>
      <c r="J2" s="14"/>
      <c r="M2" s="13"/>
    </row>
    <row r="3" spans="1:13" ht="28.2" customHeight="1">
      <c r="A3" s="12">
        <v>1</v>
      </c>
      <c r="B3" s="6">
        <v>1</v>
      </c>
      <c r="C3" s="6" t="s">
        <v>250</v>
      </c>
      <c r="D3" s="6">
        <v>1</v>
      </c>
      <c r="E3" s="22" t="str">
        <f>IF(C3="استحداث بند جديد", "", IF(D3&lt;&gt;"", IFERROR(INDEX('بنود العقد'!B$3:B$388,D3),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الجدران وتشمل  جميع أنواع جدران الطوب  والقواطع الجبسية و الخشبية و الزجاجية  بحسب المخططات المعتمدة وتعليمات المهندس المشرف.</v>
      </c>
      <c r="F3" s="23" t="str">
        <f>IF(C3="استحداث بند جديد", "", IF(D3&lt;&gt;"", IFERROR(INDEX('بنود العقد'!D$3:D$388,D3), ""), ""))</f>
        <v>م2</v>
      </c>
      <c r="G3" s="24">
        <f>IF(C3="استحداث بند جديد", "", IF(D3&lt;&gt;"", IFERROR(INDEX('بنود العقد'!E$3:E$388,D3), 0), ""))</f>
        <v>18</v>
      </c>
      <c r="H3" s="7">
        <v>-2819.43</v>
      </c>
      <c r="I3" s="8">
        <v>120</v>
      </c>
      <c r="J3" s="10">
        <f t="shared" ref="J3:J607" si="0">IF(C3="تمديد مدة", 0, IF(AND(H3&lt;&gt;"",G3&lt;&gt;""), H3*G3, ""))</f>
        <v>-50749.74</v>
      </c>
      <c r="K3" s="76" t="str">
        <f>IF(C3="استحداث بند جديد", "", IF(D3&lt;&gt;"", IFERROR(INDEX('بنود العقد'!C$3:C$388,D3), ""), ""))</f>
        <v>معماري</v>
      </c>
      <c r="L3" s="76" t="str">
        <f>IF(C3="استحداث بند جديد", IF(K3&lt;&gt;"","CMH_01-"&amp;IFERROR(VLOOKUP(K3,مراجع!$A$3:$B$14,2,FALSE),"?")&amp;"-NEW-"&amp;TEXT(A3,"000"),""), IF(D3&lt;&gt;"", IFERROR(INDEX('بنود العقد'!I$3:I$388,D3), ""), ""))</f>
        <v>CMH_01-A-001</v>
      </c>
      <c r="M3" s="19"/>
    </row>
    <row r="4" spans="1:13" s="76" customFormat="1" ht="28.2" customHeight="1">
      <c r="A4" s="12">
        <v>2</v>
      </c>
      <c r="B4" s="6">
        <v>1</v>
      </c>
      <c r="C4" s="6" t="s">
        <v>250</v>
      </c>
      <c r="D4" s="6">
        <v>2</v>
      </c>
      <c r="E4" s="22" t="str">
        <f>IF(C4="استحداث بند جديد", "", IF(D4&lt;&gt;"", IFERROR(INDEX('بنود العقد'!B$3:B$388,D4),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number)-AR-هدم وإزالة تشطيبات رخام أو بلاط بورسلان أو سيراميك  للأرضيات والجدران الحالية  بحسب المخططات المعتمدة وتعليمات المهندس المشرف.</v>
      </c>
      <c r="F4" s="23" t="str">
        <f>IF(C4="استحداث بند جديد", "", IF(D4&lt;&gt;"", IFERROR(INDEX('بنود العقد'!D$3:D$388,D4), ""), ""))</f>
        <v>م2</v>
      </c>
      <c r="G4" s="24">
        <f>IF(C4="استحداث بند جديد", "", IF(D4&lt;&gt;"", IFERROR(INDEX('بنود العقد'!E$3:E$388,D4), 0), ""))</f>
        <v>14.5</v>
      </c>
      <c r="H4" s="7">
        <v>-4837.28</v>
      </c>
      <c r="I4" s="8">
        <v>120</v>
      </c>
      <c r="J4" s="10">
        <f t="shared" si="0"/>
        <v>-70140.56</v>
      </c>
      <c r="K4" s="76" t="str">
        <f>IF(C4="استحداث بند جديد", "", IF(D4&lt;&gt;"", IFERROR(INDEX('بنود العقد'!C$3:C$388,D4), ""), ""))</f>
        <v>معماري</v>
      </c>
      <c r="L4" s="76" t="str">
        <f>IF(C4="استحداث بند جديد", IF(K4&lt;&gt;"","CMH_01-"&amp;IFERROR(VLOOKUP(K4,مراجع!$A$3:$B$14,2,FALSE),"?")&amp;"-NEW-"&amp;TEXT(A4,"000"),""), IF(D4&lt;&gt;"", IFERROR(INDEX('بنود العقد'!I$3:I$388,D4), ""), ""))</f>
        <v>CMH_01-A-002</v>
      </c>
      <c r="M4" s="19"/>
    </row>
    <row r="5" spans="1:13" s="76" customFormat="1" ht="28.2" customHeight="1">
      <c r="A5" s="12">
        <v>3</v>
      </c>
      <c r="B5" s="6">
        <v>1</v>
      </c>
      <c r="C5" s="6" t="s">
        <v>250</v>
      </c>
      <c r="D5" s="6">
        <v>3</v>
      </c>
      <c r="E5" s="22" t="str">
        <f>IF(C5="استحداث بند جديد", "", IF(D5&lt;&gt;"", IFERROR(INDEX('بنود العقد'!B$3:B$388,D5),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تشطيبات الأسقف المستعارة الحالية بما تشمل أسقف جبسية وبلاطات صناعية وأسقف معدنية  بحسب المخططات المعتمدة وتعليمات المهندس المشرف.</v>
      </c>
      <c r="F5" s="23" t="str">
        <f>IF(C5="استحداث بند جديد", "", IF(D5&lt;&gt;"", IFERROR(INDEX('بنود العقد'!D$3:D$388,D5), ""), ""))</f>
        <v>م2</v>
      </c>
      <c r="G5" s="24">
        <f>IF(C5="استحداث بند جديد", "", IF(D5&lt;&gt;"", IFERROR(INDEX('بنود العقد'!E$3:E$388,D5), 0), ""))</f>
        <v>8.5</v>
      </c>
      <c r="H5" s="7">
        <v>-2602.66</v>
      </c>
      <c r="I5" s="8">
        <v>120</v>
      </c>
      <c r="J5" s="10">
        <f t="shared" si="0"/>
        <v>-22122.61</v>
      </c>
      <c r="K5" s="76" t="str">
        <f>IF(C5="استحداث بند جديد", "", IF(D5&lt;&gt;"", IFERROR(INDEX('بنود العقد'!C$3:C$388,D5), ""), ""))</f>
        <v>معماري</v>
      </c>
      <c r="L5" s="76" t="str">
        <f>IF(C5="استحداث بند جديد", IF(K5&lt;&gt;"","CMH_01-"&amp;IFERROR(VLOOKUP(K5,مراجع!$A$3:$B$14,2,FALSE),"?")&amp;"-NEW-"&amp;TEXT(A5,"000"),""), IF(D5&lt;&gt;"", IFERROR(INDEX('بنود العقد'!I$3:I$388,D5), ""), ""))</f>
        <v>CMH_01-A-003</v>
      </c>
      <c r="M5" s="19"/>
    </row>
    <row r="6" spans="1:13" s="76" customFormat="1" ht="28.2" customHeight="1">
      <c r="A6" s="12">
        <v>4</v>
      </c>
      <c r="B6" s="6">
        <v>1</v>
      </c>
      <c r="C6" s="6" t="s">
        <v>175</v>
      </c>
      <c r="D6" s="6">
        <v>4</v>
      </c>
      <c r="E6" s="22" t="str">
        <f>IF(C6="استحداث بند جديد", "", IF(D6&lt;&gt;"", IFERROR(INDEX('بنود العقد'!B$3:B$388,D6), "⚠"), ""))</f>
        <v>صبة خرسانية مع شبكة حديد بقطر 8 مم  بأبعاد 10*10 سم  مخدومة بالمسطرين والقدة لتعطي سطحا ناعما في الفناء الوسطي. ويشمل السعر الدفان وأي مواد أو أعمال يتطلبها تنفيذ العمل حسب المواصفات والمخططات وتعليمات المهندس المشرف.</v>
      </c>
      <c r="F6" s="23" t="str">
        <f>IF(C6="استحداث بند جديد", "", IF(D6&lt;&gt;"", IFERROR(INDEX('بنود العقد'!D$3:D$388,D6), ""), ""))</f>
        <v>م3</v>
      </c>
      <c r="G6" s="24">
        <f>IF(C6="استحداث بند جديد", "", IF(D6&lt;&gt;"", IFERROR(INDEX('بنود العقد'!E$3:E$388,D6), 0), ""))</f>
        <v>540</v>
      </c>
      <c r="H6" s="7">
        <v>0.34</v>
      </c>
      <c r="I6" s="8">
        <v>120</v>
      </c>
      <c r="J6" s="10">
        <f t="shared" si="0"/>
        <v>183.60000000000002</v>
      </c>
      <c r="K6" s="76" t="str">
        <f>IF(C6="استحداث بند جديد", "", IF(D6&lt;&gt;"", IFERROR(INDEX('بنود العقد'!C$3:C$388,D6), ""), ""))</f>
        <v>مدني</v>
      </c>
      <c r="L6" s="76" t="str">
        <f>IF(C6="استحداث بند جديد", IF(K6&lt;&gt;"","CMH_01-"&amp;IFERROR(VLOOKUP(K6,مراجع!$A$3:$B$14,2,FALSE),"?")&amp;"-NEW-"&amp;TEXT(A6,"000"),""), IF(D6&lt;&gt;"", IFERROR(INDEX('بنود العقد'!I$3:I$388,D6), ""), ""))</f>
        <v>CMH_01-C-004</v>
      </c>
      <c r="M6" s="19"/>
    </row>
    <row r="7" spans="1:13" s="76" customFormat="1" ht="28.2" customHeight="1">
      <c r="A7" s="12">
        <v>5</v>
      </c>
      <c r="B7" s="6">
        <v>1</v>
      </c>
      <c r="C7" s="6" t="s">
        <v>250</v>
      </c>
      <c r="D7" s="6">
        <v>5</v>
      </c>
      <c r="E7" s="22" t="str">
        <f>IF(C7="استحداث بند جديد", "", IF(D7&lt;&gt;"", IFERROR(INDEX('بنود العقد'!B$3:B$388,D7), "⚠"), ""))</f>
        <v>صبة أسمنتية كطبقة حماية للعزل في الأماكن الرطبة. ويشمل السعر وأي مواد أو أعمال يتطلبها تنفيذ العمل حسب المواصفات والمخططات وتعليمات المهندس المشرف.</v>
      </c>
      <c r="F7" s="23" t="str">
        <f>IF(C7="استحداث بند جديد", "", IF(D7&lt;&gt;"", IFERROR(INDEX('بنود العقد'!D$3:D$388,D7), ""), ""))</f>
        <v>م3</v>
      </c>
      <c r="G7" s="24">
        <f>IF(C7="استحداث بند جديد", "", IF(D7&lt;&gt;"", IFERROR(INDEX('بنود العقد'!E$3:E$388,D7), 0), ""))</f>
        <v>366</v>
      </c>
      <c r="H7" s="7">
        <v>-1149.68</v>
      </c>
      <c r="I7" s="8">
        <v>120</v>
      </c>
      <c r="J7" s="10">
        <f t="shared" si="0"/>
        <v>-420782.88</v>
      </c>
      <c r="K7" s="76" t="str">
        <f>IF(C7="استحداث بند جديد", "", IF(D7&lt;&gt;"", IFERROR(INDEX('بنود العقد'!C$3:C$388,D7), ""), ""))</f>
        <v>مدني</v>
      </c>
      <c r="L7" s="76" t="str">
        <f>IF(C7="استحداث بند جديد", IF(K7&lt;&gt;"","CMH_01-"&amp;IFERROR(VLOOKUP(K7,مراجع!$A$3:$B$14,2,FALSE),"?")&amp;"-NEW-"&amp;TEXT(A7,"000"),""), IF(D7&lt;&gt;"", IFERROR(INDEX('بنود العقد'!I$3:I$388,D7), ""), ""))</f>
        <v>CMH_01-C-005</v>
      </c>
      <c r="M7" s="19"/>
    </row>
    <row r="8" spans="1:13" s="76" customFormat="1" ht="28.2" customHeight="1">
      <c r="A8" s="12">
        <v>6</v>
      </c>
      <c r="B8" s="6">
        <v>1</v>
      </c>
      <c r="C8" s="6" t="s">
        <v>175</v>
      </c>
      <c r="D8" s="6">
        <v>6</v>
      </c>
      <c r="E8" s="22" t="str">
        <f>IF(C8="استحداث بند جديد", "", IF(D8&lt;&gt;"", IFERROR(INDEX('بنود العقد'!B$3:B$388,D8),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v>
      </c>
      <c r="F8" s="23" t="str">
        <f>IF(C8="استحداث بند جديد", "", IF(D8&lt;&gt;"", IFERROR(INDEX('بنود العقد'!D$3:D$388,D8), ""), ""))</f>
        <v>م2</v>
      </c>
      <c r="G8" s="24">
        <f>IF(C8="استحداث بند جديد", "", IF(D8&lt;&gt;"", IFERROR(INDEX('بنود العقد'!E$3:E$388,D8), 0), ""))</f>
        <v>150</v>
      </c>
      <c r="H8" s="7">
        <v>3230.51</v>
      </c>
      <c r="I8" s="8">
        <v>120</v>
      </c>
      <c r="J8" s="10">
        <f t="shared" si="0"/>
        <v>484576.50000000006</v>
      </c>
      <c r="K8" s="76" t="str">
        <f>IF(C8="استحداث بند جديد", "", IF(D8&lt;&gt;"", IFERROR(INDEX('بنود العقد'!C$3:C$388,D8), ""), ""))</f>
        <v>معماري</v>
      </c>
      <c r="L8" s="76" t="str">
        <f>IF(C8="استحداث بند جديد", IF(K8&lt;&gt;"","CMH_01-"&amp;IFERROR(VLOOKUP(K8,مراجع!$A$3:$B$14,2,FALSE),"?")&amp;"-NEW-"&amp;TEXT(A8,"000"),""), IF(D8&lt;&gt;"", IFERROR(INDEX('بنود العقد'!I$3:I$388,D8), ""), ""))</f>
        <v>CMH_01-A-006</v>
      </c>
      <c r="M8" s="19"/>
    </row>
    <row r="9" spans="1:13" s="76" customFormat="1" ht="28.2" customHeight="1">
      <c r="A9" s="12">
        <v>7</v>
      </c>
      <c r="B9" s="6">
        <v>1</v>
      </c>
      <c r="C9" s="6" t="s">
        <v>175</v>
      </c>
      <c r="D9" s="6">
        <v>7</v>
      </c>
      <c r="E9" s="22" t="str">
        <f>IF(C9="استحداث بند جديد", "", IF(D9&lt;&gt;"", IFERROR(INDEX('بنود العقد'!B$3:B$388,D9),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القسمRef drawing: 07-MRA-DD-(as per floor number) وتعليمات المهندس المشرف 04200-Ar-100</v>
      </c>
      <c r="F9" s="23" t="str">
        <f>IF(C9="استحداث بند جديد", "", IF(D9&lt;&gt;"", IFERROR(INDEX('بنود العقد'!D$3:D$388,D9), ""), ""))</f>
        <v>م2</v>
      </c>
      <c r="G9" s="24">
        <f>IF(C9="استحداث بند جديد", "", IF(D9&lt;&gt;"", IFERROR(INDEX('بنود العقد'!E$3:E$388,D9), 0), ""))</f>
        <v>150</v>
      </c>
      <c r="H9" s="7">
        <v>313.43</v>
      </c>
      <c r="I9" s="8">
        <v>120</v>
      </c>
      <c r="J9" s="10">
        <f t="shared" si="0"/>
        <v>47014.5</v>
      </c>
      <c r="K9" s="76" t="str">
        <f>IF(C9="استحداث بند جديد", "", IF(D9&lt;&gt;"", IFERROR(INDEX('بنود العقد'!C$3:C$388,D9), ""), ""))</f>
        <v>معماري</v>
      </c>
      <c r="L9" s="76" t="str">
        <f>IF(C9="استحداث بند جديد", IF(K9&lt;&gt;"","CMH_01-"&amp;IFERROR(VLOOKUP(K9,مراجع!$A$3:$B$14,2,FALSE),"?")&amp;"-NEW-"&amp;TEXT(A9,"000"),""), IF(D9&lt;&gt;"", IFERROR(INDEX('بنود العقد'!I$3:I$388,D9), ""), ""))</f>
        <v>CMH_01-A-007</v>
      </c>
      <c r="M9" s="19"/>
    </row>
    <row r="10" spans="1:13" s="76" customFormat="1" ht="28.2" customHeight="1">
      <c r="A10" s="12">
        <v>8</v>
      </c>
      <c r="B10" s="6">
        <v>1</v>
      </c>
      <c r="C10" s="6" t="s">
        <v>250</v>
      </c>
      <c r="D10" s="6">
        <v>8</v>
      </c>
      <c r="E10" s="22" t="str">
        <f>IF(C10="استحداث بند جديد", "", IF(D10&lt;&gt;"", IFERROR(INDEX('بنود العقد'!B$3:B$388,D10), "⚠"), ""))</f>
        <v xml:space="preserve">توريد وتركيب درابزين من الزجاج السيكوريت سمك 12 مم مثبت بالارضيات للفناء الداخلي المفتوح بارتفاع 600مم شاملاً إطار الدرابزين من الالمنيوم )u-channel( مقاس 40مم × 30مم ثخانة2مم )لون اسود 9005RAL ( ويشمل السعر الاكسسوارات وأي مواد أو أعمال يتطلبها تشطيب العمل حسب المواصفات والمخططات. </v>
      </c>
      <c r="F10" s="23" t="str">
        <f>IF(C10="استحداث بند جديد", "", IF(D10&lt;&gt;"", IFERROR(INDEX('بنود العقد'!D$3:D$388,D10), ""), ""))</f>
        <v>م.ط</v>
      </c>
      <c r="G10" s="24">
        <f>IF(C10="استحداث بند جديد", "", IF(D10&lt;&gt;"", IFERROR(INDEX('بنود العقد'!E$3:E$388,D10), 0), ""))</f>
        <v>540</v>
      </c>
      <c r="H10" s="7">
        <v>-20</v>
      </c>
      <c r="I10" s="8">
        <v>120</v>
      </c>
      <c r="J10" s="10">
        <f t="shared" si="0"/>
        <v>-10800</v>
      </c>
      <c r="K10" s="76" t="str">
        <f>IF(C10="استحداث بند جديد", "", IF(D10&lt;&gt;"", IFERROR(INDEX('بنود العقد'!C$3:C$388,D10), ""), ""))</f>
        <v>معماري</v>
      </c>
      <c r="L10" s="76" t="str">
        <f>IF(C10="استحداث بند جديد", IF(K10&lt;&gt;"","CMH_01-"&amp;IFERROR(VLOOKUP(K10,مراجع!$A$3:$B$14,2,FALSE),"?")&amp;"-NEW-"&amp;TEXT(A10,"000"),""), IF(D10&lt;&gt;"", IFERROR(INDEX('بنود العقد'!I$3:I$388,D10), ""), ""))</f>
        <v>CMH_01-A-008</v>
      </c>
      <c r="M10" s="19"/>
    </row>
    <row r="11" spans="1:13" s="76" customFormat="1" ht="28.2" customHeight="1">
      <c r="A11" s="12">
        <v>9</v>
      </c>
      <c r="B11" s="6">
        <v>1</v>
      </c>
      <c r="C11" s="6" t="s">
        <v>250</v>
      </c>
      <c r="D11" s="6">
        <v>9</v>
      </c>
      <c r="E11" s="22" t="str">
        <f>IF(C11="استحداث بند جديد", "", IF(D11&lt;&gt;"", IFERROR(INDEX('بنود العقد'!B$3:B$388,D11), "⚠"), ""))</f>
        <v>توريد وتركيب درابزين من الزجاج السيكوريت سمك 12 مم مثبت بالارضيات للفناء الوسطي الاساسي 1100 مم شاملاإًطار الدرابزين من الالمنيوم )u-channel(  مقاس80مم × 40مم )لون اسود 9005RAL ( ويشمل السعر الاكسسوارات وأي مواد أو أعمال يتطلبها تشطيب العمل حسب المواصفات والمخططات وتعليمات المهندس المشرف</v>
      </c>
      <c r="F11" s="23" t="str">
        <f>IF(C11="استحداث بند جديد", "", IF(D11&lt;&gt;"", IFERROR(INDEX('بنود العقد'!D$3:D$388,D11), ""), ""))</f>
        <v>م.ط</v>
      </c>
      <c r="G11" s="24">
        <f>IF(C11="استحداث بند جديد", "", IF(D11&lt;&gt;"", IFERROR(INDEX('بنود العقد'!E$3:E$388,D11), 0), ""))</f>
        <v>540</v>
      </c>
      <c r="H11" s="7">
        <v>-20</v>
      </c>
      <c r="I11" s="8">
        <v>120</v>
      </c>
      <c r="J11" s="10">
        <f t="shared" si="0"/>
        <v>-10800</v>
      </c>
      <c r="K11" s="76" t="str">
        <f>IF(C11="استحداث بند جديد", "", IF(D11&lt;&gt;"", IFERROR(INDEX('بنود العقد'!C$3:C$388,D11), ""), ""))</f>
        <v>معماري</v>
      </c>
      <c r="L11" s="76" t="str">
        <f>IF(C11="استحداث بند جديد", IF(K11&lt;&gt;"","CMH_01-"&amp;IFERROR(VLOOKUP(K11,مراجع!$A$3:$B$14,2,FALSE),"?")&amp;"-NEW-"&amp;TEXT(A11,"000"),""), IF(D11&lt;&gt;"", IFERROR(INDEX('بنود العقد'!I$3:I$388,D11), ""), ""))</f>
        <v>CMH_01-A-009</v>
      </c>
      <c r="M11" s="19"/>
    </row>
    <row r="12" spans="1:13" s="76" customFormat="1" ht="28.2" customHeight="1">
      <c r="A12" s="12">
        <v>10</v>
      </c>
      <c r="B12" s="6">
        <v>1</v>
      </c>
      <c r="C12" s="6" t="s">
        <v>175</v>
      </c>
      <c r="D12" s="6">
        <v>10</v>
      </c>
      <c r="E12" s="22" t="str">
        <f>IF(C12="استحداث بند جديد", "", IF(D12&lt;&gt;"", IFERROR(INDEX('بنود العقد'!B$3:B$388,D12), "⚠"), ""))</f>
        <v>إعادة دهان هاندرايل من الحديد  بالايبوكسي ويشمل ازالة الدهان القديم  بالترميل )Sand Plasting( حسب  المواصفات والاصول الفنيه وتعليمات المهندس المشرف.</v>
      </c>
      <c r="F12" s="23" t="str">
        <f>IF(C12="استحداث بند جديد", "", IF(D12&lt;&gt;"", IFERROR(INDEX('بنود العقد'!D$3:D$388,D12), ""), ""))</f>
        <v>م.ط</v>
      </c>
      <c r="G12" s="24">
        <f>IF(C12="استحداث بند جديد", "", IF(D12&lt;&gt;"", IFERROR(INDEX('بنود العقد'!E$3:E$388,D12), 0), ""))</f>
        <v>42</v>
      </c>
      <c r="H12" s="7">
        <v>188.96</v>
      </c>
      <c r="I12" s="8">
        <v>120</v>
      </c>
      <c r="J12" s="10">
        <f t="shared" si="0"/>
        <v>7936.3200000000006</v>
      </c>
      <c r="K12" s="76" t="str">
        <f>IF(C12="استحداث بند جديد", "", IF(D12&lt;&gt;"", IFERROR(INDEX('بنود العقد'!C$3:C$388,D12), ""), ""))</f>
        <v>معماري</v>
      </c>
      <c r="L12" s="76" t="str">
        <f>IF(C12="استحداث بند جديد", IF(K12&lt;&gt;"","CMH_01-"&amp;IFERROR(VLOOKUP(K12,مراجع!$A$3:$B$14,2,FALSE),"?")&amp;"-NEW-"&amp;TEXT(A12,"000"),""), IF(D12&lt;&gt;"", IFERROR(INDEX('بنود العقد'!I$3:I$388,D12), ""), ""))</f>
        <v>CMH_01-A-010</v>
      </c>
      <c r="M12" s="19"/>
    </row>
    <row r="13" spans="1:13" s="76" customFormat="1" ht="28.2" customHeight="1">
      <c r="A13" s="12">
        <v>11</v>
      </c>
      <c r="B13" s="6">
        <v>1</v>
      </c>
      <c r="C13" s="6" t="s">
        <v>250</v>
      </c>
      <c r="D13" s="6">
        <v>12</v>
      </c>
      <c r="E13" s="22" t="str">
        <f>IF(C13="استحداث بند جديد", "", IF(D13&lt;&gt;"", IFERROR(INDEX('بنود العقد'!B$3:B$388,D13), "⚠"), ""))</f>
        <v>توريد وتركيب اسقف شبكة حديد مش )طلاء بودرة بالفرن لون اسود( سماكة 2 ملم مع تيوب حديد ابعاد 4*8 سم وسماكة 3ملم  ، مثبتة بنظام تعليق متصلة بالسقف الخرساني حسب الرسومات والمناظير وتعليمات المهندس المشرف.Ref drawing: 07-MRA-DD-G.F-AR-200</v>
      </c>
      <c r="F13" s="23" t="str">
        <f>IF(C13="استحداث بند جديد", "", IF(D13&lt;&gt;"", IFERROR(INDEX('بنود العقد'!D$3:D$388,D13), ""), ""))</f>
        <v>م2</v>
      </c>
      <c r="G13" s="24">
        <f>IF(C13="استحداث بند جديد", "", IF(D13&lt;&gt;"", IFERROR(INDEX('بنود العقد'!E$3:E$388,D13), 0), ""))</f>
        <v>360</v>
      </c>
      <c r="H13" s="7">
        <v>-4.8099999999999996</v>
      </c>
      <c r="I13" s="8">
        <v>120</v>
      </c>
      <c r="J13" s="10">
        <f t="shared" si="0"/>
        <v>-1731.6</v>
      </c>
      <c r="K13" s="76" t="str">
        <f>IF(C13="استحداث بند جديد", "", IF(D13&lt;&gt;"", IFERROR(INDEX('بنود العقد'!C$3:C$388,D13), ""), ""))</f>
        <v>معماري</v>
      </c>
      <c r="L13" s="76" t="str">
        <f>IF(C13="استحداث بند جديد", IF(K13&lt;&gt;"","CMH_01-"&amp;IFERROR(VLOOKUP(K13,مراجع!$A$3:$B$14,2,FALSE),"?")&amp;"-NEW-"&amp;TEXT(A13,"000"),""), IF(D13&lt;&gt;"", IFERROR(INDEX('بنود العقد'!I$3:I$388,D13), ""), ""))</f>
        <v>CMH_01-A-012</v>
      </c>
      <c r="M13" s="19"/>
    </row>
    <row r="14" spans="1:13" s="76" customFormat="1" ht="28.2" customHeight="1">
      <c r="A14" s="12">
        <v>12</v>
      </c>
      <c r="B14" s="6">
        <v>1</v>
      </c>
      <c r="C14" s="6" t="s">
        <v>250</v>
      </c>
      <c r="D14" s="6">
        <v>13</v>
      </c>
      <c r="E14" s="22" t="str">
        <f>IF(C14="استحداث بند جديد", "", IF(D14&lt;&gt;"", IFERROR(INDEX('بنود العقد'!B$3:B$388,D14), "⚠"), ""))</f>
        <v>توريد وتركيب اسقف شبكة حديد مش )طلاء بودرة بالفرن لون ابيض(سماكة 2 ملم مع تيوب حديد ابعاد 4*8 سم وسماكة 3ملم  ، مثبتة بنظام تعليق متصلة بالسقف الخرساني حسب الرسومات والمناظير وتعليمات المهندس المشرفRef drawing: 07-MRA-DD-G.F-AR-200</v>
      </c>
      <c r="F14" s="23" t="str">
        <f>IF(C14="استحداث بند جديد", "", IF(D14&lt;&gt;"", IFERROR(INDEX('بنود العقد'!D$3:D$388,D14), ""), ""))</f>
        <v>م2</v>
      </c>
      <c r="G14" s="24">
        <f>IF(C14="استحداث بند جديد", "", IF(D14&lt;&gt;"", IFERROR(INDEX('بنود العقد'!E$3:E$388,D14), 0), ""))</f>
        <v>360</v>
      </c>
      <c r="H14" s="7">
        <v>-6.69</v>
      </c>
      <c r="I14" s="8">
        <v>120</v>
      </c>
      <c r="J14" s="10">
        <f t="shared" si="0"/>
        <v>-2408.4</v>
      </c>
      <c r="K14" s="76" t="str">
        <f>IF(C14="استحداث بند جديد", "", IF(D14&lt;&gt;"", IFERROR(INDEX('بنود العقد'!C$3:C$388,D14), ""), ""))</f>
        <v>معماري</v>
      </c>
      <c r="L14" s="76" t="str">
        <f>IF(C14="استحداث بند جديد", IF(K14&lt;&gt;"","CMH_01-"&amp;IFERROR(VLOOKUP(K14,مراجع!$A$3:$B$14,2,FALSE),"?")&amp;"-NEW-"&amp;TEXT(A14,"000"),""), IF(D14&lt;&gt;"", IFERROR(INDEX('بنود العقد'!I$3:I$388,D14), ""), ""))</f>
        <v>CMH_01-A-013</v>
      </c>
      <c r="M14" s="19"/>
    </row>
    <row r="15" spans="1:13" s="76" customFormat="1" ht="28.2" customHeight="1">
      <c r="A15" s="12">
        <v>13</v>
      </c>
      <c r="B15" s="6">
        <v>1</v>
      </c>
      <c r="C15" s="6" t="s">
        <v>250</v>
      </c>
      <c r="D15" s="6">
        <v>22</v>
      </c>
      <c r="E15" s="22" t="str">
        <f>IF(C15="استحداث بند جديد", "", IF(D15&lt;&gt;"", IFERROR(INDEX('بنود العقد'!B$3:B$388,D15), "⚠"), ""))</f>
        <v>توريد وتركيب وزرات خشب )Mdf( مع قشرة جوز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 .Ref drawing: 07-MRA-DD-(as per floor number)-AR-301</v>
      </c>
      <c r="F15" s="23" t="str">
        <f>IF(C15="استحداث بند جديد", "", IF(D15&lt;&gt;"", IFERROR(INDEX('بنود العقد'!D$3:D$388,D15), ""), ""))</f>
        <v>م.ط</v>
      </c>
      <c r="G15" s="24">
        <f>IF(C15="استحداث بند جديد", "", IF(D15&lt;&gt;"", IFERROR(INDEX('بنود العقد'!E$3:E$388,D15), 0), ""))</f>
        <v>42</v>
      </c>
      <c r="H15" s="7">
        <v>-1888.65</v>
      </c>
      <c r="I15" s="8">
        <v>120</v>
      </c>
      <c r="J15" s="10">
        <f t="shared" si="0"/>
        <v>-79323.3</v>
      </c>
      <c r="K15" s="76" t="str">
        <f>IF(C15="استحداث بند جديد", "", IF(D15&lt;&gt;"", IFERROR(INDEX('بنود العقد'!C$3:C$388,D15), ""), ""))</f>
        <v>معماري</v>
      </c>
      <c r="L15" s="76" t="str">
        <f>IF(C15="استحداث بند جديد", IF(K15&lt;&gt;"","CMH_01-"&amp;IFERROR(VLOOKUP(K15,مراجع!$A$3:$B$14,2,FALSE),"?")&amp;"-NEW-"&amp;TEXT(A15,"000"),""), IF(D15&lt;&gt;"", IFERROR(INDEX('بنود العقد'!I$3:I$388,D15), ""), ""))</f>
        <v>CMH_01-A-022</v>
      </c>
      <c r="M15" s="19"/>
    </row>
    <row r="16" spans="1:13" s="76" customFormat="1" ht="28.2" customHeight="1">
      <c r="A16" s="12">
        <v>14</v>
      </c>
      <c r="B16" s="6">
        <v>1</v>
      </c>
      <c r="C16" s="6" t="s">
        <v>175</v>
      </c>
      <c r="D16" s="6">
        <v>23</v>
      </c>
      <c r="E16" s="22" t="str">
        <f>IF(C16="استحداث بند جديد", "", IF(D16&lt;&gt;"", IFERROR(INDEX('بنود العقد'!B$3:B$388,D16), "⚠"), ""))</f>
        <v>توريد وتركيب وزرات خشب )Mdf( مع قشرة ،وينغي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المشرفRef drawing: 07-MRA-DD-(as per floor number)-AR-301</v>
      </c>
      <c r="F16" s="23" t="str">
        <f>IF(C16="استحداث بند جديد", "", IF(D16&lt;&gt;"", IFERROR(INDEX('بنود العقد'!D$3:D$388,D16), ""), ""))</f>
        <v>م.ط</v>
      </c>
      <c r="G16" s="24">
        <f>IF(C16="استحداث بند جديد", "", IF(D16&lt;&gt;"", IFERROR(INDEX('بنود العقد'!E$3:E$388,D16), 0), ""))</f>
        <v>42</v>
      </c>
      <c r="H16" s="7">
        <v>18.54</v>
      </c>
      <c r="I16" s="8">
        <v>120</v>
      </c>
      <c r="J16" s="10">
        <f t="shared" si="0"/>
        <v>778.68</v>
      </c>
      <c r="K16" s="76" t="str">
        <f>IF(C16="استحداث بند جديد", "", IF(D16&lt;&gt;"", IFERROR(INDEX('بنود العقد'!C$3:C$388,D16), ""), ""))</f>
        <v>معماري</v>
      </c>
      <c r="L16" s="76" t="str">
        <f>IF(C16="استحداث بند جديد", IF(K16&lt;&gt;"","CMH_01-"&amp;IFERROR(VLOOKUP(K16,مراجع!$A$3:$B$14,2,FALSE),"?")&amp;"-NEW-"&amp;TEXT(A16,"000"),""), IF(D16&lt;&gt;"", IFERROR(INDEX('بنود العقد'!I$3:I$388,D16), ""), ""))</f>
        <v>CMH_01-A-023</v>
      </c>
      <c r="M16" s="19"/>
    </row>
    <row r="17" spans="1:13" s="76" customFormat="1" ht="28.2" customHeight="1">
      <c r="A17" s="12">
        <v>15</v>
      </c>
      <c r="B17" s="6">
        <v>1</v>
      </c>
      <c r="C17" s="6" t="s">
        <v>250</v>
      </c>
      <c r="D17" s="6">
        <v>24</v>
      </c>
      <c r="E17" s="22" t="str">
        <f>IF(C17="استحداث بند جديد", "", IF(D17&lt;&gt;"", IFERROR(INDEX('بنود العقد'!B$3:B$388,D17), "⚠"), ""))</f>
        <v>تصنيع وتركيب جدار خشبي ) Mdf(  مع قشرة السنديان المطلي بدهان ابيض تثبت على هيكل معدني، مع تصميم  فتحات على شكل مثلثات مضاءة من الداخل واحجام بمستويات مختلفة، حسب المناظير والرسومات وتعليمات المهندس المشرف.Code: WDP1-01,WDP1-02,WDP1-02.A</v>
      </c>
      <c r="F17" s="23" t="str">
        <f>IF(C17="استحداث بند جديد", "", IF(D17&lt;&gt;"", IFERROR(INDEX('بنود العقد'!D$3:D$388,D17), ""), ""))</f>
        <v>م2</v>
      </c>
      <c r="G17" s="24">
        <f>IF(C17="استحداث بند جديد", "", IF(D17&lt;&gt;"", IFERROR(INDEX('بنود العقد'!E$3:E$388,D17), 0), ""))</f>
        <v>714</v>
      </c>
      <c r="H17" s="7">
        <v>-431</v>
      </c>
      <c r="I17" s="8">
        <v>120</v>
      </c>
      <c r="J17" s="10">
        <f t="shared" si="0"/>
        <v>-307734</v>
      </c>
      <c r="K17" s="76" t="str">
        <f>IF(C17="استحداث بند جديد", "", IF(D17&lt;&gt;"", IFERROR(INDEX('بنود العقد'!C$3:C$388,D17), ""), ""))</f>
        <v>معماري</v>
      </c>
      <c r="L17" s="76" t="str">
        <f>IF(C17="استحداث بند جديد", IF(K17&lt;&gt;"","CMH_01-"&amp;IFERROR(VLOOKUP(K17,مراجع!$A$3:$B$14,2,FALSE),"?")&amp;"-NEW-"&amp;TEXT(A17,"000"),""), IF(D17&lt;&gt;"", IFERROR(INDEX('بنود العقد'!I$3:I$388,D17), ""), ""))</f>
        <v>CMH_01-A-024</v>
      </c>
      <c r="M17" s="19"/>
    </row>
    <row r="18" spans="1:13" s="76" customFormat="1" ht="28.2" customHeight="1">
      <c r="A18" s="12">
        <v>16</v>
      </c>
      <c r="B18" s="6">
        <v>1</v>
      </c>
      <c r="C18" s="6" t="s">
        <v>250</v>
      </c>
      <c r="D18" s="6">
        <v>25</v>
      </c>
      <c r="E18" s="22" t="str">
        <f>IF(C18="استحداث بند جديد", "", IF(D18&lt;&gt;"", IFERROR(INDEX('بنود العقد'!B$3:B$388,D18), "⚠"), ""))</f>
        <v>تصنيع وتركيب لوح خشبي بشكل طولي من  الـ )Mdf(  مع قشرة الجوز او ما يتناسب مع العينة المتفق عليها طول 25سم وعرض 10سم وارتفاع 270 سم الى جانب الابواب الزجاجية حسب المناظير والرسومات وتعليمات المهندس المشرف.Code: WDP2-08</v>
      </c>
      <c r="F18" s="23" t="str">
        <f>IF(C18="استحداث بند جديد", "", IF(D18&lt;&gt;"", IFERROR(INDEX('بنود العقد'!D$3:D$388,D18), ""), ""))</f>
        <v>عدد</v>
      </c>
      <c r="G18" s="24">
        <f>IF(C18="استحداث بند جديد", "", IF(D18&lt;&gt;"", IFERROR(INDEX('بنود العقد'!E$3:E$388,D18), 0), ""))</f>
        <v>240</v>
      </c>
      <c r="H18" s="7">
        <v>-25</v>
      </c>
      <c r="I18" s="8">
        <v>120</v>
      </c>
      <c r="J18" s="10">
        <f t="shared" si="0"/>
        <v>-6000</v>
      </c>
      <c r="K18" s="76" t="str">
        <f>IF(C18="استحداث بند جديد", "", IF(D18&lt;&gt;"", IFERROR(INDEX('بنود العقد'!C$3:C$388,D18), ""), ""))</f>
        <v>معماري</v>
      </c>
      <c r="L18" s="76" t="str">
        <f>IF(C18="استحداث بند جديد", IF(K18&lt;&gt;"","CMH_01-"&amp;IFERROR(VLOOKUP(K18,مراجع!$A$3:$B$14,2,FALSE),"?")&amp;"-NEW-"&amp;TEXT(A18,"000"),""), IF(D18&lt;&gt;"", IFERROR(INDEX('بنود العقد'!I$3:I$388,D18), ""), ""))</f>
        <v>CMH_01-A-025</v>
      </c>
      <c r="M18" s="19"/>
    </row>
    <row r="19" spans="1:13" s="76" customFormat="1" ht="28.2" customHeight="1">
      <c r="A19" s="12">
        <v>17</v>
      </c>
      <c r="B19" s="6">
        <v>1</v>
      </c>
      <c r="C19" s="6" t="s">
        <v>250</v>
      </c>
      <c r="D19" s="6">
        <v>26</v>
      </c>
      <c r="E19" s="22" t="str">
        <f>IF(C19="استحداث بند جديد", "", IF(D19&lt;&gt;"", IFERROR(INDEX('بنود العقد'!B$3:B$388,D19),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العامود الخرساني بدهان رمادي على شكل وهيئة الأسطح الاسمنتية )matt( بتصميم مع غروف حسب الرسومات والمناظير وتعليمات المهندس المشرف.Code: WDP3-04</v>
      </c>
      <c r="F19" s="23" t="str">
        <f>IF(C19="استحداث بند جديد", "", IF(D19&lt;&gt;"", IFERROR(INDEX('بنود العقد'!D$3:D$388,D19), ""), ""))</f>
        <v>م2</v>
      </c>
      <c r="G19" s="24">
        <f>IF(C19="استحداث بند جديد", "", IF(D19&lt;&gt;"", IFERROR(INDEX('بنود العقد'!E$3:E$388,D19), 0), ""))</f>
        <v>528</v>
      </c>
      <c r="H19" s="7">
        <v>-22.4</v>
      </c>
      <c r="I19" s="8">
        <v>120</v>
      </c>
      <c r="J19" s="10">
        <f t="shared" si="0"/>
        <v>-11827.199999999999</v>
      </c>
      <c r="K19" s="76" t="str">
        <f>IF(C19="استحداث بند جديد", "", IF(D19&lt;&gt;"", IFERROR(INDEX('بنود العقد'!C$3:C$388,D19), ""), ""))</f>
        <v>معماري</v>
      </c>
      <c r="L19" s="76" t="str">
        <f>IF(C19="استحداث بند جديد", IF(K19&lt;&gt;"","CMH_01-"&amp;IFERROR(VLOOKUP(K19,مراجع!$A$3:$B$14,2,FALSE),"?")&amp;"-NEW-"&amp;TEXT(A19,"000"),""), IF(D19&lt;&gt;"", IFERROR(INDEX('بنود العقد'!I$3:I$388,D19), ""), ""))</f>
        <v>CMH_01-A-026</v>
      </c>
      <c r="M19" s="19"/>
    </row>
    <row r="20" spans="1:13" s="76" customFormat="1" ht="28.2" customHeight="1">
      <c r="A20" s="12">
        <v>18</v>
      </c>
      <c r="B20" s="6">
        <v>1</v>
      </c>
      <c r="C20" s="6" t="s">
        <v>175</v>
      </c>
      <c r="D20" s="6">
        <v>27</v>
      </c>
      <c r="E20" s="22" t="str">
        <f>IF(C20="استحداث بند جديد", "", IF(D20&lt;&gt;"", IFERROR(INDEX('بنود العقد'!B$3:B$388,D20),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القواطع الجبسية بدهان رمادي بيج  )matt( ، وبتصميم مع غروف حسب الرسومات والمناظير وتعليمات المهندس المشرف.Code: WPD4-01,WDP4-01.A</v>
      </c>
      <c r="F20" s="23" t="str">
        <f>IF(C20="استحداث بند جديد", "", IF(D20&lt;&gt;"", IFERROR(INDEX('بنود العقد'!D$3:D$388,D20), ""), ""))</f>
        <v>م2</v>
      </c>
      <c r="G20" s="24">
        <f>IF(C20="استحداث بند جديد", "", IF(D20&lt;&gt;"", IFERROR(INDEX('بنود العقد'!E$3:E$388,D20), 0), ""))</f>
        <v>528</v>
      </c>
      <c r="H20" s="7">
        <v>125.9</v>
      </c>
      <c r="I20" s="8">
        <v>120</v>
      </c>
      <c r="J20" s="10">
        <f t="shared" si="0"/>
        <v>66475.199999999997</v>
      </c>
      <c r="K20" s="76" t="str">
        <f>IF(C20="استحداث بند جديد", "", IF(D20&lt;&gt;"", IFERROR(INDEX('بنود العقد'!C$3:C$388,D20), ""), ""))</f>
        <v>معماري</v>
      </c>
      <c r="L20" s="76" t="str">
        <f>IF(C20="استحداث بند جديد", IF(K20&lt;&gt;"","CMH_01-"&amp;IFERROR(VLOOKUP(K20,مراجع!$A$3:$B$14,2,FALSE),"?")&amp;"-NEW-"&amp;TEXT(A20,"000"),""), IF(D20&lt;&gt;"", IFERROR(INDEX('بنود العقد'!I$3:I$388,D20), ""), ""))</f>
        <v>CMH_01-A-027</v>
      </c>
      <c r="M20" s="19"/>
    </row>
    <row r="21" spans="1:13" s="76" customFormat="1" ht="28.2" customHeight="1">
      <c r="A21" s="12">
        <v>19</v>
      </c>
      <c r="B21" s="6">
        <v>1</v>
      </c>
      <c r="C21" s="6" t="s">
        <v>175</v>
      </c>
      <c r="D21" s="6">
        <v>28</v>
      </c>
      <c r="E21" s="22" t="str">
        <f>IF(C21="استحداث بند جديد", "", IF(D21&lt;&gt;"", IFERROR(INDEX('بنود العقد'!B$3:B$388,D21),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مثبتة على القواطع الجبسية مع قشرة صناعية بحسب العينة الموافق عليها وغروف حسب الرسومات والمناظير وتعليمات المهندس المشرفCode: WDP2</v>
      </c>
      <c r="F21" s="23" t="str">
        <f>IF(C21="استحداث بند جديد", "", IF(D21&lt;&gt;"", IFERROR(INDEX('بنود العقد'!D$3:D$388,D21), ""), ""))</f>
        <v>م2</v>
      </c>
      <c r="G21" s="24">
        <f>IF(C21="استحداث بند جديد", "", IF(D21&lt;&gt;"", IFERROR(INDEX('بنود العقد'!E$3:E$388,D21), 0), ""))</f>
        <v>528</v>
      </c>
      <c r="H21" s="7">
        <v>300.24</v>
      </c>
      <c r="I21" s="8">
        <v>120</v>
      </c>
      <c r="J21" s="10">
        <f t="shared" si="0"/>
        <v>158526.72</v>
      </c>
      <c r="K21" s="76" t="str">
        <f>IF(C21="استحداث بند جديد", "", IF(D21&lt;&gt;"", IFERROR(INDEX('بنود العقد'!C$3:C$388,D21), ""), ""))</f>
        <v>معماري</v>
      </c>
      <c r="L21" s="76" t="str">
        <f>IF(C21="استحداث بند جديد", IF(K21&lt;&gt;"","CMH_01-"&amp;IFERROR(VLOOKUP(K21,مراجع!$A$3:$B$14,2,FALSE),"?")&amp;"-NEW-"&amp;TEXT(A21,"000"),""), IF(D21&lt;&gt;"", IFERROR(INDEX('بنود العقد'!I$3:I$388,D21), ""), ""))</f>
        <v>CMH_01-A-028</v>
      </c>
      <c r="M21" s="19"/>
    </row>
    <row r="22" spans="1:13" s="76" customFormat="1" ht="28.2" customHeight="1">
      <c r="A22" s="12">
        <v>20</v>
      </c>
      <c r="B22" s="6">
        <v>1</v>
      </c>
      <c r="C22" s="6" t="s">
        <v>175</v>
      </c>
      <c r="D22" s="6">
        <v>29</v>
      </c>
      <c r="E22" s="22" t="str">
        <f>IF(C22="استحداث بند جديد", "", IF(D22&lt;&gt;"", IFERROR(INDEX('بنود العقد'!B$3:B$388,D22),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االقواطع الجبسية بدهان رمادي على شكل وهيئة الأسطح الاسمنتية ) matt( مع تصميم بفتحات حسب الرسومات والمناظير وتعليمات المهندس المشرف.Code: WDP3-01, WDP3-02, WDP3-03</v>
      </c>
      <c r="F22" s="23" t="str">
        <f>IF(C22="استحداث بند جديد", "", IF(D22&lt;&gt;"", IFERROR(INDEX('بنود العقد'!D$3:D$388,D22), ""), ""))</f>
        <v>م2</v>
      </c>
      <c r="G22" s="24">
        <f>IF(C22="استحداث بند جديد", "", IF(D22&lt;&gt;"", IFERROR(INDEX('بنود العقد'!E$3:E$388,D22), 0), ""))</f>
        <v>528</v>
      </c>
      <c r="H22" s="7">
        <v>64.16</v>
      </c>
      <c r="I22" s="8">
        <v>120</v>
      </c>
      <c r="J22" s="10">
        <f t="shared" si="0"/>
        <v>33876.479999999996</v>
      </c>
      <c r="K22" s="76" t="str">
        <f>IF(C22="استحداث بند جديد", "", IF(D22&lt;&gt;"", IFERROR(INDEX('بنود العقد'!C$3:C$388,D22), ""), ""))</f>
        <v>معماري</v>
      </c>
      <c r="L22" s="76" t="str">
        <f>IF(C22="استحداث بند جديد", IF(K22&lt;&gt;"","CMH_01-"&amp;IFERROR(VLOOKUP(K22,مراجع!$A$3:$B$14,2,FALSE),"?")&amp;"-NEW-"&amp;TEXT(A22,"000"),""), IF(D22&lt;&gt;"", IFERROR(INDEX('بنود العقد'!I$3:I$388,D22), ""), ""))</f>
        <v>CMH_01-A-029</v>
      </c>
      <c r="M22" s="19"/>
    </row>
    <row r="23" spans="1:13" s="76" customFormat="1" ht="28.2" customHeight="1">
      <c r="A23" s="12">
        <v>21</v>
      </c>
      <c r="B23" s="6">
        <v>1</v>
      </c>
      <c r="C23" s="6" t="s">
        <v>175</v>
      </c>
      <c r="D23" s="6">
        <v>30</v>
      </c>
      <c r="E23" s="22" t="str">
        <f>IF(C23="استحداث بند جديد", "", IF(D23&lt;&gt;"", IFERROR(INDEX('بنود العقد'!B$3:B$388,D23),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مع قشرة السنديان المطلي بدهان ابيض  مع غروف وفتحات إضاءة مخفية مغلفة من الداخل بطبقة Acrylic مغشى  حسب الرسومات والمناظير وتعليمات المهندس المشرف.Code: WDP1-03, WDP1-04, WDP1-05, WDP1-06</v>
      </c>
      <c r="F23" s="23" t="str">
        <f>IF(C23="استحداث بند جديد", "", IF(D23&lt;&gt;"", IFERROR(INDEX('بنود العقد'!D$3:D$388,D23), ""), ""))</f>
        <v>م2</v>
      </c>
      <c r="G23" s="24">
        <f>IF(C23="استحداث بند جديد", "", IF(D23&lt;&gt;"", IFERROR(INDEX('بنود العقد'!E$3:E$388,D23), 0), ""))</f>
        <v>570</v>
      </c>
      <c r="H23" s="7">
        <v>1.98</v>
      </c>
      <c r="I23" s="8">
        <v>120</v>
      </c>
      <c r="J23" s="10">
        <f t="shared" si="0"/>
        <v>1128.5999999999999</v>
      </c>
      <c r="K23" s="76" t="str">
        <f>IF(C23="استحداث بند جديد", "", IF(D23&lt;&gt;"", IFERROR(INDEX('بنود العقد'!C$3:C$388,D23), ""), ""))</f>
        <v>معماري</v>
      </c>
      <c r="L23" s="76" t="str">
        <f>IF(C23="استحداث بند جديد", IF(K23&lt;&gt;"","CMH_01-"&amp;IFERROR(VLOOKUP(K23,مراجع!$A$3:$B$14,2,FALSE),"?")&amp;"-NEW-"&amp;TEXT(A23,"000"),""), IF(D23&lt;&gt;"", IFERROR(INDEX('بنود العقد'!I$3:I$388,D23), ""), ""))</f>
        <v>CMH_01-A-030</v>
      </c>
      <c r="M23" s="19"/>
    </row>
    <row r="24" spans="1:13" s="76" customFormat="1" ht="28.2" customHeight="1">
      <c r="A24" s="12">
        <v>22</v>
      </c>
      <c r="B24" s="6">
        <v>1</v>
      </c>
      <c r="C24" s="6" t="s">
        <v>175</v>
      </c>
      <c r="D24" s="6">
        <v>31</v>
      </c>
      <c r="E24" s="22" t="str">
        <f>IF(C24="استحداث بند جديد", "", IF(D24&lt;&gt;"", IFERROR(INDEX('بنود العقد'!B$3:B$388,D24),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بدهان رمادي   مع غروف وفتحات إضاءة مخفية مغلفة من الداخل بطبقة Acrylic مغشى  حسب الرسومات والمناظير وتعليمات المهندس المشرف.Code: WDP5</v>
      </c>
      <c r="F24" s="23" t="str">
        <f>IF(C24="استحداث بند جديد", "", IF(D24&lt;&gt;"", IFERROR(INDEX('بنود العقد'!D$3:D$388,D24), ""), ""))</f>
        <v>م2</v>
      </c>
      <c r="G24" s="24">
        <f>IF(C24="استحداث بند جديد", "", IF(D24&lt;&gt;"", IFERROR(INDEX('بنود العقد'!E$3:E$388,D24), 0), ""))</f>
        <v>720</v>
      </c>
      <c r="H24" s="7">
        <v>0.25600000000000001</v>
      </c>
      <c r="I24" s="8">
        <v>120</v>
      </c>
      <c r="J24" s="10">
        <f t="shared" si="0"/>
        <v>184.32</v>
      </c>
      <c r="K24" s="76" t="str">
        <f>IF(C24="استحداث بند جديد", "", IF(D24&lt;&gt;"", IFERROR(INDEX('بنود العقد'!C$3:C$388,D24), ""), ""))</f>
        <v>معماري</v>
      </c>
      <c r="L24" s="76" t="str">
        <f>IF(C24="استحداث بند جديد", IF(K24&lt;&gt;"","CMH_01-"&amp;IFERROR(VLOOKUP(K24,مراجع!$A$3:$B$14,2,FALSE),"?")&amp;"-NEW-"&amp;TEXT(A24,"000"),""), IF(D24&lt;&gt;"", IFERROR(INDEX('بنود العقد'!I$3:I$388,D24), ""), ""))</f>
        <v>CMH_01-A-031</v>
      </c>
      <c r="M24" s="19"/>
    </row>
    <row r="25" spans="1:13" s="76" customFormat="1" ht="28.2" customHeight="1">
      <c r="A25" s="12">
        <v>23</v>
      </c>
      <c r="B25" s="6">
        <v>1</v>
      </c>
      <c r="C25" s="6" t="s">
        <v>250</v>
      </c>
      <c r="D25" s="6">
        <v>32</v>
      </c>
      <c r="E25" s="22" t="str">
        <f>IF(C25="استحداث بند جديد", "", IF(D25&lt;&gt;"", IFERROR(INDEX('بنود العقد'!B$3:B$388,D25),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المطلي بدهان رمادي  Code: WDP6</v>
      </c>
      <c r="F25" s="23" t="str">
        <f>IF(C25="استحداث بند جديد", "", IF(D25&lt;&gt;"", IFERROR(INDEX('بنود العقد'!D$3:D$388,D25), ""), ""))</f>
        <v>م2</v>
      </c>
      <c r="G25" s="24">
        <f>IF(C25="استحداث بند جديد", "", IF(D25&lt;&gt;"", IFERROR(INDEX('بنود العقد'!E$3:E$388,D25), 0), ""))</f>
        <v>468</v>
      </c>
      <c r="H25" s="7">
        <v>-5.68</v>
      </c>
      <c r="I25" s="8">
        <v>120</v>
      </c>
      <c r="J25" s="10">
        <f t="shared" si="0"/>
        <v>-2658.24</v>
      </c>
      <c r="K25" s="76" t="str">
        <f>IF(C25="استحداث بند جديد", "", IF(D25&lt;&gt;"", IFERROR(INDEX('بنود العقد'!C$3:C$388,D25), ""), ""))</f>
        <v>معماري</v>
      </c>
      <c r="L25" s="76" t="str">
        <f>IF(C25="استحداث بند جديد", IF(K25&lt;&gt;"","CMH_01-"&amp;IFERROR(VLOOKUP(K25,مراجع!$A$3:$B$14,2,FALSE),"?")&amp;"-NEW-"&amp;TEXT(A25,"000"),""), IF(D25&lt;&gt;"", IFERROR(INDEX('بنود العقد'!I$3:I$388,D25), ""), ""))</f>
        <v>CMH_01-A-032</v>
      </c>
      <c r="M25" s="19"/>
    </row>
    <row r="26" spans="1:13" s="76" customFormat="1" ht="28.2" customHeight="1">
      <c r="A26" s="12">
        <v>24</v>
      </c>
      <c r="B26" s="6">
        <v>1</v>
      </c>
      <c r="C26" s="6" t="s">
        <v>250</v>
      </c>
      <c r="D26" s="6">
        <v>33</v>
      </c>
      <c r="E26" s="22" t="str">
        <f>IF(C26="استحداث بند جديد", "", IF(D26&lt;&gt;"", IFERROR(INDEX('بنود العقد'!B$3:B$388,D26),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number)-AR-600 to 07-MRA-DD (as per floor number)-AR-604كسوة من خشب الـ) Mdf(  ، مع قشرة  )walnut( لمدخل كبار الشخصيات ومكتب مدير مكتب معالي الوزير     حسب الرسومات والمناظير وتعليمات المهندس المشرف.Code: WDP7</v>
      </c>
      <c r="F26" s="23" t="str">
        <f>IF(C26="استحداث بند جديد", "", IF(D26&lt;&gt;"", IFERROR(INDEX('بنود العقد'!D$3:D$388,D26), ""), ""))</f>
        <v>م2</v>
      </c>
      <c r="G26" s="24">
        <f>IF(C26="استحداث بند جديد", "", IF(D26&lt;&gt;"", IFERROR(INDEX('بنود العقد'!E$3:E$388,D26), 0), ""))</f>
        <v>570</v>
      </c>
      <c r="H26" s="7">
        <v>-37.869999999999997</v>
      </c>
      <c r="I26" s="8">
        <v>120</v>
      </c>
      <c r="J26" s="10">
        <f t="shared" si="0"/>
        <v>-21585.899999999998</v>
      </c>
      <c r="K26" s="76" t="str">
        <f>IF(C26="استحداث بند جديد", "", IF(D26&lt;&gt;"", IFERROR(INDEX('بنود العقد'!C$3:C$388,D26), ""), ""))</f>
        <v>معماري</v>
      </c>
      <c r="L26" s="76" t="str">
        <f>IF(C26="استحداث بند جديد", IF(K26&lt;&gt;"","CMH_01-"&amp;IFERROR(VLOOKUP(K26,مراجع!$A$3:$B$14,2,FALSE),"?")&amp;"-NEW-"&amp;TEXT(A26,"000"),""), IF(D26&lt;&gt;"", IFERROR(INDEX('بنود العقد'!I$3:I$388,D26), ""), ""))</f>
        <v>CMH_01-A-033</v>
      </c>
      <c r="M26" s="19"/>
    </row>
    <row r="27" spans="1:13" s="76" customFormat="1" ht="28.2" customHeight="1">
      <c r="A27" s="12">
        <v>25</v>
      </c>
      <c r="B27" s="6">
        <v>1</v>
      </c>
      <c r="C27" s="6" t="s">
        <v>175</v>
      </c>
      <c r="D27" s="6">
        <v>34</v>
      </c>
      <c r="E27" s="22" t="str">
        <f>IF(C27="استحداث بند جديد", "", IF(D27&lt;&gt;"", IFERROR(INDEX('بنود العقد'!B$3:B$388,D27),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صناعية بلون رمادي بيج لمنطقة معالي الوزير   حسب الرسومات والمناظير وتعليمات المهندس المشرف.Code: WDP8</v>
      </c>
      <c r="F27" s="23" t="str">
        <f>IF(C27="استحداث بند جديد", "", IF(D27&lt;&gt;"", IFERROR(INDEX('بنود العقد'!D$3:D$388,D27), ""), ""))</f>
        <v>م2</v>
      </c>
      <c r="G27" s="24">
        <f>IF(C27="استحداث بند جديد", "", IF(D27&lt;&gt;"", IFERROR(INDEX('بنود العقد'!E$3:E$388,D27), 0), ""))</f>
        <v>870</v>
      </c>
      <c r="H27" s="7">
        <v>522.88</v>
      </c>
      <c r="I27" s="8">
        <v>120</v>
      </c>
      <c r="J27" s="10">
        <f t="shared" si="0"/>
        <v>454905.59999999998</v>
      </c>
      <c r="K27" s="76" t="str">
        <f>IF(C27="استحداث بند جديد", "", IF(D27&lt;&gt;"", IFERROR(INDEX('بنود العقد'!C$3:C$388,D27), ""), ""))</f>
        <v>معماري</v>
      </c>
      <c r="L27" s="76" t="str">
        <f>IF(C27="استحداث بند جديد", IF(K27&lt;&gt;"","CMH_01-"&amp;IFERROR(VLOOKUP(K27,مراجع!$A$3:$B$14,2,FALSE),"?")&amp;"-NEW-"&amp;TEXT(A27,"000"),""), IF(D27&lt;&gt;"", IFERROR(INDEX('بنود العقد'!I$3:I$388,D27), ""), ""))</f>
        <v>CMH_01-A-034</v>
      </c>
      <c r="M27" s="19"/>
    </row>
    <row r="28" spans="1:13" s="76" customFormat="1" ht="28.2" customHeight="1">
      <c r="A28" s="12">
        <v>26</v>
      </c>
      <c r="B28" s="6">
        <v>1</v>
      </c>
      <c r="C28" s="6" t="s">
        <v>250</v>
      </c>
      <c r="D28" s="6">
        <v>36</v>
      </c>
      <c r="E28" s="22" t="str">
        <f>IF(C28="استحداث بند جديد", "", IF(D28&lt;&gt;"", IFERROR(INDEX('بنود العقد'!B$3:B$388,D28),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ال )wenge( بشكل pattern مفرغة من الداخل مع ايطار خشبي ومثبتة على الجدار الخشبي  لمنطقة التنفيذيين حسب الرسومات والمناظير وتعليمات المهندس المشرف.Code: P2</v>
      </c>
      <c r="F28" s="23" t="str">
        <f>IF(C28="استحداث بند جديد", "", IF(D28&lt;&gt;"", IFERROR(INDEX('بنود العقد'!D$3:D$388,D28), ""), ""))</f>
        <v>م2</v>
      </c>
      <c r="G28" s="24">
        <f>IF(C28="استحداث بند جديد", "", IF(D28&lt;&gt;"", IFERROR(INDEX('بنود العقد'!E$3:E$388,D28), 0), ""))</f>
        <v>960</v>
      </c>
      <c r="H28" s="7">
        <v>-3</v>
      </c>
      <c r="I28" s="8">
        <v>120</v>
      </c>
      <c r="J28" s="10">
        <f t="shared" si="0"/>
        <v>-2880</v>
      </c>
      <c r="K28" s="76" t="str">
        <f>IF(C28="استحداث بند جديد", "", IF(D28&lt;&gt;"", IFERROR(INDEX('بنود العقد'!C$3:C$388,D28), ""), ""))</f>
        <v>معماري</v>
      </c>
      <c r="L28" s="76" t="str">
        <f>IF(C28="استحداث بند جديد", IF(K28&lt;&gt;"","CMH_01-"&amp;IFERROR(VLOOKUP(K28,مراجع!$A$3:$B$14,2,FALSE),"?")&amp;"-NEW-"&amp;TEXT(A28,"000"),""), IF(D28&lt;&gt;"", IFERROR(INDEX('بنود العقد'!I$3:I$388,D28), ""), ""))</f>
        <v>CMH_01-A-036</v>
      </c>
      <c r="M28" s="19"/>
    </row>
    <row r="29" spans="1:13" s="76" customFormat="1" ht="28.2" customHeight="1">
      <c r="A29" s="12">
        <v>27</v>
      </c>
      <c r="B29" s="6">
        <v>1</v>
      </c>
      <c r="C29" s="6" t="s">
        <v>175</v>
      </c>
      <c r="D29" s="6">
        <v>37</v>
      </c>
      <c r="E29" s="22" t="str">
        <f>IF(C29="استحداث بند جديد", "", IF(D29&lt;&gt;"", IFERROR(INDEX('بنود العقد'!B$3:B$388,D29), "⚠"), ""))</f>
        <v>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 سقف من خشب الـ)Mdf( ،  مطلي بدهان أبيض بشكل pattern مفرغة من الداخل  ومثبتة على ألواح خشبية مع قشرة الجوز مثبتة بنظام تعليق متصلة بالسقف الخرساني  لمنطقة معالي الوزير حسب الرسومات والمناظير وتعليمات المهندس المشرف.Code: WDC-04</v>
      </c>
      <c r="F29" s="23" t="str">
        <f>IF(C29="استحداث بند جديد", "", IF(D29&lt;&gt;"", IFERROR(INDEX('بنود العقد'!D$3:D$388,D29), ""), ""))</f>
        <v>م2</v>
      </c>
      <c r="G29" s="24">
        <f>IF(C29="استحداث بند جديد", "", IF(D29&lt;&gt;"", IFERROR(INDEX('بنود العقد'!E$3:E$388,D29), 0), ""))</f>
        <v>1080</v>
      </c>
      <c r="H29" s="7">
        <v>5.57</v>
      </c>
      <c r="I29" s="8">
        <v>120</v>
      </c>
      <c r="J29" s="10">
        <f t="shared" si="0"/>
        <v>6015.6</v>
      </c>
      <c r="K29" s="76" t="str">
        <f>IF(C29="استحداث بند جديد", "", IF(D29&lt;&gt;"", IFERROR(INDEX('بنود العقد'!C$3:C$388,D29), ""), ""))</f>
        <v>معماري</v>
      </c>
      <c r="L29" s="76" t="str">
        <f>IF(C29="استحداث بند جديد", IF(K29&lt;&gt;"","CMH_01-"&amp;IFERROR(VLOOKUP(K29,مراجع!$A$3:$B$14,2,FALSE),"?")&amp;"-NEW-"&amp;TEXT(A29,"000"),""), IF(D29&lt;&gt;"", IFERROR(INDEX('بنود العقد'!I$3:I$388,D29), ""), ""))</f>
        <v>CMH_01-A-037</v>
      </c>
      <c r="M29" s="19"/>
    </row>
    <row r="30" spans="1:13" s="76" customFormat="1" ht="28.2" customHeight="1">
      <c r="A30" s="12">
        <v>28</v>
      </c>
      <c r="B30" s="6">
        <v>1</v>
      </c>
      <c r="C30" s="6" t="s">
        <v>250</v>
      </c>
      <c r="D30" s="6">
        <v>38</v>
      </c>
      <c r="E30" s="22" t="str">
        <f>IF(C30="استحداث بند جديد", "", IF(D30&lt;&gt;"", IFERROR(INDEX('بنود العقد'!B$3:B$388,D30), "⚠"), ""))</f>
        <v>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 من من خشب الـ)Mdf(  مع قشرة صناعية بحسب العينة الموافق عليها وغروف مثبتة بنظام تعليق متصلة بالسقف الخرساني حسب الرسومات والمناظير وتعليمات المهندس المشرف.Code: WDC-01 &amp; WDC-02</v>
      </c>
      <c r="F30" s="23" t="str">
        <f>IF(C30="استحداث بند جديد", "", IF(D30&lt;&gt;"", IFERROR(INDEX('بنود العقد'!D$3:D$388,D30), ""), ""))</f>
        <v>م2</v>
      </c>
      <c r="G30" s="24">
        <f>IF(C30="استحداث بند جديد", "", IF(D30&lt;&gt;"", IFERROR(INDEX('بنود العقد'!E$3:E$388,D30), 0), ""))</f>
        <v>840</v>
      </c>
      <c r="H30" s="7">
        <v>-44.59</v>
      </c>
      <c r="I30" s="8">
        <v>120</v>
      </c>
      <c r="J30" s="10">
        <f t="shared" si="0"/>
        <v>-37455.600000000006</v>
      </c>
      <c r="K30" s="76" t="str">
        <f>IF(C30="استحداث بند جديد", "", IF(D30&lt;&gt;"", IFERROR(INDEX('بنود العقد'!C$3:C$388,D30), ""), ""))</f>
        <v>معماري</v>
      </c>
      <c r="L30" s="76" t="str">
        <f>IF(C30="استحداث بند جديد", IF(K30&lt;&gt;"","CMH_01-"&amp;IFERROR(VLOOKUP(K30,مراجع!$A$3:$B$14,2,FALSE),"?")&amp;"-NEW-"&amp;TEXT(A30,"000"),""), IF(D30&lt;&gt;"", IFERROR(INDEX('بنود العقد'!I$3:I$388,D30), ""), ""))</f>
        <v>CMH_01-A-038</v>
      </c>
      <c r="M30" s="19"/>
    </row>
    <row r="31" spans="1:13" s="76" customFormat="1" ht="28.2" customHeight="1">
      <c r="A31" s="12">
        <v>29</v>
      </c>
      <c r="B31" s="6">
        <v>1</v>
      </c>
      <c r="C31" s="6" t="s">
        <v>250</v>
      </c>
      <c r="D31" s="6">
        <v>39</v>
      </c>
      <c r="E31" s="22" t="str">
        <f>IF(C31="استحداث بند جديد", "", IF(D31&lt;&gt;"", IFERROR(INDEX('بنود العقد'!B$3:B$388,D31), "⚠"), ""))</f>
        <v>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خشبي03-WDC من من خشب الـ)Mdf( على شكل مربعات بسماكة تصميم  5سم، وفتحات على شكل مثلث مع اضاءة مخفية مغلفة من الاعلى بطبقة Acrylic شفاف مغشى سماكة 4مم مثبتة بنظام تعليق متصلة بالسقف الخرساني حسب الرسومات والمناظير وتعليمات المهندس المشرف.Code: WDC-03</v>
      </c>
      <c r="F31" s="23" t="str">
        <f>IF(C31="استحداث بند جديد", "", IF(D31&lt;&gt;"", IFERROR(INDEX('بنود العقد'!D$3:D$388,D31), ""), ""))</f>
        <v>م2</v>
      </c>
      <c r="G31" s="24">
        <f>IF(C31="استحداث بند جديد", "", IF(D31&lt;&gt;"", IFERROR(INDEX('بنود العقد'!E$3:E$388,D31), 0), ""))</f>
        <v>780</v>
      </c>
      <c r="H31" s="7">
        <v>-5.27</v>
      </c>
      <c r="I31" s="8">
        <v>120</v>
      </c>
      <c r="J31" s="10">
        <f t="shared" si="0"/>
        <v>-4110.5999999999995</v>
      </c>
      <c r="K31" s="76" t="str">
        <f>IF(C31="استحداث بند جديد", "", IF(D31&lt;&gt;"", IFERROR(INDEX('بنود العقد'!C$3:C$388,D31), ""), ""))</f>
        <v>معماري</v>
      </c>
      <c r="L31" s="76" t="str">
        <f>IF(C31="استحداث بند جديد", IF(K31&lt;&gt;"","CMH_01-"&amp;IFERROR(VLOOKUP(K31,مراجع!$A$3:$B$14,2,FALSE),"?")&amp;"-NEW-"&amp;TEXT(A31,"000"),""), IF(D31&lt;&gt;"", IFERROR(INDEX('بنود العقد'!I$3:I$388,D31), ""), ""))</f>
        <v>CMH_01-A-039</v>
      </c>
      <c r="M31" s="19"/>
    </row>
    <row r="32" spans="1:13" s="76" customFormat="1" ht="28.2" customHeight="1">
      <c r="A32" s="12">
        <v>30</v>
      </c>
      <c r="B32" s="6">
        <v>1</v>
      </c>
      <c r="C32" s="6" t="s">
        <v>250</v>
      </c>
      <c r="D32" s="6">
        <v>40</v>
      </c>
      <c r="E32" s="22" t="str">
        <f>IF(C32="استحداث بند جديد", "", IF(D32&lt;&gt;"", IFERROR(INDEX('بنود العقد'!B$3:B$388,D32),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خشبية01-WDC و 02-WDC من خشب الـ ) Mdf ( متداخلة الالوان من قشرة صناعية بحسب  العينة الموافق عليها والدهان الرمادي  على شكل وهيئة الاسطح الاسمنتية مثبتة على القواطع الجبسية مع اضاءة مخفية ومفصلات ومقابض مخفية وتصميم حسب الرسومات والمناظير وتعليمات المهندس المشرف.</v>
      </c>
      <c r="F32" s="23" t="str">
        <f>IF(C32="استحداث بند جديد", "", IF(D32&lt;&gt;"", IFERROR(INDEX('بنود العقد'!D$3:D$388,D32), ""), ""))</f>
        <v>م2</v>
      </c>
      <c r="G32" s="24">
        <f>IF(C32="استحداث بند جديد", "", IF(D32&lt;&gt;"", IFERROR(INDEX('بنود العقد'!E$3:E$388,D32), 0), ""))</f>
        <v>1440</v>
      </c>
      <c r="H32" s="7">
        <v>-36.15</v>
      </c>
      <c r="I32" s="8">
        <v>120</v>
      </c>
      <c r="J32" s="10">
        <f t="shared" si="0"/>
        <v>-52056</v>
      </c>
      <c r="K32" s="76" t="str">
        <f>IF(C32="استحداث بند جديد", "", IF(D32&lt;&gt;"", IFERROR(INDEX('بنود العقد'!C$3:C$388,D32), ""), ""))</f>
        <v>معماري</v>
      </c>
      <c r="L32" s="76" t="str">
        <f>IF(C32="استحداث بند جديد", IF(K32&lt;&gt;"","CMH_01-"&amp;IFERROR(VLOOKUP(K32,مراجع!$A$3:$B$14,2,FALSE),"?")&amp;"-NEW-"&amp;TEXT(A32,"000"),""), IF(D32&lt;&gt;"", IFERROR(INDEX('بنود العقد'!I$3:I$388,D32), ""), ""))</f>
        <v>CMH_01-A-040</v>
      </c>
      <c r="M32" s="19"/>
    </row>
    <row r="33" spans="1:13" s="76" customFormat="1" ht="28.2" customHeight="1">
      <c r="A33" s="12">
        <v>31</v>
      </c>
      <c r="B33" s="6">
        <v>1</v>
      </c>
      <c r="C33" s="6" t="s">
        <v>250</v>
      </c>
      <c r="D33" s="6">
        <v>41</v>
      </c>
      <c r="E33" s="22" t="str">
        <f>IF(C33="استحداث بند جديد", "", IF(D33&lt;&gt;"", IFERROR(INDEX('بنود العقد'!B$3:B$388,D33),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خشبية03-WDC  من خشب الـ ) Mdf (  مع قشرة صناعية بحسب العينة الموافق عليها مثبتة على القواطع الجبسية  مع غروف ومفصلات ومقابض مخفية ،  حسب الرسومات والمناظير</v>
      </c>
      <c r="F33" s="23" t="str">
        <f>IF(C33="استحداث بند جديد", "", IF(D33&lt;&gt;"", IFERROR(INDEX('بنود العقد'!D$3:D$388,D33), ""), ""))</f>
        <v>م2</v>
      </c>
      <c r="G33" s="24">
        <f>IF(C33="استحداث بند جديد", "", IF(D33&lt;&gt;"", IFERROR(INDEX('بنود العقد'!E$3:E$388,D33), 0), ""))</f>
        <v>1440</v>
      </c>
      <c r="H33" s="7">
        <v>-16.68</v>
      </c>
      <c r="I33" s="8">
        <v>120</v>
      </c>
      <c r="J33" s="10">
        <f t="shared" si="0"/>
        <v>-24019.200000000001</v>
      </c>
      <c r="K33" s="76" t="str">
        <f>IF(C33="استحداث بند جديد", "", IF(D33&lt;&gt;"", IFERROR(INDEX('بنود العقد'!C$3:C$388,D33), ""), ""))</f>
        <v>معماري</v>
      </c>
      <c r="L33" s="76" t="str">
        <f>IF(C33="استحداث بند جديد", IF(K33&lt;&gt;"","CMH_01-"&amp;IFERROR(VLOOKUP(K33,مراجع!$A$3:$B$14,2,FALSE),"?")&amp;"-NEW-"&amp;TEXT(A33,"000"),""), IF(D33&lt;&gt;"", IFERROR(INDEX('بنود العقد'!I$3:I$388,D33), ""), ""))</f>
        <v>CMH_01-A-041</v>
      </c>
      <c r="M33" s="19"/>
    </row>
    <row r="34" spans="1:13" s="76" customFormat="1" ht="28.2" customHeight="1">
      <c r="A34" s="12">
        <v>32</v>
      </c>
      <c r="B34" s="6">
        <v>1</v>
      </c>
      <c r="C34" s="6" t="s">
        <v>250</v>
      </c>
      <c r="D34" s="6">
        <v>42</v>
      </c>
      <c r="E34" s="22" t="str">
        <f>IF(C34="استحداث بند جديد", "", IF(D34&lt;&gt;"", IFERROR(INDEX('بنود العقد'!B$3:B$388,D34),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خشبية04-WDC   من خشب الـ ) Mdf (  مطلية بدهان رمادي على شكل وهيئة الاسطح الاسمنتية مع غروف ومفصلات ومقابض مخفية ، وارفف مفتوحة من قشرة الجوز ،واضاءة مخفية ، مثبتة على الجدار الخارجي حسب الرسومات والمناظير  وتعليمات المهندس المشرف.</v>
      </c>
      <c r="F34" s="23" t="str">
        <f>IF(C34="استحداث بند جديد", "", IF(D34&lt;&gt;"", IFERROR(INDEX('بنود العقد'!D$3:D$388,D34), ""), ""))</f>
        <v>م2</v>
      </c>
      <c r="G34" s="24">
        <f>IF(C34="استحداث بند جديد", "", IF(D34&lt;&gt;"", IFERROR(INDEX('بنود العقد'!E$3:E$388,D34), 0), ""))</f>
        <v>1200</v>
      </c>
      <c r="H34" s="7">
        <v>-72.239999999999995</v>
      </c>
      <c r="I34" s="8">
        <v>120</v>
      </c>
      <c r="J34" s="10">
        <f t="shared" si="0"/>
        <v>-86688</v>
      </c>
      <c r="K34" s="76" t="str">
        <f>IF(C34="استحداث بند جديد", "", IF(D34&lt;&gt;"", IFERROR(INDEX('بنود العقد'!C$3:C$388,D34), ""), ""))</f>
        <v>معماري</v>
      </c>
      <c r="L34" s="76" t="str">
        <f>IF(C34="استحداث بند جديد", IF(K34&lt;&gt;"","CMH_01-"&amp;IFERROR(VLOOKUP(K34,مراجع!$A$3:$B$14,2,FALSE),"?")&amp;"-NEW-"&amp;TEXT(A34,"000"),""), IF(D34&lt;&gt;"", IFERROR(INDEX('بنود العقد'!I$3:I$388,D34), ""), ""))</f>
        <v>CMH_01-A-042</v>
      </c>
      <c r="M34" s="19"/>
    </row>
    <row r="35" spans="1:13" s="76" customFormat="1" ht="28.2" customHeight="1">
      <c r="A35" s="12">
        <v>33</v>
      </c>
      <c r="B35" s="6">
        <v>1</v>
      </c>
      <c r="C35" s="6" t="s">
        <v>175</v>
      </c>
      <c r="D35" s="6">
        <v>43</v>
      </c>
      <c r="E35" s="22" t="str">
        <f>IF(C35="استحداث بند جديد", "", IF(D35&lt;&gt;"", IFERROR(INDEX('بنود العقد'!B$3:B$388,D35),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 خزانة خشبية05-WDC  من خشب الـ ) Mdf (  مع قشرة الوينغي الداكنة مع أرفف وإضاءة مخفية، أبواب الخزائن زجاجية   ribbed glass(مع إيطار خشبي وغروف ومفصلات ومقابض مخفية لمنطقة معالي الوزير حسب الرسومات والمناظير وتعليمات المهندس المشرف.</v>
      </c>
      <c r="F35" s="23" t="str">
        <f>IF(C35="استحداث بند جديد", "", IF(D35&lt;&gt;"", IFERROR(INDEX('بنود العقد'!D$3:D$388,D35), ""), ""))</f>
        <v>م2</v>
      </c>
      <c r="G35" s="24">
        <f>IF(C35="استحداث بند جديد", "", IF(D35&lt;&gt;"", IFERROR(INDEX('بنود العقد'!E$3:E$388,D35), 0), ""))</f>
        <v>1440</v>
      </c>
      <c r="H35" s="7">
        <v>30.7</v>
      </c>
      <c r="I35" s="8">
        <v>120</v>
      </c>
      <c r="J35" s="10">
        <f t="shared" si="0"/>
        <v>44208</v>
      </c>
      <c r="K35" s="76" t="str">
        <f>IF(C35="استحداث بند جديد", "", IF(D35&lt;&gt;"", IFERROR(INDEX('بنود العقد'!C$3:C$388,D35), ""), ""))</f>
        <v>معماري</v>
      </c>
      <c r="L35" s="76" t="str">
        <f>IF(C35="استحداث بند جديد", IF(K35&lt;&gt;"","CMH_01-"&amp;IFERROR(VLOOKUP(K35,مراجع!$A$3:$B$14,2,FALSE),"?")&amp;"-NEW-"&amp;TEXT(A35,"000"),""), IF(D35&lt;&gt;"", IFERROR(INDEX('بنود العقد'!I$3:I$388,D35), ""), ""))</f>
        <v>CMH_01-A-043</v>
      </c>
      <c r="M35" s="19"/>
    </row>
    <row r="36" spans="1:13" s="76" customFormat="1" ht="28.2" customHeight="1">
      <c r="A36" s="12">
        <v>34</v>
      </c>
      <c r="B36" s="6">
        <v>1</v>
      </c>
      <c r="C36" s="6" t="s">
        <v>175</v>
      </c>
      <c r="D36" s="6">
        <v>44</v>
      </c>
      <c r="E36" s="22" t="str">
        <f>IF(C36="استحداث بند جديد", "", IF(D36&lt;&gt;"", IFERROR(INDEX('بنود العقد'!B$3:B$388,D36), "⚠"), ""))</f>
        <v xml:space="preserve">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خشبية06-WDC   من خشب الـ ) Mdf (  مع قشرة الوينغي الداكنة مع أرفف وإضاءة مخفية، أبواب الخزائن زجاجية )black tinted clear glass(مع إيطار خشبي وغروف ومفصلات ومقابض مخفية لمنطقة معالي الوزير حسب الرسومات والمناظير وتعليمات المهندس المشرف. </v>
      </c>
      <c r="F36" s="23" t="str">
        <f>IF(C36="استحداث بند جديد", "", IF(D36&lt;&gt;"", IFERROR(INDEX('بنود العقد'!D$3:D$388,D36), ""), ""))</f>
        <v>م2</v>
      </c>
      <c r="G36" s="24">
        <f>IF(C36="استحداث بند جديد", "", IF(D36&lt;&gt;"", IFERROR(INDEX('بنود العقد'!E$3:E$388,D36), 0), ""))</f>
        <v>1440</v>
      </c>
      <c r="H36" s="7">
        <v>55.83</v>
      </c>
      <c r="I36" s="8">
        <v>120</v>
      </c>
      <c r="J36" s="10">
        <f t="shared" si="0"/>
        <v>80395.199999999997</v>
      </c>
      <c r="K36" s="76" t="str">
        <f>IF(C36="استحداث بند جديد", "", IF(D36&lt;&gt;"", IFERROR(INDEX('بنود العقد'!C$3:C$388,D36), ""), ""))</f>
        <v>معماري</v>
      </c>
      <c r="L36" s="76" t="str">
        <f>IF(C36="استحداث بند جديد", IF(K36&lt;&gt;"","CMH_01-"&amp;IFERROR(VLOOKUP(K36,مراجع!$A$3:$B$14,2,FALSE),"?")&amp;"-NEW-"&amp;TEXT(A36,"000"),""), IF(D36&lt;&gt;"", IFERROR(INDEX('بنود العقد'!I$3:I$388,D36), ""), ""))</f>
        <v>CMH_01-A-044</v>
      </c>
      <c r="M36" s="19"/>
    </row>
    <row r="37" spans="1:13" s="76" customFormat="1" ht="28.2" customHeight="1">
      <c r="A37" s="12">
        <v>35</v>
      </c>
      <c r="B37" s="6">
        <v>1</v>
      </c>
      <c r="C37" s="6" t="s">
        <v>250</v>
      </c>
      <c r="D37" s="6">
        <v>45</v>
      </c>
      <c r="E37" s="22" t="str">
        <f>IF(C37="استحداث بند جديد", "", IF(D37&lt;&gt;"", IFERROR(INDEX('بنود العقد'!B$3:B$388,D37), "⚠"), ""))</f>
        <v xml:space="preserve"> توريد وتنفيذ طبقتين من غشاء عازل للمياه من الـبيتومين ثخانة 4 مم للأماكن الرطبة وحتى ارتفاع 10   سم على الجدران المحيطة ويشمل تحضير السطوح ومواد حشو الزوايا وطبقات الحماية جيوتكستايل الأفُقية والعمودية. ويشمل السعر أي مواد وأعمال مطلوبة لاستكمال العمل حسب المواصفات والمخططات.وتعليمات المهندس المشرف</v>
      </c>
      <c r="F37" s="23" t="str">
        <f>IF(C37="استحداث بند جديد", "", IF(D37&lt;&gt;"", IFERROR(INDEX('بنود العقد'!D$3:D$388,D37), ""), ""))</f>
        <v>م2</v>
      </c>
      <c r="G37" s="24">
        <f>IF(C37="استحداث بند جديد", "", IF(D37&lt;&gt;"", IFERROR(INDEX('بنود العقد'!E$3:E$388,D37), 0), ""))</f>
        <v>78</v>
      </c>
      <c r="H37" s="7">
        <v>-216.86</v>
      </c>
      <c r="I37" s="8">
        <v>120</v>
      </c>
      <c r="J37" s="10">
        <f t="shared" si="0"/>
        <v>-16915.080000000002</v>
      </c>
      <c r="K37" s="76" t="str">
        <f>IF(C37="استحداث بند جديد", "", IF(D37&lt;&gt;"", IFERROR(INDEX('بنود العقد'!C$3:C$388,D37), ""), ""))</f>
        <v>معماري</v>
      </c>
      <c r="L37" s="76" t="str">
        <f>IF(C37="استحداث بند جديد", IF(K37&lt;&gt;"","CMH_01-"&amp;IFERROR(VLOOKUP(K37,مراجع!$A$3:$B$14,2,FALSE),"?")&amp;"-NEW-"&amp;TEXT(A37,"000"),""), IF(D37&lt;&gt;"", IFERROR(INDEX('بنود العقد'!I$3:I$388,D37), ""), ""))</f>
        <v>CMH_01-A-045</v>
      </c>
      <c r="M37" s="19"/>
    </row>
    <row r="38" spans="1:13" s="76" customFormat="1" ht="28.2" customHeight="1">
      <c r="A38" s="12">
        <v>36</v>
      </c>
      <c r="B38" s="6">
        <v>1</v>
      </c>
      <c r="C38" s="6" t="s">
        <v>175</v>
      </c>
      <c r="D38" s="6">
        <v>46</v>
      </c>
      <c r="E38" s="22" t="str">
        <f>IF(C38="استحداث بند جديد", "", IF(D38&lt;&gt;"", IFERROR(INDEX('بنود العقد'!B$3:B$388,D38), "⚠"), ""))</f>
        <v>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المشرف.Ref drawing: 07-MRA-DD-(as per floor number)-AR-801 بعرض 1000 مم وارتفاع 2700 مم  GD01باب ضلفة واحدة  نموذج</v>
      </c>
      <c r="F38" s="23" t="str">
        <f>IF(C38="استحداث بند جديد", "", IF(D38&lt;&gt;"", IFERROR(INDEX('بنود العقد'!D$3:D$388,D38), ""), ""))</f>
        <v>عدد</v>
      </c>
      <c r="G38" s="24">
        <f>IF(C38="استحداث بند جديد", "", IF(D38&lt;&gt;"", IFERROR(INDEX('بنود العقد'!E$3:E$388,D38), 0), ""))</f>
        <v>2580</v>
      </c>
      <c r="H38" s="7">
        <v>2</v>
      </c>
      <c r="I38" s="8">
        <v>120</v>
      </c>
      <c r="J38" s="10">
        <f t="shared" si="0"/>
        <v>5160</v>
      </c>
      <c r="K38" s="76" t="str">
        <f>IF(C38="استحداث بند جديد", "", IF(D38&lt;&gt;"", IFERROR(INDEX('بنود العقد'!C$3:C$388,D38), ""), ""))</f>
        <v>معماري</v>
      </c>
      <c r="L38" s="76" t="str">
        <f>IF(C38="استحداث بند جديد", IF(K38&lt;&gt;"","CMH_01-"&amp;IFERROR(VLOOKUP(K38,مراجع!$A$3:$B$14,2,FALSE),"?")&amp;"-NEW-"&amp;TEXT(A38,"000"),""), IF(D38&lt;&gt;"", IFERROR(INDEX('بنود العقد'!I$3:I$388,D38), ""), ""))</f>
        <v>CMH_01-A-046</v>
      </c>
      <c r="M38" s="19"/>
    </row>
    <row r="39" spans="1:13" s="76" customFormat="1" ht="28.2" customHeight="1">
      <c r="A39" s="12">
        <v>37</v>
      </c>
      <c r="B39" s="6">
        <v>1</v>
      </c>
      <c r="C39" s="6" t="s">
        <v>250</v>
      </c>
      <c r="D39" s="6">
        <v>47</v>
      </c>
      <c r="E39" s="22" t="str">
        <f>IF(C39="استحداث بند جديد", "", IF(D39&lt;&gt;"", IFERROR(INDEX('بنود العقد'!B$3:B$388,D39), "⚠"), ""))</f>
        <v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2600 مم  GD02باب ضلفتين  نموذج </v>
      </c>
      <c r="F39" s="23" t="str">
        <f>IF(C39="استحداث بند جديد", "", IF(D39&lt;&gt;"", IFERROR(INDEX('بنود العقد'!D$3:D$388,D39), ""), ""))</f>
        <v>عدد</v>
      </c>
      <c r="G39" s="24">
        <f>IF(C39="استحداث بند جديد", "", IF(D39&lt;&gt;"", IFERROR(INDEX('بنود العقد'!E$3:E$388,D39), 0), ""))</f>
        <v>4020</v>
      </c>
      <c r="H39" s="7">
        <v>-2</v>
      </c>
      <c r="I39" s="8">
        <v>120</v>
      </c>
      <c r="J39" s="10">
        <f t="shared" si="0"/>
        <v>-8040</v>
      </c>
      <c r="K39" s="76" t="str">
        <f>IF(C39="استحداث بند جديد", "", IF(D39&lt;&gt;"", IFERROR(INDEX('بنود العقد'!C$3:C$388,D39), ""), ""))</f>
        <v>معماري</v>
      </c>
      <c r="L39" s="76" t="str">
        <f>IF(C39="استحداث بند جديد", IF(K39&lt;&gt;"","CMH_01-"&amp;IFERROR(VLOOKUP(K39,مراجع!$A$3:$B$14,2,FALSE),"?")&amp;"-NEW-"&amp;TEXT(A39,"000"),""), IF(D39&lt;&gt;"", IFERROR(INDEX('بنود العقد'!I$3:I$388,D39), ""), ""))</f>
        <v>CMH_01-A-047</v>
      </c>
      <c r="M39" s="19"/>
    </row>
    <row r="40" spans="1:13" s="76" customFormat="1" ht="28.2" customHeight="1">
      <c r="A40" s="12">
        <v>38</v>
      </c>
      <c r="B40" s="6">
        <v>1</v>
      </c>
      <c r="C40" s="6" t="s">
        <v>250</v>
      </c>
      <c r="D40" s="6">
        <v>51</v>
      </c>
      <c r="E40" s="22" t="str">
        <f>IF(C40="استحداث بند جديد", "", IF(D40&lt;&gt;"", IFERROR(INDEX('بنود العقد'!B$3:B$388,D40),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WD05باب مروحة ضلفة واحدة  نموذج </v>
      </c>
      <c r="F40" s="23" t="str">
        <f>IF(C40="استحداث بند جديد", "", IF(D40&lt;&gt;"", IFERROR(INDEX('بنود العقد'!D$3:D$388,D40), ""), ""))</f>
        <v>عدد</v>
      </c>
      <c r="G40" s="24">
        <f>IF(C40="استحداث بند جديد", "", IF(D40&lt;&gt;"", IFERROR(INDEX('بنود العقد'!E$3:E$388,D40), 0), ""))</f>
        <v>2400</v>
      </c>
      <c r="H40" s="7">
        <v>-5</v>
      </c>
      <c r="I40" s="8">
        <v>120</v>
      </c>
      <c r="J40" s="10">
        <f t="shared" si="0"/>
        <v>-12000</v>
      </c>
      <c r="K40" s="76" t="str">
        <f>IF(C40="استحداث بند جديد", "", IF(D40&lt;&gt;"", IFERROR(INDEX('بنود العقد'!C$3:C$388,D40), ""), ""))</f>
        <v>معماري</v>
      </c>
      <c r="L40" s="76" t="str">
        <f>IF(C40="استحداث بند جديد", IF(K40&lt;&gt;"","CMH_01-"&amp;IFERROR(VLOOKUP(K40,مراجع!$A$3:$B$14,2,FALSE),"?")&amp;"-NEW-"&amp;TEXT(A40,"000"),""), IF(D40&lt;&gt;"", IFERROR(INDEX('بنود العقد'!I$3:I$388,D40), ""), ""))</f>
        <v>CMH_01-A-051</v>
      </c>
      <c r="M40" s="19"/>
    </row>
    <row r="41" spans="1:13" s="76" customFormat="1" ht="28.2" customHeight="1">
      <c r="A41" s="12">
        <v>39</v>
      </c>
      <c r="B41" s="6">
        <v>1</v>
      </c>
      <c r="C41" s="6" t="s">
        <v>175</v>
      </c>
      <c r="D41" s="6">
        <v>52</v>
      </c>
      <c r="E41" s="22" t="str">
        <f>IF(C41="استحداث بند جديد", "", IF(D41&lt;&gt;"", IFERROR(INDEX('بنود العقد'!B$3:B$388,D41),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800 مم وارتفاع 2200 مم  WD04باب مروحة ضلفة واحدة  نموذج </v>
      </c>
      <c r="F41" s="23" t="str">
        <f>IF(C41="استحداث بند جديد", "", IF(D41&lt;&gt;"", IFERROR(INDEX('بنود العقد'!D$3:D$388,D41), ""), ""))</f>
        <v>عدد</v>
      </c>
      <c r="G41" s="24">
        <f>IF(C41="استحداث بند جديد", "", IF(D41&lt;&gt;"", IFERROR(INDEX('بنود العقد'!E$3:E$388,D41), 0), ""))</f>
        <v>2400</v>
      </c>
      <c r="H41" s="7">
        <v>3</v>
      </c>
      <c r="I41" s="8">
        <v>120</v>
      </c>
      <c r="J41" s="10">
        <f t="shared" si="0"/>
        <v>7200</v>
      </c>
      <c r="K41" s="76" t="str">
        <f>IF(C41="استحداث بند جديد", "", IF(D41&lt;&gt;"", IFERROR(INDEX('بنود العقد'!C$3:C$388,D41), ""), ""))</f>
        <v>معماري</v>
      </c>
      <c r="L41" s="76" t="str">
        <f>IF(C41="استحداث بند جديد", IF(K41&lt;&gt;"","CMH_01-"&amp;IFERROR(VLOOKUP(K41,مراجع!$A$3:$B$14,2,FALSE),"?")&amp;"-NEW-"&amp;TEXT(A41,"000"),""), IF(D41&lt;&gt;"", IFERROR(INDEX('بنود العقد'!I$3:I$388,D41), ""), ""))</f>
        <v>CMH_01-A-052</v>
      </c>
      <c r="M41" s="19"/>
    </row>
    <row r="42" spans="1:13" s="76" customFormat="1" ht="28.2" customHeight="1">
      <c r="A42" s="12">
        <v>40</v>
      </c>
      <c r="B42" s="6">
        <v>1</v>
      </c>
      <c r="C42" s="6" t="s">
        <v>250</v>
      </c>
      <c r="D42" s="6">
        <v>54</v>
      </c>
      <c r="E42" s="22" t="str">
        <f>IF(C42="استحداث بند جديد", "", IF(D42&lt;&gt;"", IFERROR(INDEX('بنود العقد'!B$3:B$388,D42), "⚠"), ""))</f>
        <v xml:space="preserve">توريد وتركيب باب من قطاعات الخشب شبه المصمت بسمك 44مم مكون من قواطيع خشب داخليه بحشو  mdf مع قشرة السنديان المطلية بدهان أبيض  والحلق من الخشب السويدي المسطم المقاوم للرطوبة مخفي داخل الواجهة الخشبية والبند يشمل جميع الإكسسوارات اللازمه من مفصلات ودفاش من النوع المخفي ومقابض، 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1000 مم وارتفاع 2200 مم  WD02باب مروحة ضلفة واحدة  نموذج </v>
      </c>
      <c r="F42" s="23" t="str">
        <f>IF(C42="استحداث بند جديد", "", IF(D42&lt;&gt;"", IFERROR(INDEX('بنود العقد'!D$3:D$388,D42), ""), ""))</f>
        <v>عدد</v>
      </c>
      <c r="G42" s="24">
        <f>IF(C42="استحداث بند جديد", "", IF(D42&lt;&gt;"", IFERROR(INDEX('بنود العقد'!E$3:E$388,D42), 0), ""))</f>
        <v>2640</v>
      </c>
      <c r="H42" s="7">
        <v>-14</v>
      </c>
      <c r="I42" s="8">
        <v>120</v>
      </c>
      <c r="J42" s="10">
        <f t="shared" si="0"/>
        <v>-36960</v>
      </c>
      <c r="K42" s="76" t="str">
        <f>IF(C42="استحداث بند جديد", "", IF(D42&lt;&gt;"", IFERROR(INDEX('بنود العقد'!C$3:C$388,D42), ""), ""))</f>
        <v>معماري</v>
      </c>
      <c r="L42" s="76" t="str">
        <f>IF(C42="استحداث بند جديد", IF(K42&lt;&gt;"","CMH_01-"&amp;IFERROR(VLOOKUP(K42,مراجع!$A$3:$B$14,2,FALSE),"?")&amp;"-NEW-"&amp;TEXT(A42,"000"),""), IF(D42&lt;&gt;"", IFERROR(INDEX('بنود العقد'!I$3:I$388,D42), ""), ""))</f>
        <v>CMH_01-A-054</v>
      </c>
      <c r="M42" s="19"/>
    </row>
    <row r="43" spans="1:13" s="76" customFormat="1" ht="28.2" customHeight="1">
      <c r="A43" s="12">
        <v>41</v>
      </c>
      <c r="B43" s="6">
        <v>1</v>
      </c>
      <c r="C43" s="6" t="s">
        <v>175</v>
      </c>
      <c r="D43" s="6">
        <v>60</v>
      </c>
      <c r="E43" s="22" t="str">
        <f>IF(C43="استحداث بند جديد", "", IF(D43&lt;&gt;"", IFERROR(INDEX('بنود العقد'!B$3:B$388,D43), "⚠"),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باب مروحة ضلفتين  نموذج 12WD  بعرض 2000 مم وارتفاع 3000 مم )VIP Zone (Ref drawing: 07-MRA-DD-sixth floor-AR-800</v>
      </c>
      <c r="F43" s="23" t="str">
        <f>IF(C43="استحداث بند جديد", "", IF(D43&lt;&gt;"", IFERROR(INDEX('بنود العقد'!D$3:D$388,D43), ""), ""))</f>
        <v>عدد</v>
      </c>
      <c r="G43" s="24">
        <f>IF(C43="استحداث بند جديد", "", IF(D43&lt;&gt;"", IFERROR(INDEX('بنود العقد'!E$3:E$388,D43), 0), ""))</f>
        <v>5700</v>
      </c>
      <c r="H43" s="7">
        <v>2</v>
      </c>
      <c r="I43" s="8">
        <v>120</v>
      </c>
      <c r="J43" s="10">
        <f t="shared" si="0"/>
        <v>11400</v>
      </c>
      <c r="K43" s="76" t="str">
        <f>IF(C43="استحداث بند جديد", "", IF(D43&lt;&gt;"", IFERROR(INDEX('بنود العقد'!C$3:C$388,D43), ""), ""))</f>
        <v>معماري</v>
      </c>
      <c r="L43" s="76" t="str">
        <f>IF(C43="استحداث بند جديد", IF(K43&lt;&gt;"","CMH_01-"&amp;IFERROR(VLOOKUP(K43,مراجع!$A$3:$B$14,2,FALSE),"?")&amp;"-NEW-"&amp;TEXT(A43,"000"),""), IF(D43&lt;&gt;"", IFERROR(INDEX('بنود العقد'!I$3:I$388,D43), ""), ""))</f>
        <v>CMH_01-A-060</v>
      </c>
      <c r="M43" s="19"/>
    </row>
    <row r="44" spans="1:13" s="76" customFormat="1" ht="28.2" customHeight="1">
      <c r="A44" s="12">
        <v>42</v>
      </c>
      <c r="B44" s="6">
        <v>1</v>
      </c>
      <c r="C44" s="6" t="s">
        <v>250</v>
      </c>
      <c r="D44" s="6">
        <v>61</v>
      </c>
      <c r="E44" s="22" t="str">
        <f>IF(C44="استحداث بند جديد", "", IF(D44&lt;&gt;"", IFERROR(INDEX('بنود العقد'!B$3:B$388,D44), "⚠"),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باب مروحة ضلفة واحدة  نموذج 11WD  بعرض 1000 مم وارتفاع 3000 مم )VIP Zone(</v>
      </c>
      <c r="F44" s="23" t="str">
        <f>IF(C44="استحداث بند جديد", "", IF(D44&lt;&gt;"", IFERROR(INDEX('بنود العقد'!D$3:D$388,D44), ""), ""))</f>
        <v>عدد</v>
      </c>
      <c r="G44" s="24">
        <f>IF(C44="استحداث بند جديد", "", IF(D44&lt;&gt;"", IFERROR(INDEX('بنود العقد'!E$3:E$388,D44), 0), ""))</f>
        <v>6000</v>
      </c>
      <c r="H44" s="7">
        <v>-2</v>
      </c>
      <c r="I44" s="8">
        <v>120</v>
      </c>
      <c r="J44" s="10">
        <f t="shared" si="0"/>
        <v>-12000</v>
      </c>
      <c r="K44" s="76" t="str">
        <f>IF(C44="استحداث بند جديد", "", IF(D44&lt;&gt;"", IFERROR(INDEX('بنود العقد'!C$3:C$388,D44), ""), ""))</f>
        <v>معماري</v>
      </c>
      <c r="L44" s="76" t="str">
        <f>IF(C44="استحداث بند جديد", IF(K44&lt;&gt;"","CMH_01-"&amp;IFERROR(VLOOKUP(K44,مراجع!$A$3:$B$14,2,FALSE),"?")&amp;"-NEW-"&amp;TEXT(A44,"000"),""), IF(D44&lt;&gt;"", IFERROR(INDEX('بنود العقد'!I$3:I$388,D44), ""), ""))</f>
        <v>CMH_01-A-061</v>
      </c>
      <c r="M44" s="19"/>
    </row>
    <row r="45" spans="1:13" s="76" customFormat="1" ht="28.2" customHeight="1">
      <c r="A45" s="12">
        <v>43</v>
      </c>
      <c r="B45" s="6">
        <v>1</v>
      </c>
      <c r="C45" s="6" t="s">
        <v>175</v>
      </c>
      <c r="D45" s="6">
        <v>66</v>
      </c>
      <c r="E45" s="22" t="str">
        <f>IF(C45="استحداث بند جديد", "", IF(D45&lt;&gt;"", IFERROR(INDEX('بنود العقد'!B$3:B$388,D45), "⚠"),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F45" s="23" t="str">
        <f>IF(C45="استحداث بند جديد", "", IF(D45&lt;&gt;"", IFERROR(INDEX('بنود العقد'!D$3:D$388,D45), ""), ""))</f>
        <v>م²</v>
      </c>
      <c r="G45" s="24">
        <f>IF(C45="استحداث بند جديد", "", IF(D45&lt;&gt;"", IFERROR(INDEX('بنود العقد'!E$3:E$388,D45), 0), ""))</f>
        <v>900</v>
      </c>
      <c r="H45" s="7">
        <v>635.94000000000005</v>
      </c>
      <c r="I45" s="8">
        <v>120</v>
      </c>
      <c r="J45" s="10">
        <f t="shared" si="0"/>
        <v>572346</v>
      </c>
      <c r="K45" s="76" t="str">
        <f>IF(C45="استحداث بند جديد", "", IF(D45&lt;&gt;"", IFERROR(INDEX('بنود العقد'!C$3:C$388,D45), ""), ""))</f>
        <v>معماري</v>
      </c>
      <c r="L45" s="76" t="str">
        <f>IF(C45="استحداث بند جديد", IF(K45&lt;&gt;"","CMH_01-"&amp;IFERROR(VLOOKUP(K45,مراجع!$A$3:$B$14,2,FALSE),"?")&amp;"-NEW-"&amp;TEXT(A45,"000"),""), IF(D45&lt;&gt;"", IFERROR(INDEX('بنود العقد'!I$3:I$388,D45), ""), ""))</f>
        <v>CMH_01-A-066</v>
      </c>
      <c r="M45" s="19"/>
    </row>
    <row r="46" spans="1:13" s="76" customFormat="1" ht="28.2" customHeight="1">
      <c r="A46" s="12">
        <v>44</v>
      </c>
      <c r="B46" s="6">
        <v>1</v>
      </c>
      <c r="C46" s="6" t="s">
        <v>250</v>
      </c>
      <c r="D46" s="6">
        <v>67</v>
      </c>
      <c r="E46" s="22" t="str">
        <f>IF(C46="استحداث بند جديد", "", IF(D46&lt;&gt;"", IFERROR(INDEX('بنود العقد'!B$3:B$388,D46), "⚠"), ""))</f>
        <v xml:space="preserve">توريد وتركيب باب من قطاعات الحديد  بسمك 45 مم مقاوم للحريق 90 دقيقة،  مع طبقة من الصاج سماكة 2مم من الجهتين على اطار معدنى مجوف والسعر يشمل التكسية الخشبية بقشرة الجوز لضلفة الباب والإطار من جهة واحدة..ويشمل التوريد والتركيب والتثبيت  والمفصلات والمقابض   والدفاش والاكسسوارت من اجود الانواع  وكل مايلزم لانهاء العمل على اكمل وجه ة حسب المخططات وتعليمات االمهندس المشرف. Ref. drawing: 07-MRA-DD-(as per floor number)-AR-804 ضلفة واحدة عرض1000مم وإرتفاع 2200مم SD01 باب نموذج </v>
      </c>
      <c r="F46" s="23" t="str">
        <f>IF(C46="استحداث بند جديد", "", IF(D46&lt;&gt;"", IFERROR(INDEX('بنود العقد'!D$3:D$388,D46), ""), ""))</f>
        <v>م²</v>
      </c>
      <c r="G46" s="24">
        <f>IF(C46="استحداث بند جديد", "", IF(D46&lt;&gt;"", IFERROR(INDEX('بنود العقد'!E$3:E$388,D46), 0), ""))</f>
        <v>3000</v>
      </c>
      <c r="H46" s="7">
        <v>-12</v>
      </c>
      <c r="I46" s="8">
        <v>120</v>
      </c>
      <c r="J46" s="10">
        <f t="shared" si="0"/>
        <v>-36000</v>
      </c>
      <c r="K46" s="76" t="str">
        <f>IF(C46="استحداث بند جديد", "", IF(D46&lt;&gt;"", IFERROR(INDEX('بنود العقد'!C$3:C$388,D46), ""), ""))</f>
        <v>معماري</v>
      </c>
      <c r="L46" s="76" t="str">
        <f>IF(C46="استحداث بند جديد", IF(K46&lt;&gt;"","CMH_01-"&amp;IFERROR(VLOOKUP(K46,مراجع!$A$3:$B$14,2,FALSE),"?")&amp;"-NEW-"&amp;TEXT(A46,"000"),""), IF(D46&lt;&gt;"", IFERROR(INDEX('بنود العقد'!I$3:I$388,D46), ""), ""))</f>
        <v>CMH_01-A-067</v>
      </c>
      <c r="M46" s="19"/>
    </row>
    <row r="47" spans="1:13" s="76" customFormat="1" ht="28.2" customHeight="1">
      <c r="A47" s="12">
        <v>45</v>
      </c>
      <c r="B47" s="6">
        <v>1</v>
      </c>
      <c r="C47" s="6" t="s">
        <v>175</v>
      </c>
      <c r="D47" s="6">
        <v>72</v>
      </c>
      <c r="E47" s="22" t="str">
        <f>IF(C47="استحداث بند جديد", "", IF(D47&lt;&gt;"", IFERROR(INDEX('بنود العقد'!B$3:B$388,D47), "⚠"), ""))</f>
        <v>طبقة من اللياسة الأسمنتية فوق الأسطح الخرسانية والجدران الداخلية  بسمك متوسط 20 مم على طبقات  طرطشة بسمك 5 مم وضهارة 15 مم حسب المواصفات مع المعالجة اليومية  بالمياه لمنع التنميلات ويتم عمل افريز بين البلوك والخرسانة يملئ بمواد قابلة للدهان والسعر يشمل كامل الأكسسوارات اللازمة من شبك معدني ممدد وزوايا ونهايات معدنية  ومواد الترابط  وعمل تجاويف في طبقة اللياسة بعمق 10مم عرض 10مم  في الاعمدة  وفي الجدران ان وجدت حسب الرسومات والمناظير وتعليمات المهندس المشرف ذلك حسب الاصول الفنية وتعليمات المهندس المشرف. لياسة الجدران والأعمدة الداخلية  وتشمل جميع الإكسسوارات بإرتفاع 20 سم أعلي الأسقف الجبسيه لزوم الجدران الداخلية</v>
      </c>
      <c r="F47" s="23" t="str">
        <f>IF(C47="استحداث بند جديد", "", IF(D47&lt;&gt;"", IFERROR(INDEX('بنود العقد'!D$3:D$388,D47), ""), ""))</f>
        <v>م²</v>
      </c>
      <c r="G47" s="24">
        <f>IF(C47="استحداث بند جديد", "", IF(D47&lt;&gt;"", IFERROR(INDEX('بنود العقد'!E$3:E$388,D47), 0), ""))</f>
        <v>42</v>
      </c>
      <c r="H47" s="7">
        <v>7509</v>
      </c>
      <c r="I47" s="8">
        <v>120</v>
      </c>
      <c r="J47" s="10">
        <f t="shared" si="0"/>
        <v>315378</v>
      </c>
      <c r="K47" s="76" t="str">
        <f>IF(C47="استحداث بند جديد", "", IF(D47&lt;&gt;"", IFERROR(INDEX('بنود العقد'!C$3:C$388,D47), ""), ""))</f>
        <v>معماري</v>
      </c>
      <c r="L47" s="76" t="str">
        <f>IF(C47="استحداث بند جديد", IF(K47&lt;&gt;"","CMH_01-"&amp;IFERROR(VLOOKUP(K47,مراجع!$A$3:$B$14,2,FALSE),"?")&amp;"-NEW-"&amp;TEXT(A47,"000"),""), IF(D47&lt;&gt;"", IFERROR(INDEX('بنود العقد'!I$3:I$388,D47), ""), ""))</f>
        <v>CMH_01-A-072</v>
      </c>
      <c r="M47" s="19"/>
    </row>
    <row r="48" spans="1:13" s="76" customFormat="1" ht="28.2" customHeight="1">
      <c r="A48" s="12">
        <v>46</v>
      </c>
      <c r="B48" s="6">
        <v>1</v>
      </c>
      <c r="C48" s="6" t="s">
        <v>250</v>
      </c>
      <c r="D48" s="6">
        <v>73</v>
      </c>
      <c r="E48" s="22" t="str">
        <f>IF(C48="استحداث بند جديد", "", IF(D48&lt;&gt;"", IFERROR(INDEX('بنود العقد'!B$3:B$388,D48), "⚠"), ""))</f>
        <v xml:space="preserve">توريد وتركيب قاطع جداري ثخانة 100مم ذو الواح اسمنتية مقاوم للحريق  ثخانة 12مم تركب من الجهتين )طبقات مزدوجة(  لدورات المياه والأوفيس ويشمل المسامير المعدنية و المزالج / الأعضاء المعدنية الساندة والسكك والغطاء العازل للصوت )صوف صخري( وكل الاكسسوارات حسب المخطط والمواصفات وتعليمات المهندس المشرف. </v>
      </c>
      <c r="F48" s="23" t="str">
        <f>IF(C48="استحداث بند جديد", "", IF(D48&lt;&gt;"", IFERROR(INDEX('بنود العقد'!D$3:D$388,D48), ""), ""))</f>
        <v>م²</v>
      </c>
      <c r="G48" s="24">
        <f>IF(C48="استحداث بند جديد", "", IF(D48&lt;&gt;"", IFERROR(INDEX('بنود العقد'!E$3:E$388,D48), 0), ""))</f>
        <v>180</v>
      </c>
      <c r="H48" s="7">
        <v>-3507</v>
      </c>
      <c r="I48" s="8">
        <v>120</v>
      </c>
      <c r="J48" s="10">
        <f t="shared" si="0"/>
        <v>-631260</v>
      </c>
      <c r="K48" s="76" t="str">
        <f>IF(C48="استحداث بند جديد", "", IF(D48&lt;&gt;"", IFERROR(INDEX('بنود العقد'!C$3:C$388,D48), ""), ""))</f>
        <v>معماري</v>
      </c>
      <c r="L48" s="76" t="str">
        <f>IF(C48="استحداث بند جديد", IF(K48&lt;&gt;"","CMH_01-"&amp;IFERROR(VLOOKUP(K48,مراجع!$A$3:$B$14,2,FALSE),"?")&amp;"-NEW-"&amp;TEXT(A48,"000"),""), IF(D48&lt;&gt;"", IFERROR(INDEX('بنود العقد'!I$3:I$388,D48), ""), ""))</f>
        <v>CMH_01-A-073</v>
      </c>
      <c r="M48" s="19"/>
    </row>
    <row r="49" spans="1:13" s="76" customFormat="1" ht="28.2" customHeight="1">
      <c r="A49" s="12">
        <v>47</v>
      </c>
      <c r="B49" s="6">
        <v>1</v>
      </c>
      <c r="C49" s="6" t="s">
        <v>250</v>
      </c>
      <c r="D49" s="6">
        <v>74</v>
      </c>
      <c r="E49" s="22" t="str">
        <f>IF(C49="استحداث بند جديد", "", IF(D49&lt;&gt;"", IFERROR(INDEX('بنود العقد'!B$3:B$388,D49), "⚠"), ""))</f>
        <v>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v>
      </c>
      <c r="F49" s="23" t="str">
        <f>IF(C49="استحداث بند جديد", "", IF(D49&lt;&gt;"", IFERROR(INDEX('بنود العقد'!D$3:D$388,D49), ""), ""))</f>
        <v>م²</v>
      </c>
      <c r="G49" s="24">
        <f>IF(C49="استحداث بند جديد", "", IF(D49&lt;&gt;"", IFERROR(INDEX('بنود العقد'!E$3:E$388,D49), 0), ""))</f>
        <v>180</v>
      </c>
      <c r="H49" s="7">
        <v>-1794</v>
      </c>
      <c r="I49" s="8">
        <v>120</v>
      </c>
      <c r="J49" s="10">
        <f t="shared" si="0"/>
        <v>-322920</v>
      </c>
      <c r="K49" s="76" t="str">
        <f>IF(C49="استحداث بند جديد", "", IF(D49&lt;&gt;"", IFERROR(INDEX('بنود العقد'!C$3:C$388,D49), ""), ""))</f>
        <v>معماري</v>
      </c>
      <c r="L49" s="76" t="str">
        <f>IF(C49="استحداث بند جديد", IF(K49&lt;&gt;"","CMH_01-"&amp;IFERROR(VLOOKUP(K49,مراجع!$A$3:$B$14,2,FALSE),"?")&amp;"-NEW-"&amp;TEXT(A49,"000"),""), IF(D49&lt;&gt;"", IFERROR(INDEX('بنود العقد'!I$3:I$388,D49), ""), ""))</f>
        <v>CMH_01-A-074</v>
      </c>
      <c r="M49" s="19"/>
    </row>
    <row r="50" spans="1:13" s="76" customFormat="1" ht="28.2" customHeight="1">
      <c r="A50" s="12">
        <v>48</v>
      </c>
      <c r="B50" s="6">
        <v>1</v>
      </c>
      <c r="C50" s="6" t="s">
        <v>175</v>
      </c>
      <c r="D50" s="6">
        <v>75</v>
      </c>
      <c r="E50" s="22" t="str">
        <f>IF(C50="استحداث بند جديد", "", IF(D50&lt;&gt;"", IFERROR(INDEX('بنود العقد'!B$3:B$388,D50), "⚠"), ""))</f>
        <v>توريد وتركيب أسقف معلقة من الالواح الجبسيه )01-GBC( ثخانة 12 مم المقاومة للحريق شاملة نظام التعليق وضبط الحواف والزوايا وأبواب لفتحات الكشف بالأسقف لأعمال الصيانة )أبواب جاهزة من النوع السهل الاستعمال والمزود بمفصلات مخفية( والإكسسوارات. ويشمل السعر أي مواد أو أعمال يتطلبها استكمال العمل حسب المواصفات والمخططات.</v>
      </c>
      <c r="F50" s="23" t="str">
        <f>IF(C50="استحداث بند جديد", "", IF(D50&lt;&gt;"", IFERROR(INDEX('بنود العقد'!D$3:D$388,D50), ""), ""))</f>
        <v>م²</v>
      </c>
      <c r="G50" s="24">
        <f>IF(C50="استحداث بند جديد", "", IF(D50&lt;&gt;"", IFERROR(INDEX('بنود العقد'!E$3:E$388,D50), 0), ""))</f>
        <v>150</v>
      </c>
      <c r="H50" s="7">
        <v>511.11</v>
      </c>
      <c r="I50" s="8">
        <v>120</v>
      </c>
      <c r="J50" s="10">
        <f t="shared" si="0"/>
        <v>76666.5</v>
      </c>
      <c r="K50" s="76" t="str">
        <f>IF(C50="استحداث بند جديد", "", IF(D50&lt;&gt;"", IFERROR(INDEX('بنود العقد'!C$3:C$388,D50), ""), ""))</f>
        <v>معماري</v>
      </c>
      <c r="L50" s="76" t="str">
        <f>IF(C50="استحداث بند جديد", IF(K50&lt;&gt;"","CMH_01-"&amp;IFERROR(VLOOKUP(K50,مراجع!$A$3:$B$14,2,FALSE),"?")&amp;"-NEW-"&amp;TEXT(A50,"000"),""), IF(D50&lt;&gt;"", IFERROR(INDEX('بنود العقد'!I$3:I$388,D50), ""), ""))</f>
        <v>CMH_01-A-075</v>
      </c>
      <c r="M50" s="19"/>
    </row>
    <row r="51" spans="1:13" s="76" customFormat="1" ht="28.2" customHeight="1">
      <c r="A51" s="12">
        <v>49</v>
      </c>
      <c r="B51" s="6">
        <v>1</v>
      </c>
      <c r="C51" s="6" t="s">
        <v>175</v>
      </c>
      <c r="D51" s="6">
        <v>76</v>
      </c>
      <c r="E51" s="22" t="str">
        <f>IF(C51="استحداث بند جديد", "", IF(D51&lt;&gt;"", IFERROR(INDEX('بنود العقد'!B$3:B$388,D51), "⚠"), ""))</f>
        <v>توريد وتركيب أسقف معلقة من الالواح الجبسيه  )02-GBC( ثخانة 12 مم المقاومة للرطوبة شاملة نظام التعليق وضبط الحواف والزوايا وأبواب لفتحات الكشف بالأسقف لأعمال الصيانة )أبواب جاهزة من النوع السهل الاستعمال والمزود بمفصلات مخفية( واالإكسسوارات. ويشمل السعر أي مواد أو أعمال يتطلبها استكمال العمل حسب المواصفات والمخططات وتعليمات المهندس المشرف.</v>
      </c>
      <c r="F51" s="23" t="str">
        <f>IF(C51="استحداث بند جديد", "", IF(D51&lt;&gt;"", IFERROR(INDEX('بنود العقد'!D$3:D$388,D51), ""), ""))</f>
        <v>م²</v>
      </c>
      <c r="G51" s="24">
        <f>IF(C51="استحداث بند جديد", "", IF(D51&lt;&gt;"", IFERROR(INDEX('بنود العقد'!E$3:E$388,D51), 0), ""))</f>
        <v>150</v>
      </c>
      <c r="H51" s="7">
        <v>32.19</v>
      </c>
      <c r="I51" s="8">
        <v>120</v>
      </c>
      <c r="J51" s="10">
        <f t="shared" si="0"/>
        <v>4828.5</v>
      </c>
      <c r="K51" s="76" t="str">
        <f>IF(C51="استحداث بند جديد", "", IF(D51&lt;&gt;"", IFERROR(INDEX('بنود العقد'!C$3:C$388,D51), ""), ""))</f>
        <v>معماري</v>
      </c>
      <c r="L51" s="76" t="str">
        <f>IF(C51="استحداث بند جديد", IF(K51&lt;&gt;"","CMH_01-"&amp;IFERROR(VLOOKUP(K51,مراجع!$A$3:$B$14,2,FALSE),"?")&amp;"-NEW-"&amp;TEXT(A51,"000"),""), IF(D51&lt;&gt;"", IFERROR(INDEX('بنود العقد'!I$3:I$388,D51), ""), ""))</f>
        <v>CMH_01-A-076</v>
      </c>
      <c r="M51" s="19"/>
    </row>
    <row r="52" spans="1:13" s="76" customFormat="1" ht="28.2" customHeight="1">
      <c r="A52" s="12">
        <v>50</v>
      </c>
      <c r="B52" s="6">
        <v>1</v>
      </c>
      <c r="C52" s="6" t="s">
        <v>250</v>
      </c>
      <c r="D52" s="6">
        <v>77</v>
      </c>
      <c r="E52" s="22" t="str">
        <f>IF(C52="استحداث بند جديد", "", IF(D52&lt;&gt;"", IFERROR(INDEX('بنود العقد'!B$3:B$388,D52), "⚠"), ""))</f>
        <v>600×600مم توريد وتركيب اسقف اصطناعية  والسعر يشمل نظام التعليق من الحديد المجفلن مع جميع الاكسسوارات وكل مايلزم حسب المواصفات والمخططات وتعليمات الشركة المصنعة .</v>
      </c>
      <c r="F52" s="23" t="str">
        <f>IF(C52="استحداث بند جديد", "", IF(D52&lt;&gt;"", IFERROR(INDEX('بنود العقد'!D$3:D$388,D52), ""), ""))</f>
        <v>م²</v>
      </c>
      <c r="G52" s="24">
        <f>IF(C52="استحداث بند جديد", "", IF(D52&lt;&gt;"", IFERROR(INDEX('بنود العقد'!E$3:E$388,D52), 0), ""))</f>
        <v>150</v>
      </c>
      <c r="H52" s="7">
        <v>-188.73</v>
      </c>
      <c r="I52" s="8">
        <v>120</v>
      </c>
      <c r="J52" s="10">
        <f t="shared" si="0"/>
        <v>-28309.5</v>
      </c>
      <c r="K52" s="76" t="str">
        <f>IF(C52="استحداث بند جديد", "", IF(D52&lt;&gt;"", IFERROR(INDEX('بنود العقد'!C$3:C$388,D52), ""), ""))</f>
        <v>معماري</v>
      </c>
      <c r="L52" s="76" t="str">
        <f>IF(C52="استحداث بند جديد", IF(K52&lt;&gt;"","CMH_01-"&amp;IFERROR(VLOOKUP(K52,مراجع!$A$3:$B$14,2,FALSE),"?")&amp;"-NEW-"&amp;TEXT(A52,"000"),""), IF(D52&lt;&gt;"", IFERROR(INDEX('بنود العقد'!I$3:I$388,D52), ""), ""))</f>
        <v>CMH_01-A-077</v>
      </c>
      <c r="M52" s="19"/>
    </row>
    <row r="53" spans="1:13" s="76" customFormat="1" ht="28.2" customHeight="1">
      <c r="A53" s="12">
        <v>51</v>
      </c>
      <c r="B53" s="6">
        <v>1</v>
      </c>
      <c r="C53" s="6" t="s">
        <v>250</v>
      </c>
      <c r="D53" s="6">
        <v>78</v>
      </c>
      <c r="E53" s="22" t="str">
        <f>IF(C53="استحداث بند جديد", "", IF(D53&lt;&gt;"", IFERROR(INDEX('بنود العقد'!B$3:B$388,D53), "⚠"), ""))</f>
        <v>توريد وتركيب اسقف معدنية على شكل مربعات بشكل سماكة 5سم)grey color powder coated( ، وفتحات على شكل مثلث مع اضاءة مخفية مغلفة من الاعلى بطبقة Acrylic شفاف مغشى سماكة 4مم مثبتة بنظام تعليق متصلة بالسقف الخرساني حسب الرسومات والمناظير.01-Code MTL</v>
      </c>
      <c r="F53" s="23" t="str">
        <f>IF(C53="استحداث بند جديد", "", IF(D53&lt;&gt;"", IFERROR(INDEX('بنود العقد'!D$3:D$388,D53), ""), ""))</f>
        <v>م²</v>
      </c>
      <c r="G53" s="24">
        <f>IF(C53="استحداث بند جديد", "", IF(D53&lt;&gt;"", IFERROR(INDEX('بنود العقد'!E$3:E$388,D53), 0), ""))</f>
        <v>150</v>
      </c>
      <c r="H53" s="7">
        <v>-97</v>
      </c>
      <c r="I53" s="8">
        <v>120</v>
      </c>
      <c r="J53" s="10">
        <f t="shared" si="0"/>
        <v>-14550</v>
      </c>
      <c r="K53" s="76" t="str">
        <f>IF(C53="استحداث بند جديد", "", IF(D53&lt;&gt;"", IFERROR(INDEX('بنود العقد'!C$3:C$388,D53), ""), ""))</f>
        <v>معماري</v>
      </c>
      <c r="L53" s="76" t="str">
        <f>IF(C53="استحداث بند جديد", IF(K53&lt;&gt;"","CMH_01-"&amp;IFERROR(VLOOKUP(K53,مراجع!$A$3:$B$14,2,FALSE),"?")&amp;"-NEW-"&amp;TEXT(A53,"000"),""), IF(D53&lt;&gt;"", IFERROR(INDEX('بنود العقد'!I$3:I$388,D53), ""), ""))</f>
        <v>CMH_01-A-078</v>
      </c>
      <c r="M53" s="19"/>
    </row>
    <row r="54" spans="1:13" s="76" customFormat="1" ht="28.2" customHeight="1">
      <c r="A54" s="12">
        <v>52</v>
      </c>
      <c r="B54" s="6">
        <v>1</v>
      </c>
      <c r="C54" s="6" t="s">
        <v>250</v>
      </c>
      <c r="D54" s="6">
        <v>79</v>
      </c>
      <c r="E54" s="22" t="str">
        <f>IF(C54="استحداث بند جديد", "", IF(D54&lt;&gt;"", IFERROR(INDEX('بنود العقد'!B$3:B$388,D54), "⚠"), ""))</f>
        <v xml:space="preserve"> أرضيات بورسلان 01-PT مقاس 600×600×12مم فرز اول بالمقاسات والالوان المطلوبة لدورات المياه الخاصة بمكاتب الوكلاء ومساعدين الوكلاء العامة ومنطقة التنفيذيين بالدور السادس  طبقاً للمخططات والمواصفات.</v>
      </c>
      <c r="F54" s="23" t="str">
        <f>IF(C54="استحداث بند جديد", "", IF(D54&lt;&gt;"", IFERROR(INDEX('بنود العقد'!D$3:D$388,D54), ""), ""))</f>
        <v>م²</v>
      </c>
      <c r="G54" s="24">
        <f>IF(C54="استحداث بند جديد", "", IF(D54&lt;&gt;"", IFERROR(INDEX('بنود العقد'!E$3:E$388,D54), 0), ""))</f>
        <v>120</v>
      </c>
      <c r="H54" s="7">
        <v>-44.2</v>
      </c>
      <c r="I54" s="8">
        <v>120</v>
      </c>
      <c r="J54" s="10">
        <f t="shared" si="0"/>
        <v>-5304</v>
      </c>
      <c r="K54" s="76" t="str">
        <f>IF(C54="استحداث بند جديد", "", IF(D54&lt;&gt;"", IFERROR(INDEX('بنود العقد'!C$3:C$388,D54), ""), ""))</f>
        <v>معماري</v>
      </c>
      <c r="L54" s="76" t="str">
        <f>IF(C54="استحداث بند جديد", IF(K54&lt;&gt;"","CMH_01-"&amp;IFERROR(VLOOKUP(K54,مراجع!$A$3:$B$14,2,FALSE),"?")&amp;"-NEW-"&amp;TEXT(A54,"000"),""), IF(D54&lt;&gt;"", IFERROR(INDEX('بنود العقد'!I$3:I$388,D54), ""), ""))</f>
        <v>CMH_01-A-079</v>
      </c>
      <c r="M54" s="19"/>
    </row>
    <row r="55" spans="1:13" s="76" customFormat="1" ht="28.2" customHeight="1">
      <c r="A55" s="12">
        <v>53</v>
      </c>
      <c r="B55" s="6">
        <v>1</v>
      </c>
      <c r="C55" s="6" t="s">
        <v>250</v>
      </c>
      <c r="D55" s="6">
        <v>80</v>
      </c>
      <c r="E55" s="22" t="str">
        <f>IF(C55="استحداث بند جديد", "", IF(D55&lt;&gt;"", IFERROR(INDEX('بنود العقد'!B$3:B$388,D55), "⚠"), ""))</f>
        <v xml:space="preserve"> أرضيات بورسلان 02-PTمقاس 600×600×12مم فرز اول بالمقاسات والالوان المطلوبة لدورات المياه الخاصة بمكاتب المدراء العامين  طبقاً للمخططات والمواصفات.</v>
      </c>
      <c r="F55" s="23" t="str">
        <f>IF(C55="استحداث بند جديد", "", IF(D55&lt;&gt;"", IFERROR(INDEX('بنود العقد'!D$3:D$388,D55), ""), ""))</f>
        <v>م²</v>
      </c>
      <c r="G55" s="24">
        <f>IF(C55="استحداث بند جديد", "", IF(D55&lt;&gt;"", IFERROR(INDEX('بنود العقد'!E$3:E$388,D55), 0), ""))</f>
        <v>120</v>
      </c>
      <c r="H55" s="7">
        <v>-23.62</v>
      </c>
      <c r="I55" s="8">
        <v>120</v>
      </c>
      <c r="J55" s="10">
        <f t="shared" si="0"/>
        <v>-2834.4</v>
      </c>
      <c r="K55" s="76" t="str">
        <f>IF(C55="استحداث بند جديد", "", IF(D55&lt;&gt;"", IFERROR(INDEX('بنود العقد'!C$3:C$388,D55), ""), ""))</f>
        <v>معماري</v>
      </c>
      <c r="L55" s="76" t="str">
        <f>IF(C55="استحداث بند جديد", IF(K55&lt;&gt;"","CMH_01-"&amp;IFERROR(VLOOKUP(K55,مراجع!$A$3:$B$14,2,FALSE),"?")&amp;"-NEW-"&amp;TEXT(A55,"000"),""), IF(D55&lt;&gt;"", IFERROR(INDEX('بنود العقد'!I$3:I$388,D55), ""), ""))</f>
        <v>CMH_01-A-080</v>
      </c>
      <c r="M55" s="19"/>
    </row>
    <row r="56" spans="1:13" s="76" customFormat="1" ht="28.2" customHeight="1">
      <c r="A56" s="12">
        <v>54</v>
      </c>
      <c r="B56" s="6">
        <v>1</v>
      </c>
      <c r="C56" s="6" t="s">
        <v>175</v>
      </c>
      <c r="D56" s="6">
        <v>81</v>
      </c>
      <c r="E56" s="22" t="str">
        <f>IF(C56="استحداث بند جديد", "", IF(D56&lt;&gt;"", IFERROR(INDEX('بنود العقد'!B$3:B$388,D56), "⚠"), ""))</f>
        <v xml:space="preserve"> أرضيات بورسلان03-PT مقاس 600×600×12مم فرز ثاني بالمقاسات والالوان المطلوبة لدورات المياة العامة  طبقاً للمخططات والمواصفات.</v>
      </c>
      <c r="F56" s="23" t="str">
        <f>IF(C56="استحداث بند جديد", "", IF(D56&lt;&gt;"", IFERROR(INDEX('بنود العقد'!D$3:D$388,D56), ""), ""))</f>
        <v>م²</v>
      </c>
      <c r="G56" s="24">
        <f>IF(C56="استحداث بند جديد", "", IF(D56&lt;&gt;"", IFERROR(INDEX('بنود العقد'!E$3:E$388,D56), 0), ""))</f>
        <v>120</v>
      </c>
      <c r="H56" s="7">
        <v>1930.58</v>
      </c>
      <c r="I56" s="8">
        <v>120</v>
      </c>
      <c r="J56" s="10">
        <f t="shared" si="0"/>
        <v>231669.59999999998</v>
      </c>
      <c r="K56" s="76" t="str">
        <f>IF(C56="استحداث بند جديد", "", IF(D56&lt;&gt;"", IFERROR(INDEX('بنود العقد'!C$3:C$388,D56), ""), ""))</f>
        <v>معماري</v>
      </c>
      <c r="L56" s="76" t="str">
        <f>IF(C56="استحداث بند جديد", IF(K56&lt;&gt;"","CMH_01-"&amp;IFERROR(VLOOKUP(K56,مراجع!$A$3:$B$14,2,FALSE),"?")&amp;"-NEW-"&amp;TEXT(A56,"000"),""), IF(D56&lt;&gt;"", IFERROR(INDEX('بنود العقد'!I$3:I$388,D56), ""), ""))</f>
        <v>CMH_01-A-081</v>
      </c>
      <c r="M56" s="19"/>
    </row>
    <row r="57" spans="1:13" s="76" customFormat="1" ht="28.2" customHeight="1">
      <c r="A57" s="12">
        <v>55</v>
      </c>
      <c r="B57" s="6">
        <v>1</v>
      </c>
      <c r="C57" s="6" t="s">
        <v>250</v>
      </c>
      <c r="D57" s="6">
        <v>82</v>
      </c>
      <c r="E57" s="22" t="str">
        <f>IF(C57="استحداث بند جديد", "", IF(D57&lt;&gt;"", IFERROR(INDEX('بنود العقد'!B$3:B$388,D57), "⚠"), ""))</f>
        <v xml:space="preserve"> أرضيات بورسلان04-PT مقاس 600×600×12مم فرز ثاني بالمقاسات والالوان المطلوبة لغرف الأرشيف والمخازن والمطبخ طبقاً للمخططات والمواصفات.</v>
      </c>
      <c r="F57" s="23" t="str">
        <f>IF(C57="استحداث بند جديد", "", IF(D57&lt;&gt;"", IFERROR(INDEX('بنود العقد'!D$3:D$388,D57), ""), ""))</f>
        <v>م²</v>
      </c>
      <c r="G57" s="24">
        <f>IF(C57="استحداث بند جديد", "", IF(D57&lt;&gt;"", IFERROR(INDEX('بنود العقد'!E$3:E$388,D57), 0), ""))</f>
        <v>120</v>
      </c>
      <c r="H57" s="7">
        <v>-503.71</v>
      </c>
      <c r="I57" s="8">
        <v>120</v>
      </c>
      <c r="J57" s="10">
        <f t="shared" si="0"/>
        <v>-60445.2</v>
      </c>
      <c r="K57" s="76" t="str">
        <f>IF(C57="استحداث بند جديد", "", IF(D57&lt;&gt;"", IFERROR(INDEX('بنود العقد'!C$3:C$388,D57), ""), ""))</f>
        <v>معماري</v>
      </c>
      <c r="L57" s="76" t="str">
        <f>IF(C57="استحداث بند جديد", IF(K57&lt;&gt;"","CMH_01-"&amp;IFERROR(VLOOKUP(K57,مراجع!$A$3:$B$14,2,FALSE),"?")&amp;"-NEW-"&amp;TEXT(A57,"000"),""), IF(D57&lt;&gt;"", IFERROR(INDEX('بنود العقد'!I$3:I$388,D57), ""), ""))</f>
        <v>CMH_01-A-082</v>
      </c>
      <c r="M57" s="19"/>
    </row>
    <row r="58" spans="1:13" s="76" customFormat="1" ht="28.2" customHeight="1">
      <c r="A58" s="12">
        <v>56</v>
      </c>
      <c r="B58" s="6">
        <v>1</v>
      </c>
      <c r="C58" s="6" t="s">
        <v>250</v>
      </c>
      <c r="D58" s="6">
        <v>83</v>
      </c>
      <c r="E58" s="22" t="str">
        <f>IF(C58="استحداث بند جديد", "", IF(D58&lt;&gt;"", IFERROR(INDEX('بنود العقد'!B$3:B$388,D58), "⚠"), ""))</f>
        <v xml:space="preserve"> جدران بورسلان(PW-01(type A,B &amp;C مقاس 600×300×12مم فرز اول بالمقاسات والالوان المطلوبة لدورات المياه الخاصة بمكاتب الوكلاء ومساعدين الوكلاء العامة ومنطقة التنفيذيين بالدور السادس  طبقاً للمخططات والمواصفات.</v>
      </c>
      <c r="F58" s="23" t="str">
        <f>IF(C58="استحداث بند جديد", "", IF(D58&lt;&gt;"", IFERROR(INDEX('بنود العقد'!D$3:D$388,D58), ""), ""))</f>
        <v>م²</v>
      </c>
      <c r="G58" s="24">
        <f>IF(C58="استحداث بند جديد", "", IF(D58&lt;&gt;"", IFERROR(INDEX('بنود العقد'!E$3:E$388,D58), 0), ""))</f>
        <v>120</v>
      </c>
      <c r="H58" s="7">
        <v>-571</v>
      </c>
      <c r="I58" s="8">
        <v>120</v>
      </c>
      <c r="J58" s="10">
        <f t="shared" si="0"/>
        <v>-68520</v>
      </c>
      <c r="K58" s="76" t="str">
        <f>IF(C58="استحداث بند جديد", "", IF(D58&lt;&gt;"", IFERROR(INDEX('بنود العقد'!C$3:C$388,D58), ""), ""))</f>
        <v>معماري</v>
      </c>
      <c r="L58" s="76" t="str">
        <f>IF(C58="استحداث بند جديد", IF(K58&lt;&gt;"","CMH_01-"&amp;IFERROR(VLOOKUP(K58,مراجع!$A$3:$B$14,2,FALSE),"?")&amp;"-NEW-"&amp;TEXT(A58,"000"),""), IF(D58&lt;&gt;"", IFERROR(INDEX('بنود العقد'!I$3:I$388,D58), ""), ""))</f>
        <v>CMH_01-A-083</v>
      </c>
      <c r="M58" s="19"/>
    </row>
    <row r="59" spans="1:13" s="76" customFormat="1" ht="28.2" customHeight="1">
      <c r="A59" s="12">
        <v>57</v>
      </c>
      <c r="B59" s="6">
        <v>1</v>
      </c>
      <c r="C59" s="6" t="s">
        <v>250</v>
      </c>
      <c r="D59" s="6">
        <v>84</v>
      </c>
      <c r="E59" s="22" t="str">
        <f>IF(C59="استحداث بند جديد", "", IF(D59&lt;&gt;"", IFERROR(INDEX('بنود العقد'!B$3:B$388,D59), "⚠"), ""))</f>
        <v xml:space="preserve"> جدران بورسلان(PW-02(type A&amp;B مقاس 600×300×12مم فرز اول بالمقاسات والالوان المطلوبة لدورات المياه الخاصة بمكاتب المدراء العامين  طبقاً للمخططات والمواصفات.</v>
      </c>
      <c r="F59" s="23" t="str">
        <f>IF(C59="استحداث بند جديد", "", IF(D59&lt;&gt;"", IFERROR(INDEX('بنود العقد'!D$3:D$388,D59), ""), ""))</f>
        <v>م²</v>
      </c>
      <c r="G59" s="24">
        <f>IF(C59="استحداث بند جديد", "", IF(D59&lt;&gt;"", IFERROR(INDEX('بنود العقد'!E$3:E$388,D59), 0), ""))</f>
        <v>120</v>
      </c>
      <c r="H59" s="7">
        <v>-791</v>
      </c>
      <c r="I59" s="8">
        <v>120</v>
      </c>
      <c r="J59" s="10">
        <f t="shared" si="0"/>
        <v>-94920</v>
      </c>
      <c r="K59" s="76" t="str">
        <f>IF(C59="استحداث بند جديد", "", IF(D59&lt;&gt;"", IFERROR(INDEX('بنود العقد'!C$3:C$388,D59), ""), ""))</f>
        <v>معماري</v>
      </c>
      <c r="L59" s="76" t="str">
        <f>IF(C59="استحداث بند جديد", IF(K59&lt;&gt;"","CMH_01-"&amp;IFERROR(VLOOKUP(K59,مراجع!$A$3:$B$14,2,FALSE),"?")&amp;"-NEW-"&amp;TEXT(A59,"000"),""), IF(D59&lt;&gt;"", IFERROR(INDEX('بنود العقد'!I$3:I$388,D59), ""), ""))</f>
        <v>CMH_01-A-084</v>
      </c>
      <c r="M59" s="19"/>
    </row>
    <row r="60" spans="1:13" s="76" customFormat="1" ht="28.2" customHeight="1">
      <c r="A60" s="12">
        <v>58</v>
      </c>
      <c r="B60" s="6">
        <v>1</v>
      </c>
      <c r="C60" s="6" t="s">
        <v>250</v>
      </c>
      <c r="D60" s="6">
        <v>85</v>
      </c>
      <c r="E60" s="22" t="str">
        <f>IF(C60="استحداث بند جديد", "", IF(D60&lt;&gt;"", IFERROR(INDEX('بنود العقد'!B$3:B$388,D60), "⚠"), ""))</f>
        <v xml:space="preserve"> جدران بورسلان (PW-03(type A&amp;B  مقاس 600×300×12مم فرز ثاني بالمقاسات والالوان المطلوبة لدورات المياة العامة  طبقاً للمخططات والمواصفات.</v>
      </c>
      <c r="F60" s="23" t="str">
        <f>IF(C60="استحداث بند جديد", "", IF(D60&lt;&gt;"", IFERROR(INDEX('بنود العقد'!D$3:D$388,D60), ""), ""))</f>
        <v>م²</v>
      </c>
      <c r="G60" s="24">
        <f>IF(C60="استحداث بند جديد", "", IF(D60&lt;&gt;"", IFERROR(INDEX('بنود العقد'!E$3:E$388,D60), 0), ""))</f>
        <v>96</v>
      </c>
      <c r="H60" s="7">
        <v>-904.49</v>
      </c>
      <c r="I60" s="8">
        <v>120</v>
      </c>
      <c r="J60" s="10">
        <f t="shared" si="0"/>
        <v>-86831.040000000008</v>
      </c>
      <c r="K60" s="76" t="str">
        <f>IF(C60="استحداث بند جديد", "", IF(D60&lt;&gt;"", IFERROR(INDEX('بنود العقد'!C$3:C$388,D60), ""), ""))</f>
        <v>معماري</v>
      </c>
      <c r="L60" s="76" t="str">
        <f>IF(C60="استحداث بند جديد", IF(K60&lt;&gt;"","CMH_01-"&amp;IFERROR(VLOOKUP(K60,مراجع!$A$3:$B$14,2,FALSE),"?")&amp;"-NEW-"&amp;TEXT(A60,"000"),""), IF(D60&lt;&gt;"", IFERROR(INDEX('بنود العقد'!I$3:I$388,D60), ""), ""))</f>
        <v>CMH_01-A-085</v>
      </c>
      <c r="M60" s="19"/>
    </row>
    <row r="61" spans="1:13" s="76" customFormat="1" ht="28.2" customHeight="1">
      <c r="A61" s="12">
        <v>59</v>
      </c>
      <c r="B61" s="6">
        <v>1</v>
      </c>
      <c r="C61" s="6" t="s">
        <v>250</v>
      </c>
      <c r="D61" s="6">
        <v>86</v>
      </c>
      <c r="E61" s="22" t="str">
        <f>IF(C61="استحداث بند جديد", "", IF(D61&lt;&gt;"", IFERROR(INDEX('بنود العقد'!B$3:B$388,D61), "⚠"), ""))</f>
        <v xml:space="preserve"> وزرة من بورسلان بسماكة 12مم  100*600 مم والسعر يشمل التثبيت  بالغراء والشطف وكل ما يلزم لانهاء العمل حسب الاصول الفنية وتعليمات المهندس المشرف.Ref. Drawings: 07-MRA-DD-(as per floor number)-AR-300</v>
      </c>
      <c r="F61" s="23" t="str">
        <f>IF(C61="استحداث بند جديد", "", IF(D61&lt;&gt;"", IFERROR(INDEX('بنود العقد'!D$3:D$388,D61), ""), ""))</f>
        <v>م.ط</v>
      </c>
      <c r="G61" s="24">
        <f>IF(C61="استحداث بند جديد", "", IF(D61&lt;&gt;"", IFERROR(INDEX('بنود العقد'!E$3:E$388,D61), 0), ""))</f>
        <v>120</v>
      </c>
      <c r="H61" s="7">
        <v>-219.85</v>
      </c>
      <c r="I61" s="8">
        <v>120</v>
      </c>
      <c r="J61" s="10">
        <f t="shared" si="0"/>
        <v>-26382</v>
      </c>
      <c r="K61" s="76" t="str">
        <f>IF(C61="استحداث بند جديد", "", IF(D61&lt;&gt;"", IFERROR(INDEX('بنود العقد'!C$3:C$388,D61), ""), ""))</f>
        <v>معماري</v>
      </c>
      <c r="L61" s="76" t="str">
        <f>IF(C61="استحداث بند جديد", IF(K61&lt;&gt;"","CMH_01-"&amp;IFERROR(VLOOKUP(K61,مراجع!$A$3:$B$14,2,FALSE),"?")&amp;"-NEW-"&amp;TEXT(A61,"000"),""), IF(D61&lt;&gt;"", IFERROR(INDEX('بنود العقد'!I$3:I$388,D61), ""), ""))</f>
        <v>CMH_01-A-086</v>
      </c>
      <c r="M61" s="19"/>
    </row>
    <row r="62" spans="1:13" s="76" customFormat="1" ht="28.2" customHeight="1">
      <c r="A62" s="12">
        <v>60</v>
      </c>
      <c r="B62" s="6">
        <v>1</v>
      </c>
      <c r="C62" s="6" t="s">
        <v>250</v>
      </c>
      <c r="D62" s="6">
        <v>88</v>
      </c>
      <c r="E62" s="22" t="str">
        <f>IF(C62="استحداث بند جديد", "", IF(D62&lt;&gt;"", IFERROR(INDEX('بنود العقد'!B$3:B$388,D62), "⚠"), ""))</f>
        <v>رخام 01-MT رمادي غامق تندر غراي مقاس  1200× 300 مم لمنطقة القهوة و المدخل سماكة 20مم .</v>
      </c>
      <c r="F62" s="23" t="str">
        <f>IF(C62="استحداث بند جديد", "", IF(D62&lt;&gt;"", IFERROR(INDEX('بنود العقد'!D$3:D$388,D62), ""), ""))</f>
        <v>م²</v>
      </c>
      <c r="G62" s="24">
        <f>IF(C62="استحداث بند جديد", "", IF(D62&lt;&gt;"", IFERROR(INDEX('بنود العقد'!E$3:E$388,D62), 0), ""))</f>
        <v>222</v>
      </c>
      <c r="H62" s="7">
        <v>-1933</v>
      </c>
      <c r="I62" s="8">
        <v>120</v>
      </c>
      <c r="J62" s="10">
        <f t="shared" si="0"/>
        <v>-429126</v>
      </c>
      <c r="K62" s="76" t="str">
        <f>IF(C62="استحداث بند جديد", "", IF(D62&lt;&gt;"", IFERROR(INDEX('بنود العقد'!C$3:C$388,D62), ""), ""))</f>
        <v>معماري</v>
      </c>
      <c r="L62" s="76" t="str">
        <f>IF(C62="استحداث بند جديد", IF(K62&lt;&gt;"","CMH_01-"&amp;IFERROR(VLOOKUP(K62,مراجع!$A$3:$B$14,2,FALSE),"?")&amp;"-NEW-"&amp;TEXT(A62,"000"),""), IF(D62&lt;&gt;"", IFERROR(INDEX('بنود العقد'!I$3:I$388,D62), ""), ""))</f>
        <v>CMH_01-A-088</v>
      </c>
      <c r="M62" s="19"/>
    </row>
    <row r="63" spans="1:13" s="76" customFormat="1" ht="28.2" customHeight="1">
      <c r="A63" s="12">
        <v>61</v>
      </c>
      <c r="B63" s="6">
        <v>1</v>
      </c>
      <c r="C63" s="6" t="s">
        <v>250</v>
      </c>
      <c r="D63" s="6">
        <v>89</v>
      </c>
      <c r="E63" s="22" t="str">
        <f>IF(C63="استحداث بند جديد", "", IF(D63&lt;&gt;"", IFERROR(INDEX('بنود العقد'!B$3:B$388,D63), "⚠"), ""))</f>
        <v>رخام 02-MT رمادي فاتح تندر غراي مقاس 1200× 300 مم لمنطقة القهوة و المدخل سماكة 20مم</v>
      </c>
      <c r="F63" s="23" t="str">
        <f>IF(C63="استحداث بند جديد", "", IF(D63&lt;&gt;"", IFERROR(INDEX('بنود العقد'!D$3:D$388,D63), ""), ""))</f>
        <v>م²</v>
      </c>
      <c r="G63" s="24">
        <f>IF(C63="استحداث بند جديد", "", IF(D63&lt;&gt;"", IFERROR(INDEX('بنود العقد'!E$3:E$388,D63), 0), ""))</f>
        <v>222</v>
      </c>
      <c r="H63" s="7">
        <v>-214</v>
      </c>
      <c r="I63" s="8">
        <v>120</v>
      </c>
      <c r="J63" s="10">
        <f t="shared" si="0"/>
        <v>-47508</v>
      </c>
      <c r="K63" s="76" t="str">
        <f>IF(C63="استحداث بند جديد", "", IF(D63&lt;&gt;"", IFERROR(INDEX('بنود العقد'!C$3:C$388,D63), ""), ""))</f>
        <v>معماري</v>
      </c>
      <c r="L63" s="76" t="str">
        <f>IF(C63="استحداث بند جديد", IF(K63&lt;&gt;"","CMH_01-"&amp;IFERROR(VLOOKUP(K63,مراجع!$A$3:$B$14,2,FALSE),"?")&amp;"-NEW-"&amp;TEXT(A63,"000"),""), IF(D63&lt;&gt;"", IFERROR(INDEX('بنود العقد'!I$3:I$388,D63), ""), ""))</f>
        <v>CMH_01-A-089</v>
      </c>
      <c r="M63" s="19"/>
    </row>
    <row r="64" spans="1:13" s="76" customFormat="1" ht="28.2" customHeight="1">
      <c r="A64" s="12">
        <v>62</v>
      </c>
      <c r="B64" s="6">
        <v>1</v>
      </c>
      <c r="C64" s="6" t="s">
        <v>250</v>
      </c>
      <c r="D64" s="6">
        <v>90</v>
      </c>
      <c r="E64" s="22" t="str">
        <f>IF(C64="استحداث بند جديد", "", IF(D64&lt;&gt;"", IFERROR(INDEX('بنود العقد'!B$3:B$388,D64), "⚠"), ""))</f>
        <v>رخام 03-MT رمادي بيترا غراي غراي مقاس 1200× 300 مم لمنطقة القهوة في الدور السادس سماكة 20مم</v>
      </c>
      <c r="F64" s="23" t="str">
        <f>IF(C64="استحداث بند جديد", "", IF(D64&lt;&gt;"", IFERROR(INDEX('بنود العقد'!D$3:D$388,D64), ""), ""))</f>
        <v>م²</v>
      </c>
      <c r="G64" s="24">
        <f>IF(C64="استحداث بند جديد", "", IF(D64&lt;&gt;"", IFERROR(INDEX('بنود العقد'!E$3:E$388,D64), 0), ""))</f>
        <v>222</v>
      </c>
      <c r="H64" s="7">
        <v>-213</v>
      </c>
      <c r="I64" s="8">
        <v>120</v>
      </c>
      <c r="J64" s="10">
        <f t="shared" si="0"/>
        <v>-47286</v>
      </c>
      <c r="K64" s="76" t="str">
        <f>IF(C64="استحداث بند جديد", "", IF(D64&lt;&gt;"", IFERROR(INDEX('بنود العقد'!C$3:C$388,D64), ""), ""))</f>
        <v>معماري</v>
      </c>
      <c r="L64" s="76" t="str">
        <f>IF(C64="استحداث بند جديد", IF(K64&lt;&gt;"","CMH_01-"&amp;IFERROR(VLOOKUP(K64,مراجع!$A$3:$B$14,2,FALSE),"?")&amp;"-NEW-"&amp;TEXT(A64,"000"),""), IF(D64&lt;&gt;"", IFERROR(INDEX('بنود العقد'!I$3:I$388,D64), ""), ""))</f>
        <v>CMH_01-A-090</v>
      </c>
      <c r="M64" s="19"/>
    </row>
    <row r="65" spans="1:13" s="76" customFormat="1" ht="28.2" customHeight="1">
      <c r="A65" s="12">
        <v>63</v>
      </c>
      <c r="B65" s="6">
        <v>1</v>
      </c>
      <c r="C65" s="6" t="s">
        <v>250</v>
      </c>
      <c r="D65" s="6">
        <v>91</v>
      </c>
      <c r="E65" s="22" t="str">
        <f>IF(C65="استحداث بند جديد", "", IF(D65&lt;&gt;"", IFERROR(INDEX('بنود العقد'!B$3:B$388,D65), "⚠"), ""))</f>
        <v>رخام رمادي فاتح تندر غراي الواح مقاس 1000× 1000 مم بحسب اعتماد المهندس المشرف للممرات  سماكة 20مم</v>
      </c>
      <c r="F65" s="23" t="str">
        <f>IF(C65="استحداث بند جديد", "", IF(D65&lt;&gt;"", IFERROR(INDEX('بنود العقد'!D$3:D$388,D65), ""), ""))</f>
        <v>م²</v>
      </c>
      <c r="G65" s="24">
        <f>IF(C65="استحداث بند جديد", "", IF(D65&lt;&gt;"", IFERROR(INDEX('بنود العقد'!E$3:E$388,D65), 0), ""))</f>
        <v>222</v>
      </c>
      <c r="H65" s="7">
        <v>-100</v>
      </c>
      <c r="I65" s="8">
        <v>120</v>
      </c>
      <c r="J65" s="10">
        <f t="shared" si="0"/>
        <v>-22200</v>
      </c>
      <c r="K65" s="76" t="str">
        <f>IF(C65="استحداث بند جديد", "", IF(D65&lt;&gt;"", IFERROR(INDEX('بنود العقد'!C$3:C$388,D65), ""), ""))</f>
        <v>معماري</v>
      </c>
      <c r="L65" s="76" t="str">
        <f>IF(C65="استحداث بند جديد", IF(K65&lt;&gt;"","CMH_01-"&amp;IFERROR(VLOOKUP(K65,مراجع!$A$3:$B$14,2,FALSE),"?")&amp;"-NEW-"&amp;TEXT(A65,"000"),""), IF(D65&lt;&gt;"", IFERROR(INDEX('بنود العقد'!I$3:I$388,D65), ""), ""))</f>
        <v>CMH_01-A-091</v>
      </c>
      <c r="M65" s="19"/>
    </row>
    <row r="66" spans="1:13" s="76" customFormat="1" ht="28.2" customHeight="1">
      <c r="A66" s="12">
        <v>64</v>
      </c>
      <c r="B66" s="6">
        <v>1</v>
      </c>
      <c r="C66" s="6" t="s">
        <v>250</v>
      </c>
      <c r="D66" s="6">
        <v>92</v>
      </c>
      <c r="E66" s="22" t="str">
        <f>IF(C66="استحداث بند جديد", "", IF(D66&lt;&gt;"", IFERROR(INDEX('بنود العقد'!B$3:B$388,D66), "⚠"), ""))</f>
        <v>رخام رمادي بيترا غراي للدور السادس ألواح مقاس 1000× 1000 مم بحسب اعتماد المهندس سماكة 20مم</v>
      </c>
      <c r="F66" s="23" t="str">
        <f>IF(C66="استحداث بند جديد", "", IF(D66&lt;&gt;"", IFERROR(INDEX('بنود العقد'!D$3:D$388,D66), ""), ""))</f>
        <v>م²</v>
      </c>
      <c r="G66" s="24">
        <f>IF(C66="استحداث بند جديد", "", IF(D66&lt;&gt;"", IFERROR(INDEX('بنود العقد'!E$3:E$388,D66), 0), ""))</f>
        <v>222</v>
      </c>
      <c r="H66" s="7">
        <v>-750</v>
      </c>
      <c r="I66" s="8">
        <v>120</v>
      </c>
      <c r="J66" s="10">
        <f t="shared" si="0"/>
        <v>-166500</v>
      </c>
      <c r="K66" s="76" t="str">
        <f>IF(C66="استحداث بند جديد", "", IF(D66&lt;&gt;"", IFERROR(INDEX('بنود العقد'!C$3:C$388,D66), ""), ""))</f>
        <v>معماري</v>
      </c>
      <c r="L66" s="76" t="str">
        <f>IF(C66="استحداث بند جديد", IF(K66&lt;&gt;"","CMH_01-"&amp;IFERROR(VLOOKUP(K66,مراجع!$A$3:$B$14,2,FALSE),"?")&amp;"-NEW-"&amp;TEXT(A66,"000"),""), IF(D66&lt;&gt;"", IFERROR(INDEX('بنود العقد'!I$3:I$388,D66), ""), ""))</f>
        <v>CMH_01-A-092</v>
      </c>
      <c r="M66" s="19"/>
    </row>
    <row r="67" spans="1:13" s="76" customFormat="1" ht="28.2" customHeight="1">
      <c r="A67" s="12">
        <v>65</v>
      </c>
      <c r="B67" s="6">
        <v>1</v>
      </c>
      <c r="C67" s="6" t="s">
        <v>250</v>
      </c>
      <c r="D67" s="6">
        <v>94</v>
      </c>
      <c r="E67" s="22" t="str">
        <f>IF(C67="استحداث بند جديد", "", IF(D67&lt;&gt;"", IFERROR(INDEX('بنود العقد'!B$3:B$388,D67), "⚠"), ""))</f>
        <v>رخام تندر غراي فاتح للدرج في الفناء الوسطي ب عرض 30 سم وارتفاع 15 سم وطول 800 سم.</v>
      </c>
      <c r="F67" s="23" t="str">
        <f>IF(C67="استحداث بند جديد", "", IF(D67&lt;&gt;"", IFERROR(INDEX('بنود العقد'!D$3:D$388,D67), ""), ""))</f>
        <v>عدد</v>
      </c>
      <c r="G67" s="24">
        <f>IF(C67="استحداث بند جديد", "", IF(D67&lt;&gt;"", IFERROR(INDEX('بنود العقد'!E$3:E$388,D67), 0), ""))</f>
        <v>222</v>
      </c>
      <c r="H67" s="7">
        <v>-16</v>
      </c>
      <c r="I67" s="8">
        <v>120</v>
      </c>
      <c r="J67" s="10">
        <f t="shared" si="0"/>
        <v>-3552</v>
      </c>
      <c r="K67" s="76" t="str">
        <f>IF(C67="استحداث بند جديد", "", IF(D67&lt;&gt;"", IFERROR(INDEX('بنود العقد'!C$3:C$388,D67), ""), ""))</f>
        <v>معماري</v>
      </c>
      <c r="L67" s="76" t="str">
        <f>IF(C67="استحداث بند جديد", IF(K67&lt;&gt;"","CMH_01-"&amp;IFERROR(VLOOKUP(K67,مراجع!$A$3:$B$14,2,FALSE),"?")&amp;"-NEW-"&amp;TEXT(A67,"000"),""), IF(D67&lt;&gt;"", IFERROR(INDEX('بنود العقد'!I$3:I$388,D67), ""), ""))</f>
        <v>CMH_01-A-094</v>
      </c>
      <c r="M67" s="19"/>
    </row>
    <row r="68" spans="1:13" s="76" customFormat="1" ht="28.2" customHeight="1">
      <c r="A68" s="12">
        <v>66</v>
      </c>
      <c r="B68" s="6">
        <v>1</v>
      </c>
      <c r="C68" s="6" t="s">
        <v>250</v>
      </c>
      <c r="D68" s="6">
        <v>95</v>
      </c>
      <c r="E68" s="22" t="str">
        <f>IF(C68="استحداث بند جديد", "", IF(D68&lt;&gt;"", IFERROR(INDEX('بنود العقد'!B$3:B$388,D68), "⚠"), ""))</f>
        <v>معالجة وتنظيف وصقل وجلاء بلاط رخام الأرضيات والدرج مع بودرة الرخام المستخدم والتلميع 4 أوجه وملو الفواصل بمادة مقاومة للرطوبة والبكتيريا  والسعر يشمل جميع المواد والأعمال اللازمة لإتمام العمل المطلوب طبقا للمخططات والمواصفات الفنية وبحسب توجيهات واعتماد المهندس المشرف. رخام الأرضيات في المداخل و الممرات الرئيسية وبسطات الدرج.</v>
      </c>
      <c r="F68" s="23" t="str">
        <f>IF(C68="استحداث بند جديد", "", IF(D68&lt;&gt;"", IFERROR(INDEX('بنود العقد'!D$3:D$388,D68), ""), ""))</f>
        <v>م²</v>
      </c>
      <c r="G68" s="24">
        <f>IF(C68="استحداث بند جديد", "", IF(D68&lt;&gt;"", IFERROR(INDEX('بنود العقد'!E$3:E$388,D68), 0), ""))</f>
        <v>42</v>
      </c>
      <c r="H68" s="7">
        <v>-1267</v>
      </c>
      <c r="I68" s="8">
        <v>120</v>
      </c>
      <c r="J68" s="10">
        <f t="shared" si="0"/>
        <v>-53214</v>
      </c>
      <c r="K68" s="76" t="str">
        <f>IF(C68="استحداث بند جديد", "", IF(D68&lt;&gt;"", IFERROR(INDEX('بنود العقد'!C$3:C$388,D68), ""), ""))</f>
        <v>معماري</v>
      </c>
      <c r="L68" s="76" t="str">
        <f>IF(C68="استحداث بند جديد", IF(K68&lt;&gt;"","CMH_01-"&amp;IFERROR(VLOOKUP(K68,مراجع!$A$3:$B$14,2,FALSE),"?")&amp;"-NEW-"&amp;TEXT(A68,"000"),""), IF(D68&lt;&gt;"", IFERROR(INDEX('بنود العقد'!I$3:I$388,D68), ""), ""))</f>
        <v>CMH_01-A-095</v>
      </c>
      <c r="M68" s="19"/>
    </row>
    <row r="69" spans="1:13" s="76" customFormat="1" ht="28.2" customHeight="1">
      <c r="A69" s="12">
        <v>67</v>
      </c>
      <c r="B69" s="6">
        <v>1</v>
      </c>
      <c r="C69" s="6" t="s">
        <v>250</v>
      </c>
      <c r="D69" s="6">
        <v>96</v>
      </c>
      <c r="E69" s="22" t="str">
        <f>IF(C69="استحداث بند جديد", "", IF(D69&lt;&gt;"", IFERROR(INDEX('بنود العقد'!B$3:B$388,D69), "⚠"), ""))</f>
        <v>معالجة وتنظيف وصقل وجلاء بلاط رخام الأرضيات والدرج مع بودرة الرخام المستخدم والتلميع 4 أوجه وملو الفواصل بمادة مقاومة للرطوبة والبكتيريا  والسعر يشمل جميع المواد والأعمال اللازمة لإتمام العمل المطلوب طبقا للمخططات والمواصفات الفنية وبحسب توجيهات واعتماد المهندس المشرف. رخام الدرج )قائمة والسعر يشمل النائمة والحبسة</v>
      </c>
      <c r="F69" s="23" t="str">
        <f>IF(C69="استحداث بند جديد", "", IF(D69&lt;&gt;"", IFERROR(INDEX('بنود العقد'!D$3:D$388,D69), ""), ""))</f>
        <v>م.ط</v>
      </c>
      <c r="G69" s="24">
        <f>IF(C69="استحداث بند جديد", "", IF(D69&lt;&gt;"", IFERROR(INDEX('بنود العقد'!E$3:E$388,D69), 0), ""))</f>
        <v>42</v>
      </c>
      <c r="H69" s="7">
        <v>-53.04</v>
      </c>
      <c r="I69" s="8">
        <v>120</v>
      </c>
      <c r="J69" s="10">
        <f t="shared" si="0"/>
        <v>-2227.6799999999998</v>
      </c>
      <c r="K69" s="76" t="str">
        <f>IF(C69="استحداث بند جديد", "", IF(D69&lt;&gt;"", IFERROR(INDEX('بنود العقد'!C$3:C$388,D69), ""), ""))</f>
        <v>معماري</v>
      </c>
      <c r="L69" s="76" t="str">
        <f>IF(C69="استحداث بند جديد", IF(K69&lt;&gt;"","CMH_01-"&amp;IFERROR(VLOOKUP(K69,مراجع!$A$3:$B$14,2,FALSE),"?")&amp;"-NEW-"&amp;TEXT(A69,"000"),""), IF(D69&lt;&gt;"", IFERROR(INDEX('بنود العقد'!I$3:I$388,D69), ""), ""))</f>
        <v>CMH_01-A-096</v>
      </c>
      <c r="M69" s="19"/>
    </row>
    <row r="70" spans="1:13" s="76" customFormat="1" ht="28.2" customHeight="1">
      <c r="A70" s="12">
        <v>68</v>
      </c>
      <c r="B70" s="6">
        <v>1</v>
      </c>
      <c r="C70" s="6" t="s">
        <v>175</v>
      </c>
      <c r="D70" s="6">
        <v>97</v>
      </c>
      <c r="E70" s="22" t="str">
        <f>IF(C70="استحداث بند جديد", "", IF(D70&lt;&gt;"", IFERROR(INDEX('بنود العقد'!B$3:B$388,D70), "⚠"), ""))</f>
        <v>رخام رمادي غامق تندر غراي مقاس 600×900 مم  سماكة  20مم  كإطار حول المصاعد</v>
      </c>
      <c r="F70" s="23" t="str">
        <f>IF(C70="استحداث بند جديد", "", IF(D70&lt;&gt;"", IFERROR(INDEX('بنود العقد'!D$3:D$388,D70), ""), ""))</f>
        <v>م²</v>
      </c>
      <c r="G70" s="24">
        <f>IF(C70="استحداث بند جديد", "", IF(D70&lt;&gt;"", IFERROR(INDEX('بنود العقد'!E$3:E$388,D70), 0), ""))</f>
        <v>300</v>
      </c>
      <c r="H70" s="7">
        <v>17</v>
      </c>
      <c r="I70" s="8">
        <v>120</v>
      </c>
      <c r="J70" s="10">
        <f t="shared" si="0"/>
        <v>5100</v>
      </c>
      <c r="K70" s="76" t="str">
        <f>IF(C70="استحداث بند جديد", "", IF(D70&lt;&gt;"", IFERROR(INDEX('بنود العقد'!C$3:C$388,D70), ""), ""))</f>
        <v>معماري</v>
      </c>
      <c r="L70" s="76" t="str">
        <f>IF(C70="استحداث بند جديد", IF(K70&lt;&gt;"","CMH_01-"&amp;IFERROR(VLOOKUP(K70,مراجع!$A$3:$B$14,2,FALSE),"?")&amp;"-NEW-"&amp;TEXT(A70,"000"),""), IF(D70&lt;&gt;"", IFERROR(INDEX('بنود العقد'!I$3:I$388,D70), ""), ""))</f>
        <v>CMH_01-A-097</v>
      </c>
      <c r="M70" s="19"/>
    </row>
    <row r="71" spans="1:13" s="76" customFormat="1" ht="28.2" customHeight="1">
      <c r="A71" s="12">
        <v>69</v>
      </c>
      <c r="B71" s="6">
        <v>1</v>
      </c>
      <c r="C71" s="6" t="s">
        <v>250</v>
      </c>
      <c r="D71" s="6">
        <v>98</v>
      </c>
      <c r="E71" s="22" t="str">
        <f>IF(C71="استحداث بند جديد", "", IF(D71&lt;&gt;"", IFERROR(INDEX('بنود العقد'!B$3:B$388,D71), "⚠"), ""))</f>
        <v>رخام ابيض ثاسوس  سماكة 20مم على جدران دورات مياه منطقة معالي الوزير</v>
      </c>
      <c r="F71" s="23" t="str">
        <f>IF(C71="استحداث بند جديد", "", IF(D71&lt;&gt;"", IFERROR(INDEX('بنود العقد'!D$3:D$388,D71), ""), ""))</f>
        <v>م²</v>
      </c>
      <c r="G71" s="24">
        <f>IF(C71="استحداث بند جديد", "", IF(D71&lt;&gt;"", IFERROR(INDEX('بنود العقد'!E$3:E$388,D71), 0), ""))</f>
        <v>300</v>
      </c>
      <c r="H71" s="7">
        <v>-2.81</v>
      </c>
      <c r="I71" s="8">
        <v>120</v>
      </c>
      <c r="J71" s="10">
        <f t="shared" si="0"/>
        <v>-843</v>
      </c>
      <c r="K71" s="76" t="str">
        <f>IF(C71="استحداث بند جديد", "", IF(D71&lt;&gt;"", IFERROR(INDEX('بنود العقد'!C$3:C$388,D71), ""), ""))</f>
        <v>معماري</v>
      </c>
      <c r="L71" s="76" t="str">
        <f>IF(C71="استحداث بند جديد", IF(K71&lt;&gt;"","CMH_01-"&amp;IFERROR(VLOOKUP(K71,مراجع!$A$3:$B$14,2,FALSE),"?")&amp;"-NEW-"&amp;TEXT(A71,"000"),""), IF(D71&lt;&gt;"", IFERROR(INDEX('بنود العقد'!I$3:I$388,D71), ""), ""))</f>
        <v>CMH_01-A-098</v>
      </c>
      <c r="M71" s="19"/>
    </row>
    <row r="72" spans="1:13" s="76" customFormat="1" ht="28.2" customHeight="1">
      <c r="A72" s="12">
        <v>70</v>
      </c>
      <c r="B72" s="6">
        <v>1</v>
      </c>
      <c r="C72" s="6" t="s">
        <v>250</v>
      </c>
      <c r="D72" s="6">
        <v>100</v>
      </c>
      <c r="E72" s="22" t="str">
        <f>IF(C72="استحداث بند جديد", "", IF(D72&lt;&gt;"", IFERROR(INDEX('بنود العقد'!B$3:B$388,D72), "⚠"), ""))</f>
        <v>رخام  الحوائط والأعمدة والكمر والوزرات لمدخل كبار الشخصيات ومدخل الموظفين وعلى المصاعد وفي الممرات الرئيسية والوجهات الداخلية للفناء الوسطي.</v>
      </c>
      <c r="F72" s="23" t="str">
        <f>IF(C72="استحداث بند جديد", "", IF(D72&lt;&gt;"", IFERROR(INDEX('بنود العقد'!D$3:D$388,D72), ""), ""))</f>
        <v>م²</v>
      </c>
      <c r="G72" s="24">
        <f>IF(C72="استحداث بند جديد", "", IF(D72&lt;&gt;"", IFERROR(INDEX('بنود العقد'!E$3:E$388,D72), 0), ""))</f>
        <v>60</v>
      </c>
      <c r="H72" s="7">
        <v>-440.29</v>
      </c>
      <c r="I72" s="8">
        <v>120</v>
      </c>
      <c r="J72" s="10">
        <f t="shared" si="0"/>
        <v>-26417.4</v>
      </c>
      <c r="K72" s="76" t="str">
        <f>IF(C72="استحداث بند جديد", "", IF(D72&lt;&gt;"", IFERROR(INDEX('بنود العقد'!C$3:C$388,D72), ""), ""))</f>
        <v>معماري</v>
      </c>
      <c r="L72" s="76" t="str">
        <f>IF(C72="استحداث بند جديد", IF(K72&lt;&gt;"","CMH_01-"&amp;IFERROR(VLOOKUP(K72,مراجع!$A$3:$B$14,2,FALSE),"?")&amp;"-NEW-"&amp;TEXT(A72,"000"),""), IF(D72&lt;&gt;"", IFERROR(INDEX('بنود العقد'!I$3:I$388,D72), ""), ""))</f>
        <v>CMH_01-A-100</v>
      </c>
      <c r="M72" s="19"/>
    </row>
    <row r="73" spans="1:13" s="76" customFormat="1" ht="28.2" customHeight="1">
      <c r="A73" s="12">
        <v>71</v>
      </c>
      <c r="B73" s="6">
        <v>1</v>
      </c>
      <c r="C73" s="6" t="s">
        <v>175</v>
      </c>
      <c r="D73" s="6">
        <v>101</v>
      </c>
      <c r="E73" s="22" t="str">
        <f>IF(C73="استحداث بند جديد", "", IF(D73&lt;&gt;"", IFERROR(INDEX('بنود العقد'!B$3:B$388,D73), "⚠"), ""))</f>
        <v>توريد وتركيب وزرة من الرخام  رمادي فاتح تندر غراي بسماكة 20مم 100*1000 مم والسعر يشمل التثبيت  بالغراء والشطف وكل ما يلزم لانهاء العمل حسب الاصول الفنية وتعليمات المهندس المشرف.</v>
      </c>
      <c r="F73" s="23" t="str">
        <f>IF(C73="استحداث بند جديد", "", IF(D73&lt;&gt;"", IFERROR(INDEX('بنود العقد'!D$3:D$388,D73), ""), ""))</f>
        <v>م.ط</v>
      </c>
      <c r="G73" s="24">
        <f>IF(C73="استحداث بند جديد", "", IF(D73&lt;&gt;"", IFERROR(INDEX('بنود العقد'!E$3:E$388,D73), 0), ""))</f>
        <v>90</v>
      </c>
      <c r="H73" s="7">
        <v>552.5</v>
      </c>
      <c r="I73" s="8">
        <v>120</v>
      </c>
      <c r="J73" s="10">
        <f t="shared" si="0"/>
        <v>49725</v>
      </c>
      <c r="K73" s="76" t="str">
        <f>IF(C73="استحداث بند جديد", "", IF(D73&lt;&gt;"", IFERROR(INDEX('بنود العقد'!C$3:C$388,D73), ""), ""))</f>
        <v>معماري</v>
      </c>
      <c r="L73" s="76" t="str">
        <f>IF(C73="استحداث بند جديد", IF(K73&lt;&gt;"","CMH_01-"&amp;IFERROR(VLOOKUP(K73,مراجع!$A$3:$B$14,2,FALSE),"?")&amp;"-NEW-"&amp;TEXT(A73,"000"),""), IF(D73&lt;&gt;"", IFERROR(INDEX('بنود العقد'!I$3:I$388,D73), ""), ""))</f>
        <v>CMH_01-A-101</v>
      </c>
      <c r="M73" s="19"/>
    </row>
    <row r="74" spans="1:13" s="76" customFormat="1" ht="28.2" customHeight="1">
      <c r="A74" s="12">
        <v>72</v>
      </c>
      <c r="B74" s="6">
        <v>1</v>
      </c>
      <c r="C74" s="6" t="s">
        <v>250</v>
      </c>
      <c r="D74" s="6">
        <v>102</v>
      </c>
      <c r="E74" s="22" t="str">
        <f>IF(C74="استحداث بند جديد", "", IF(D74&lt;&gt;"", IFERROR(INDEX('بنود العقد'!B$3:B$388,D74), "⚠"), ""))</f>
        <v>معالجة وتنظيف و الصقل والجلاء  لبلاط  الموزايك للأرضيات والدرج ومحمل على البند الوزر  والبند يشمل معالجة اللحامات والسقاية وملو الفواصل بمادة مقاومة للرطوبة والبكتيريا  طبقا للمخططات والمواصفات الفنية وبحسب توجيهات واعتماد المهندس المشرف. الأرضيات الموزايكو في سلالم الخدمة وبسطات الدرج.</v>
      </c>
      <c r="F74" s="23" t="str">
        <f>IF(C74="استحداث بند جديد", "", IF(D74&lt;&gt;"", IFERROR(INDEX('بنود العقد'!D$3:D$388,D74), ""), ""))</f>
        <v>م²</v>
      </c>
      <c r="G74" s="24">
        <f>IF(C74="استحداث بند جديد", "", IF(D74&lt;&gt;"", IFERROR(INDEX('بنود العقد'!E$3:E$388,D74), 0), ""))</f>
        <v>90</v>
      </c>
      <c r="H74" s="7">
        <v>-4385.28</v>
      </c>
      <c r="I74" s="8">
        <v>120</v>
      </c>
      <c r="J74" s="10">
        <f t="shared" si="0"/>
        <v>-394675.19999999995</v>
      </c>
      <c r="K74" s="76" t="str">
        <f>IF(C74="استحداث بند جديد", "", IF(D74&lt;&gt;"", IFERROR(INDEX('بنود العقد'!C$3:C$388,D74), ""), ""))</f>
        <v>معماري</v>
      </c>
      <c r="L74" s="76" t="str">
        <f>IF(C74="استحداث بند جديد", IF(K74&lt;&gt;"","CMH_01-"&amp;IFERROR(VLOOKUP(K74,مراجع!$A$3:$B$14,2,FALSE),"?")&amp;"-NEW-"&amp;TEXT(A74,"000"),""), IF(D74&lt;&gt;"", IFERROR(INDEX('بنود العقد'!I$3:I$388,D74), ""), ""))</f>
        <v>CMH_01-A-102</v>
      </c>
      <c r="M74" s="19"/>
    </row>
    <row r="75" spans="1:13" s="76" customFormat="1" ht="28.2" customHeight="1">
      <c r="A75" s="12">
        <v>73</v>
      </c>
      <c r="B75" s="6">
        <v>1</v>
      </c>
      <c r="C75" s="6" t="s">
        <v>175</v>
      </c>
      <c r="D75" s="6">
        <v>103</v>
      </c>
      <c r="E75" s="22" t="str">
        <f>IF(C75="استحداث بند جديد", "", IF(D75&lt;&gt;"", IFERROR(INDEX('بنود العقد'!B$3:B$388,D75), "⚠"), ""))</f>
        <v>معالجة وتنظيف و الصقل والجلاء  لبلاط  الموزايك للأرضيات والدرج ومحمل على البند الوزر  والبند يشمل معالجة اللحامات والسقاية وملو الفواصل بمادة مقاومة للرطوبة والبكتيريا  طبقا للمخططات والمواصفات الفنية وبحسب توجيهات واعتماد المهندس المشرف. موزايكو الدرج )قائمة والسعر يشمل النائمة والحبسة</v>
      </c>
      <c r="F75" s="23" t="str">
        <f>IF(C75="استحداث بند جديد", "", IF(D75&lt;&gt;"", IFERROR(INDEX('بنود العقد'!D$3:D$388,D75), ""), ""))</f>
        <v>م.ط</v>
      </c>
      <c r="G75" s="24">
        <f>IF(C75="استحداث بند جديد", "", IF(D75&lt;&gt;"", IFERROR(INDEX('بنود العقد'!E$3:E$388,D75), 0), ""))</f>
        <v>90</v>
      </c>
      <c r="H75" s="7">
        <v>1268</v>
      </c>
      <c r="I75" s="8">
        <v>120</v>
      </c>
      <c r="J75" s="10">
        <f t="shared" si="0"/>
        <v>114120</v>
      </c>
      <c r="K75" s="76" t="str">
        <f>IF(C75="استحداث بند جديد", "", IF(D75&lt;&gt;"", IFERROR(INDEX('بنود العقد'!C$3:C$388,D75), ""), ""))</f>
        <v>معماري</v>
      </c>
      <c r="L75" s="76" t="str">
        <f>IF(C75="استحداث بند جديد", IF(K75&lt;&gt;"","CMH_01-"&amp;IFERROR(VLOOKUP(K75,مراجع!$A$3:$B$14,2,FALSE),"?")&amp;"-NEW-"&amp;TEXT(A75,"000"),""), IF(D75&lt;&gt;"", IFERROR(INDEX('بنود العقد'!I$3:I$388,D75), ""), ""))</f>
        <v>CMH_01-A-103</v>
      </c>
      <c r="M75" s="19"/>
    </row>
    <row r="76" spans="1:13" s="76" customFormat="1" ht="28.2" customHeight="1">
      <c r="A76" s="12">
        <v>74</v>
      </c>
      <c r="B76" s="6">
        <v>1</v>
      </c>
      <c r="C76" s="6" t="s">
        <v>250</v>
      </c>
      <c r="D76" s="6">
        <v>104</v>
      </c>
      <c r="E76" s="22" t="str">
        <f>IF(C76="استحداث بند جديد", "", IF(D76&lt;&gt;"", IFERROR(INDEX('بنود العقد'!B$3:B$388,D76), "⚠"), ""))</f>
        <v>Ref drawing: 07-MRA-DD-(as per floor number)-AR-300 مقاس 500×500 مم  لون رمادي لمنطقة المرور CT-01بلاط - سجاد</v>
      </c>
      <c r="F76" s="23" t="str">
        <f>IF(C76="استحداث بند جديد", "", IF(D76&lt;&gt;"", IFERROR(INDEX('بنود العقد'!D$3:D$388,D76), ""), ""))</f>
        <v>م²</v>
      </c>
      <c r="G76" s="24">
        <f>IF(C76="استحداث بند جديد", "", IF(D76&lt;&gt;"", IFERROR(INDEX('بنود العقد'!E$3:E$388,D76), 0), ""))</f>
        <v>156</v>
      </c>
      <c r="H76" s="7">
        <v>-330.8</v>
      </c>
      <c r="I76" s="8">
        <v>120</v>
      </c>
      <c r="J76" s="10">
        <f t="shared" si="0"/>
        <v>-51604.800000000003</v>
      </c>
      <c r="K76" s="76" t="str">
        <f>IF(C76="استحداث بند جديد", "", IF(D76&lt;&gt;"", IFERROR(INDEX('بنود العقد'!C$3:C$388,D76), ""), ""))</f>
        <v>معماري</v>
      </c>
      <c r="L76" s="76" t="str">
        <f>IF(C76="استحداث بند جديد", IF(K76&lt;&gt;"","CMH_01-"&amp;IFERROR(VLOOKUP(K76,مراجع!$A$3:$B$14,2,FALSE),"?")&amp;"-NEW-"&amp;TEXT(A76,"000"),""), IF(D76&lt;&gt;"", IFERROR(INDEX('بنود العقد'!I$3:I$388,D76), ""), ""))</f>
        <v>CMH_01-A-104</v>
      </c>
      <c r="M76" s="19"/>
    </row>
    <row r="77" spans="1:13" s="76" customFormat="1" ht="28.2" customHeight="1">
      <c r="A77" s="12">
        <v>75</v>
      </c>
      <c r="B77" s="6">
        <v>1</v>
      </c>
      <c r="C77" s="6" t="s">
        <v>250</v>
      </c>
      <c r="D77" s="6">
        <v>105</v>
      </c>
      <c r="E77" s="22" t="str">
        <f>IF(C77="استحداث بند جديد", "", IF(D77&lt;&gt;"", IFERROR(INDEX('بنود العقد'!B$3:B$388,D77), "⚠"), ""))</f>
        <v>بلاط - سجاد 02-CT مقاس 500× 500 مم لون أزرق فاتح لمحطة العمل وغرفة الاجتماعات</v>
      </c>
      <c r="F77" s="23" t="str">
        <f>IF(C77="استحداث بند جديد", "", IF(D77&lt;&gt;"", IFERROR(INDEX('بنود العقد'!D$3:D$388,D77), ""), ""))</f>
        <v>م²</v>
      </c>
      <c r="G77" s="24">
        <f>IF(C77="استحداث بند جديد", "", IF(D77&lt;&gt;"", IFERROR(INDEX('بنود العقد'!E$3:E$388,D77), 0), ""))</f>
        <v>156</v>
      </c>
      <c r="H77" s="7">
        <v>-775.2</v>
      </c>
      <c r="I77" s="8">
        <v>120</v>
      </c>
      <c r="J77" s="10">
        <f t="shared" si="0"/>
        <v>-120931.20000000001</v>
      </c>
      <c r="K77" s="76" t="str">
        <f>IF(C77="استحداث بند جديد", "", IF(D77&lt;&gt;"", IFERROR(INDEX('بنود العقد'!C$3:C$388,D77), ""), ""))</f>
        <v>معماري</v>
      </c>
      <c r="L77" s="76" t="str">
        <f>IF(C77="استحداث بند جديد", IF(K77&lt;&gt;"","CMH_01-"&amp;IFERROR(VLOOKUP(K77,مراجع!$A$3:$B$14,2,FALSE),"?")&amp;"-NEW-"&amp;TEXT(A77,"000"),""), IF(D77&lt;&gt;"", IFERROR(INDEX('بنود العقد'!I$3:I$388,D77), ""), ""))</f>
        <v>CMH_01-A-105</v>
      </c>
      <c r="M77" s="19"/>
    </row>
    <row r="78" spans="1:13" s="76" customFormat="1" ht="28.2" customHeight="1">
      <c r="A78" s="12">
        <v>76</v>
      </c>
      <c r="B78" s="6">
        <v>1</v>
      </c>
      <c r="C78" s="6" t="s">
        <v>175</v>
      </c>
      <c r="D78" s="6">
        <v>106</v>
      </c>
      <c r="E78" s="22" t="str">
        <f>IF(C78="استحداث بند جديد", "", IF(D78&lt;&gt;"", IFERROR(INDEX('بنود العقد'!B$3:B$388,D78), "⚠"), ""))</f>
        <v>Ref drawing: 07-MRA-DD-(as per floor number)-AR-300 مقاس 500×500 مم لون بيج لمكتب المدير CT-03بلاط - سجاد</v>
      </c>
      <c r="F78" s="23" t="str">
        <f>IF(C78="استحداث بند جديد", "", IF(D78&lt;&gt;"", IFERROR(INDEX('بنود العقد'!D$3:D$388,D78), ""), ""))</f>
        <v>م²</v>
      </c>
      <c r="G78" s="24">
        <f>IF(C78="استحداث بند جديد", "", IF(D78&lt;&gt;"", IFERROR(INDEX('بنود العقد'!E$3:E$388,D78), 0), ""))</f>
        <v>156</v>
      </c>
      <c r="H78" s="7">
        <v>454.13</v>
      </c>
      <c r="I78" s="8">
        <v>120</v>
      </c>
      <c r="J78" s="10">
        <f t="shared" si="0"/>
        <v>70844.28</v>
      </c>
      <c r="K78" s="76" t="str">
        <f>IF(C78="استحداث بند جديد", "", IF(D78&lt;&gt;"", IFERROR(INDEX('بنود العقد'!C$3:C$388,D78), ""), ""))</f>
        <v>معماري</v>
      </c>
      <c r="L78" s="76" t="str">
        <f>IF(C78="استحداث بند جديد", IF(K78&lt;&gt;"","CMH_01-"&amp;IFERROR(VLOOKUP(K78,مراجع!$A$3:$B$14,2,FALSE),"?")&amp;"-NEW-"&amp;TEXT(A78,"000"),""), IF(D78&lt;&gt;"", IFERROR(INDEX('بنود العقد'!I$3:I$388,D78), ""), ""))</f>
        <v>CMH_01-A-106</v>
      </c>
      <c r="M78" s="19"/>
    </row>
    <row r="79" spans="1:13" s="76" customFormat="1" ht="28.2" customHeight="1">
      <c r="A79" s="12">
        <v>77</v>
      </c>
      <c r="B79" s="6">
        <v>1</v>
      </c>
      <c r="C79" s="6" t="s">
        <v>250</v>
      </c>
      <c r="D79" s="6">
        <v>107</v>
      </c>
      <c r="E79" s="22" t="str">
        <f>IF(C79="استحداث بند جديد", "", IF(D79&lt;&gt;"", IFERROR(INDEX('بنود العقد'!B$3:B$388,D79), "⚠"), ""))</f>
        <v>Ref drawing: 07-MRA-DD-(as per floor number)-AR-300 مقاس 500×500 مم لمنطقة الاستقبال الرئيسية CT-04بلاط - سجاد</v>
      </c>
      <c r="F79" s="23" t="str">
        <f>IF(C79="استحداث بند جديد", "", IF(D79&lt;&gt;"", IFERROR(INDEX('بنود العقد'!D$3:D$388,D79), ""), ""))</f>
        <v>م²</v>
      </c>
      <c r="G79" s="24">
        <f>IF(C79="استحداث بند جديد", "", IF(D79&lt;&gt;"", IFERROR(INDEX('بنود العقد'!E$3:E$388,D79), 0), ""))</f>
        <v>15.6</v>
      </c>
      <c r="H79" s="7">
        <v>-543</v>
      </c>
      <c r="I79" s="8">
        <v>120</v>
      </c>
      <c r="J79" s="10">
        <f t="shared" si="0"/>
        <v>-8470.7999999999993</v>
      </c>
      <c r="K79" s="76" t="str">
        <f>IF(C79="استحداث بند جديد", "", IF(D79&lt;&gt;"", IFERROR(INDEX('بنود العقد'!C$3:C$388,D79), ""), ""))</f>
        <v>معماري</v>
      </c>
      <c r="L79" s="76" t="str">
        <f>IF(C79="استحداث بند جديد", IF(K79&lt;&gt;"","CMH_01-"&amp;IFERROR(VLOOKUP(K79,مراجع!$A$3:$B$14,2,FALSE),"?")&amp;"-NEW-"&amp;TEXT(A79,"000"),""), IF(D79&lt;&gt;"", IFERROR(INDEX('بنود العقد'!I$3:I$388,D79), ""), ""))</f>
        <v>CMH_01-A-107</v>
      </c>
      <c r="M79" s="19"/>
    </row>
    <row r="80" spans="1:13" s="76" customFormat="1" ht="28.2" customHeight="1">
      <c r="A80" s="12">
        <v>78</v>
      </c>
      <c r="B80" s="6">
        <v>1</v>
      </c>
      <c r="C80" s="6" t="s">
        <v>250</v>
      </c>
      <c r="D80" s="6">
        <v>108</v>
      </c>
      <c r="E80" s="22" t="str">
        <f>IF(C80="استحداث بند جديد", "", IF(D80&lt;&gt;"", IFERROR(INDEX('بنود العقد'!B$3:B$388,D80), "⚠"), ""))</f>
        <v>بلاط - سجاد05-CT مقاس 500×500 مم لغرف خدمة العملاء مع تصميم بشكل مثلث وألوان مختلفة</v>
      </c>
      <c r="F80" s="23" t="str">
        <f>IF(C80="استحداث بند جديد", "", IF(D80&lt;&gt;"", IFERROR(INDEX('بنود العقد'!D$3:D$388,D80), ""), ""))</f>
        <v>م²</v>
      </c>
      <c r="G80" s="24">
        <f>IF(C80="استحداث بند جديد", "", IF(D80&lt;&gt;"", IFERROR(INDEX('بنود العقد'!E$3:E$388,D80), 0), ""))</f>
        <v>156</v>
      </c>
      <c r="H80" s="7">
        <v>-101.51</v>
      </c>
      <c r="I80" s="8">
        <v>120</v>
      </c>
      <c r="J80" s="10">
        <f t="shared" si="0"/>
        <v>-15835.560000000001</v>
      </c>
      <c r="K80" s="76" t="str">
        <f>IF(C80="استحداث بند جديد", "", IF(D80&lt;&gt;"", IFERROR(INDEX('بنود العقد'!C$3:C$388,D80), ""), ""))</f>
        <v>معماري</v>
      </c>
      <c r="L80" s="76" t="str">
        <f>IF(C80="استحداث بند جديد", IF(K80&lt;&gt;"","CMH_01-"&amp;IFERROR(VLOOKUP(K80,مراجع!$A$3:$B$14,2,FALSE),"?")&amp;"-NEW-"&amp;TEXT(A80,"000"),""), IF(D80&lt;&gt;"", IFERROR(INDEX('بنود العقد'!I$3:I$388,D80), ""), ""))</f>
        <v>CMH_01-A-108</v>
      </c>
      <c r="M80" s="19"/>
    </row>
    <row r="81" spans="1:13" s="76" customFormat="1" ht="28.2" customHeight="1">
      <c r="A81" s="12">
        <v>79</v>
      </c>
      <c r="B81" s="6">
        <v>1</v>
      </c>
      <c r="C81" s="6" t="s">
        <v>250</v>
      </c>
      <c r="D81" s="6">
        <v>109</v>
      </c>
      <c r="E81" s="22" t="str">
        <f>IF(C81="استحداث بند جديد", "", IF(D81&lt;&gt;"", IFERROR(INDEX('بنود العقد'!B$3:B$388,D81), "⚠"), ""))</f>
        <v>Ref drawing: 07-MRA-DD-(as per floor number)-AR-300 مقاس 500×500 مم لمركز الأعمال CT-06بلاط - سجاد</v>
      </c>
      <c r="F81" s="23" t="str">
        <f>IF(C81="استحداث بند جديد", "", IF(D81&lt;&gt;"", IFERROR(INDEX('بنود العقد'!D$3:D$388,D81), ""), ""))</f>
        <v>م²</v>
      </c>
      <c r="G81" s="24">
        <f>IF(C81="استحداث بند جديد", "", IF(D81&lt;&gt;"", IFERROR(INDEX('بنود العقد'!E$3:E$388,D81), 0), ""))</f>
        <v>156</v>
      </c>
      <c r="H81" s="7">
        <v>-4.42</v>
      </c>
      <c r="I81" s="8">
        <v>120</v>
      </c>
      <c r="J81" s="10">
        <f t="shared" si="0"/>
        <v>-689.52</v>
      </c>
      <c r="K81" s="76" t="str">
        <f>IF(C81="استحداث بند جديد", "", IF(D81&lt;&gt;"", IFERROR(INDEX('بنود العقد'!C$3:C$388,D81), ""), ""))</f>
        <v>معماري</v>
      </c>
      <c r="L81" s="76" t="str">
        <f>IF(C81="استحداث بند جديد", IF(K81&lt;&gt;"","CMH_01-"&amp;IFERROR(VLOOKUP(K81,مراجع!$A$3:$B$14,2,FALSE),"?")&amp;"-NEW-"&amp;TEXT(A81,"000"),""), IF(D81&lt;&gt;"", IFERROR(INDEX('بنود العقد'!I$3:I$388,D81), ""), ""))</f>
        <v>CMH_01-A-109</v>
      </c>
      <c r="M81" s="19"/>
    </row>
    <row r="82" spans="1:13" s="76" customFormat="1" ht="28.2" customHeight="1">
      <c r="A82" s="12">
        <v>80</v>
      </c>
      <c r="B82" s="6">
        <v>1</v>
      </c>
      <c r="C82" s="6" t="s">
        <v>250</v>
      </c>
      <c r="D82" s="6">
        <v>110</v>
      </c>
      <c r="E82" s="22" t="str">
        <f>IF(C82="استحداث بند جديد", "", IF(D82&lt;&gt;"", IFERROR(INDEX('بنود العقد'!B$3:B$388,D82), "⚠"), ""))</f>
        <v>بلاط - سجاد 01-CR مقاس 500×500 مم لمكتب الرئيس ونائب الرئيس والصالة والسكرتارية وغرفة الاجتماعات الكبيرة.</v>
      </c>
      <c r="F82" s="23" t="str">
        <f>IF(C82="استحداث بند جديد", "", IF(D82&lt;&gt;"", IFERROR(INDEX('بنود العقد'!D$3:D$388,D82), ""), ""))</f>
        <v>م²</v>
      </c>
      <c r="G82" s="24">
        <f>IF(C82="استحداث بند جديد", "", IF(D82&lt;&gt;"", IFERROR(INDEX('بنود العقد'!E$3:E$388,D82), 0), ""))</f>
        <v>156</v>
      </c>
      <c r="H82" s="7">
        <v>-100.97</v>
      </c>
      <c r="I82" s="8">
        <v>120</v>
      </c>
      <c r="J82" s="10">
        <f t="shared" si="0"/>
        <v>-15751.32</v>
      </c>
      <c r="K82" s="76" t="str">
        <f>IF(C82="استحداث بند جديد", "", IF(D82&lt;&gt;"", IFERROR(INDEX('بنود العقد'!C$3:C$388,D82), ""), ""))</f>
        <v>معماري</v>
      </c>
      <c r="L82" s="76" t="str">
        <f>IF(C82="استحداث بند جديد", IF(K82&lt;&gt;"","CMH_01-"&amp;IFERROR(VLOOKUP(K82,مراجع!$A$3:$B$14,2,FALSE),"?")&amp;"-NEW-"&amp;TEXT(A82,"000"),""), IF(D82&lt;&gt;"", IFERROR(INDEX('بنود العقد'!I$3:I$388,D82), ""), ""))</f>
        <v>CMH_01-A-110</v>
      </c>
      <c r="M82" s="19"/>
    </row>
    <row r="83" spans="1:13" s="76" customFormat="1" ht="28.2" customHeight="1">
      <c r="A83" s="12">
        <v>81</v>
      </c>
      <c r="B83" s="6">
        <v>1</v>
      </c>
      <c r="C83" s="6" t="s">
        <v>250</v>
      </c>
      <c r="D83" s="6">
        <v>111</v>
      </c>
      <c r="E83" s="22" t="str">
        <f>IF(C83="استحداث بند جديد", "", IF(D83&lt;&gt;"", IFERROR(INDEX('بنود العقد'!B$3:B$388,D83), "⚠"), ""))</f>
        <v>بلاط - سجاد 02-CR مقاس 500×500 مم لمكتب الرئيس ونائب الرئيس على شكل مثلثات لون بيج، رمادي فاتح ورمادي غامق.</v>
      </c>
      <c r="F83" s="23" t="str">
        <f>IF(C83="استحداث بند جديد", "", IF(D83&lt;&gt;"", IFERROR(INDEX('بنود العقد'!D$3:D$388,D83), ""), ""))</f>
        <v>م²</v>
      </c>
      <c r="G83" s="24">
        <f>IF(C83="استحداث بند جديد", "", IF(D83&lt;&gt;"", IFERROR(INDEX('بنود العقد'!E$3:E$388,D83), 0), ""))</f>
        <v>156</v>
      </c>
      <c r="H83" s="7">
        <v>-35.51</v>
      </c>
      <c r="I83" s="8">
        <v>120</v>
      </c>
      <c r="J83" s="10">
        <f t="shared" si="0"/>
        <v>-5539.5599999999995</v>
      </c>
      <c r="K83" s="76" t="str">
        <f>IF(C83="استحداث بند جديد", "", IF(D83&lt;&gt;"", IFERROR(INDEX('بنود العقد'!C$3:C$388,D83), ""), ""))</f>
        <v>معماري</v>
      </c>
      <c r="L83" s="76" t="str">
        <f>IF(C83="استحداث بند جديد", IF(K83&lt;&gt;"","CMH_01-"&amp;IFERROR(VLOOKUP(K83,مراجع!$A$3:$B$14,2,FALSE),"?")&amp;"-NEW-"&amp;TEXT(A83,"000"),""), IF(D83&lt;&gt;"", IFERROR(INDEX('بنود العقد'!I$3:I$388,D83), ""), ""))</f>
        <v>CMH_01-A-111</v>
      </c>
      <c r="M83" s="19"/>
    </row>
    <row r="84" spans="1:13" s="76" customFormat="1" ht="28.2" customHeight="1">
      <c r="A84" s="12">
        <v>82</v>
      </c>
      <c r="B84" s="6">
        <v>1</v>
      </c>
      <c r="C84" s="6" t="s">
        <v>175</v>
      </c>
      <c r="D84" s="6">
        <v>112</v>
      </c>
      <c r="E84" s="22" t="str">
        <f>IF(C84="استحداث بند جديد", "", IF(D84&lt;&gt;"", IFERROR(INDEX('بنود العقد'!B$3:B$388,D84), "⚠"), ""))</f>
        <v>300-Ref drawing: 07-MRA-DD-(as per floor number)-ARبلاط - سجاد 03-CR مقاس 500×500 مم للمدير العام ومنطقة السكرتارية</v>
      </c>
      <c r="F84" s="23" t="str">
        <f>IF(C84="استحداث بند جديد", "", IF(D84&lt;&gt;"", IFERROR(INDEX('بنود العقد'!D$3:D$388,D84), ""), ""))</f>
        <v>م²</v>
      </c>
      <c r="G84" s="24">
        <f>IF(C84="استحداث بند جديد", "", IF(D84&lt;&gt;"", IFERROR(INDEX('بنود العقد'!E$3:E$388,D84), 0), ""))</f>
        <v>156</v>
      </c>
      <c r="H84" s="7">
        <v>199.59</v>
      </c>
      <c r="I84" s="8">
        <v>120</v>
      </c>
      <c r="J84" s="10">
        <f t="shared" si="0"/>
        <v>31136.04</v>
      </c>
      <c r="K84" s="76" t="str">
        <f>IF(C84="استحداث بند جديد", "", IF(D84&lt;&gt;"", IFERROR(INDEX('بنود العقد'!C$3:C$388,D84), ""), ""))</f>
        <v>معماري</v>
      </c>
      <c r="L84" s="76" t="str">
        <f>IF(C84="استحداث بند جديد", IF(K84&lt;&gt;"","CMH_01-"&amp;IFERROR(VLOOKUP(K84,مراجع!$A$3:$B$14,2,FALSE),"?")&amp;"-NEW-"&amp;TEXT(A84,"000"),""), IF(D84&lt;&gt;"", IFERROR(INDEX('بنود العقد'!I$3:I$388,D84), ""), ""))</f>
        <v>CMH_01-A-112</v>
      </c>
      <c r="M84" s="19"/>
    </row>
    <row r="85" spans="1:13" s="76" customFormat="1" ht="28.2" customHeight="1">
      <c r="A85" s="12">
        <v>83</v>
      </c>
      <c r="B85" s="6">
        <v>1</v>
      </c>
      <c r="C85" s="6" t="s">
        <v>250</v>
      </c>
      <c r="D85" s="6">
        <v>113</v>
      </c>
      <c r="E85" s="22" t="str">
        <f>IF(C85="استحداث بند جديد", "", IF(D85&lt;&gt;"", IFERROR(INDEX('بنود العقد'!B$3:B$388,D85), "⚠"), ""))</f>
        <v>Ref drawing: 07-MRA-DD-(as per floor number)-AR-300 لمنطقة الصلاة CR-04 رولات السجاد</v>
      </c>
      <c r="F85" s="23" t="str">
        <f>IF(C85="استحداث بند جديد", "", IF(D85&lt;&gt;"", IFERROR(INDEX('بنود العقد'!D$3:D$388,D85), ""), ""))</f>
        <v>م²</v>
      </c>
      <c r="G85" s="24">
        <f>IF(C85="استحداث بند جديد", "", IF(D85&lt;&gt;"", IFERROR(INDEX('بنود العقد'!E$3:E$388,D85), 0), ""))</f>
        <v>156</v>
      </c>
      <c r="H85" s="7">
        <v>-3.57</v>
      </c>
      <c r="I85" s="8">
        <v>120</v>
      </c>
      <c r="J85" s="10">
        <f t="shared" si="0"/>
        <v>-556.91999999999996</v>
      </c>
      <c r="K85" s="76" t="str">
        <f>IF(C85="استحداث بند جديد", "", IF(D85&lt;&gt;"", IFERROR(INDEX('بنود العقد'!C$3:C$388,D85), ""), ""))</f>
        <v>معماري</v>
      </c>
      <c r="L85" s="76" t="str">
        <f>IF(C85="استحداث بند جديد", IF(K85&lt;&gt;"","CMH_01-"&amp;IFERROR(VLOOKUP(K85,مراجع!$A$3:$B$14,2,FALSE),"?")&amp;"-NEW-"&amp;TEXT(A85,"000"),""), IF(D85&lt;&gt;"", IFERROR(INDEX('بنود العقد'!I$3:I$388,D85), ""), ""))</f>
        <v>CMH_01-A-113</v>
      </c>
      <c r="M85" s="19"/>
    </row>
    <row r="86" spans="1:13" s="76" customFormat="1" ht="28.2" customHeight="1">
      <c r="A86" s="12">
        <v>84</v>
      </c>
      <c r="B86" s="6">
        <v>1</v>
      </c>
      <c r="C86" s="6" t="s">
        <v>250</v>
      </c>
      <c r="D86" s="6">
        <v>114</v>
      </c>
      <c r="E86" s="22" t="str">
        <f>IF(C86="استحداث بند جديد", "", IF(D86&lt;&gt;"", IFERROR(INDEX('بنود العقد'!B$3:B$388,D86), "⚠"), ""))</f>
        <v>رولات السجاد 05-CR لمدخل معالي الوزير في الدور الارضي، سجادة المراسم الملكية لون بنفسجي مع إضافة إطار بنقشة مزخرفة حسب المناظير الداخلية.</v>
      </c>
      <c r="F86" s="23" t="str">
        <f>IF(C86="استحداث بند جديد", "", IF(D86&lt;&gt;"", IFERROR(INDEX('بنود العقد'!D$3:D$388,D86), ""), ""))</f>
        <v>م²</v>
      </c>
      <c r="G86" s="24">
        <f>IF(C86="استحداث بند جديد", "", IF(D86&lt;&gt;"", IFERROR(INDEX('بنود العقد'!E$3:E$388,D86), 0), ""))</f>
        <v>228</v>
      </c>
      <c r="H86" s="7">
        <v>-10.54</v>
      </c>
      <c r="I86" s="8">
        <v>120</v>
      </c>
      <c r="J86" s="10">
        <f t="shared" si="0"/>
        <v>-2403.12</v>
      </c>
      <c r="K86" s="76" t="str">
        <f>IF(C86="استحداث بند جديد", "", IF(D86&lt;&gt;"", IFERROR(INDEX('بنود العقد'!C$3:C$388,D86), ""), ""))</f>
        <v>معماري</v>
      </c>
      <c r="L86" s="76" t="str">
        <f>IF(C86="استحداث بند جديد", IF(K86&lt;&gt;"","CMH_01-"&amp;IFERROR(VLOOKUP(K86,مراجع!$A$3:$B$14,2,FALSE),"?")&amp;"-NEW-"&amp;TEXT(A86,"000"),""), IF(D86&lt;&gt;"", IFERROR(INDEX('بنود العقد'!I$3:I$388,D86), ""), ""))</f>
        <v>CMH_01-A-114</v>
      </c>
      <c r="M86" s="19"/>
    </row>
    <row r="87" spans="1:13" s="76" customFormat="1" ht="28.2" customHeight="1">
      <c r="A87" s="12">
        <v>85</v>
      </c>
      <c r="B87" s="6">
        <v>1</v>
      </c>
      <c r="C87" s="6" t="s">
        <v>250</v>
      </c>
      <c r="D87" s="6">
        <v>115</v>
      </c>
      <c r="E87" s="22" t="str">
        <f>IF(C87="استحداث بند جديد", "", IF(D87&lt;&gt;"", IFERROR(INDEX('بنود العقد'!B$3:B$388,D87), "⚠"), ""))</f>
        <v>رولات السجاد 06-CR للمدخل الرئيسي والثانوي في الدور الأرضي بلون بيج مع تصميم على شكل مثلثات حسب المناظير الداخلية.</v>
      </c>
      <c r="F87" s="23" t="str">
        <f>IF(C87="استحداث بند جديد", "", IF(D87&lt;&gt;"", IFERROR(INDEX('بنود العقد'!D$3:D$388,D87), ""), ""))</f>
        <v>م²</v>
      </c>
      <c r="G87" s="24">
        <f>IF(C87="استحداث بند جديد", "", IF(D87&lt;&gt;"", IFERROR(INDEX('بنود العقد'!E$3:E$388,D87), 0), ""))</f>
        <v>216</v>
      </c>
      <c r="H87" s="7">
        <v>-31.68</v>
      </c>
      <c r="I87" s="8">
        <v>120</v>
      </c>
      <c r="J87" s="10">
        <f t="shared" si="0"/>
        <v>-6842.88</v>
      </c>
      <c r="K87" s="76" t="str">
        <f>IF(C87="استحداث بند جديد", "", IF(D87&lt;&gt;"", IFERROR(INDEX('بنود العقد'!C$3:C$388,D87), ""), ""))</f>
        <v>معماري</v>
      </c>
      <c r="L87" s="76" t="str">
        <f>IF(C87="استحداث بند جديد", IF(K87&lt;&gt;"","CMH_01-"&amp;IFERROR(VLOOKUP(K87,مراجع!$A$3:$B$14,2,FALSE),"?")&amp;"-NEW-"&amp;TEXT(A87,"000"),""), IF(D87&lt;&gt;"", IFERROR(INDEX('بنود العقد'!I$3:I$388,D87), ""), ""))</f>
        <v>CMH_01-A-115</v>
      </c>
      <c r="M87" s="19"/>
    </row>
    <row r="88" spans="1:13" s="76" customFormat="1" ht="28.2" customHeight="1">
      <c r="A88" s="12">
        <v>86</v>
      </c>
      <c r="B88" s="6">
        <v>1</v>
      </c>
      <c r="C88" s="6" t="s">
        <v>175</v>
      </c>
      <c r="D88" s="6">
        <v>116</v>
      </c>
      <c r="E88" s="22" t="str">
        <f>IF(C88="استحداث بند جديد", "", IF(D88&lt;&gt;"", IFERROR(INDEX('بنود العقد'!B$3:B$388,D88), "⚠"), ""))</f>
        <v>رولات السجاد 07-CR لمختصر معالي الوزير، غرفة الاجتماعات الخاصة بمعالي الوزير، غرفة الاجتماعات الرئيسية ومدير مكتب معالي الوزير.</v>
      </c>
      <c r="F88" s="23" t="str">
        <f>IF(C88="استحداث بند جديد", "", IF(D88&lt;&gt;"", IFERROR(INDEX('بنود العقد'!D$3:D$388,D88), ""), ""))</f>
        <v>م²</v>
      </c>
      <c r="G88" s="24">
        <f>IF(C88="استحداث بند جديد", "", IF(D88&lt;&gt;"", IFERROR(INDEX('بنود العقد'!E$3:E$388,D88), 0), ""))</f>
        <v>228</v>
      </c>
      <c r="H88" s="7">
        <v>23.38</v>
      </c>
      <c r="I88" s="8">
        <v>120</v>
      </c>
      <c r="J88" s="10">
        <f t="shared" si="0"/>
        <v>5330.6399999999994</v>
      </c>
      <c r="K88" s="76" t="str">
        <f>IF(C88="استحداث بند جديد", "", IF(D88&lt;&gt;"", IFERROR(INDEX('بنود العقد'!C$3:C$388,D88), ""), ""))</f>
        <v>معماري</v>
      </c>
      <c r="L88" s="76" t="str">
        <f>IF(C88="استحداث بند جديد", IF(K88&lt;&gt;"","CMH_01-"&amp;IFERROR(VLOOKUP(K88,مراجع!$A$3:$B$14,2,FALSE),"?")&amp;"-NEW-"&amp;TEXT(A88,"000"),""), IF(D88&lt;&gt;"", IFERROR(INDEX('بنود العقد'!I$3:I$388,D88), ""), ""))</f>
        <v>CMH_01-A-116</v>
      </c>
      <c r="M88" s="19"/>
    </row>
    <row r="89" spans="1:13" s="76" customFormat="1" ht="28.2" customHeight="1">
      <c r="A89" s="12">
        <v>87</v>
      </c>
      <c r="B89" s="6">
        <v>1</v>
      </c>
      <c r="C89" s="6" t="s">
        <v>175</v>
      </c>
      <c r="D89" s="6">
        <v>117</v>
      </c>
      <c r="E89" s="22" t="str">
        <f>IF(C89="استحداث بند جديد", "", IF(D89&lt;&gt;"", IFERROR(INDEX('بنود العقد'!B$3:B$388,D89), "⚠"), ""))</f>
        <v>300-Ref drawing: 07-MRA-DD-(as per floor number)-ARرولات السجاد 08-CR لمنطقة انتظار كبار الشخصيات في الدور السادس</v>
      </c>
      <c r="F89" s="23" t="str">
        <f>IF(C89="استحداث بند جديد", "", IF(D89&lt;&gt;"", IFERROR(INDEX('بنود العقد'!D$3:D$388,D89), ""), ""))</f>
        <v>م²</v>
      </c>
      <c r="G89" s="24">
        <f>IF(C89="استحداث بند جديد", "", IF(D89&lt;&gt;"", IFERROR(INDEX('بنود العقد'!E$3:E$388,D89), 0), ""))</f>
        <v>156</v>
      </c>
      <c r="H89" s="7">
        <v>96.4</v>
      </c>
      <c r="I89" s="8">
        <v>120</v>
      </c>
      <c r="J89" s="10">
        <f t="shared" si="0"/>
        <v>15038.400000000001</v>
      </c>
      <c r="K89" s="76" t="str">
        <f>IF(C89="استحداث بند جديد", "", IF(D89&lt;&gt;"", IFERROR(INDEX('بنود العقد'!C$3:C$388,D89), ""), ""))</f>
        <v>معماري</v>
      </c>
      <c r="L89" s="76" t="str">
        <f>IF(C89="استحداث بند جديد", IF(K89&lt;&gt;"","CMH_01-"&amp;IFERROR(VLOOKUP(K89,مراجع!$A$3:$B$14,2,FALSE),"?")&amp;"-NEW-"&amp;TEXT(A89,"000"),""), IF(D89&lt;&gt;"", IFERROR(INDEX('بنود العقد'!I$3:I$388,D89), ""), ""))</f>
        <v>CMH_01-A-117</v>
      </c>
      <c r="M89" s="19"/>
    </row>
    <row r="90" spans="1:13" s="76" customFormat="1" ht="28.2" customHeight="1">
      <c r="A90" s="12">
        <v>88</v>
      </c>
      <c r="B90" s="6">
        <v>1</v>
      </c>
      <c r="C90" s="6" t="s">
        <v>250</v>
      </c>
      <c r="D90" s="6">
        <v>118</v>
      </c>
      <c r="E90" s="22" t="str">
        <f>IF(C90="استحداث بند جديد", "", IF(D90&lt;&gt;"", IFERROR(INDEX('بنود العقد'!B$3:B$388,D90), "⚠"), ""))</f>
        <v>300-Ref drawing: 07-MRA-DD-(as per floor number)-ARرولات السجاد 09-CR  لمكتب معالي الوزير، السكرتاريا ومنطقة الانتظار</v>
      </c>
      <c r="F90" s="23" t="str">
        <f>IF(C90="استحداث بند جديد", "", IF(D90&lt;&gt;"", IFERROR(INDEX('بنود العقد'!D$3:D$388,D90), ""), ""))</f>
        <v>م²</v>
      </c>
      <c r="G90" s="24">
        <f>IF(C90="استحداث بند جديد", "", IF(D90&lt;&gt;"", IFERROR(INDEX('بنود العقد'!E$3:E$388,D90), 0), ""))</f>
        <v>228</v>
      </c>
      <c r="H90" s="7">
        <v>-83.9</v>
      </c>
      <c r="I90" s="8">
        <v>120</v>
      </c>
      <c r="J90" s="10">
        <f t="shared" si="0"/>
        <v>-19129.2</v>
      </c>
      <c r="K90" s="76" t="str">
        <f>IF(C90="استحداث بند جديد", "", IF(D90&lt;&gt;"", IFERROR(INDEX('بنود العقد'!C$3:C$388,D90), ""), ""))</f>
        <v>معماري</v>
      </c>
      <c r="L90" s="76" t="str">
        <f>IF(C90="استحداث بند جديد", IF(K90&lt;&gt;"","CMH_01-"&amp;IFERROR(VLOOKUP(K90,مراجع!$A$3:$B$14,2,FALSE),"?")&amp;"-NEW-"&amp;TEXT(A90,"000"),""), IF(D90&lt;&gt;"", IFERROR(INDEX('بنود العقد'!I$3:I$388,D90), ""), ""))</f>
        <v>CMH_01-A-118</v>
      </c>
      <c r="M90" s="19"/>
    </row>
    <row r="91" spans="1:13" s="76" customFormat="1" ht="28.2" customHeight="1">
      <c r="A91" s="12">
        <v>89</v>
      </c>
      <c r="B91" s="6">
        <v>1</v>
      </c>
      <c r="C91" s="6" t="s">
        <v>175</v>
      </c>
      <c r="D91" s="6">
        <v>119</v>
      </c>
      <c r="E91" s="22" t="str">
        <f>IF(C91="استحداث بند جديد", "", IF(D91&lt;&gt;"", IFERROR(INDEX('بنود العقد'!B$3:B$388,D91), "⚠"), ""))</f>
        <v>300-Ref drawing: 07-MRA-DD-(as per floor number)-ARرولات السجاد 10-CR  لغرفة اللاونج في منطقة التنفيذين في الدور السادس</v>
      </c>
      <c r="F91" s="23" t="str">
        <f>IF(C91="استحداث بند جديد", "", IF(D91&lt;&gt;"", IFERROR(INDEX('بنود العقد'!D$3:D$388,D91), ""), ""))</f>
        <v>م²</v>
      </c>
      <c r="G91" s="24">
        <f>IF(C91="استحداث بند جديد", "", IF(D91&lt;&gt;"", IFERROR(INDEX('بنود العقد'!E$3:E$388,D91), 0), ""))</f>
        <v>156</v>
      </c>
      <c r="H91" s="7">
        <v>50.89</v>
      </c>
      <c r="I91" s="8">
        <v>120</v>
      </c>
      <c r="J91" s="10">
        <f t="shared" si="0"/>
        <v>7938.84</v>
      </c>
      <c r="K91" s="76" t="str">
        <f>IF(C91="استحداث بند جديد", "", IF(D91&lt;&gt;"", IFERROR(INDEX('بنود العقد'!C$3:C$388,D91), ""), ""))</f>
        <v>معماري</v>
      </c>
      <c r="L91" s="76" t="str">
        <f>IF(C91="استحداث بند جديد", IF(K91&lt;&gt;"","CMH_01-"&amp;IFERROR(VLOOKUP(K91,مراجع!$A$3:$B$14,2,FALSE),"?")&amp;"-NEW-"&amp;TEXT(A91,"000"),""), IF(D91&lt;&gt;"", IFERROR(INDEX('بنود العقد'!I$3:I$388,D91), ""), ""))</f>
        <v>CMH_01-A-119</v>
      </c>
      <c r="M91" s="19"/>
    </row>
    <row r="92" spans="1:13" s="76" customFormat="1" ht="28.2" customHeight="1">
      <c r="A92" s="12">
        <v>90</v>
      </c>
      <c r="B92" s="6">
        <v>1</v>
      </c>
      <c r="C92" s="6" t="s">
        <v>250</v>
      </c>
      <c r="D92" s="6">
        <v>120</v>
      </c>
      <c r="E92" s="22" t="str">
        <f>IF(C92="استحداث بند جديد", "", IF(D92&lt;&gt;"", IFERROR(INDEX('بنود العقد'!B$3:B$388,D92), "⚠"), ""))</f>
        <v>بلاط laminated HDF باركيه01-PQ  لمركز الأعمال والفناء الوسطي</v>
      </c>
      <c r="F92" s="23" t="str">
        <f>IF(C92="استحداث بند جديد", "", IF(D92&lt;&gt;"", IFERROR(INDEX('بنود العقد'!D$3:D$388,D92), ""), ""))</f>
        <v>م²</v>
      </c>
      <c r="G92" s="24">
        <f>IF(C92="استحداث بند جديد", "", IF(D92&lt;&gt;"", IFERROR(INDEX('بنود العقد'!E$3:E$388,D92), 0), ""))</f>
        <v>156</v>
      </c>
      <c r="H92" s="7">
        <v>-15</v>
      </c>
      <c r="I92" s="8">
        <v>120</v>
      </c>
      <c r="J92" s="10">
        <f t="shared" si="0"/>
        <v>-2340</v>
      </c>
      <c r="K92" s="76" t="str">
        <f>IF(C92="استحداث بند جديد", "", IF(D92&lt;&gt;"", IFERROR(INDEX('بنود العقد'!C$3:C$388,D92), ""), ""))</f>
        <v>معماري</v>
      </c>
      <c r="L92" s="76" t="str">
        <f>IF(C92="استحداث بند جديد", IF(K92&lt;&gt;"","CMH_01-"&amp;IFERROR(VLOOKUP(K92,مراجع!$A$3:$B$14,2,FALSE),"?")&amp;"-NEW-"&amp;TEXT(A92,"000"),""), IF(D92&lt;&gt;"", IFERROR(INDEX('بنود العقد'!I$3:I$388,D92), ""), ""))</f>
        <v>CMH_01-A-120</v>
      </c>
      <c r="M92" s="19"/>
    </row>
    <row r="93" spans="1:13" s="76" customFormat="1" ht="28.2" customHeight="1">
      <c r="A93" s="12">
        <v>91</v>
      </c>
      <c r="B93" s="6">
        <v>1</v>
      </c>
      <c r="C93" s="6" t="s">
        <v>175</v>
      </c>
      <c r="D93" s="6">
        <v>121</v>
      </c>
      <c r="E93" s="22" t="str">
        <f>IF(C93="استحداث بند جديد", "", IF(D93&lt;&gt;"", IFERROR(INDEX('بنود العقد'!B$3:B$388,D93), "⚠"), ""))</f>
        <v xml:space="preserve">عمل صبة خرسانية من السرك سماكة 10 سم مع طبقة واحدة من شبك الحديد قطر 6مم. على أن تكون طبقة التشطيب النهائية بلون رمادي غامق على شكل الأسطح الاسمنتية  بحسب اللون والملمس المعتمد. </v>
      </c>
      <c r="F93" s="23" t="str">
        <f>IF(C93="استحداث بند جديد", "", IF(D93&lt;&gt;"", IFERROR(INDEX('بنود العقد'!D$3:D$388,D93), ""), ""))</f>
        <v>م²</v>
      </c>
      <c r="G93" s="24">
        <f>IF(C93="استحداث بند جديد", "", IF(D93&lt;&gt;"", IFERROR(INDEX('بنود العقد'!E$3:E$388,D93), 0), ""))</f>
        <v>72</v>
      </c>
      <c r="H93" s="7">
        <v>414.61</v>
      </c>
      <c r="I93" s="8">
        <v>120</v>
      </c>
      <c r="J93" s="10">
        <f t="shared" si="0"/>
        <v>29851.920000000002</v>
      </c>
      <c r="K93" s="76" t="str">
        <f>IF(C93="استحداث بند جديد", "", IF(D93&lt;&gt;"", IFERROR(INDEX('بنود العقد'!C$3:C$388,D93), ""), ""))</f>
        <v>معماري</v>
      </c>
      <c r="L93" s="76" t="str">
        <f>IF(C93="استحداث بند جديد", IF(K93&lt;&gt;"","CMH_01-"&amp;IFERROR(VLOOKUP(K93,مراجع!$A$3:$B$14,2,FALSE),"?")&amp;"-NEW-"&amp;TEXT(A93,"000"),""), IF(D93&lt;&gt;"", IFERROR(INDEX('بنود العقد'!I$3:I$388,D93), ""), ""))</f>
        <v>CMH_01-A-121</v>
      </c>
      <c r="M93" s="19"/>
    </row>
    <row r="94" spans="1:13" s="76" customFormat="1" ht="28.2" customHeight="1">
      <c r="A94" s="12">
        <v>92</v>
      </c>
      <c r="B94" s="6">
        <v>1</v>
      </c>
      <c r="C94" s="6" t="s">
        <v>250</v>
      </c>
      <c r="D94" s="6">
        <v>122</v>
      </c>
      <c r="E94" s="22" t="str">
        <f>IF(C94="استحداث بند جديد", "", IF(D94&lt;&gt;"", IFERROR(INDEX('بنود العقد'!B$3:B$388,D94), "⚠"), ""))</f>
        <v>عمل صبة خرسانية من السرك سماكة 10 سم مع طبقة واحدة من شبك الحديد قطر 6مم. على أن تكون طبقة التشطيب النهائية بلون رمادي فاتح على شكل الأسطح الاسمنتية  بحسب اللون والملمس المعتمد وبحسب تعليمات المهندس المشرف.</v>
      </c>
      <c r="F94" s="23" t="str">
        <f>IF(C94="استحداث بند جديد", "", IF(D94&lt;&gt;"", IFERROR(INDEX('بنود العقد'!D$3:D$388,D94), ""), ""))</f>
        <v>م²</v>
      </c>
      <c r="G94" s="24">
        <f>IF(C94="استحداث بند جديد", "", IF(D94&lt;&gt;"", IFERROR(INDEX('بنود العقد'!E$3:E$388,D94), 0), ""))</f>
        <v>72</v>
      </c>
      <c r="H94" s="7">
        <v>-8</v>
      </c>
      <c r="I94" s="8">
        <v>120</v>
      </c>
      <c r="J94" s="10">
        <f t="shared" si="0"/>
        <v>-576</v>
      </c>
      <c r="K94" s="76" t="str">
        <f>IF(C94="استحداث بند جديد", "", IF(D94&lt;&gt;"", IFERROR(INDEX('بنود العقد'!C$3:C$388,D94), ""), ""))</f>
        <v>معماري</v>
      </c>
      <c r="L94" s="76" t="str">
        <f>IF(C94="استحداث بند جديد", IF(K94&lt;&gt;"","CMH_01-"&amp;IFERROR(VLOOKUP(K94,مراجع!$A$3:$B$14,2,FALSE),"?")&amp;"-NEW-"&amp;TEXT(A94,"000"),""), IF(D94&lt;&gt;"", IFERROR(INDEX('بنود العقد'!I$3:I$388,D94), ""), ""))</f>
        <v>CMH_01-A-122</v>
      </c>
      <c r="M94" s="19"/>
    </row>
    <row r="95" spans="1:13" s="76" customFormat="1" ht="28.2" customHeight="1">
      <c r="A95" s="12">
        <v>93</v>
      </c>
      <c r="B95" s="6">
        <v>1</v>
      </c>
      <c r="C95" s="6" t="s">
        <v>250</v>
      </c>
      <c r="D95" s="6">
        <v>123</v>
      </c>
      <c r="E95" s="22" t="str">
        <f>IF(C95="استحداث بند جديد", "", IF(D95&lt;&gt;"", IFERROR(INDEX('بنود العقد'!B$3:B$388,D95), "⚠"), ""))</f>
        <v xml:space="preserve">حجر جرانيت اسود مع تشكيلات مثلثات من لون فاتح للنافورة الداخلية   01-ST حسب الموضح بالمخطط </v>
      </c>
      <c r="F95" s="23" t="str">
        <f>IF(C95="استحداث بند جديد", "", IF(D95&lt;&gt;"", IFERROR(INDEX('بنود العقد'!D$3:D$388,D95), ""), ""))</f>
        <v>م²</v>
      </c>
      <c r="G95" s="24">
        <f>IF(C95="استحداث بند جديد", "", IF(D95&lt;&gt;"", IFERROR(INDEX('بنود العقد'!E$3:E$388,D95), 0), ""))</f>
        <v>120</v>
      </c>
      <c r="H95" s="7">
        <v>-127.76</v>
      </c>
      <c r="I95" s="8">
        <v>120</v>
      </c>
      <c r="J95" s="10">
        <f t="shared" si="0"/>
        <v>-15331.2</v>
      </c>
      <c r="K95" s="76" t="str">
        <f>IF(C95="استحداث بند جديد", "", IF(D95&lt;&gt;"", IFERROR(INDEX('بنود العقد'!C$3:C$388,D95), ""), ""))</f>
        <v>معماري</v>
      </c>
      <c r="L95" s="76" t="str">
        <f>IF(C95="استحداث بند جديد", IF(K95&lt;&gt;"","CMH_01-"&amp;IFERROR(VLOOKUP(K95,مراجع!$A$3:$B$14,2,FALSE),"?")&amp;"-NEW-"&amp;TEXT(A95,"000"),""), IF(D95&lt;&gt;"", IFERROR(INDEX('بنود العقد'!I$3:I$388,D95), ""), ""))</f>
        <v>CMH_01-A-123</v>
      </c>
      <c r="M95" s="19"/>
    </row>
    <row r="96" spans="1:13" s="76" customFormat="1" ht="28.2" customHeight="1">
      <c r="A96" s="12">
        <v>94</v>
      </c>
      <c r="B96" s="6">
        <v>1</v>
      </c>
      <c r="C96" s="6" t="s">
        <v>250</v>
      </c>
      <c r="D96" s="6">
        <v>125</v>
      </c>
      <c r="E96" s="22" t="str">
        <f>IF(C96="استحداث بند جديد", "", IF(D96&lt;&gt;"", IFERROR(INDEX('بنود العقد'!B$3:B$388,D96), "⚠"), ""))</f>
        <v>دهان بلون رمادي بيج على الألواح الجبسية والألواح الاسمنتية 100-WPF</v>
      </c>
      <c r="F96" s="23" t="str">
        <f>IF(C96="استحداث بند جديد", "", IF(D96&lt;&gt;"", IFERROR(INDEX('بنود العقد'!D$3:D$388,D96), ""), ""))</f>
        <v>م²</v>
      </c>
      <c r="G96" s="24">
        <f>IF(C96="استحداث بند جديد", "", IF(D96&lt;&gt;"", IFERROR(INDEX('بنود العقد'!E$3:E$388,D96), 0), ""))</f>
        <v>25.2</v>
      </c>
      <c r="H96" s="7">
        <v>-2859.14</v>
      </c>
      <c r="I96" s="8">
        <v>120</v>
      </c>
      <c r="J96" s="10">
        <f t="shared" si="0"/>
        <v>-72050.327999999994</v>
      </c>
      <c r="K96" s="76" t="str">
        <f>IF(C96="استحداث بند جديد", "", IF(D96&lt;&gt;"", IFERROR(INDEX('بنود العقد'!C$3:C$388,D96), ""), ""))</f>
        <v>معماري</v>
      </c>
      <c r="L96" s="76" t="str">
        <f>IF(C96="استحداث بند جديد", IF(K96&lt;&gt;"","CMH_01-"&amp;IFERROR(VLOOKUP(K96,مراجع!$A$3:$B$14,2,FALSE),"?")&amp;"-NEW-"&amp;TEXT(A96,"000"),""), IF(D96&lt;&gt;"", IFERROR(INDEX('بنود العقد'!I$3:I$388,D96), ""), ""))</f>
        <v>CMH_01-A-125</v>
      </c>
      <c r="M96" s="19"/>
    </row>
    <row r="97" spans="1:13" s="76" customFormat="1" ht="28.2" customHeight="1">
      <c r="A97" s="12">
        <v>95</v>
      </c>
      <c r="B97" s="6">
        <v>1</v>
      </c>
      <c r="C97" s="6" t="s">
        <v>250</v>
      </c>
      <c r="D97" s="6">
        <v>126</v>
      </c>
      <c r="E97" s="22" t="str">
        <f>IF(C97="استحداث بند جديد", "", IF(D97&lt;&gt;"", IFERROR(INDEX('بنود العقد'!B$3:B$388,D97), "⚠"), ""))</f>
        <v>دهان بلون رمادي خشن على هيئة الاسطح الاسمنتية مع غرووف  على الأعمدة</v>
      </c>
      <c r="F97" s="23" t="str">
        <f>IF(C97="استحداث بند جديد", "", IF(D97&lt;&gt;"", IFERROR(INDEX('بنود العقد'!D$3:D$388,D97), ""), ""))</f>
        <v>م²</v>
      </c>
      <c r="G97" s="24">
        <f>IF(C97="استحداث بند جديد", "", IF(D97&lt;&gt;"", IFERROR(INDEX('بنود العقد'!E$3:E$388,D97), 0), ""))</f>
        <v>30</v>
      </c>
      <c r="H97" s="7">
        <v>-2288</v>
      </c>
      <c r="I97" s="8">
        <v>120</v>
      </c>
      <c r="J97" s="10">
        <f t="shared" si="0"/>
        <v>-68640</v>
      </c>
      <c r="K97" s="76" t="str">
        <f>IF(C97="استحداث بند جديد", "", IF(D97&lt;&gt;"", IFERROR(INDEX('بنود العقد'!C$3:C$388,D97), ""), ""))</f>
        <v>معماري</v>
      </c>
      <c r="L97" s="76" t="str">
        <f>IF(C97="استحداث بند جديد", IF(K97&lt;&gt;"","CMH_01-"&amp;IFERROR(VLOOKUP(K97,مراجع!$A$3:$B$14,2,FALSE),"?")&amp;"-NEW-"&amp;TEXT(A97,"000"),""), IF(D97&lt;&gt;"", IFERROR(INDEX('بنود العقد'!I$3:I$388,D97), ""), ""))</f>
        <v>CMH_01-A-126</v>
      </c>
      <c r="M97" s="19"/>
    </row>
    <row r="98" spans="1:13" s="76" customFormat="1" ht="28.2" customHeight="1">
      <c r="A98" s="12">
        <v>96</v>
      </c>
      <c r="B98" s="6">
        <v>1</v>
      </c>
      <c r="C98" s="6" t="s">
        <v>250</v>
      </c>
      <c r="D98" s="6">
        <v>127</v>
      </c>
      <c r="E98" s="22" t="str">
        <f>IF(C98="استحداث بند جديد", "", IF(D98&lt;&gt;"", IFERROR(INDEX('بنود العقد'!B$3:B$388,D98), "⚠"), ""))</f>
        <v>دهان لجدران وأسقف السلالم والجدران الداخلية بالمبنى.</v>
      </c>
      <c r="F98" s="23" t="str">
        <f>IF(C98="استحداث بند جديد", "", IF(D98&lt;&gt;"", IFERROR(INDEX('بنود العقد'!D$3:D$388,D98), ""), ""))</f>
        <v>م²</v>
      </c>
      <c r="G98" s="24">
        <f>IF(C98="استحداث بند جديد", "", IF(D98&lt;&gt;"", IFERROR(INDEX('بنود العقد'!E$3:E$388,D98), 0), ""))</f>
        <v>30</v>
      </c>
      <c r="H98" s="7">
        <v>-1103.51</v>
      </c>
      <c r="I98" s="8">
        <v>120</v>
      </c>
      <c r="J98" s="10">
        <f t="shared" si="0"/>
        <v>-33105.300000000003</v>
      </c>
      <c r="K98" s="76" t="str">
        <f>IF(C98="استحداث بند جديد", "", IF(D98&lt;&gt;"", IFERROR(INDEX('بنود العقد'!C$3:C$388,D98), ""), ""))</f>
        <v>معماري</v>
      </c>
      <c r="L98" s="76" t="str">
        <f>IF(C98="استحداث بند جديد", IF(K98&lt;&gt;"","CMH_01-"&amp;IFERROR(VLOOKUP(K98,مراجع!$A$3:$B$14,2,FALSE),"?")&amp;"-NEW-"&amp;TEXT(A98,"000"),""), IF(D98&lt;&gt;"", IFERROR(INDEX('بنود العقد'!I$3:I$388,D98), ""), ""))</f>
        <v>CMH_01-A-127</v>
      </c>
      <c r="M98" s="19"/>
    </row>
    <row r="99" spans="1:13" s="76" customFormat="1" ht="28.2" customHeight="1">
      <c r="A99" s="12">
        <v>97</v>
      </c>
      <c r="B99" s="6">
        <v>1</v>
      </c>
      <c r="C99" s="6" t="s">
        <v>250</v>
      </c>
      <c r="D99" s="6">
        <v>128</v>
      </c>
      <c r="E99" s="22" t="str">
        <f>IF(C99="استحداث بند جديد", "", IF(D99&lt;&gt;"", IFERROR(INDEX('بنود العقد'!B$3:B$388,D99), "⚠"), ""))</f>
        <v>.دهان بلون رمادي اسمنتي على الألواح الجبسية والألواح الاسمنتية 200-WPF</v>
      </c>
      <c r="F99" s="23" t="str">
        <f>IF(C99="استحداث بند جديد", "", IF(D99&lt;&gt;"", IFERROR(INDEX('بنود العقد'!D$3:D$388,D99), ""), ""))</f>
        <v>م²</v>
      </c>
      <c r="G99" s="24">
        <f>IF(C99="استحداث بند جديد", "", IF(D99&lt;&gt;"", IFERROR(INDEX('بنود العقد'!E$3:E$388,D99), 0), ""))</f>
        <v>30</v>
      </c>
      <c r="H99" s="7">
        <v>-693.03</v>
      </c>
      <c r="I99" s="8">
        <v>120</v>
      </c>
      <c r="J99" s="10">
        <f t="shared" si="0"/>
        <v>-20790.899999999998</v>
      </c>
      <c r="K99" s="76" t="str">
        <f>IF(C99="استحداث بند جديد", "", IF(D99&lt;&gt;"", IFERROR(INDEX('بنود العقد'!C$3:C$388,D99), ""), ""))</f>
        <v>معماري</v>
      </c>
      <c r="L99" s="76" t="str">
        <f>IF(C99="استحداث بند جديد", IF(K99&lt;&gt;"","CMH_01-"&amp;IFERROR(VLOOKUP(K99,مراجع!$A$3:$B$14,2,FALSE),"?")&amp;"-NEW-"&amp;TEXT(A99,"000"),""), IF(D99&lt;&gt;"", IFERROR(INDEX('بنود العقد'!I$3:I$388,D99), ""), ""))</f>
        <v>CMH_01-A-128</v>
      </c>
      <c r="M99" s="19"/>
    </row>
    <row r="100" spans="1:13" s="76" customFormat="1" ht="28.2" customHeight="1">
      <c r="A100" s="12">
        <v>98</v>
      </c>
      <c r="B100" s="6">
        <v>1</v>
      </c>
      <c r="C100" s="6" t="s">
        <v>250</v>
      </c>
      <c r="D100" s="6">
        <v>129</v>
      </c>
      <c r="E100" s="22" t="str">
        <f>IF(C100="استحداث بند جديد", "", IF(D100&lt;&gt;"", IFERROR(INDEX('بنود العقد'!B$3:B$388,D100), "⚠"), ""))</f>
        <v>.دهان بلون رمادي فاتح  على الألواح الجبسية والألواح الاسمنتية 300-WPF</v>
      </c>
      <c r="F100" s="23" t="str">
        <f>IF(C100="استحداث بند جديد", "", IF(D100&lt;&gt;"", IFERROR(INDEX('بنود العقد'!D$3:D$388,D100), ""), ""))</f>
        <v>م²</v>
      </c>
      <c r="G100" s="24">
        <f>IF(C100="استحداث بند جديد", "", IF(D100&lt;&gt;"", IFERROR(INDEX('بنود العقد'!E$3:E$388,D100), 0), ""))</f>
        <v>30</v>
      </c>
      <c r="H100" s="7">
        <v>-26.46</v>
      </c>
      <c r="I100" s="8">
        <v>120</v>
      </c>
      <c r="J100" s="10">
        <f t="shared" si="0"/>
        <v>-793.80000000000007</v>
      </c>
      <c r="K100" s="76" t="str">
        <f>IF(C100="استحداث بند جديد", "", IF(D100&lt;&gt;"", IFERROR(INDEX('بنود العقد'!C$3:C$388,D100), ""), ""))</f>
        <v>معماري</v>
      </c>
      <c r="L100" s="76" t="str">
        <f>IF(C100="استحداث بند جديد", IF(K100&lt;&gt;"","CMH_01-"&amp;IFERROR(VLOOKUP(K100,مراجع!$A$3:$B$14,2,FALSE),"?")&amp;"-NEW-"&amp;TEXT(A100,"000"),""), IF(D100&lt;&gt;"", IFERROR(INDEX('بنود العقد'!I$3:I$388,D100), ""), ""))</f>
        <v>CMH_01-A-129</v>
      </c>
      <c r="M100" s="19"/>
    </row>
    <row r="101" spans="1:13" s="76" customFormat="1" ht="28.2" customHeight="1">
      <c r="A101" s="12">
        <v>99</v>
      </c>
      <c r="B101" s="6">
        <v>1</v>
      </c>
      <c r="C101" s="6" t="s">
        <v>250</v>
      </c>
      <c r="D101" s="6">
        <v>130</v>
      </c>
      <c r="E101" s="22" t="str">
        <f>IF(C101="استحداث بند جديد", "", IF(D101&lt;&gt;"", IFERROR(INDEX('بنود العقد'!B$3:B$388,D101), "⚠"), ""))</f>
        <v>.دهان بلون اصفر خردلي  على الألواح الجبسية والألواح الاسمنتية 400-WPF</v>
      </c>
      <c r="F101" s="23" t="str">
        <f>IF(C101="استحداث بند جديد", "", IF(D101&lt;&gt;"", IFERROR(INDEX('بنود العقد'!D$3:D$388,D101), ""), ""))</f>
        <v>م²</v>
      </c>
      <c r="G101" s="24">
        <f>IF(C101="استحداث بند جديد", "", IF(D101&lt;&gt;"", IFERROR(INDEX('بنود العقد'!E$3:E$388,D101), 0), ""))</f>
        <v>24</v>
      </c>
      <c r="H101" s="7">
        <v>-5.09</v>
      </c>
      <c r="I101" s="8">
        <v>120</v>
      </c>
      <c r="J101" s="10">
        <f t="shared" si="0"/>
        <v>-122.16</v>
      </c>
      <c r="K101" s="76" t="str">
        <f>IF(C101="استحداث بند جديد", "", IF(D101&lt;&gt;"", IFERROR(INDEX('بنود العقد'!C$3:C$388,D101), ""), ""))</f>
        <v>معماري</v>
      </c>
      <c r="L101" s="76" t="str">
        <f>IF(C101="استحداث بند جديد", IF(K101&lt;&gt;"","CMH_01-"&amp;IFERROR(VLOOKUP(K101,مراجع!$A$3:$B$14,2,FALSE),"?")&amp;"-NEW-"&amp;TEXT(A101,"000"),""), IF(D101&lt;&gt;"", IFERROR(INDEX('بنود العقد'!I$3:I$388,D101), ""), ""))</f>
        <v>CMH_01-A-130</v>
      </c>
      <c r="M101" s="19"/>
    </row>
    <row r="102" spans="1:13" s="76" customFormat="1" ht="28.2" customHeight="1">
      <c r="A102" s="12">
        <v>100</v>
      </c>
      <c r="B102" s="6">
        <v>1</v>
      </c>
      <c r="C102" s="6" t="s">
        <v>250</v>
      </c>
      <c r="D102" s="6">
        <v>131</v>
      </c>
      <c r="E102" s="22" t="str">
        <f>IF(C102="استحداث بند جديد", "", IF(D102&lt;&gt;"", IFERROR(INDEX('بنود العقد'!B$3:B$388,D102), "⚠"), ""))</f>
        <v>.دهان بلون ازرق أخضر  على الألواح الجبسية والألواح الاسمنتية 500-WPF</v>
      </c>
      <c r="F102" s="23" t="str">
        <f>IF(C102="استحداث بند جديد", "", IF(D102&lt;&gt;"", IFERROR(INDEX('بنود العقد'!D$3:D$388,D102), ""), ""))</f>
        <v>م²</v>
      </c>
      <c r="G102" s="24">
        <f>IF(C102="استحداث بند جديد", "", IF(D102&lt;&gt;"", IFERROR(INDEX('بنود العقد'!E$3:E$388,D102), 0), ""))</f>
        <v>24</v>
      </c>
      <c r="H102" s="7">
        <v>-5.44</v>
      </c>
      <c r="I102" s="8">
        <v>120</v>
      </c>
      <c r="J102" s="10">
        <f t="shared" si="0"/>
        <v>-130.56</v>
      </c>
      <c r="K102" s="76" t="str">
        <f>IF(C102="استحداث بند جديد", "", IF(D102&lt;&gt;"", IFERROR(INDEX('بنود العقد'!C$3:C$388,D102), ""), ""))</f>
        <v>معماري</v>
      </c>
      <c r="L102" s="76" t="str">
        <f>IF(C102="استحداث بند جديد", IF(K102&lt;&gt;"","CMH_01-"&amp;IFERROR(VLOOKUP(K102,مراجع!$A$3:$B$14,2,FALSE),"?")&amp;"-NEW-"&amp;TEXT(A102,"000"),""), IF(D102&lt;&gt;"", IFERROR(INDEX('بنود العقد'!I$3:I$388,D102), ""), ""))</f>
        <v>CMH_01-A-131</v>
      </c>
      <c r="M102" s="19"/>
    </row>
    <row r="103" spans="1:13" s="76" customFormat="1" ht="28.2" customHeight="1">
      <c r="A103" s="12">
        <v>101</v>
      </c>
      <c r="B103" s="6">
        <v>1</v>
      </c>
      <c r="C103" s="6" t="s">
        <v>250</v>
      </c>
      <c r="D103" s="6">
        <v>132</v>
      </c>
      <c r="E103" s="22" t="str">
        <f>IF(C103="استحداث بند جديد", "", IF(D103&lt;&gt;"", IFERROR(INDEX('بنود العقد'!B$3:B$388,D103), "⚠"), ""))</f>
        <v>.دهان بلون رمادي خشن على هيئة الاسطح الاسمنتية مع تجويف  على جدار البلوك 600-WPF</v>
      </c>
      <c r="F103" s="23" t="str">
        <f>IF(C103="استحداث بند جديد", "", IF(D103&lt;&gt;"", IFERROR(INDEX('بنود العقد'!D$3:D$388,D103), ""), ""))</f>
        <v>م²</v>
      </c>
      <c r="G103" s="24">
        <f>IF(C103="استحداث بند جديد", "", IF(D103&lt;&gt;"", IFERROR(INDEX('بنود العقد'!E$3:E$388,D103), 0), ""))</f>
        <v>24</v>
      </c>
      <c r="H103" s="7">
        <v>-4.3600000000000003</v>
      </c>
      <c r="I103" s="8">
        <v>120</v>
      </c>
      <c r="J103" s="10">
        <f t="shared" si="0"/>
        <v>-104.64000000000001</v>
      </c>
      <c r="K103" s="76" t="str">
        <f>IF(C103="استحداث بند جديد", "", IF(D103&lt;&gt;"", IFERROR(INDEX('بنود العقد'!C$3:C$388,D103), ""), ""))</f>
        <v>معماري</v>
      </c>
      <c r="L103" s="76" t="str">
        <f>IF(C103="استحداث بند جديد", IF(K103&lt;&gt;"","CMH_01-"&amp;IFERROR(VLOOKUP(K103,مراجع!$A$3:$B$14,2,FALSE),"?")&amp;"-NEW-"&amp;TEXT(A103,"000"),""), IF(D103&lt;&gt;"", IFERROR(INDEX('بنود العقد'!I$3:I$388,D103), ""), ""))</f>
        <v>CMH_01-A-132</v>
      </c>
      <c r="M103" s="19"/>
    </row>
    <row r="104" spans="1:13" s="76" customFormat="1" ht="28.2" customHeight="1">
      <c r="A104" s="12">
        <v>102</v>
      </c>
      <c r="B104" s="6">
        <v>1</v>
      </c>
      <c r="C104" s="6" t="s">
        <v>175</v>
      </c>
      <c r="D104" s="6">
        <v>133</v>
      </c>
      <c r="E104" s="22" t="str">
        <f>IF(C104="استحداث بند جديد", "", IF(D104&lt;&gt;"", IFERROR(INDEX('بنود العقد'!B$3:B$388,D104),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ابيض</v>
      </c>
      <c r="F104" s="23" t="str">
        <f>IF(C104="استحداث بند جديد", "", IF(D104&lt;&gt;"", IFERROR(INDEX('بنود العقد'!D$3:D$388,D104), ""), ""))</f>
        <v>م²</v>
      </c>
      <c r="G104" s="24">
        <f>IF(C104="استحداث بند جديد", "", IF(D104&lt;&gt;"", IFERROR(INDEX('بنود العقد'!E$3:E$388,D104), 0), ""))</f>
        <v>24</v>
      </c>
      <c r="H104" s="7">
        <v>319.83999999999997</v>
      </c>
      <c r="I104" s="8">
        <v>120</v>
      </c>
      <c r="J104" s="10">
        <f t="shared" si="0"/>
        <v>7676.16</v>
      </c>
      <c r="K104" s="76" t="str">
        <f>IF(C104="استحداث بند جديد", "", IF(D104&lt;&gt;"", IFERROR(INDEX('بنود العقد'!C$3:C$388,D104), ""), ""))</f>
        <v>معماري</v>
      </c>
      <c r="L104" s="76" t="str">
        <f>IF(C104="استحداث بند جديد", IF(K104&lt;&gt;"","CMH_01-"&amp;IFERROR(VLOOKUP(K104,مراجع!$A$3:$B$14,2,FALSE),"?")&amp;"-NEW-"&amp;TEXT(A104,"000"),""), IF(D104&lt;&gt;"", IFERROR(INDEX('بنود العقد'!I$3:I$388,D104), ""), ""))</f>
        <v>CMH_01-A-133</v>
      </c>
      <c r="M104" s="19"/>
    </row>
    <row r="105" spans="1:13" s="76" customFormat="1" ht="28.2" customHeight="1">
      <c r="A105" s="12">
        <v>103</v>
      </c>
      <c r="B105" s="6">
        <v>1</v>
      </c>
      <c r="C105" s="6" t="s">
        <v>250</v>
      </c>
      <c r="D105" s="6">
        <v>134</v>
      </c>
      <c r="E105" s="22" t="str">
        <f>IF(C105="استحداث بند جديد", "", IF(D105&lt;&gt;"", IFERROR(INDEX('بنود العقد'!B$3:B$388,D105),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اصفر خردلي</v>
      </c>
      <c r="F105" s="23" t="str">
        <f>IF(C105="استحداث بند جديد", "", IF(D105&lt;&gt;"", IFERROR(INDEX('بنود العقد'!D$3:D$388,D105), ""), ""))</f>
        <v>م²</v>
      </c>
      <c r="G105" s="24">
        <f>IF(C105="استحداث بند جديد", "", IF(D105&lt;&gt;"", IFERROR(INDEX('بنود العقد'!E$3:E$388,D105), 0), ""))</f>
        <v>24</v>
      </c>
      <c r="H105" s="7">
        <v>-3.68</v>
      </c>
      <c r="I105" s="8">
        <v>120</v>
      </c>
      <c r="J105" s="10">
        <f t="shared" si="0"/>
        <v>-88.320000000000007</v>
      </c>
      <c r="K105" s="76" t="str">
        <f>IF(C105="استحداث بند جديد", "", IF(D105&lt;&gt;"", IFERROR(INDEX('بنود العقد'!C$3:C$388,D105), ""), ""))</f>
        <v>معماري</v>
      </c>
      <c r="L105" s="76" t="str">
        <f>IF(C105="استحداث بند جديد", IF(K105&lt;&gt;"","CMH_01-"&amp;IFERROR(VLOOKUP(K105,مراجع!$A$3:$B$14,2,FALSE),"?")&amp;"-NEW-"&amp;TEXT(A105,"000"),""), IF(D105&lt;&gt;"", IFERROR(INDEX('بنود العقد'!I$3:I$388,D105), ""), ""))</f>
        <v>CMH_01-A-134</v>
      </c>
      <c r="M105" s="19"/>
    </row>
    <row r="106" spans="1:13" s="76" customFormat="1" ht="28.2" customHeight="1">
      <c r="A106" s="12">
        <v>104</v>
      </c>
      <c r="B106" s="6">
        <v>1</v>
      </c>
      <c r="C106" s="6" t="s">
        <v>175</v>
      </c>
      <c r="D106" s="6">
        <v>135</v>
      </c>
      <c r="E106" s="22" t="str">
        <f>IF(C106="استحداث بند جديد", "", IF(D106&lt;&gt;"", IFERROR(INDEX('بنود العقد'!B$3:B$388,D106),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ازرق تيل</v>
      </c>
      <c r="F106" s="23" t="str">
        <f>IF(C106="استحداث بند جديد", "", IF(D106&lt;&gt;"", IFERROR(INDEX('بنود العقد'!D$3:D$388,D106), ""), ""))</f>
        <v>م²</v>
      </c>
      <c r="G106" s="24">
        <f>IF(C106="استحداث بند جديد", "", IF(D106&lt;&gt;"", IFERROR(INDEX('بنود العقد'!E$3:E$388,D106), 0), ""))</f>
        <v>24</v>
      </c>
      <c r="H106" s="7">
        <v>3.64</v>
      </c>
      <c r="I106" s="8">
        <v>120</v>
      </c>
      <c r="J106" s="10">
        <f t="shared" si="0"/>
        <v>87.36</v>
      </c>
      <c r="K106" s="76" t="str">
        <f>IF(C106="استحداث بند جديد", "", IF(D106&lt;&gt;"", IFERROR(INDEX('بنود العقد'!C$3:C$388,D106), ""), ""))</f>
        <v>معماري</v>
      </c>
      <c r="L106" s="76" t="str">
        <f>IF(C106="استحداث بند جديد", IF(K106&lt;&gt;"","CMH_01-"&amp;IFERROR(VLOOKUP(K106,مراجع!$A$3:$B$14,2,FALSE),"?")&amp;"-NEW-"&amp;TEXT(A106,"000"),""), IF(D106&lt;&gt;"", IFERROR(INDEX('بنود العقد'!I$3:I$388,D106), ""), ""))</f>
        <v>CMH_01-A-135</v>
      </c>
      <c r="M106" s="19"/>
    </row>
    <row r="107" spans="1:13" s="76" customFormat="1" ht="28.2" customHeight="1">
      <c r="A107" s="12">
        <v>105</v>
      </c>
      <c r="B107" s="6">
        <v>1</v>
      </c>
      <c r="C107" s="6" t="s">
        <v>250</v>
      </c>
      <c r="D107" s="6">
        <v>136</v>
      </c>
      <c r="E107" s="22" t="str">
        <f>IF(C107="استحداث بند جديد", "", IF(D107&lt;&gt;"", IFERROR(INDEX('بنود العقد'!B$3:B$388,D107),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ازرق فاتح</v>
      </c>
      <c r="F107" s="23" t="str">
        <f>IF(C107="استحداث بند جديد", "", IF(D107&lt;&gt;"", IFERROR(INDEX('بنود العقد'!D$3:D$388,D107), ""), ""))</f>
        <v>م²</v>
      </c>
      <c r="G107" s="24">
        <f>IF(C107="استحداث بند جديد", "", IF(D107&lt;&gt;"", IFERROR(INDEX('بنود العقد'!E$3:E$388,D107), 0), ""))</f>
        <v>20</v>
      </c>
      <c r="H107" s="7">
        <v>-0.82</v>
      </c>
      <c r="I107" s="8">
        <v>120</v>
      </c>
      <c r="J107" s="10">
        <f t="shared" si="0"/>
        <v>-16.399999999999999</v>
      </c>
      <c r="K107" s="76" t="str">
        <f>IF(C107="استحداث بند جديد", "", IF(D107&lt;&gt;"", IFERROR(INDEX('بنود العقد'!C$3:C$388,D107), ""), ""))</f>
        <v>معماري</v>
      </c>
      <c r="L107" s="76" t="str">
        <f>IF(C107="استحداث بند جديد", IF(K107&lt;&gt;"","CMH_01-"&amp;IFERROR(VLOOKUP(K107,مراجع!$A$3:$B$14,2,FALSE),"?")&amp;"-NEW-"&amp;TEXT(A107,"000"),""), IF(D107&lt;&gt;"", IFERROR(INDEX('بنود العقد'!I$3:I$388,D107), ""), ""))</f>
        <v>CMH_01-A-136</v>
      </c>
      <c r="M107" s="19"/>
    </row>
    <row r="108" spans="1:13" s="76" customFormat="1" ht="28.2" customHeight="1">
      <c r="A108" s="12">
        <v>106</v>
      </c>
      <c r="B108" s="6">
        <v>1</v>
      </c>
      <c r="C108" s="6" t="s">
        <v>250</v>
      </c>
      <c r="D108" s="6">
        <v>137</v>
      </c>
      <c r="E108" s="22" t="str">
        <f>IF(C108="استحداث بند جديد", "", IF(D108&lt;&gt;"", IFERROR(INDEX('بنود العقد'!B$3:B$388,D108), "⚠"), ""))</f>
        <v>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 دهان  بلون اسود</v>
      </c>
      <c r="F108" s="23" t="str">
        <f>IF(C108="استحداث بند جديد", "", IF(D108&lt;&gt;"", IFERROR(INDEX('بنود العقد'!D$3:D$388,D108), ""), ""))</f>
        <v>م²</v>
      </c>
      <c r="G108" s="24">
        <f>IF(C108="استحداث بند جديد", "", IF(D108&lt;&gt;"", IFERROR(INDEX('بنود العقد'!E$3:E$388,D108), 0), ""))</f>
        <v>30</v>
      </c>
      <c r="H108" s="7">
        <v>-711.68</v>
      </c>
      <c r="I108" s="8">
        <v>120</v>
      </c>
      <c r="J108" s="10">
        <f t="shared" si="0"/>
        <v>-21350.399999999998</v>
      </c>
      <c r="K108" s="76" t="str">
        <f>IF(C108="استحداث بند جديد", "", IF(D108&lt;&gt;"", IFERROR(INDEX('بنود العقد'!C$3:C$388,D108), ""), ""))</f>
        <v>معماري</v>
      </c>
      <c r="L108" s="76" t="str">
        <f>IF(C108="استحداث بند جديد", IF(K108&lt;&gt;"","CMH_01-"&amp;IFERROR(VLOOKUP(K108,مراجع!$A$3:$B$14,2,FALSE),"?")&amp;"-NEW-"&amp;TEXT(A108,"000"),""), IF(D108&lt;&gt;"", IFERROR(INDEX('بنود العقد'!I$3:I$388,D108), ""), ""))</f>
        <v>CMH_01-A-137</v>
      </c>
      <c r="M108" s="19"/>
    </row>
    <row r="109" spans="1:13" s="76" customFormat="1" ht="28.2" customHeight="1">
      <c r="A109" s="12">
        <v>107</v>
      </c>
      <c r="B109" s="6">
        <v>1</v>
      </c>
      <c r="C109" s="6" t="s">
        <v>250</v>
      </c>
      <c r="D109" s="6">
        <v>138</v>
      </c>
      <c r="E109" s="22" t="str">
        <f>IF(C109="استحداث بند جديد", "", IF(D109&lt;&gt;"", IFERROR(INDEX('بنود العقد'!B$3:B$388,D109), "⚠"), ""))</f>
        <v>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  دهان رمادي غامق</v>
      </c>
      <c r="F109" s="23" t="str">
        <f>IF(C109="استحداث بند جديد", "", IF(D109&lt;&gt;"", IFERROR(INDEX('بنود العقد'!D$3:D$388,D109), ""), ""))</f>
        <v>م²</v>
      </c>
      <c r="G109" s="24">
        <f>IF(C109="استحداث بند جديد", "", IF(D109&lt;&gt;"", IFERROR(INDEX('بنود العقد'!E$3:E$388,D109), 0), ""))</f>
        <v>30</v>
      </c>
      <c r="H109" s="7">
        <v>-99.9</v>
      </c>
      <c r="I109" s="8">
        <v>120</v>
      </c>
      <c r="J109" s="10">
        <f t="shared" si="0"/>
        <v>-2997</v>
      </c>
      <c r="K109" s="76" t="str">
        <f>IF(C109="استحداث بند جديد", "", IF(D109&lt;&gt;"", IFERROR(INDEX('بنود العقد'!C$3:C$388,D109), ""), ""))</f>
        <v>معماري</v>
      </c>
      <c r="L109" s="76" t="str">
        <f>IF(C109="استحداث بند جديد", IF(K109&lt;&gt;"","CMH_01-"&amp;IFERROR(VLOOKUP(K109,مراجع!$A$3:$B$14,2,FALSE),"?")&amp;"-NEW-"&amp;TEXT(A109,"000"),""), IF(D109&lt;&gt;"", IFERROR(INDEX('بنود العقد'!I$3:I$388,D109), ""), ""))</f>
        <v>CMH_01-A-138</v>
      </c>
      <c r="M109" s="19"/>
    </row>
    <row r="110" spans="1:13" s="76" customFormat="1" ht="28.2" customHeight="1">
      <c r="A110" s="12">
        <v>108</v>
      </c>
      <c r="B110" s="6">
        <v>1</v>
      </c>
      <c r="C110" s="6" t="s">
        <v>175</v>
      </c>
      <c r="D110" s="6">
        <v>139</v>
      </c>
      <c r="E110" s="22" t="str">
        <f>IF(C110="استحداث بند جديد", "", IF(D110&lt;&gt;"", IFERROR(INDEX('بنود العقد'!B$3:B$388,D110), "⚠"), ""))</f>
        <v>معالجة و دهان سقف الفناء الوسطى والبند يشمل أعمال ترميم  ودهان الألواح الجبسية مع تغيير التالف منها وفك ألواح التغطية الشفافة )ألواح اللكسان( الحالية وتوريد وتركيب ألواح جديدة ومحمل على البند فك وحدات الانارة الحالية وتوريد وتركيب ،حدات إنارة جديدة مناسبة على ان يقدم المقاول مقترح كامل لطريقة التنفيذ وعينات المواد للاعتماد من المهندس المشرف  قبل البدء بالاعمال والسعر يشمل كافة المواد والاعمال اللازمة لتنفيذ البند طبقاً لتوصيات المهندس المشرف</v>
      </c>
      <c r="F110" s="23" t="str">
        <f>IF(C110="استحداث بند جديد", "", IF(D110&lt;&gt;"", IFERROR(INDEX('بنود العقد'!D$3:D$388,D110), ""), ""))</f>
        <v>م²</v>
      </c>
      <c r="G110" s="24">
        <f>IF(C110="استحداث بند جديد", "", IF(D110&lt;&gt;"", IFERROR(INDEX('بنود العقد'!E$3:E$388,D110), 0), ""))</f>
        <v>30</v>
      </c>
      <c r="H110" s="7">
        <v>11.82</v>
      </c>
      <c r="I110" s="8">
        <v>120</v>
      </c>
      <c r="J110" s="10">
        <f t="shared" si="0"/>
        <v>354.6</v>
      </c>
      <c r="K110" s="76" t="str">
        <f>IF(C110="استحداث بند جديد", "", IF(D110&lt;&gt;"", IFERROR(INDEX('بنود العقد'!C$3:C$388,D110), ""), ""))</f>
        <v>معماري</v>
      </c>
      <c r="L110" s="76" t="str">
        <f>IF(C110="استحداث بند جديد", IF(K110&lt;&gt;"","CMH_01-"&amp;IFERROR(VLOOKUP(K110,مراجع!$A$3:$B$14,2,FALSE),"?")&amp;"-NEW-"&amp;TEXT(A110,"000"),""), IF(D110&lt;&gt;"", IFERROR(INDEX('بنود العقد'!I$3:I$388,D110), ""), ""))</f>
        <v>CMH_01-A-139</v>
      </c>
      <c r="M110" s="19"/>
    </row>
    <row r="111" spans="1:13" s="76" customFormat="1" ht="28.2" customHeight="1">
      <c r="A111" s="12">
        <v>109</v>
      </c>
      <c r="B111" s="6">
        <v>1</v>
      </c>
      <c r="C111" s="6" t="s">
        <v>175</v>
      </c>
      <c r="D111" s="6">
        <v>141</v>
      </c>
      <c r="E111" s="22" t="str">
        <f>IF(C111="استحداث بند جديد", "", IF(D111&lt;&gt;"", IFERROR(INDEX('بنود العقد'!B$3:B$388,D111), "⚠"), ""))</f>
        <v>جهاز تجفيف للأيدي كهربائي</v>
      </c>
      <c r="F111" s="23" t="str">
        <f>IF(C111="استحداث بند جديد", "", IF(D111&lt;&gt;"", IFERROR(INDEX('بنود العقد'!D$3:D$388,D111), ""), ""))</f>
        <v>عدد</v>
      </c>
      <c r="G111" s="24">
        <f>IF(C111="استحداث بند جديد", "", IF(D111&lt;&gt;"", IFERROR(INDEX('بنود العقد'!E$3:E$388,D111), 0), ""))</f>
        <v>990</v>
      </c>
      <c r="H111" s="7">
        <v>50</v>
      </c>
      <c r="I111" s="8">
        <v>120</v>
      </c>
      <c r="J111" s="10">
        <f t="shared" si="0"/>
        <v>49500</v>
      </c>
      <c r="K111" s="76" t="str">
        <f>IF(C111="استحداث بند جديد", "", IF(D111&lt;&gt;"", IFERROR(INDEX('بنود العقد'!C$3:C$388,D111), ""), ""))</f>
        <v>معماري</v>
      </c>
      <c r="L111" s="76" t="str">
        <f>IF(C111="استحداث بند جديد", IF(K111&lt;&gt;"","CMH_01-"&amp;IFERROR(VLOOKUP(K111,مراجع!$A$3:$B$14,2,FALSE),"?")&amp;"-NEW-"&amp;TEXT(A111,"000"),""), IF(D111&lt;&gt;"", IFERROR(INDEX('بنود العقد'!I$3:I$388,D111), ""), ""))</f>
        <v>CMH_01-A-141</v>
      </c>
      <c r="M111" s="19"/>
    </row>
    <row r="112" spans="1:13" s="76" customFormat="1" ht="28.2" customHeight="1">
      <c r="A112" s="12">
        <v>110</v>
      </c>
      <c r="B112" s="6">
        <v>1</v>
      </c>
      <c r="C112" s="6" t="s">
        <v>175</v>
      </c>
      <c r="D112" s="6">
        <v>142</v>
      </c>
      <c r="E112" s="22" t="str">
        <f>IF(C112="استحداث بند جديد", "", IF(D112&lt;&gt;"", IFERROR(INDEX('بنود العقد'!B$3:B$388,D112), "⚠"), ""))</f>
        <v>جهاز مناديل كهربائي</v>
      </c>
      <c r="F112" s="23" t="str">
        <f>IF(C112="استحداث بند جديد", "", IF(D112&lt;&gt;"", IFERROR(INDEX('بنود العقد'!D$3:D$388,D112), ""), ""))</f>
        <v>عدد</v>
      </c>
      <c r="G112" s="24">
        <f>IF(C112="استحداث بند جديد", "", IF(D112&lt;&gt;"", IFERROR(INDEX('بنود العقد'!E$3:E$388,D112), 0), ""))</f>
        <v>900</v>
      </c>
      <c r="H112" s="7">
        <v>50</v>
      </c>
      <c r="I112" s="8">
        <v>120</v>
      </c>
      <c r="J112" s="10">
        <f t="shared" si="0"/>
        <v>45000</v>
      </c>
      <c r="K112" s="76" t="str">
        <f>IF(C112="استحداث بند جديد", "", IF(D112&lt;&gt;"", IFERROR(INDEX('بنود العقد'!C$3:C$388,D112), ""), ""))</f>
        <v>معماري</v>
      </c>
      <c r="L112" s="76" t="str">
        <f>IF(C112="استحداث بند جديد", IF(K112&lt;&gt;"","CMH_01-"&amp;IFERROR(VLOOKUP(K112,مراجع!$A$3:$B$14,2,FALSE),"?")&amp;"-NEW-"&amp;TEXT(A112,"000"),""), IF(D112&lt;&gt;"", IFERROR(INDEX('بنود العقد'!I$3:I$388,D112), ""), ""))</f>
        <v>CMH_01-A-142</v>
      </c>
      <c r="M112" s="19"/>
    </row>
    <row r="113" spans="1:13" s="76" customFormat="1" ht="28.2" customHeight="1">
      <c r="A113" s="12">
        <v>111</v>
      </c>
      <c r="B113" s="6">
        <v>1</v>
      </c>
      <c r="C113" s="6" t="s">
        <v>175</v>
      </c>
      <c r="D113" s="6">
        <v>143</v>
      </c>
      <c r="E113" s="22" t="str">
        <f>IF(C113="استحداث بند جديد", "", IF(D113&lt;&gt;"", IFERROR(INDEX('بنود العقد'!B$3:B$388,D113), "⚠"), ""))</f>
        <v>موزع صابون سائل</v>
      </c>
      <c r="F113" s="23" t="str">
        <f>IF(C113="استحداث بند جديد", "", IF(D113&lt;&gt;"", IFERROR(INDEX('بنود العقد'!D$3:D$388,D113), ""), ""))</f>
        <v>عدد</v>
      </c>
      <c r="G113" s="24">
        <f>IF(C113="استحداث بند جديد", "", IF(D113&lt;&gt;"", IFERROR(INDEX('بنود العقد'!E$3:E$388,D113), 0), ""))</f>
        <v>192</v>
      </c>
      <c r="H113" s="7">
        <v>5</v>
      </c>
      <c r="I113" s="8">
        <v>120</v>
      </c>
      <c r="J113" s="10">
        <f t="shared" si="0"/>
        <v>960</v>
      </c>
      <c r="K113" s="76" t="str">
        <f>IF(C113="استحداث بند جديد", "", IF(D113&lt;&gt;"", IFERROR(INDEX('بنود العقد'!C$3:C$388,D113), ""), ""))</f>
        <v>معماري</v>
      </c>
      <c r="L113" s="76" t="str">
        <f>IF(C113="استحداث بند جديد", IF(K113&lt;&gt;"","CMH_01-"&amp;IFERROR(VLOOKUP(K113,مراجع!$A$3:$B$14,2,FALSE),"?")&amp;"-NEW-"&amp;TEXT(A113,"000"),""), IF(D113&lt;&gt;"", IFERROR(INDEX('بنود العقد'!I$3:I$388,D113), ""), ""))</f>
        <v>CMH_01-A-143</v>
      </c>
      <c r="M113" s="19"/>
    </row>
    <row r="114" spans="1:13" s="76" customFormat="1" ht="28.2" customHeight="1">
      <c r="A114" s="12">
        <v>112</v>
      </c>
      <c r="B114" s="6">
        <v>1</v>
      </c>
      <c r="C114" s="6" t="s">
        <v>175</v>
      </c>
      <c r="D114" s="6">
        <v>144</v>
      </c>
      <c r="E114" s="22" t="str">
        <f>IF(C114="استحداث بند جديد", "", IF(D114&lt;&gt;"", IFERROR(INDEX('بنود العقد'!B$3:B$388,D114), "⚠"), ""))</f>
        <v>حاملة لفة ورق توليت</v>
      </c>
      <c r="F114" s="23" t="str">
        <f>IF(C114="استحداث بند جديد", "", IF(D114&lt;&gt;"", IFERROR(INDEX('بنود العقد'!D$3:D$388,D114), ""), ""))</f>
        <v>عدد</v>
      </c>
      <c r="G114" s="24">
        <f>IF(C114="استحداث بند جديد", "", IF(D114&lt;&gt;"", IFERROR(INDEX('بنود العقد'!E$3:E$388,D114), 0), ""))</f>
        <v>192</v>
      </c>
      <c r="H114" s="7">
        <v>7</v>
      </c>
      <c r="I114" s="8">
        <v>120</v>
      </c>
      <c r="J114" s="10">
        <f t="shared" si="0"/>
        <v>1344</v>
      </c>
      <c r="K114" s="76" t="str">
        <f>IF(C114="استحداث بند جديد", "", IF(D114&lt;&gt;"", IFERROR(INDEX('بنود العقد'!C$3:C$388,D114), ""), ""))</f>
        <v>معماري</v>
      </c>
      <c r="L114" s="76" t="str">
        <f>IF(C114="استحداث بند جديد", IF(K114&lt;&gt;"","CMH_01-"&amp;IFERROR(VLOOKUP(K114,مراجع!$A$3:$B$14,2,FALSE),"?")&amp;"-NEW-"&amp;TEXT(A114,"000"),""), IF(D114&lt;&gt;"", IFERROR(INDEX('بنود العقد'!I$3:I$388,D114), ""), ""))</f>
        <v>CMH_01-A-144</v>
      </c>
      <c r="M114" s="19"/>
    </row>
    <row r="115" spans="1:13" s="76" customFormat="1" ht="28.2" customHeight="1">
      <c r="A115" s="12">
        <v>113</v>
      </c>
      <c r="B115" s="6">
        <v>1</v>
      </c>
      <c r="C115" s="6" t="s">
        <v>175</v>
      </c>
      <c r="D115" s="6">
        <v>145</v>
      </c>
      <c r="E115" s="22" t="str">
        <f>IF(C115="استحداث بند جديد", "", IF(D115&lt;&gt;"", IFERROR(INDEX('بنود العقد'!B$3:B$388,D115), "⚠"), ""))</f>
        <v>مقابض لذوي الاحتياجات الخاصة  مكونه من مقبض خلفي 900 مم</v>
      </c>
      <c r="F115" s="23" t="str">
        <f>IF(C115="استحداث بند جديد", "", IF(D115&lt;&gt;"", IFERROR(INDEX('بنود العقد'!D$3:D$388,D115), ""), ""))</f>
        <v>عدد</v>
      </c>
      <c r="G115" s="24">
        <f>IF(C115="استحداث بند جديد", "", IF(D115&lt;&gt;"", IFERROR(INDEX('بنود العقد'!E$3:E$388,D115), 0), ""))</f>
        <v>720</v>
      </c>
      <c r="H115" s="7">
        <v>1</v>
      </c>
      <c r="I115" s="8">
        <v>120</v>
      </c>
      <c r="J115" s="10">
        <f t="shared" si="0"/>
        <v>720</v>
      </c>
      <c r="K115" s="76" t="str">
        <f>IF(C115="استحداث بند جديد", "", IF(D115&lt;&gt;"", IFERROR(INDEX('بنود العقد'!C$3:C$388,D115), ""), ""))</f>
        <v>معماري</v>
      </c>
      <c r="L115" s="76" t="str">
        <f>IF(C115="استحداث بند جديد", IF(K115&lt;&gt;"","CMH_01-"&amp;IFERROR(VLOOKUP(K115,مراجع!$A$3:$B$14,2,FALSE),"?")&amp;"-NEW-"&amp;TEXT(A115,"000"),""), IF(D115&lt;&gt;"", IFERROR(INDEX('بنود العقد'!I$3:I$388,D115), ""), ""))</f>
        <v>CMH_01-A-145</v>
      </c>
      <c r="M115" s="19"/>
    </row>
    <row r="116" spans="1:13" s="76" customFormat="1" ht="28.2" customHeight="1">
      <c r="A116" s="12">
        <v>114</v>
      </c>
      <c r="B116" s="6">
        <v>1</v>
      </c>
      <c r="C116" s="6" t="s">
        <v>175</v>
      </c>
      <c r="D116" s="6">
        <v>146</v>
      </c>
      <c r="E116" s="22" t="str">
        <f>IF(C116="استحداث بند جديد", "", IF(D116&lt;&gt;"", IFERROR(INDEX('بنود العقد'!B$3:B$388,D116), "⚠"), ""))</f>
        <v>مقابض لذوي الاحتياجات الخاصة   مكونه من مقبض جانبي1100 مم</v>
      </c>
      <c r="F116" s="23" t="str">
        <f>IF(C116="استحداث بند جديد", "", IF(D116&lt;&gt;"", IFERROR(INDEX('بنود العقد'!D$3:D$388,D116), ""), ""))</f>
        <v>عدد</v>
      </c>
      <c r="G116" s="24">
        <f>IF(C116="استحداث بند جديد", "", IF(D116&lt;&gt;"", IFERROR(INDEX('بنود العقد'!E$3:E$388,D116), 0), ""))</f>
        <v>840</v>
      </c>
      <c r="H116" s="7">
        <v>1</v>
      </c>
      <c r="I116" s="8">
        <v>120</v>
      </c>
      <c r="J116" s="10">
        <f t="shared" si="0"/>
        <v>840</v>
      </c>
      <c r="K116" s="76" t="str">
        <f>IF(C116="استحداث بند جديد", "", IF(D116&lt;&gt;"", IFERROR(INDEX('بنود العقد'!C$3:C$388,D116), ""), ""))</f>
        <v>معماري</v>
      </c>
      <c r="L116" s="76" t="str">
        <f>IF(C116="استحداث بند جديد", IF(K116&lt;&gt;"","CMH_01-"&amp;IFERROR(VLOOKUP(K116,مراجع!$A$3:$B$14,2,FALSE),"?")&amp;"-NEW-"&amp;TEXT(A116,"000"),""), IF(D116&lt;&gt;"", IFERROR(INDEX('بنود العقد'!I$3:I$388,D116), ""), ""))</f>
        <v>CMH_01-A-146</v>
      </c>
      <c r="M116" s="19"/>
    </row>
    <row r="117" spans="1:13" s="76" customFormat="1" ht="28.2" customHeight="1">
      <c r="A117" s="12">
        <v>115</v>
      </c>
      <c r="B117" s="6">
        <v>1</v>
      </c>
      <c r="C117" s="6" t="s">
        <v>250</v>
      </c>
      <c r="D117" s="6">
        <v>148</v>
      </c>
      <c r="E117" s="22" t="str">
        <f>IF(C117="استحداث بند جديد", "", IF(D117&lt;&gt;"", IFERROR(INDEX('بنود العقد'!B$3:B$388,D117), "⚠"), ""))</f>
        <v>طقم اكسسوارات لمكتب الوكيل ومساعد الوكيل ومكاتب التنفيذيين في الدور السادس شاملة اكسسوارات حوض المغسلة، ماسورة تعليق المناشف وحوامل المناشف، فرش الحمام، حامل ورق التواليت</v>
      </c>
      <c r="F117" s="23" t="str">
        <f>IF(C117="استحداث بند جديد", "", IF(D117&lt;&gt;"", IFERROR(INDEX('بنود العقد'!D$3:D$388,D117), ""), ""))</f>
        <v>عدد</v>
      </c>
      <c r="G117" s="24">
        <f>IF(C117="استحداث بند جديد", "", IF(D117&lt;&gt;"", IFERROR(INDEX('بنود العقد'!E$3:E$388,D117), 0), ""))</f>
        <v>6000</v>
      </c>
      <c r="H117" s="7">
        <v>-5</v>
      </c>
      <c r="I117" s="8">
        <v>120</v>
      </c>
      <c r="J117" s="10">
        <f t="shared" si="0"/>
        <v>-30000</v>
      </c>
      <c r="K117" s="76" t="str">
        <f>IF(C117="استحداث بند جديد", "", IF(D117&lt;&gt;"", IFERROR(INDEX('بنود العقد'!C$3:C$388,D117), ""), ""))</f>
        <v>معماري</v>
      </c>
      <c r="L117" s="76" t="str">
        <f>IF(C117="استحداث بند جديد", IF(K117&lt;&gt;"","CMH_01-"&amp;IFERROR(VLOOKUP(K117,مراجع!$A$3:$B$14,2,FALSE),"?")&amp;"-NEW-"&amp;TEXT(A117,"000"),""), IF(D117&lt;&gt;"", IFERROR(INDEX('بنود العقد'!I$3:I$388,D117), ""), ""))</f>
        <v>CMH_01-A-148</v>
      </c>
      <c r="M117" s="19"/>
    </row>
    <row r="118" spans="1:13" s="76" customFormat="1" ht="28.2" customHeight="1">
      <c r="A118" s="12">
        <v>116</v>
      </c>
      <c r="B118" s="6">
        <v>1</v>
      </c>
      <c r="C118" s="6" t="s">
        <v>250</v>
      </c>
      <c r="D118" s="6">
        <v>151</v>
      </c>
      <c r="E118" s="22" t="str">
        <f>IF(C118="استحداث بند جديد", "", IF(D118&lt;&gt;"", IFERROR(INDEX('بنود العقد'!B$3:B$388,D118), "⚠"), ""))</f>
        <v>توريد وتركيب مرآة وجه 6 مم ترُكّب بارزة عن الجدار مع شطف على كل الجهات طبقا للمواصفات وبحسب تعليمات المهندس المشرف. مقاس 1200 × 800 مم</v>
      </c>
      <c r="F118" s="23" t="str">
        <f>IF(C118="استحداث بند جديد", "", IF(D118&lt;&gt;"", IFERROR(INDEX('بنود العقد'!D$3:D$388,D118), ""), ""))</f>
        <v>عدد</v>
      </c>
      <c r="G118" s="24">
        <f>IF(C118="استحداث بند جديد", "", IF(D118&lt;&gt;"", IFERROR(INDEX('بنود العقد'!E$3:E$388,D118), 0), ""))</f>
        <v>1200</v>
      </c>
      <c r="H118" s="7">
        <v>-3</v>
      </c>
      <c r="I118" s="8">
        <v>120</v>
      </c>
      <c r="J118" s="10">
        <f t="shared" si="0"/>
        <v>-3600</v>
      </c>
      <c r="K118" s="76" t="str">
        <f>IF(C118="استحداث بند جديد", "", IF(D118&lt;&gt;"", IFERROR(INDEX('بنود العقد'!C$3:C$388,D118), ""), ""))</f>
        <v>معماري</v>
      </c>
      <c r="L118" s="76" t="str">
        <f>IF(C118="استحداث بند جديد", IF(K118&lt;&gt;"","CMH_01-"&amp;IFERROR(VLOOKUP(K118,مراجع!$A$3:$B$14,2,FALSE),"?")&amp;"-NEW-"&amp;TEXT(A118,"000"),""), IF(D118&lt;&gt;"", IFERROR(INDEX('بنود العقد'!I$3:I$388,D118), ""), ""))</f>
        <v>CMH_01-A-151</v>
      </c>
      <c r="M118" s="19"/>
    </row>
    <row r="119" spans="1:13" s="76" customFormat="1" ht="28.2" customHeight="1">
      <c r="A119" s="12">
        <v>117</v>
      </c>
      <c r="B119" s="6">
        <v>1</v>
      </c>
      <c r="C119" s="6" t="s">
        <v>175</v>
      </c>
      <c r="D119" s="6">
        <v>152</v>
      </c>
      <c r="E119" s="22" t="str">
        <f>IF(C119="استحداث بند جديد", "", IF(D119&lt;&gt;"", IFERROR(INDEX('بنود العقد'!B$3:B$388,D119), "⚠"), ""))</f>
        <v>توريد وتركيب مرآة وجه 6 مم ترُكّب بارزة عن الجدار مع شطف على كل الجهات طبقا للمواصفات وبحسب تعليمات المهندس المشرف. مقاس 1200 × 700 مم</v>
      </c>
      <c r="F119" s="23" t="str">
        <f>IF(C119="استحداث بند جديد", "", IF(D119&lt;&gt;"", IFERROR(INDEX('بنود العقد'!D$3:D$388,D119), ""), ""))</f>
        <v>عدد</v>
      </c>
      <c r="G119" s="24">
        <f>IF(C119="استحداث بند جديد", "", IF(D119&lt;&gt;"", IFERROR(INDEX('بنود العقد'!E$3:E$388,D119), 0), ""))</f>
        <v>1200</v>
      </c>
      <c r="H119" s="7">
        <v>4</v>
      </c>
      <c r="I119" s="8">
        <v>120</v>
      </c>
      <c r="J119" s="10">
        <f t="shared" si="0"/>
        <v>4800</v>
      </c>
      <c r="K119" s="76" t="str">
        <f>IF(C119="استحداث بند جديد", "", IF(D119&lt;&gt;"", IFERROR(INDEX('بنود العقد'!C$3:C$388,D119), ""), ""))</f>
        <v>معماري</v>
      </c>
      <c r="L119" s="76" t="str">
        <f>IF(C119="استحداث بند جديد", IF(K119&lt;&gt;"","CMH_01-"&amp;IFERROR(VLOOKUP(K119,مراجع!$A$3:$B$14,2,FALSE),"?")&amp;"-NEW-"&amp;TEXT(A119,"000"),""), IF(D119&lt;&gt;"", IFERROR(INDEX('بنود العقد'!I$3:I$388,D119), ""), ""))</f>
        <v>CMH_01-A-152</v>
      </c>
      <c r="M119" s="19"/>
    </row>
    <row r="120" spans="1:13" s="76" customFormat="1" ht="28.2" customHeight="1">
      <c r="A120" s="12">
        <v>118</v>
      </c>
      <c r="B120" s="6">
        <v>1</v>
      </c>
      <c r="C120" s="6" t="s">
        <v>250</v>
      </c>
      <c r="D120" s="6">
        <v>153</v>
      </c>
      <c r="E120" s="22" t="str">
        <f>IF(C120="استحداث بند جديد", "", IF(D120&lt;&gt;"", IFERROR(INDEX('بنود العقد'!B$3:B$388,D120),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1250طول × عرض600 مم </v>
      </c>
      <c r="F120" s="23" t="str">
        <f>IF(C120="استحداث بند جديد", "", IF(D120&lt;&gt;"", IFERROR(INDEX('بنود العقد'!D$3:D$388,D120), ""), ""))</f>
        <v>عدد</v>
      </c>
      <c r="G120" s="24">
        <f>IF(C120="استحداث بند جديد", "", IF(D120&lt;&gt;"", IFERROR(INDEX('بنود العقد'!E$3:E$388,D120), 0), ""))</f>
        <v>1800</v>
      </c>
      <c r="H120" s="7">
        <v>-6</v>
      </c>
      <c r="I120" s="8">
        <v>120</v>
      </c>
      <c r="J120" s="10">
        <f t="shared" si="0"/>
        <v>-10800</v>
      </c>
      <c r="K120" s="76" t="str">
        <f>IF(C120="استحداث بند جديد", "", IF(D120&lt;&gt;"", IFERROR(INDEX('بنود العقد'!C$3:C$388,D120), ""), ""))</f>
        <v>معماري</v>
      </c>
      <c r="L120" s="76" t="str">
        <f>IF(C120="استحداث بند جديد", IF(K120&lt;&gt;"","CMH_01-"&amp;IFERROR(VLOOKUP(K120,مراجع!$A$3:$B$14,2,FALSE),"?")&amp;"-NEW-"&amp;TEXT(A120,"000"),""), IF(D120&lt;&gt;"", IFERROR(INDEX('بنود العقد'!I$3:I$388,D120), ""), ""))</f>
        <v>CMH_01-A-153</v>
      </c>
      <c r="M120" s="19"/>
    </row>
    <row r="121" spans="1:13" s="76" customFormat="1" ht="28.2" customHeight="1">
      <c r="A121" s="12">
        <v>119</v>
      </c>
      <c r="B121" s="6">
        <v>1</v>
      </c>
      <c r="C121" s="6" t="s">
        <v>250</v>
      </c>
      <c r="D121" s="6">
        <v>154</v>
      </c>
      <c r="E121" s="22" t="str">
        <f>IF(C121="استحداث بند جديد", "", IF(D121&lt;&gt;"", IFERROR(INDEX('بنود العقد'!B$3:B$388,D121),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1200طول × عرض600 مم </v>
      </c>
      <c r="F121" s="23" t="str">
        <f>IF(C121="استحداث بند جديد", "", IF(D121&lt;&gt;"", IFERROR(INDEX('بنود العقد'!D$3:D$388,D121), ""), ""))</f>
        <v>عدد</v>
      </c>
      <c r="G121" s="24">
        <f>IF(C121="استحداث بند جديد", "", IF(D121&lt;&gt;"", IFERROR(INDEX('بنود العقد'!E$3:E$388,D121), 0), ""))</f>
        <v>1800</v>
      </c>
      <c r="H121" s="7">
        <v>-9</v>
      </c>
      <c r="I121" s="8">
        <v>120</v>
      </c>
      <c r="J121" s="10">
        <f t="shared" si="0"/>
        <v>-16200</v>
      </c>
      <c r="K121" s="76" t="str">
        <f>IF(C121="استحداث بند جديد", "", IF(D121&lt;&gt;"", IFERROR(INDEX('بنود العقد'!C$3:C$388,D121), ""), ""))</f>
        <v>معماري</v>
      </c>
      <c r="L121" s="76" t="str">
        <f>IF(C121="استحداث بند جديد", IF(K121&lt;&gt;"","CMH_01-"&amp;IFERROR(VLOOKUP(K121,مراجع!$A$3:$B$14,2,FALSE),"?")&amp;"-NEW-"&amp;TEXT(A121,"000"),""), IF(D121&lt;&gt;"", IFERROR(INDEX('بنود العقد'!I$3:I$388,D121), ""), ""))</f>
        <v>CMH_01-A-154</v>
      </c>
      <c r="M121" s="19"/>
    </row>
    <row r="122" spans="1:13" s="76" customFormat="1" ht="28.2" customHeight="1">
      <c r="A122" s="12">
        <v>120</v>
      </c>
      <c r="B122" s="6">
        <v>1</v>
      </c>
      <c r="C122" s="6" t="s">
        <v>175</v>
      </c>
      <c r="D122" s="6">
        <v>155</v>
      </c>
      <c r="E122" s="22" t="str">
        <f>IF(C122="استحداث بند جديد", "", IF(D122&lt;&gt;"", IFERROR(INDEX('بنود العقد'!B$3:B$388,D122),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مقاس: 1000طولRef drawing: 07-MRA-DD-(as per floor number)-AR-700 to 703 عرض600 مم × </v>
      </c>
      <c r="F122" s="23" t="str">
        <f>IF(C122="استحداث بند جديد", "", IF(D122&lt;&gt;"", IFERROR(INDEX('بنود العقد'!D$3:D$388,D122), ""), ""))</f>
        <v>عدد</v>
      </c>
      <c r="G122" s="24">
        <f>IF(C122="استحداث بند جديد", "", IF(D122&lt;&gt;"", IFERROR(INDEX('بنود العقد'!E$3:E$388,D122), 0), ""))</f>
        <v>1200</v>
      </c>
      <c r="H122" s="7">
        <v>3</v>
      </c>
      <c r="I122" s="8">
        <v>120</v>
      </c>
      <c r="J122" s="10">
        <f t="shared" si="0"/>
        <v>3600</v>
      </c>
      <c r="K122" s="76" t="str">
        <f>IF(C122="استحداث بند جديد", "", IF(D122&lt;&gt;"", IFERROR(INDEX('بنود العقد'!C$3:C$388,D122), ""), ""))</f>
        <v>معماري</v>
      </c>
      <c r="L122" s="76" t="str">
        <f>IF(C122="استحداث بند جديد", IF(K122&lt;&gt;"","CMH_01-"&amp;IFERROR(VLOOKUP(K122,مراجع!$A$3:$B$14,2,FALSE),"?")&amp;"-NEW-"&amp;TEXT(A122,"000"),""), IF(D122&lt;&gt;"", IFERROR(INDEX('بنود العقد'!I$3:I$388,D122), ""), ""))</f>
        <v>CMH_01-A-155</v>
      </c>
      <c r="M122" s="19"/>
    </row>
    <row r="123" spans="1:13" s="76" customFormat="1" ht="28.2" customHeight="1">
      <c r="A123" s="12">
        <v>121</v>
      </c>
      <c r="B123" s="6">
        <v>1</v>
      </c>
      <c r="C123" s="6" t="s">
        <v>175</v>
      </c>
      <c r="D123" s="6">
        <v>157</v>
      </c>
      <c r="E123" s="22" t="str">
        <f>IF(C123="استحداث بند جديد", "", IF(D123&lt;&gt;"", IFERROR(INDEX('بنود العقد'!B$3:B$388,D123),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1340طول × عرض600 مم </v>
      </c>
      <c r="F123" s="23" t="str">
        <f>IF(C123="استحداث بند جديد", "", IF(D123&lt;&gt;"", IFERROR(INDEX('بنود العقد'!D$3:D$388,D123), ""), ""))</f>
        <v>عدد</v>
      </c>
      <c r="G123" s="24">
        <f>IF(C123="استحداث بند جديد", "", IF(D123&lt;&gt;"", IFERROR(INDEX('بنود العقد'!E$3:E$388,D123), 0), ""))</f>
        <v>6000</v>
      </c>
      <c r="H123" s="7">
        <v>2</v>
      </c>
      <c r="I123" s="8">
        <v>120</v>
      </c>
      <c r="J123" s="10">
        <f t="shared" si="0"/>
        <v>12000</v>
      </c>
      <c r="K123" s="76" t="str">
        <f>IF(C123="استحداث بند جديد", "", IF(D123&lt;&gt;"", IFERROR(INDEX('بنود العقد'!C$3:C$388,D123), ""), ""))</f>
        <v>معماري</v>
      </c>
      <c r="L123" s="76" t="str">
        <f>IF(C123="استحداث بند جديد", IF(K123&lt;&gt;"","CMH_01-"&amp;IFERROR(VLOOKUP(K123,مراجع!$A$3:$B$14,2,FALSE),"?")&amp;"-NEW-"&amp;TEXT(A123,"000"),""), IF(D123&lt;&gt;"", IFERROR(INDEX('بنود العقد'!I$3:I$388,D123), ""), ""))</f>
        <v>CMH_01-A-157</v>
      </c>
      <c r="M123" s="19"/>
    </row>
    <row r="124" spans="1:13" s="76" customFormat="1" ht="28.2" customHeight="1">
      <c r="A124" s="12">
        <v>122</v>
      </c>
      <c r="B124" s="6">
        <v>1</v>
      </c>
      <c r="C124" s="6" t="s">
        <v>175</v>
      </c>
      <c r="D124" s="6">
        <v>158</v>
      </c>
      <c r="E124" s="22" t="str">
        <f>IF(C124="استحداث بند جديد", "", IF(D124&lt;&gt;"", IFERROR(INDEX('بنود العقد'!B$3:B$388,D124), "⚠"), ""))</f>
        <v>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1620طول × عرض600 مم</v>
      </c>
      <c r="F124" s="23" t="str">
        <f>IF(C124="استحداث بند جديد", "", IF(D124&lt;&gt;"", IFERROR(INDEX('بنود العقد'!D$3:D$388,D124), ""), ""))</f>
        <v>عدد</v>
      </c>
      <c r="G124" s="24">
        <f>IF(C124="استحداث بند جديد", "", IF(D124&lt;&gt;"", IFERROR(INDEX('بنود العقد'!E$3:E$388,D124), 0), ""))</f>
        <v>3000</v>
      </c>
      <c r="H124" s="7">
        <v>3</v>
      </c>
      <c r="I124" s="8">
        <v>120</v>
      </c>
      <c r="J124" s="10">
        <f t="shared" si="0"/>
        <v>9000</v>
      </c>
      <c r="K124" s="76" t="str">
        <f>IF(C124="استحداث بند جديد", "", IF(D124&lt;&gt;"", IFERROR(INDEX('بنود العقد'!C$3:C$388,D124), ""), ""))</f>
        <v>معماري</v>
      </c>
      <c r="L124" s="76" t="str">
        <f>IF(C124="استحداث بند جديد", IF(K124&lt;&gt;"","CMH_01-"&amp;IFERROR(VLOOKUP(K124,مراجع!$A$3:$B$14,2,FALSE),"?")&amp;"-NEW-"&amp;TEXT(A124,"000"),""), IF(D124&lt;&gt;"", IFERROR(INDEX('بنود العقد'!I$3:I$388,D124), ""), ""))</f>
        <v>CMH_01-A-158</v>
      </c>
      <c r="M124" s="19"/>
    </row>
    <row r="125" spans="1:13" s="76" customFormat="1" ht="28.2" customHeight="1">
      <c r="A125" s="12">
        <v>123</v>
      </c>
      <c r="B125" s="6">
        <v>1</v>
      </c>
      <c r="C125" s="6" t="s">
        <v>175</v>
      </c>
      <c r="D125" s="6">
        <v>159</v>
      </c>
      <c r="E125" s="22" t="str">
        <f>IF(C125="استحداث بند جديد", "", IF(D125&lt;&gt;"", IFERROR(INDEX('بنود العقد'!B$3:B$388,D125),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1200طول × عرض500 مم </v>
      </c>
      <c r="F125" s="23" t="str">
        <f>IF(C125="استحداث بند جديد", "", IF(D125&lt;&gt;"", IFERROR(INDEX('بنود العقد'!D$3:D$388,D125), ""), ""))</f>
        <v>عدد</v>
      </c>
      <c r="G125" s="24">
        <f>IF(C125="استحداث بند جديد", "", IF(D125&lt;&gt;"", IFERROR(INDEX('بنود العقد'!E$3:E$388,D125), 0), ""))</f>
        <v>1800</v>
      </c>
      <c r="H125" s="7">
        <v>1</v>
      </c>
      <c r="I125" s="8">
        <v>120</v>
      </c>
      <c r="J125" s="10">
        <f t="shared" si="0"/>
        <v>1800</v>
      </c>
      <c r="K125" s="76" t="str">
        <f>IF(C125="استحداث بند جديد", "", IF(D125&lt;&gt;"", IFERROR(INDEX('بنود العقد'!C$3:C$388,D125), ""), ""))</f>
        <v>معماري</v>
      </c>
      <c r="L125" s="76" t="str">
        <f>IF(C125="استحداث بند جديد", IF(K125&lt;&gt;"","CMH_01-"&amp;IFERROR(VLOOKUP(K125,مراجع!$A$3:$B$14,2,FALSE),"?")&amp;"-NEW-"&amp;TEXT(A125,"000"),""), IF(D125&lt;&gt;"", IFERROR(INDEX('بنود العقد'!I$3:I$388,D125), ""), ""))</f>
        <v>CMH_01-A-159</v>
      </c>
      <c r="M125" s="19"/>
    </row>
    <row r="126" spans="1:13" s="76" customFormat="1" ht="28.2" customHeight="1">
      <c r="A126" s="12">
        <v>124</v>
      </c>
      <c r="B126" s="6">
        <v>1</v>
      </c>
      <c r="C126" s="6" t="s">
        <v>250</v>
      </c>
      <c r="D126" s="6">
        <v>160</v>
      </c>
      <c r="E126" s="22" t="str">
        <f>IF(C126="استحداث بند جديد", "", IF(D126&lt;&gt;"", IFERROR(INDEX('بنود العقد'!B$3:B$388,D126),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1250طول × عرض600 مم</v>
      </c>
      <c r="F126" s="23" t="str">
        <f>IF(C126="استحداث بند جديد", "", IF(D126&lt;&gt;"", IFERROR(INDEX('بنود العقد'!D$3:D$388,D126), ""), ""))</f>
        <v>عدد</v>
      </c>
      <c r="G126" s="24">
        <f>IF(C126="استحداث بند جديد", "", IF(D126&lt;&gt;"", IFERROR(INDEX('بنود العقد'!E$3:E$388,D126), 0), ""))</f>
        <v>1800</v>
      </c>
      <c r="H126" s="7">
        <v>-3</v>
      </c>
      <c r="I126" s="8">
        <v>120</v>
      </c>
      <c r="J126" s="10">
        <f t="shared" si="0"/>
        <v>-5400</v>
      </c>
      <c r="K126" s="76" t="str">
        <f>IF(C126="استحداث بند جديد", "", IF(D126&lt;&gt;"", IFERROR(INDEX('بنود العقد'!C$3:C$388,D126), ""), ""))</f>
        <v>معماري</v>
      </c>
      <c r="L126" s="76" t="str">
        <f>IF(C126="استحداث بند جديد", IF(K126&lt;&gt;"","CMH_01-"&amp;IFERROR(VLOOKUP(K126,مراجع!$A$3:$B$14,2,FALSE),"?")&amp;"-NEW-"&amp;TEXT(A126,"000"),""), IF(D126&lt;&gt;"", IFERROR(INDEX('بنود العقد'!I$3:I$388,D126), ""), ""))</f>
        <v>CMH_01-A-160</v>
      </c>
      <c r="M126" s="19"/>
    </row>
    <row r="127" spans="1:13" s="76" customFormat="1" ht="28.2" customHeight="1">
      <c r="A127" s="12">
        <v>125</v>
      </c>
      <c r="B127" s="6">
        <v>1</v>
      </c>
      <c r="C127" s="6" t="s">
        <v>250</v>
      </c>
      <c r="D127" s="6">
        <v>161</v>
      </c>
      <c r="E127" s="22" t="str">
        <f>IF(C127="استحداث بند جديد", "", IF(D127&lt;&gt;"", IFERROR(INDEX('بنود العقد'!B$3:B$388,D127),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1200طول × عرض600 مم</v>
      </c>
      <c r="F127" s="23" t="str">
        <f>IF(C127="استحداث بند جديد", "", IF(D127&lt;&gt;"", IFERROR(INDEX('بنود العقد'!D$3:D$388,D127), ""), ""))</f>
        <v>عدد</v>
      </c>
      <c r="G127" s="24">
        <f>IF(C127="استحداث بند جديد", "", IF(D127&lt;&gt;"", IFERROR(INDEX('بنود العقد'!E$3:E$388,D127), 0), ""))</f>
        <v>1800</v>
      </c>
      <c r="H127" s="7">
        <v>-11</v>
      </c>
      <c r="I127" s="8">
        <v>120</v>
      </c>
      <c r="J127" s="10">
        <f t="shared" si="0"/>
        <v>-19800</v>
      </c>
      <c r="K127" s="76" t="str">
        <f>IF(C127="استحداث بند جديد", "", IF(D127&lt;&gt;"", IFERROR(INDEX('بنود العقد'!C$3:C$388,D127), ""), ""))</f>
        <v>معماري</v>
      </c>
      <c r="L127" s="76" t="str">
        <f>IF(C127="استحداث بند جديد", IF(K127&lt;&gt;"","CMH_01-"&amp;IFERROR(VLOOKUP(K127,مراجع!$A$3:$B$14,2,FALSE),"?")&amp;"-NEW-"&amp;TEXT(A127,"000"),""), IF(D127&lt;&gt;"", IFERROR(INDEX('بنود العقد'!I$3:I$388,D127), ""), ""))</f>
        <v>CMH_01-A-161</v>
      </c>
      <c r="M127" s="19"/>
    </row>
    <row r="128" spans="1:13" s="76" customFormat="1" ht="28.2" customHeight="1">
      <c r="A128" s="12">
        <v>126</v>
      </c>
      <c r="B128" s="6">
        <v>1</v>
      </c>
      <c r="C128" s="6" t="s">
        <v>175</v>
      </c>
      <c r="D128" s="6">
        <v>162</v>
      </c>
      <c r="E128" s="22" t="str">
        <f>IF(C128="استحداث بند جديد", "", IF(D128&lt;&gt;"", IFERROR(INDEX('بنود العقد'!B$3:B$388,D128),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المشرف.Ref drawing: 07-MRA-DD-(as per floor number)-AR-700 to 703 مقاس: 1000طول × عرض600 مم</v>
      </c>
      <c r="F128" s="23" t="str">
        <f>IF(C128="استحداث بند جديد", "", IF(D128&lt;&gt;"", IFERROR(INDEX('بنود العقد'!D$3:D$388,D128), ""), ""))</f>
        <v>عدد</v>
      </c>
      <c r="G128" s="24">
        <f>IF(C128="استحداث بند جديد", "", IF(D128&lt;&gt;"", IFERROR(INDEX('بنود العقد'!E$3:E$388,D128), 0), ""))</f>
        <v>1800</v>
      </c>
      <c r="H128" s="7">
        <v>6</v>
      </c>
      <c r="I128" s="8">
        <v>120</v>
      </c>
      <c r="J128" s="10">
        <f t="shared" si="0"/>
        <v>10800</v>
      </c>
      <c r="K128" s="76" t="str">
        <f>IF(C128="استحداث بند جديد", "", IF(D128&lt;&gt;"", IFERROR(INDEX('بنود العقد'!C$3:C$388,D128), ""), ""))</f>
        <v>معماري</v>
      </c>
      <c r="L128" s="76" t="str">
        <f>IF(C128="استحداث بند جديد", IF(K128&lt;&gt;"","CMH_01-"&amp;IFERROR(VLOOKUP(K128,مراجع!$A$3:$B$14,2,FALSE),"?")&amp;"-NEW-"&amp;TEXT(A128,"000"),""), IF(D128&lt;&gt;"", IFERROR(INDEX('بنود العقد'!I$3:I$388,D128), ""), ""))</f>
        <v>CMH_01-A-162</v>
      </c>
      <c r="M128" s="19"/>
    </row>
    <row r="129" spans="1:13" s="76" customFormat="1" ht="28.2" customHeight="1">
      <c r="A129" s="12">
        <v>127</v>
      </c>
      <c r="B129" s="6">
        <v>1</v>
      </c>
      <c r="C129" s="6" t="s">
        <v>250</v>
      </c>
      <c r="D129" s="6">
        <v>163</v>
      </c>
      <c r="E129" s="22" t="str">
        <f>IF(C129="استحداث بند جديد", "", IF(D129&lt;&gt;"", IFERROR(INDEX('بنود العقد'!B$3:B$388,D129),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3800طول × عرض600 مم</v>
      </c>
      <c r="F129" s="23" t="str">
        <f>IF(C129="استحداث بند جديد", "", IF(D129&lt;&gt;"", IFERROR(INDEX('بنود العقد'!D$3:D$388,D129), ""), ""))</f>
        <v>عدد</v>
      </c>
      <c r="G129" s="24">
        <f>IF(C129="استحداث بند جديد", "", IF(D129&lt;&gt;"", IFERROR(INDEX('بنود العقد'!E$3:E$388,D129), 0), ""))</f>
        <v>6000</v>
      </c>
      <c r="H129" s="7">
        <v>-23</v>
      </c>
      <c r="I129" s="8">
        <v>120</v>
      </c>
      <c r="J129" s="10">
        <f t="shared" si="0"/>
        <v>-138000</v>
      </c>
      <c r="K129" s="76" t="str">
        <f>IF(C129="استحداث بند جديد", "", IF(D129&lt;&gt;"", IFERROR(INDEX('بنود العقد'!C$3:C$388,D129), ""), ""))</f>
        <v>معماري</v>
      </c>
      <c r="L129" s="76" t="str">
        <f>IF(C129="استحداث بند جديد", IF(K129&lt;&gt;"","CMH_01-"&amp;IFERROR(VLOOKUP(K129,مراجع!$A$3:$B$14,2,FALSE),"?")&amp;"-NEW-"&amp;TEXT(A129,"000"),""), IF(D129&lt;&gt;"", IFERROR(INDEX('بنود العقد'!I$3:I$388,D129), ""), ""))</f>
        <v>CMH_01-A-163</v>
      </c>
      <c r="M129" s="19"/>
    </row>
    <row r="130" spans="1:13" s="76" customFormat="1" ht="28.2" customHeight="1">
      <c r="A130" s="12">
        <v>128</v>
      </c>
      <c r="B130" s="6">
        <v>1</v>
      </c>
      <c r="C130" s="6" t="s">
        <v>175</v>
      </c>
      <c r="D130" s="6">
        <v>164</v>
      </c>
      <c r="E130" s="22" t="str">
        <f>IF(C130="استحداث بند جديد", "", IF(D130&lt;&gt;"", IFERROR(INDEX('بنود العقد'!B$3:B$388,D130),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1340طول × عرض600 مم</v>
      </c>
      <c r="F130" s="23" t="str">
        <f>IF(C130="استحداث بند جديد", "", IF(D130&lt;&gt;"", IFERROR(INDEX('بنود العقد'!D$3:D$388,D130), ""), ""))</f>
        <v>عدد</v>
      </c>
      <c r="G130" s="24">
        <f>IF(C130="استحداث بند جديد", "", IF(D130&lt;&gt;"", IFERROR(INDEX('بنود العقد'!E$3:E$388,D130), 0), ""))</f>
        <v>2100</v>
      </c>
      <c r="H130" s="7">
        <v>2</v>
      </c>
      <c r="I130" s="8">
        <v>120</v>
      </c>
      <c r="J130" s="10">
        <f t="shared" si="0"/>
        <v>4200</v>
      </c>
      <c r="K130" s="76" t="str">
        <f>IF(C130="استحداث بند جديد", "", IF(D130&lt;&gt;"", IFERROR(INDEX('بنود العقد'!C$3:C$388,D130), ""), ""))</f>
        <v>معماري</v>
      </c>
      <c r="L130" s="76" t="str">
        <f>IF(C130="استحداث بند جديد", IF(K130&lt;&gt;"","CMH_01-"&amp;IFERROR(VLOOKUP(K130,مراجع!$A$3:$B$14,2,FALSE),"?")&amp;"-NEW-"&amp;TEXT(A130,"000"),""), IF(D130&lt;&gt;"", IFERROR(INDEX('بنود العقد'!I$3:I$388,D130), ""), ""))</f>
        <v>CMH_01-A-164</v>
      </c>
      <c r="M130" s="19"/>
    </row>
    <row r="131" spans="1:13" s="76" customFormat="1" ht="28.2" customHeight="1">
      <c r="A131" s="12">
        <v>129</v>
      </c>
      <c r="B131" s="6">
        <v>1</v>
      </c>
      <c r="C131" s="6" t="s">
        <v>175</v>
      </c>
      <c r="D131" s="6">
        <v>166</v>
      </c>
      <c r="E131" s="22" t="str">
        <f>IF(C131="استحداث بند جديد", "", IF(D131&lt;&gt;"", IFERROR(INDEX('بنود العقد'!B$3:B$388,D131),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1200طول × عرض500 مم</v>
      </c>
      <c r="F131" s="23" t="str">
        <f>IF(C131="استحداث بند جديد", "", IF(D131&lt;&gt;"", IFERROR(INDEX('بنود العقد'!D$3:D$388,D131), ""), ""))</f>
        <v>عدد</v>
      </c>
      <c r="G131" s="24">
        <f>IF(C131="استحداث بند جديد", "", IF(D131&lt;&gt;"", IFERROR(INDEX('بنود العقد'!E$3:E$388,D131), 0), ""))</f>
        <v>2400</v>
      </c>
      <c r="H131" s="7">
        <v>1</v>
      </c>
      <c r="I131" s="8">
        <v>120</v>
      </c>
      <c r="J131" s="10">
        <f t="shared" si="0"/>
        <v>2400</v>
      </c>
      <c r="K131" s="76" t="str">
        <f>IF(C131="استحداث بند جديد", "", IF(D131&lt;&gt;"", IFERROR(INDEX('بنود العقد'!C$3:C$388,D131), ""), ""))</f>
        <v>معماري</v>
      </c>
      <c r="L131" s="76" t="str">
        <f>IF(C131="استحداث بند جديد", IF(K131&lt;&gt;"","CMH_01-"&amp;IFERROR(VLOOKUP(K131,مراجع!$A$3:$B$14,2,FALSE),"?")&amp;"-NEW-"&amp;TEXT(A131,"000"),""), IF(D131&lt;&gt;"", IFERROR(INDEX('بنود العقد'!I$3:I$388,D131), ""), ""))</f>
        <v>CMH_01-A-166</v>
      </c>
      <c r="M131" s="19"/>
    </row>
    <row r="132" spans="1:13" s="76" customFormat="1" ht="28.2" customHeight="1">
      <c r="A132" s="12">
        <v>130</v>
      </c>
      <c r="B132" s="6">
        <v>1</v>
      </c>
      <c r="C132" s="6" t="s">
        <v>175</v>
      </c>
      <c r="D132" s="6">
        <v>169</v>
      </c>
      <c r="E132" s="22" t="str">
        <f>IF(C132="استحداث بند جديد", "", IF(D132&lt;&gt;"", IFERROR(INDEX('بنود العقد'!B$3:B$388,D132), "⚠"), ""))</f>
        <v>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للإستقبال نوع  101ID</v>
      </c>
      <c r="F132" s="23" t="str">
        <f>IF(C132="استحداث بند جديد", "", IF(D132&lt;&gt;"", IFERROR(INDEX('بنود العقد'!D$3:D$388,D132), ""), ""))</f>
        <v>عدد</v>
      </c>
      <c r="G132" s="24">
        <f>IF(C132="استحداث بند جديد", "", IF(D132&lt;&gt;"", IFERROR(INDEX('بنود العقد'!E$3:E$388,D132), 0), ""))</f>
        <v>258</v>
      </c>
      <c r="H132" s="7">
        <v>2</v>
      </c>
      <c r="I132" s="8">
        <v>120</v>
      </c>
      <c r="J132" s="10">
        <f t="shared" si="0"/>
        <v>516</v>
      </c>
      <c r="K132" s="76" t="str">
        <f>IF(C132="استحداث بند جديد", "", IF(D132&lt;&gt;"", IFERROR(INDEX('بنود العقد'!C$3:C$388,D132), ""), ""))</f>
        <v>معماري</v>
      </c>
      <c r="L132" s="76" t="str">
        <f>IF(C132="استحداث بند جديد", IF(K132&lt;&gt;"","CMH_01-"&amp;IFERROR(VLOOKUP(K132,مراجع!$A$3:$B$14,2,FALSE),"?")&amp;"-NEW-"&amp;TEXT(A132,"000"),""), IF(D132&lt;&gt;"", IFERROR(INDEX('بنود العقد'!I$3:I$388,D132), ""), ""))</f>
        <v>CMH_01-A-169</v>
      </c>
      <c r="M132" s="19"/>
    </row>
    <row r="133" spans="1:13" s="76" customFormat="1" ht="28.2" customHeight="1">
      <c r="A133" s="12">
        <v>131</v>
      </c>
      <c r="B133" s="6">
        <v>1</v>
      </c>
      <c r="C133" s="6" t="s">
        <v>175</v>
      </c>
      <c r="D133" s="6">
        <v>170</v>
      </c>
      <c r="E133" s="22" t="str">
        <f>IF(C133="استحداث بند جديد", "", IF(D133&lt;&gt;"", IFERROR(INDEX('بنود العقد'!B$3:B$388,D133), "⚠"), ""))</f>
        <v>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للمكاتب نوع  102ID</v>
      </c>
      <c r="F133" s="23" t="str">
        <f>IF(C133="استحداث بند جديد", "", IF(D133&lt;&gt;"", IFERROR(INDEX('بنود العقد'!D$3:D$388,D133), ""), ""))</f>
        <v>عدد</v>
      </c>
      <c r="G133" s="24">
        <f>IF(C133="استحداث بند جديد", "", IF(D133&lt;&gt;"", IFERROR(INDEX('بنود العقد'!E$3:E$388,D133), 0), ""))</f>
        <v>258</v>
      </c>
      <c r="H133" s="7">
        <v>82</v>
      </c>
      <c r="I133" s="8">
        <v>120</v>
      </c>
      <c r="J133" s="10">
        <f t="shared" si="0"/>
        <v>21156</v>
      </c>
      <c r="K133" s="76" t="str">
        <f>IF(C133="استحداث بند جديد", "", IF(D133&lt;&gt;"", IFERROR(INDEX('بنود العقد'!C$3:C$388,D133), ""), ""))</f>
        <v>معماري</v>
      </c>
      <c r="L133" s="76" t="str">
        <f>IF(C133="استحداث بند جديد", IF(K133&lt;&gt;"","CMH_01-"&amp;IFERROR(VLOOKUP(K133,مراجع!$A$3:$B$14,2,FALSE),"?")&amp;"-NEW-"&amp;TEXT(A133,"000"),""), IF(D133&lt;&gt;"", IFERROR(INDEX('بنود العقد'!I$3:I$388,D133), ""), ""))</f>
        <v>CMH_01-A-170</v>
      </c>
      <c r="M133" s="19"/>
    </row>
    <row r="134" spans="1:13" s="76" customFormat="1" ht="28.2" customHeight="1">
      <c r="A134" s="12">
        <v>132</v>
      </c>
      <c r="B134" s="6">
        <v>1</v>
      </c>
      <c r="C134" s="6" t="s">
        <v>250</v>
      </c>
      <c r="D134" s="6">
        <v>171</v>
      </c>
      <c r="E134" s="22" t="str">
        <f>IF(C134="استحداث بند جديد", "", IF(D134&lt;&gt;"", IFERROR(INDEX('بنود العقد'!B$3:B$388,D134), "⚠"), ""))</f>
        <v>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لحجرة الإجتماعات نوع  103ID</v>
      </c>
      <c r="F134" s="23" t="str">
        <f>IF(C134="استحداث بند جديد", "", IF(D134&lt;&gt;"", IFERROR(INDEX('بنود العقد'!D$3:D$388,D134), ""), ""))</f>
        <v>عدد</v>
      </c>
      <c r="G134" s="24">
        <f>IF(C134="استحداث بند جديد", "", IF(D134&lt;&gt;"", IFERROR(INDEX('بنود العقد'!E$3:E$388,D134), 0), ""))</f>
        <v>258</v>
      </c>
      <c r="H134" s="7">
        <v>-2</v>
      </c>
      <c r="I134" s="8">
        <v>120</v>
      </c>
      <c r="J134" s="10">
        <f t="shared" si="0"/>
        <v>-516</v>
      </c>
      <c r="K134" s="76" t="str">
        <f>IF(C134="استحداث بند جديد", "", IF(D134&lt;&gt;"", IFERROR(INDEX('بنود العقد'!C$3:C$388,D134), ""), ""))</f>
        <v>معماري</v>
      </c>
      <c r="L134" s="76" t="str">
        <f>IF(C134="استحداث بند جديد", IF(K134&lt;&gt;"","CMH_01-"&amp;IFERROR(VLOOKUP(K134,مراجع!$A$3:$B$14,2,FALSE),"?")&amp;"-NEW-"&amp;TEXT(A134,"000"),""), IF(D134&lt;&gt;"", IFERROR(INDEX('بنود العقد'!I$3:I$388,D134), ""), ""))</f>
        <v>CMH_01-A-171</v>
      </c>
      <c r="M134" s="19"/>
    </row>
    <row r="135" spans="1:13" s="76" customFormat="1" ht="28.2" customHeight="1">
      <c r="A135" s="12">
        <v>133</v>
      </c>
      <c r="B135" s="6">
        <v>1</v>
      </c>
      <c r="C135" s="6" t="s">
        <v>175</v>
      </c>
      <c r="D135" s="6">
        <v>172</v>
      </c>
      <c r="E135" s="22" t="str">
        <f>IF(C135="استحداث بند جديد", "", IF(D135&lt;&gt;"", IFERROR(INDEX('بنود العقد'!B$3:B$388,D135), "⚠"), ""))</f>
        <v>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للحمامات نوع  104ID</v>
      </c>
      <c r="F135" s="23" t="str">
        <f>IF(C135="استحداث بند جديد", "", IF(D135&lt;&gt;"", IFERROR(INDEX('بنود العقد'!D$3:D$388,D135), ""), ""))</f>
        <v>عدد</v>
      </c>
      <c r="G135" s="24">
        <f>IF(C135="استحداث بند جديد", "", IF(D135&lt;&gt;"", IFERROR(INDEX('بنود العقد'!E$3:E$388,D135), 0), ""))</f>
        <v>258</v>
      </c>
      <c r="H135" s="7">
        <v>52</v>
      </c>
      <c r="I135" s="8">
        <v>120</v>
      </c>
      <c r="J135" s="10">
        <f t="shared" si="0"/>
        <v>13416</v>
      </c>
      <c r="K135" s="76" t="str">
        <f>IF(C135="استحداث بند جديد", "", IF(D135&lt;&gt;"", IFERROR(INDEX('بنود العقد'!C$3:C$388,D135), ""), ""))</f>
        <v>معماري</v>
      </c>
      <c r="L135" s="76" t="str">
        <f>IF(C135="استحداث بند جديد", IF(K135&lt;&gt;"","CMH_01-"&amp;IFERROR(VLOOKUP(K135,مراجع!$A$3:$B$14,2,FALSE),"?")&amp;"-NEW-"&amp;TEXT(A135,"000"),""), IF(D135&lt;&gt;"", IFERROR(INDEX('بنود العقد'!I$3:I$388,D135), ""), ""))</f>
        <v>CMH_01-A-172</v>
      </c>
      <c r="M135" s="19"/>
    </row>
    <row r="136" spans="1:13" s="76" customFormat="1" ht="28.2" customHeight="1">
      <c r="A136" s="12">
        <v>134</v>
      </c>
      <c r="B136" s="6">
        <v>1</v>
      </c>
      <c r="C136" s="6" t="s">
        <v>250</v>
      </c>
      <c r="D136" s="6">
        <v>175</v>
      </c>
      <c r="E136" s="22" t="str">
        <f>IF(C136="استحداث بند جديد", "", IF(D136&lt;&gt;"", IFERROR(INDEX('بنود العقد'!B$3:B$388,D136), "⚠"), ""))</f>
        <v>قواطع الحمامات مكونة من ألواح الفينوليك المضغوط ارتفاع 2 متر ذو المقاومة الشديدة للماء مع طبقة ميلامين بلون رمادي غامق مقاومة للخدش وسهلة التنظيف ، سمك الألواح هو  19 ملم ،. قواطع الحمامات تشمل إكسسوارات عالية الجودة ) مفصلات ذاتية الإغلاق وقفل ( والأبواب والاكسسوارات والعلاقات من الستانلس ستيل brushed finish وكل ما يلزم لانهاء العمل حسب الأصول الفنية والمواصفلت وتعليمات المهندس المشرف .</v>
      </c>
      <c r="F136" s="23" t="str">
        <f>IF(C136="استحداث بند جديد", "", IF(D136&lt;&gt;"", IFERROR(INDEX('بنود العقد'!D$3:D$388,D136), ""), ""))</f>
        <v>م²</v>
      </c>
      <c r="G136" s="24">
        <f>IF(C136="استحداث بند جديد", "", IF(D136&lt;&gt;"", IFERROR(INDEX('بنود العقد'!E$3:E$388,D136), 0), ""))</f>
        <v>780</v>
      </c>
      <c r="H136" s="7">
        <v>-112.08</v>
      </c>
      <c r="I136" s="8">
        <v>120</v>
      </c>
      <c r="J136" s="10">
        <f t="shared" si="0"/>
        <v>-87422.399999999994</v>
      </c>
      <c r="K136" s="76" t="str">
        <f>IF(C136="استحداث بند جديد", "", IF(D136&lt;&gt;"", IFERROR(INDEX('بنود العقد'!C$3:C$388,D136), ""), ""))</f>
        <v>معماري</v>
      </c>
      <c r="L136" s="76" t="str">
        <f>IF(C136="استحداث بند جديد", IF(K136&lt;&gt;"","CMH_01-"&amp;IFERROR(VLOOKUP(K136,مراجع!$A$3:$B$14,2,FALSE),"?")&amp;"-NEW-"&amp;TEXT(A136,"000"),""), IF(D136&lt;&gt;"", IFERROR(INDEX('بنود العقد'!I$3:I$388,D136), ""), ""))</f>
        <v>CMH_01-A-175</v>
      </c>
      <c r="M136" s="19"/>
    </row>
    <row r="137" spans="1:13" s="76" customFormat="1" ht="28.2" customHeight="1">
      <c r="A137" s="12">
        <v>135</v>
      </c>
      <c r="B137" s="6">
        <v>1</v>
      </c>
      <c r="C137" s="6" t="s">
        <v>175</v>
      </c>
      <c r="D137" s="6">
        <v>176</v>
      </c>
      <c r="E137" s="22" t="str">
        <f>IF(C137="استحداث بند جديد", "", IF(D137&lt;&gt;"", IFERROR(INDEX('بنود العقد'!B$3:B$388,D137),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F137" s="23" t="str">
        <f>IF(C137="استحداث بند جديد", "", IF(D137&lt;&gt;"", IFERROR(INDEX('بنود العقد'!D$3:D$388,D137), ""), ""))</f>
        <v>م.ط</v>
      </c>
      <c r="G137" s="24">
        <f>IF(C137="استحداث بند جديد", "", IF(D137&lt;&gt;"", IFERROR(INDEX('بنود العقد'!E$3:E$388,D137), 0), ""))</f>
        <v>66</v>
      </c>
      <c r="H137" s="7">
        <v>1149.6099999999999</v>
      </c>
      <c r="I137" s="8">
        <v>120</v>
      </c>
      <c r="J137" s="10">
        <f t="shared" si="0"/>
        <v>75874.259999999995</v>
      </c>
      <c r="K137" s="76" t="str">
        <f>IF(C137="استحداث بند جديد", "", IF(D137&lt;&gt;"", IFERROR(INDEX('بنود العقد'!C$3:C$388,D137), ""), ""))</f>
        <v>ميكانيكا</v>
      </c>
      <c r="L137" s="76" t="str">
        <f>IF(C137="استحداث بند جديد", IF(K137&lt;&gt;"","CMH_01-"&amp;IFERROR(VLOOKUP(K137,مراجع!$A$3:$B$14,2,FALSE),"?")&amp;"-NEW-"&amp;TEXT(A137,"000"),""), IF(D137&lt;&gt;"", IFERROR(INDEX('بنود العقد'!I$3:I$388,D137), ""), ""))</f>
        <v>CMH_01-ME-176</v>
      </c>
      <c r="M137" s="19"/>
    </row>
    <row r="138" spans="1:13" s="76" customFormat="1" ht="28.2" customHeight="1">
      <c r="A138" s="12">
        <v>136</v>
      </c>
      <c r="B138" s="6">
        <v>1</v>
      </c>
      <c r="C138" s="6" t="s">
        <v>175</v>
      </c>
      <c r="D138" s="6">
        <v>177</v>
      </c>
      <c r="E138" s="22" t="str">
        <f>IF(C138="استحداث بند جديد", "", IF(D138&lt;&gt;"", IFERROR(INDEX('بنود العقد'!B$3:B$388,D138),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F138" s="23" t="str">
        <f>IF(C138="استحداث بند جديد", "", IF(D138&lt;&gt;"", IFERROR(INDEX('بنود العقد'!D$3:D$388,D138), ""), ""))</f>
        <v>م.ط</v>
      </c>
      <c r="G138" s="24">
        <f>IF(C138="استحداث بند جديد", "", IF(D138&lt;&gt;"", IFERROR(INDEX('بنود العقد'!E$3:E$388,D138), 0), ""))</f>
        <v>70.8</v>
      </c>
      <c r="H138" s="7">
        <v>81.99</v>
      </c>
      <c r="I138" s="8">
        <v>120</v>
      </c>
      <c r="J138" s="10">
        <f t="shared" si="0"/>
        <v>5804.8919999999998</v>
      </c>
      <c r="K138" s="76" t="str">
        <f>IF(C138="استحداث بند جديد", "", IF(D138&lt;&gt;"", IFERROR(INDEX('بنود العقد'!C$3:C$388,D138), ""), ""))</f>
        <v>ميكانيكا</v>
      </c>
      <c r="L138" s="76" t="str">
        <f>IF(C138="استحداث بند جديد", IF(K138&lt;&gt;"","CMH_01-"&amp;IFERROR(VLOOKUP(K138,مراجع!$A$3:$B$14,2,FALSE),"?")&amp;"-NEW-"&amp;TEXT(A138,"000"),""), IF(D138&lt;&gt;"", IFERROR(INDEX('بنود العقد'!I$3:I$388,D138), ""), ""))</f>
        <v>CMH_01-ME-177</v>
      </c>
      <c r="M138" s="19"/>
    </row>
    <row r="139" spans="1:13" s="76" customFormat="1" ht="28.2" customHeight="1">
      <c r="A139" s="12">
        <v>137</v>
      </c>
      <c r="B139" s="6">
        <v>1</v>
      </c>
      <c r="C139" s="6" t="s">
        <v>250</v>
      </c>
      <c r="D139" s="6">
        <v>178</v>
      </c>
      <c r="E139" s="22" t="str">
        <f>IF(C139="استحداث بند جديد", "", IF(D139&lt;&gt;"", IFERROR(INDEX('بنود العقد'!B$3:B$388,D139),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32مم</v>
      </c>
      <c r="F139" s="23" t="str">
        <f>IF(C139="استحداث بند جديد", "", IF(D139&lt;&gt;"", IFERROR(INDEX('بنود العقد'!D$3:D$388,D139), ""), ""))</f>
        <v>م.ط</v>
      </c>
      <c r="G139" s="24">
        <f>IF(C139="استحداث بند جديد", "", IF(D139&lt;&gt;"", IFERROR(INDEX('بنود العقد'!E$3:E$388,D139), 0), ""))</f>
        <v>102</v>
      </c>
      <c r="H139" s="7">
        <v>-22.98</v>
      </c>
      <c r="I139" s="8">
        <v>120</v>
      </c>
      <c r="J139" s="10">
        <f t="shared" si="0"/>
        <v>-2343.96</v>
      </c>
      <c r="K139" s="76" t="str">
        <f>IF(C139="استحداث بند جديد", "", IF(D139&lt;&gt;"", IFERROR(INDEX('بنود العقد'!C$3:C$388,D139), ""), ""))</f>
        <v>ميكانيكا</v>
      </c>
      <c r="L139" s="76" t="str">
        <f>IF(C139="استحداث بند جديد", IF(K139&lt;&gt;"","CMH_01-"&amp;IFERROR(VLOOKUP(K139,مراجع!$A$3:$B$14,2,FALSE),"?")&amp;"-NEW-"&amp;TEXT(A139,"000"),""), IF(D139&lt;&gt;"", IFERROR(INDEX('بنود العقد'!I$3:I$388,D139), ""), ""))</f>
        <v>CMH_01-ME-178</v>
      </c>
      <c r="M139" s="19"/>
    </row>
    <row r="140" spans="1:13" s="76" customFormat="1" ht="28.2" customHeight="1">
      <c r="A140" s="12">
        <v>138</v>
      </c>
      <c r="B140" s="6">
        <v>1</v>
      </c>
      <c r="C140" s="6" t="s">
        <v>175</v>
      </c>
      <c r="D140" s="6">
        <v>179</v>
      </c>
      <c r="E140" s="22" t="str">
        <f>IF(C140="استحداث بند جديد", "", IF(D140&lt;&gt;"", IFERROR(INDEX('بنود العقد'!B$3:B$388,D140),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40 مم</v>
      </c>
      <c r="F140" s="23" t="str">
        <f>IF(C140="استحداث بند جديد", "", IF(D140&lt;&gt;"", IFERROR(INDEX('بنود العقد'!D$3:D$388,D140), ""), ""))</f>
        <v>م.ط</v>
      </c>
      <c r="G140" s="24">
        <f>IF(C140="استحداث بند جديد", "", IF(D140&lt;&gt;"", IFERROR(INDEX('بنود العقد'!E$3:E$388,D140), 0), ""))</f>
        <v>85.2</v>
      </c>
      <c r="H140" s="7">
        <v>177</v>
      </c>
      <c r="I140" s="8">
        <v>120</v>
      </c>
      <c r="J140" s="10">
        <f t="shared" si="0"/>
        <v>15080.4</v>
      </c>
      <c r="K140" s="76" t="str">
        <f>IF(C140="استحداث بند جديد", "", IF(D140&lt;&gt;"", IFERROR(INDEX('بنود العقد'!C$3:C$388,D140), ""), ""))</f>
        <v>ميكانيكا</v>
      </c>
      <c r="L140" s="76" t="str">
        <f>IF(C140="استحداث بند جديد", IF(K140&lt;&gt;"","CMH_01-"&amp;IFERROR(VLOOKUP(K140,مراجع!$A$3:$B$14,2,FALSE),"?")&amp;"-NEW-"&amp;TEXT(A140,"000"),""), IF(D140&lt;&gt;"", IFERROR(INDEX('بنود العقد'!I$3:I$388,D140), ""), ""))</f>
        <v>CMH_01-ME-179</v>
      </c>
      <c r="M140" s="19"/>
    </row>
    <row r="141" spans="1:13" s="76" customFormat="1" ht="28.2" customHeight="1">
      <c r="A141" s="12">
        <v>139</v>
      </c>
      <c r="B141" s="6">
        <v>1</v>
      </c>
      <c r="C141" s="6" t="s">
        <v>175</v>
      </c>
      <c r="D141" s="6">
        <v>180</v>
      </c>
      <c r="E141" s="22" t="str">
        <f>IF(C141="استحداث بند جديد", "", IF(D141&lt;&gt;"", IFERROR(INDEX('بنود العقد'!B$3:B$388,D141),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الداخلية:قطر 50 مم</v>
      </c>
      <c r="F141" s="23" t="str">
        <f>IF(C141="استحداث بند جديد", "", IF(D141&lt;&gt;"", IFERROR(INDEX('بنود العقد'!D$3:D$388,D141), ""), ""))</f>
        <v>م.ط</v>
      </c>
      <c r="G141" s="24">
        <f>IF(C141="استحداث بند جديد", "", IF(D141&lt;&gt;"", IFERROR(INDEX('بنود العقد'!E$3:E$388,D141), 0), ""))</f>
        <v>94.8</v>
      </c>
      <c r="H141" s="7">
        <v>162</v>
      </c>
      <c r="I141" s="8">
        <v>120</v>
      </c>
      <c r="J141" s="10">
        <f t="shared" si="0"/>
        <v>15357.6</v>
      </c>
      <c r="K141" s="76" t="str">
        <f>IF(C141="استحداث بند جديد", "", IF(D141&lt;&gt;"", IFERROR(INDEX('بنود العقد'!C$3:C$388,D141), ""), ""))</f>
        <v>ميكانيكا</v>
      </c>
      <c r="L141" s="76" t="str">
        <f>IF(C141="استحداث بند جديد", IF(K141&lt;&gt;"","CMH_01-"&amp;IFERROR(VLOOKUP(K141,مراجع!$A$3:$B$14,2,FALSE),"?")&amp;"-NEW-"&amp;TEXT(A141,"000"),""), IF(D141&lt;&gt;"", IFERROR(INDEX('بنود العقد'!I$3:I$388,D141), ""), ""))</f>
        <v>CMH_01-ME-180</v>
      </c>
      <c r="M141" s="19"/>
    </row>
    <row r="142" spans="1:13" s="76" customFormat="1" ht="28.2" customHeight="1">
      <c r="A142" s="12">
        <v>140</v>
      </c>
      <c r="B142" s="6">
        <v>1</v>
      </c>
      <c r="C142" s="6" t="s">
        <v>175</v>
      </c>
      <c r="D142" s="6">
        <v>181</v>
      </c>
      <c r="E142" s="22" t="str">
        <f>IF(C142="استحداث بند جديد", "", IF(D142&lt;&gt;"", IFERROR(INDEX('بنود العقد'!B$3:B$388,D142),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F142" s="23" t="str">
        <f>IF(C142="استحداث بند جديد", "", IF(D142&lt;&gt;"", IFERROR(INDEX('بنود العقد'!D$3:D$388,D142), ""), ""))</f>
        <v>م.ط</v>
      </c>
      <c r="G142" s="24">
        <f>IF(C142="استحداث بند جديد", "", IF(D142&lt;&gt;"", IFERROR(INDEX('بنود العقد'!E$3:E$388,D142), 0), ""))</f>
        <v>70.8</v>
      </c>
      <c r="H142" s="7">
        <v>709</v>
      </c>
      <c r="I142" s="8">
        <v>120</v>
      </c>
      <c r="J142" s="10">
        <f t="shared" si="0"/>
        <v>50197.2</v>
      </c>
      <c r="K142" s="76" t="str">
        <f>IF(C142="استحداث بند جديد", "", IF(D142&lt;&gt;"", IFERROR(INDEX('بنود العقد'!C$3:C$388,D142), ""), ""))</f>
        <v>ميكانيكا</v>
      </c>
      <c r="L142" s="76" t="str">
        <f>IF(C142="استحداث بند جديد", IF(K142&lt;&gt;"","CMH_01-"&amp;IFERROR(VLOOKUP(K142,مراجع!$A$3:$B$14,2,FALSE),"?")&amp;"-NEW-"&amp;TEXT(A142,"000"),""), IF(D142&lt;&gt;"", IFERROR(INDEX('بنود العقد'!I$3:I$388,D142), ""), ""))</f>
        <v>CMH_01-ME-181</v>
      </c>
      <c r="M142" s="19"/>
    </row>
    <row r="143" spans="1:13" s="76" customFormat="1" ht="28.2" customHeight="1">
      <c r="A143" s="12">
        <v>141</v>
      </c>
      <c r="B143" s="6">
        <v>1</v>
      </c>
      <c r="C143" s="6" t="s">
        <v>250</v>
      </c>
      <c r="D143" s="6">
        <v>182</v>
      </c>
      <c r="E143" s="22" t="str">
        <f>IF(C143="استحداث بند جديد", "", IF(D143&lt;&gt;"", IFERROR(INDEX('بنود العقد'!B$3:B$388,D143),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F143" s="23" t="str">
        <f>IF(C143="استحداث بند جديد", "", IF(D143&lt;&gt;"", IFERROR(INDEX('بنود العقد'!D$3:D$388,D143), ""), ""))</f>
        <v>م.ط</v>
      </c>
      <c r="G143" s="24">
        <f>IF(C143="استحداث بند جديد", "", IF(D143&lt;&gt;"", IFERROR(INDEX('بنود العقد'!E$3:E$388,D143), 0), ""))</f>
        <v>75.599999999999994</v>
      </c>
      <c r="H143" s="7">
        <v>-38</v>
      </c>
      <c r="I143" s="8">
        <v>120</v>
      </c>
      <c r="J143" s="10">
        <f t="shared" si="0"/>
        <v>-2872.7999999999997</v>
      </c>
      <c r="K143" s="76" t="str">
        <f>IF(C143="استحداث بند جديد", "", IF(D143&lt;&gt;"", IFERROR(INDEX('بنود العقد'!C$3:C$388,D143), ""), ""))</f>
        <v>ميكانيكا</v>
      </c>
      <c r="L143" s="76" t="str">
        <f>IF(C143="استحداث بند جديد", IF(K143&lt;&gt;"","CMH_01-"&amp;IFERROR(VLOOKUP(K143,مراجع!$A$3:$B$14,2,FALSE),"?")&amp;"-NEW-"&amp;TEXT(A143,"000"),""), IF(D143&lt;&gt;"", IFERROR(INDEX('بنود العقد'!I$3:I$388,D143), ""), ""))</f>
        <v>CMH_01-ME-182</v>
      </c>
      <c r="M143" s="19"/>
    </row>
    <row r="144" spans="1:13" s="76" customFormat="1" ht="28.2" customHeight="1">
      <c r="A144" s="12">
        <v>142</v>
      </c>
      <c r="B144" s="6">
        <v>1</v>
      </c>
      <c r="C144" s="6" t="s">
        <v>175</v>
      </c>
      <c r="D144" s="6">
        <v>183</v>
      </c>
      <c r="E144" s="22" t="str">
        <f>IF(C144="استحداث بند جديد", "", IF(D144&lt;&gt;"", IFERROR(INDEX('بنود العقد'!B$3:B$388,D144), "⚠"), ""))</f>
        <v>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التالية:توريد و تركيب و اختبار سخان بسعة 30 لتر، وقدرة 2.1  كيلو وات، مرجع     1-EWH</v>
      </c>
      <c r="F144" s="23" t="str">
        <f>IF(C144="استحداث بند جديد", "", IF(D144&lt;&gt;"", IFERROR(INDEX('بنود العقد'!D$3:D$388,D144), ""), ""))</f>
        <v>عدد</v>
      </c>
      <c r="G144" s="24">
        <f>IF(C144="استحداث بند جديد", "", IF(D144&lt;&gt;"", IFERROR(INDEX('بنود العقد'!E$3:E$388,D144), 0), ""))</f>
        <v>672</v>
      </c>
      <c r="H144" s="7">
        <v>15</v>
      </c>
      <c r="I144" s="8">
        <v>120</v>
      </c>
      <c r="J144" s="10">
        <f t="shared" si="0"/>
        <v>10080</v>
      </c>
      <c r="K144" s="76" t="str">
        <f>IF(C144="استحداث بند جديد", "", IF(D144&lt;&gt;"", IFERROR(INDEX('بنود العقد'!C$3:C$388,D144), ""), ""))</f>
        <v>ميكانيكا</v>
      </c>
      <c r="L144" s="76" t="str">
        <f>IF(C144="استحداث بند جديد", IF(K144&lt;&gt;"","CMH_01-"&amp;IFERROR(VLOOKUP(K144,مراجع!$A$3:$B$14,2,FALSE),"?")&amp;"-NEW-"&amp;TEXT(A144,"000"),""), IF(D144&lt;&gt;"", IFERROR(INDEX('بنود العقد'!I$3:I$388,D144), ""), ""))</f>
        <v>CMH_01-ME-183</v>
      </c>
      <c r="M144" s="19"/>
    </row>
    <row r="145" spans="1:13" s="76" customFormat="1" ht="28.2" customHeight="1">
      <c r="A145" s="12">
        <v>143</v>
      </c>
      <c r="B145" s="6">
        <v>1</v>
      </c>
      <c r="C145" s="6" t="s">
        <v>175</v>
      </c>
      <c r="D145" s="6">
        <v>185</v>
      </c>
      <c r="E145" s="22" t="str">
        <f>IF(C145="استحداث بند جديد", "", IF(D145&lt;&gt;"", IFERROR(INDEX('بنود العقد'!B$3:B$388,D145),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v>
      </c>
      <c r="F145" s="23" t="str">
        <f>IF(C145="استحداث بند جديد", "", IF(D145&lt;&gt;"", IFERROR(INDEX('بنود العقد'!D$3:D$388,D145), ""), ""))</f>
        <v>م.ط</v>
      </c>
      <c r="G145" s="24">
        <f>IF(C145="استحداث بند جديد", "", IF(D145&lt;&gt;"", IFERROR(INDEX('بنود العقد'!E$3:E$388,D145), 0), ""))</f>
        <v>75.599999999999994</v>
      </c>
      <c r="H145" s="7">
        <v>846</v>
      </c>
      <c r="I145" s="8">
        <v>120</v>
      </c>
      <c r="J145" s="10">
        <f t="shared" si="0"/>
        <v>63957.599999999999</v>
      </c>
      <c r="K145" s="76" t="str">
        <f>IF(C145="استحداث بند جديد", "", IF(D145&lt;&gt;"", IFERROR(INDEX('بنود العقد'!C$3:C$388,D145), ""), ""))</f>
        <v>صحي</v>
      </c>
      <c r="L145" s="76" t="str">
        <f>IF(C145="استحداث بند جديد", IF(K145&lt;&gt;"","CMH_01-"&amp;IFERROR(VLOOKUP(K145,مراجع!$A$3:$B$14,2,FALSE),"?")&amp;"-NEW-"&amp;TEXT(A145,"000"),""), IF(D145&lt;&gt;"", IFERROR(INDEX('بنود العقد'!I$3:I$388,D145), ""), ""))</f>
        <v>CMH_01-PL-185</v>
      </c>
      <c r="M145" s="19"/>
    </row>
    <row r="146" spans="1:13" s="76" customFormat="1" ht="28.2" customHeight="1">
      <c r="A146" s="12">
        <v>144</v>
      </c>
      <c r="B146" s="6">
        <v>1</v>
      </c>
      <c r="C146" s="6" t="s">
        <v>250</v>
      </c>
      <c r="D146" s="6">
        <v>186</v>
      </c>
      <c r="E146" s="22" t="str">
        <f>IF(C146="استحداث بند جديد", "", IF(D146&lt;&gt;"", IFERROR(INDEX('بنود العقد'!B$3:B$388,D146),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75 مم</v>
      </c>
      <c r="F146" s="23" t="str">
        <f>IF(C146="استحداث بند جديد", "", IF(D146&lt;&gt;"", IFERROR(INDEX('بنود العقد'!D$3:D$388,D146), ""), ""))</f>
        <v>م.ط</v>
      </c>
      <c r="G146" s="24">
        <f>IF(C146="استحداث بند جديد", "", IF(D146&lt;&gt;"", IFERROR(INDEX('بنود العقد'!E$3:E$388,D146), 0), ""))</f>
        <v>91.2</v>
      </c>
      <c r="H146" s="7">
        <v>-95</v>
      </c>
      <c r="I146" s="8">
        <v>120</v>
      </c>
      <c r="J146" s="10">
        <f t="shared" si="0"/>
        <v>-8664</v>
      </c>
      <c r="K146" s="76" t="str">
        <f>IF(C146="استحداث بند جديد", "", IF(D146&lt;&gt;"", IFERROR(INDEX('بنود العقد'!C$3:C$388,D146), ""), ""))</f>
        <v>صحي</v>
      </c>
      <c r="L146" s="76" t="str">
        <f>IF(C146="استحداث بند جديد", IF(K146&lt;&gt;"","CMH_01-"&amp;IFERROR(VLOOKUP(K146,مراجع!$A$3:$B$14,2,FALSE),"?")&amp;"-NEW-"&amp;TEXT(A146,"000"),""), IF(D146&lt;&gt;"", IFERROR(INDEX('بنود العقد'!I$3:I$388,D146), ""), ""))</f>
        <v>CMH_01-PL-186</v>
      </c>
      <c r="M146" s="19"/>
    </row>
    <row r="147" spans="1:13" s="76" customFormat="1" ht="28.2" customHeight="1">
      <c r="A147" s="12">
        <v>145</v>
      </c>
      <c r="B147" s="6">
        <v>1</v>
      </c>
      <c r="C147" s="6" t="s">
        <v>175</v>
      </c>
      <c r="D147" s="6">
        <v>187</v>
      </c>
      <c r="E147" s="22" t="str">
        <f>IF(C147="استحداث بند جديد", "", IF(D147&lt;&gt;"", IFERROR(INDEX('بنود العقد'!B$3:B$388,D147),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v>
      </c>
      <c r="F147" s="23" t="str">
        <f>IF(C147="استحداث بند جديد", "", IF(D147&lt;&gt;"", IFERROR(INDEX('بنود العقد'!D$3:D$388,D147), ""), ""))</f>
        <v>م.ط</v>
      </c>
      <c r="G147" s="24">
        <f>IF(C147="استحداث بند جديد", "", IF(D147&lt;&gt;"", IFERROR(INDEX('بنود العقد'!E$3:E$388,D147), 0), ""))</f>
        <v>102</v>
      </c>
      <c r="H147" s="7">
        <v>956</v>
      </c>
      <c r="I147" s="8">
        <v>120</v>
      </c>
      <c r="J147" s="10">
        <f t="shared" si="0"/>
        <v>97512</v>
      </c>
      <c r="K147" s="76" t="str">
        <f>IF(C147="استحداث بند جديد", "", IF(D147&lt;&gt;"", IFERROR(INDEX('بنود العقد'!C$3:C$388,D147), ""), ""))</f>
        <v>صحي</v>
      </c>
      <c r="L147" s="76" t="str">
        <f>IF(C147="استحداث بند جديد", IF(K147&lt;&gt;"","CMH_01-"&amp;IFERROR(VLOOKUP(K147,مراجع!$A$3:$B$14,2,FALSE),"?")&amp;"-NEW-"&amp;TEXT(A147,"000"),""), IF(D147&lt;&gt;"", IFERROR(INDEX('بنود العقد'!I$3:I$388,D147), ""), ""))</f>
        <v>CMH_01-PL-187</v>
      </c>
      <c r="M147" s="19"/>
    </row>
    <row r="148" spans="1:13" s="76" customFormat="1" ht="28.2" customHeight="1">
      <c r="A148" s="12">
        <v>146</v>
      </c>
      <c r="B148" s="6">
        <v>1</v>
      </c>
      <c r="C148" s="6" t="s">
        <v>175</v>
      </c>
      <c r="D148" s="6">
        <v>188</v>
      </c>
      <c r="E148" s="22" t="str">
        <f>IF(C148="استحداث بند جديد", "", IF(D148&lt;&gt;"", IFERROR(INDEX('بنود العقد'!B$3:B$388,D148), "⚠"), ""))</f>
        <v>صفاية أرضية )FD(، من PVC مع مصفاة معدنية  مطلية بالكروم شاملة سيفون كما هو موصف بالمقاسات التالية:مخرج قطر 75 مم</v>
      </c>
      <c r="F148" s="23" t="str">
        <f>IF(C148="استحداث بند جديد", "", IF(D148&lt;&gt;"", IFERROR(INDEX('بنود العقد'!D$3:D$388,D148), ""), ""))</f>
        <v>عدد</v>
      </c>
      <c r="G148" s="24">
        <f>IF(C148="استحداث بند جديد", "", IF(D148&lt;&gt;"", IFERROR(INDEX('بنود العقد'!E$3:E$388,D148), 0), ""))</f>
        <v>300</v>
      </c>
      <c r="H148" s="7">
        <v>66</v>
      </c>
      <c r="I148" s="8">
        <v>120</v>
      </c>
      <c r="J148" s="10">
        <f t="shared" si="0"/>
        <v>19800</v>
      </c>
      <c r="K148" s="76" t="str">
        <f>IF(C148="استحداث بند جديد", "", IF(D148&lt;&gt;"", IFERROR(INDEX('بنود العقد'!C$3:C$388,D148), ""), ""))</f>
        <v>صحي</v>
      </c>
      <c r="L148" s="76" t="str">
        <f>IF(C148="استحداث بند جديد", IF(K148&lt;&gt;"","CMH_01-"&amp;IFERROR(VLOOKUP(K148,مراجع!$A$3:$B$14,2,FALSE),"?")&amp;"-NEW-"&amp;TEXT(A148,"000"),""), IF(D148&lt;&gt;"", IFERROR(INDEX('بنود العقد'!I$3:I$388,D148), ""), ""))</f>
        <v>CMH_01-PL-188</v>
      </c>
      <c r="M148" s="19"/>
    </row>
    <row r="149" spans="1:13" s="76" customFormat="1" ht="28.2" customHeight="1">
      <c r="A149" s="12">
        <v>147</v>
      </c>
      <c r="B149" s="6">
        <v>1</v>
      </c>
      <c r="C149" s="6" t="s">
        <v>250</v>
      </c>
      <c r="D149" s="6">
        <v>189</v>
      </c>
      <c r="E149" s="22" t="str">
        <f>IF(C149="استحداث بند جديد", "", IF(D149&lt;&gt;"", IFERROR(INDEX('بنود العقد'!B$3:B$388,D149), "⚠"), ""))</f>
        <v>صفاية أرضية )FD(، من PVC مع مصفاة معدنية  مطلية بالكروم شاملة سيفون كما هو موصف بالمقاسات التالية:صفاية' طولية أرضية )SD(،مع مصفاة  معدنية مطلية بالكروم شاملة سيفون مخرج قطر 50 مم</v>
      </c>
      <c r="F149" s="23" t="str">
        <f>IF(C149="استحداث بند جديد", "", IF(D149&lt;&gt;"", IFERROR(INDEX('بنود العقد'!D$3:D$388,D149), ""), ""))</f>
        <v>عدد</v>
      </c>
      <c r="G149" s="24">
        <f>IF(C149="استحداث بند جديد", "", IF(D149&lt;&gt;"", IFERROR(INDEX('بنود العقد'!E$3:E$388,D149), 0), ""))</f>
        <v>300</v>
      </c>
      <c r="H149" s="7">
        <v>-4</v>
      </c>
      <c r="I149" s="8">
        <v>120</v>
      </c>
      <c r="J149" s="10">
        <f t="shared" si="0"/>
        <v>-1200</v>
      </c>
      <c r="K149" s="76" t="str">
        <f>IF(C149="استحداث بند جديد", "", IF(D149&lt;&gt;"", IFERROR(INDEX('بنود العقد'!C$3:C$388,D149), ""), ""))</f>
        <v>صحي</v>
      </c>
      <c r="L149" s="76" t="str">
        <f>IF(C149="استحداث بند جديد", IF(K149&lt;&gt;"","CMH_01-"&amp;IFERROR(VLOOKUP(K149,مراجع!$A$3:$B$14,2,FALSE),"?")&amp;"-NEW-"&amp;TEXT(A149,"000"),""), IF(D149&lt;&gt;"", IFERROR(INDEX('بنود العقد'!I$3:I$388,D149), ""), ""))</f>
        <v>CMH_01-PL-189</v>
      </c>
      <c r="M149" s="19"/>
    </row>
    <row r="150" spans="1:13" s="76" customFormat="1" ht="28.2" customHeight="1">
      <c r="A150" s="12">
        <v>148</v>
      </c>
      <c r="B150" s="6">
        <v>1</v>
      </c>
      <c r="C150" s="6" t="s">
        <v>175</v>
      </c>
      <c r="D150" s="6">
        <v>190</v>
      </c>
      <c r="E150" s="22" t="str">
        <f>IF(C150="استحداث بند جديد", "", IF(D150&lt;&gt;"", IFERROR(INDEX('بنود العقد'!B$3:B$388,D150),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:حوض وجه على رخامة )مرجع 1-LAV ( من نفس نوع الرخام الصناعي كوريان للكاونتر والكاونتر محسوب في بند منفصل</v>
      </c>
      <c r="F150" s="23" t="str">
        <f>IF(C150="استحداث بند جديد", "", IF(D150&lt;&gt;"", IFERROR(INDEX('بنود العقد'!D$3:D$388,D150), ""), ""))</f>
        <v>عدد</v>
      </c>
      <c r="G150" s="24">
        <f>IF(C150="استحداث بند جديد", "", IF(D150&lt;&gt;"", IFERROR(INDEX('بنود العقد'!E$3:E$388,D150), 0), ""))</f>
        <v>2640</v>
      </c>
      <c r="H150" s="7">
        <v>9</v>
      </c>
      <c r="I150" s="8">
        <v>120</v>
      </c>
      <c r="J150" s="10">
        <f t="shared" si="0"/>
        <v>23760</v>
      </c>
      <c r="K150" s="76" t="str">
        <f>IF(C150="استحداث بند جديد", "", IF(D150&lt;&gt;"", IFERROR(INDEX('بنود العقد'!C$3:C$388,D150), ""), ""))</f>
        <v>صحي</v>
      </c>
      <c r="L150" s="76" t="str">
        <f>IF(C150="استحداث بند جديد", IF(K150&lt;&gt;"","CMH_01-"&amp;IFERROR(VLOOKUP(K150,مراجع!$A$3:$B$14,2,FALSE),"?")&amp;"-NEW-"&amp;TEXT(A150,"000"),""), IF(D150&lt;&gt;"", IFERROR(INDEX('بنود العقد'!I$3:I$388,D150), ""), ""))</f>
        <v>CMH_01-PL-190</v>
      </c>
      <c r="M150" s="19"/>
    </row>
    <row r="151" spans="1:13" s="76" customFormat="1" ht="28.2" customHeight="1">
      <c r="A151" s="12">
        <v>149</v>
      </c>
      <c r="B151" s="6">
        <v>1</v>
      </c>
      <c r="C151" s="6" t="s">
        <v>250</v>
      </c>
      <c r="D151" s="6">
        <v>191</v>
      </c>
      <c r="E151" s="22" t="str">
        <f>IF(C151="استحداث بند جديد", "", IF(D151&lt;&gt;"", IFERROR(INDEX('بنود العقد'!B$3:B$388,D151),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:حوض وجه كامل مع العامود، )مرجع 2-LAV(</v>
      </c>
      <c r="F151" s="23" t="str">
        <f>IF(C151="استحداث بند جديد", "", IF(D151&lt;&gt;"", IFERROR(INDEX('بنود العقد'!D$3:D$388,D151), ""), ""))</f>
        <v>عدد</v>
      </c>
      <c r="G151" s="24">
        <f>IF(C151="استحداث بند جديد", "", IF(D151&lt;&gt;"", IFERROR(INDEX('بنود العقد'!E$3:E$388,D151), 0), ""))</f>
        <v>1920</v>
      </c>
      <c r="H151" s="7">
        <v>-7</v>
      </c>
      <c r="I151" s="8">
        <v>120</v>
      </c>
      <c r="J151" s="10">
        <f t="shared" si="0"/>
        <v>-13440</v>
      </c>
      <c r="K151" s="76" t="str">
        <f>IF(C151="استحداث بند جديد", "", IF(D151&lt;&gt;"", IFERROR(INDEX('بنود العقد'!C$3:C$388,D151), ""), ""))</f>
        <v>صحي</v>
      </c>
      <c r="L151" s="76" t="str">
        <f>IF(C151="استحداث بند جديد", IF(K151&lt;&gt;"","CMH_01-"&amp;IFERROR(VLOOKUP(K151,مراجع!$A$3:$B$14,2,FALSE),"?")&amp;"-NEW-"&amp;TEXT(A151,"000"),""), IF(D151&lt;&gt;"", IFERROR(INDEX('بنود العقد'!I$3:I$388,D151), ""), ""))</f>
        <v>CMH_01-PL-191</v>
      </c>
      <c r="M151" s="19"/>
    </row>
    <row r="152" spans="1:13" s="76" customFormat="1" ht="28.2" customHeight="1">
      <c r="A152" s="12">
        <v>150</v>
      </c>
      <c r="B152" s="6">
        <v>1</v>
      </c>
      <c r="C152" s="6" t="s">
        <v>250</v>
      </c>
      <c r="D152" s="6">
        <v>192</v>
      </c>
      <c r="E152" s="22" t="str">
        <f>IF(C152="استحداث بند جديد", "", IF(D152&lt;&gt;"", IFERROR(INDEX('بنود العقد'!B$3:B$388,D152), "⚠"), ""))</f>
        <v>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غسيل أواني للمطبخ بعين واحدة )مرجع 1-KS</v>
      </c>
      <c r="F152" s="23" t="str">
        <f>IF(C152="استحداث بند جديد", "", IF(D152&lt;&gt;"", IFERROR(INDEX('بنود العقد'!D$3:D$388,D152), ""), ""))</f>
        <v>عدد</v>
      </c>
      <c r="G152" s="24">
        <f>IF(C152="استحداث بند جديد", "", IF(D152&lt;&gt;"", IFERROR(INDEX('بنود العقد'!E$3:E$388,D152), 0), ""))</f>
        <v>3000</v>
      </c>
      <c r="H152" s="7">
        <v>-6</v>
      </c>
      <c r="I152" s="8">
        <v>120</v>
      </c>
      <c r="J152" s="10">
        <f t="shared" si="0"/>
        <v>-18000</v>
      </c>
      <c r="K152" s="76" t="str">
        <f>IF(C152="استحداث بند جديد", "", IF(D152&lt;&gt;"", IFERROR(INDEX('بنود العقد'!C$3:C$388,D152), ""), ""))</f>
        <v>صحي</v>
      </c>
      <c r="L152" s="76" t="str">
        <f>IF(C152="استحداث بند جديد", IF(K152&lt;&gt;"","CMH_01-"&amp;IFERROR(VLOOKUP(K152,مراجع!$A$3:$B$14,2,FALSE),"?")&amp;"-NEW-"&amp;TEXT(A152,"000"),""), IF(D152&lt;&gt;"", IFERROR(INDEX('بنود العقد'!I$3:I$388,D152), ""), ""))</f>
        <v>CMH_01-PL-192</v>
      </c>
      <c r="M152" s="19"/>
    </row>
    <row r="153" spans="1:13" s="76" customFormat="1" ht="28.2" customHeight="1">
      <c r="A153" s="12">
        <v>151</v>
      </c>
      <c r="B153" s="6">
        <v>1</v>
      </c>
      <c r="C153" s="6" t="s">
        <v>250</v>
      </c>
      <c r="D153" s="6">
        <v>194</v>
      </c>
      <c r="E153" s="22" t="str">
        <f>IF(C153="استحداث بند جديد", "", IF(D153&lt;&gt;"", IFERROR(INDEX('بنود العقد'!B$3:B$388,D153),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افرنجي )مرجع 1-WWC  ( مثبت على الارض  مع خزان  طرد  مع زر دفق من الصلب الذي لا يصدأ ، مع غطاء للمرحاض مقاوم للبكتريا من نوع soft closing</v>
      </c>
      <c r="F153" s="23" t="str">
        <f>IF(C153="استحداث بند جديد", "", IF(D153&lt;&gt;"", IFERROR(INDEX('بنود العقد'!D$3:D$388,D153), ""), ""))</f>
        <v>عدد</v>
      </c>
      <c r="G153" s="24">
        <f>IF(C153="استحداث بند جديد", "", IF(D153&lt;&gt;"", IFERROR(INDEX('بنود العقد'!E$3:E$388,D153), 0), ""))</f>
        <v>2040</v>
      </c>
      <c r="H153" s="7">
        <v>-113</v>
      </c>
      <c r="I153" s="8">
        <v>120</v>
      </c>
      <c r="J153" s="10">
        <f t="shared" si="0"/>
        <v>-230520</v>
      </c>
      <c r="K153" s="76" t="str">
        <f>IF(C153="استحداث بند جديد", "", IF(D153&lt;&gt;"", IFERROR(INDEX('بنود العقد'!C$3:C$388,D153), ""), ""))</f>
        <v>صحي</v>
      </c>
      <c r="L153" s="76" t="str">
        <f>IF(C153="استحداث بند جديد", IF(K153&lt;&gt;"","CMH_01-"&amp;IFERROR(VLOOKUP(K153,مراجع!$A$3:$B$14,2,FALSE),"?")&amp;"-NEW-"&amp;TEXT(A153,"000"),""), IF(D153&lt;&gt;"", IFERROR(INDEX('بنود العقد'!I$3:I$388,D153), ""), ""))</f>
        <v>CMH_01-PL-194</v>
      </c>
      <c r="M153" s="19"/>
    </row>
    <row r="154" spans="1:13" s="76" customFormat="1" ht="28.2" customHeight="1">
      <c r="A154" s="12">
        <v>152</v>
      </c>
      <c r="B154" s="6">
        <v>1</v>
      </c>
      <c r="C154" s="6" t="s">
        <v>175</v>
      </c>
      <c r="D154" s="6">
        <v>195</v>
      </c>
      <c r="E154" s="22" t="str">
        <f>IF(C154="استحداث بند جديد", "", IF(D154&lt;&gt;"", IFERROR(INDEX('بنود العقد'!B$3:B$388,D154),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افرنجي ) مرجع 2-WWC (  مثبت على الحائط بخزان  طرد مخفي مع زر دفق من الصلب الذي لا يصدأ - مع غطاء للمرحاض مقاوم للبكتريا من نوع soft closing</v>
      </c>
      <c r="F154" s="23" t="str">
        <f>IF(C154="استحداث بند جديد", "", IF(D154&lt;&gt;"", IFERROR(INDEX('بنود العقد'!D$3:D$388,D154), ""), ""))</f>
        <v>عدد</v>
      </c>
      <c r="G154" s="24">
        <f>IF(C154="استحداث بند جديد", "", IF(D154&lt;&gt;"", IFERROR(INDEX('بنود العقد'!E$3:E$388,D154), 0), ""))</f>
        <v>2760</v>
      </c>
      <c r="H154" s="7">
        <v>1</v>
      </c>
      <c r="I154" s="8">
        <v>120</v>
      </c>
      <c r="J154" s="10">
        <f t="shared" si="0"/>
        <v>2760</v>
      </c>
      <c r="K154" s="76" t="str">
        <f>IF(C154="استحداث بند جديد", "", IF(D154&lt;&gt;"", IFERROR(INDEX('بنود العقد'!C$3:C$388,D154), ""), ""))</f>
        <v>صحي</v>
      </c>
      <c r="L154" s="76" t="str">
        <f>IF(C154="استحداث بند جديد", IF(K154&lt;&gt;"","CMH_01-"&amp;IFERROR(VLOOKUP(K154,مراجع!$A$3:$B$14,2,FALSE),"?")&amp;"-NEW-"&amp;TEXT(A154,"000"),""), IF(D154&lt;&gt;"", IFERROR(INDEX('بنود العقد'!I$3:I$388,D154), ""), ""))</f>
        <v>CMH_01-PL-195</v>
      </c>
      <c r="M154" s="19"/>
    </row>
    <row r="155" spans="1:13" s="76" customFormat="1" ht="28.2" customHeight="1">
      <c r="A155" s="12">
        <v>153</v>
      </c>
      <c r="B155" s="6">
        <v>1</v>
      </c>
      <c r="C155" s="6" t="s">
        <v>250</v>
      </c>
      <c r="D155" s="6">
        <v>197</v>
      </c>
      <c r="E155" s="22" t="str">
        <f>IF(C155="استحداث بند جديد", "", IF(D155&lt;&gt;"", IFERROR(INDEX('بنود العقد'!B$3:B$388,D155),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:مقبض رشاش مع الخرطوم وأداة التعليق، مرجع PS</v>
      </c>
      <c r="F155" s="23" t="str">
        <f>IF(C155="استحداث بند جديد", "", IF(D155&lt;&gt;"", IFERROR(INDEX('بنود العقد'!D$3:D$388,D155), ""), ""))</f>
        <v>عدد</v>
      </c>
      <c r="G155" s="24">
        <f>IF(C155="استحداث بند جديد", "", IF(D155&lt;&gt;"", IFERROR(INDEX('بنود العقد'!E$3:E$388,D155), 0), ""))</f>
        <v>180</v>
      </c>
      <c r="H155" s="7">
        <v>-10</v>
      </c>
      <c r="I155" s="8">
        <v>120</v>
      </c>
      <c r="J155" s="10">
        <f t="shared" si="0"/>
        <v>-1800</v>
      </c>
      <c r="K155" s="76" t="str">
        <f>IF(C155="استحداث بند جديد", "", IF(D155&lt;&gt;"", IFERROR(INDEX('بنود العقد'!C$3:C$388,D155), ""), ""))</f>
        <v>صحي</v>
      </c>
      <c r="L155" s="76" t="str">
        <f>IF(C155="استحداث بند جديد", IF(K155&lt;&gt;"","CMH_01-"&amp;IFERROR(VLOOKUP(K155,مراجع!$A$3:$B$14,2,FALSE),"?")&amp;"-NEW-"&amp;TEXT(A155,"000"),""), IF(D155&lt;&gt;"", IFERROR(INDEX('بنود العقد'!I$3:I$388,D155), ""), ""))</f>
        <v>CMH_01-PL-197</v>
      </c>
      <c r="M155" s="19"/>
    </row>
    <row r="156" spans="1:13" s="76" customFormat="1" ht="28.2" customHeight="1">
      <c r="A156" s="12">
        <v>154</v>
      </c>
      <c r="B156" s="6">
        <v>1</v>
      </c>
      <c r="C156" s="6" t="s">
        <v>175</v>
      </c>
      <c r="D156" s="6">
        <v>198</v>
      </c>
      <c r="E156" s="22" t="str">
        <f>IF(C156="استحداث بند جديد", "", IF(D156&lt;&gt;"", IFERROR(INDEX('بنود العقد'!B$3:B$388,D156),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:خلاط مياة  يركب على الحوض</v>
      </c>
      <c r="F156" s="23" t="str">
        <f>IF(C156="استحداث بند جديد", "", IF(D156&lt;&gt;"", IFERROR(INDEX('بنود العقد'!D$3:D$388,D156), ""), ""))</f>
        <v>عدد</v>
      </c>
      <c r="G156" s="24">
        <f>IF(C156="استحداث بند جديد", "", IF(D156&lt;&gt;"", IFERROR(INDEX('بنود العقد'!E$3:E$388,D156), 0), ""))</f>
        <v>1080</v>
      </c>
      <c r="H156" s="7">
        <v>24</v>
      </c>
      <c r="I156" s="8">
        <v>120</v>
      </c>
      <c r="J156" s="10">
        <f t="shared" si="0"/>
        <v>25920</v>
      </c>
      <c r="K156" s="76" t="str">
        <f>IF(C156="استحداث بند جديد", "", IF(D156&lt;&gt;"", IFERROR(INDEX('بنود العقد'!C$3:C$388,D156), ""), ""))</f>
        <v>صحي</v>
      </c>
      <c r="L156" s="76" t="str">
        <f>IF(C156="استحداث بند جديد", IF(K156&lt;&gt;"","CMH_01-"&amp;IFERROR(VLOOKUP(K156,مراجع!$A$3:$B$14,2,FALSE),"?")&amp;"-NEW-"&amp;TEXT(A156,"000"),""), IF(D156&lt;&gt;"", IFERROR(INDEX('بنود العقد'!I$3:I$388,D156), ""), ""))</f>
        <v>CMH_01-PL-198</v>
      </c>
      <c r="M156" s="19"/>
    </row>
    <row r="157" spans="1:13" s="76" customFormat="1" ht="28.2" customHeight="1">
      <c r="A157" s="12">
        <v>155</v>
      </c>
      <c r="B157" s="6">
        <v>1</v>
      </c>
      <c r="C157" s="6" t="s">
        <v>175</v>
      </c>
      <c r="D157" s="6">
        <v>199</v>
      </c>
      <c r="E157" s="22" t="str">
        <f>IF(C157="استحداث بند جديد", "", IF(D157&lt;&gt;"", IFERROR(INDEX('بنود العقد'!B$3:B$388,D157),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F157" s="23" t="str">
        <f>IF(C157="استحداث بند جديد", "", IF(D157&lt;&gt;"", IFERROR(INDEX('بنود العقد'!D$3:D$388,D157), ""), ""))</f>
        <v>م.ط</v>
      </c>
      <c r="G157" s="24">
        <f>IF(C157="استحداث بند جديد", "", IF(D157&lt;&gt;"", IFERROR(INDEX('بنود العقد'!E$3:E$388,D157), 0), ""))</f>
        <v>108</v>
      </c>
      <c r="H157" s="7">
        <v>5652.3</v>
      </c>
      <c r="I157" s="8">
        <v>120</v>
      </c>
      <c r="J157" s="10">
        <f t="shared" si="0"/>
        <v>610448.4</v>
      </c>
      <c r="K157" s="76" t="str">
        <f>IF(C157="استحداث بند جديد", "", IF(D157&lt;&gt;"", IFERROR(INDEX('بنود العقد'!C$3:C$388,D157), ""), ""))</f>
        <v>ميكانيكا</v>
      </c>
      <c r="L157" s="76" t="str">
        <f>IF(C157="استحداث بند جديد", IF(K157&lt;&gt;"","CMH_01-"&amp;IFERROR(VLOOKUP(K157,مراجع!$A$3:$B$14,2,FALSE),"?")&amp;"-NEW-"&amp;TEXT(A157,"000"),""), IF(D157&lt;&gt;"", IFERROR(INDEX('بنود العقد'!I$3:I$388,D157), ""), ""))</f>
        <v>CMH_01-ME-199</v>
      </c>
      <c r="M157" s="19"/>
    </row>
    <row r="158" spans="1:13" s="76" customFormat="1" ht="28.2" customHeight="1">
      <c r="A158" s="12">
        <v>156</v>
      </c>
      <c r="B158" s="6">
        <v>1</v>
      </c>
      <c r="C158" s="6" t="s">
        <v>175</v>
      </c>
      <c r="D158" s="6">
        <v>200</v>
      </c>
      <c r="E158" s="22" t="str">
        <f>IF(C158="استحداث بند جديد", "", IF(D158&lt;&gt;"", IFERROR(INDEX('بنود العقد'!B$3:B$388,D158),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28</v>
      </c>
      <c r="F158" s="23" t="str">
        <f>IF(C158="استحداث بند جديد", "", IF(D158&lt;&gt;"", IFERROR(INDEX('بنود العقد'!D$3:D$388,D158), ""), ""))</f>
        <v>م.ط</v>
      </c>
      <c r="G158" s="24">
        <f>IF(C158="استحداث بند جديد", "", IF(D158&lt;&gt;"", IFERROR(INDEX('بنود العقد'!E$3:E$388,D158), 0), ""))</f>
        <v>138</v>
      </c>
      <c r="H158" s="7">
        <v>146.15</v>
      </c>
      <c r="I158" s="8">
        <v>120</v>
      </c>
      <c r="J158" s="10">
        <f t="shared" si="0"/>
        <v>20168.7</v>
      </c>
      <c r="K158" s="76" t="str">
        <f>IF(C158="استحداث بند جديد", "", IF(D158&lt;&gt;"", IFERROR(INDEX('بنود العقد'!C$3:C$388,D158), ""), ""))</f>
        <v>ميكانيكا</v>
      </c>
      <c r="L158" s="76" t="str">
        <f>IF(C158="استحداث بند جديد", IF(K158&lt;&gt;"","CMH_01-"&amp;IFERROR(VLOOKUP(K158,مراجع!$A$3:$B$14,2,FALSE),"?")&amp;"-NEW-"&amp;TEXT(A158,"000"),""), IF(D158&lt;&gt;"", IFERROR(INDEX('بنود العقد'!I$3:I$388,D158), ""), ""))</f>
        <v>CMH_01-ME-200</v>
      </c>
      <c r="M158" s="19"/>
    </row>
    <row r="159" spans="1:13" s="76" customFormat="1" ht="28.2" customHeight="1">
      <c r="A159" s="12">
        <v>157</v>
      </c>
      <c r="B159" s="6">
        <v>1</v>
      </c>
      <c r="C159" s="6" t="s">
        <v>175</v>
      </c>
      <c r="D159" s="6">
        <v>201</v>
      </c>
      <c r="E159" s="22" t="str">
        <f>IF(C159="استحداث بند جديد", "", IF(D159&lt;&gt;"", IFERROR(INDEX('بنود العقد'!B$3:B$388,D159),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33</v>
      </c>
      <c r="F159" s="23" t="str">
        <f>IF(C159="استحداث بند جديد", "", IF(D159&lt;&gt;"", IFERROR(INDEX('بنود العقد'!D$3:D$388,D159), ""), ""))</f>
        <v>م.ط</v>
      </c>
      <c r="G159" s="24">
        <f>IF(C159="استحداث بند جديد", "", IF(D159&lt;&gt;"", IFERROR(INDEX('بنود العقد'!E$3:E$388,D159), 0), ""))</f>
        <v>192</v>
      </c>
      <c r="H159" s="7">
        <v>320</v>
      </c>
      <c r="I159" s="8">
        <v>120</v>
      </c>
      <c r="J159" s="10">
        <f t="shared" si="0"/>
        <v>61440</v>
      </c>
      <c r="K159" s="76" t="str">
        <f>IF(C159="استحداث بند جديد", "", IF(D159&lt;&gt;"", IFERROR(INDEX('بنود العقد'!C$3:C$388,D159), ""), ""))</f>
        <v>ميكانيكا</v>
      </c>
      <c r="L159" s="76" t="str">
        <f>IF(C159="استحداث بند جديد", IF(K159&lt;&gt;"","CMH_01-"&amp;IFERROR(VLOOKUP(K159,مراجع!$A$3:$B$14,2,FALSE),"?")&amp;"-NEW-"&amp;TEXT(A159,"000"),""), IF(D159&lt;&gt;"", IFERROR(INDEX('بنود العقد'!I$3:I$388,D159), ""), ""))</f>
        <v>CMH_01-ME-201</v>
      </c>
      <c r="M159" s="19"/>
    </row>
    <row r="160" spans="1:13" s="76" customFormat="1" ht="28.2" customHeight="1">
      <c r="A160" s="12">
        <v>158</v>
      </c>
      <c r="B160" s="6">
        <v>1</v>
      </c>
      <c r="C160" s="6" t="s">
        <v>175</v>
      </c>
      <c r="D160" s="6">
        <v>202</v>
      </c>
      <c r="E160" s="22" t="str">
        <f>IF(C160="استحداث بند جديد", "", IF(D160&lt;&gt;"", IFERROR(INDEX('بنود العقد'!B$3:B$388,D160),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40</v>
      </c>
      <c r="F160" s="23" t="str">
        <f>IF(C160="استحداث بند جديد", "", IF(D160&lt;&gt;"", IFERROR(INDEX('بنود العقد'!D$3:D$388,D160), ""), ""))</f>
        <v>م.ط</v>
      </c>
      <c r="G160" s="24">
        <f>IF(C160="استحداث بند جديد", "", IF(D160&lt;&gt;"", IFERROR(INDEX('بنود العقد'!E$3:E$388,D160), 0), ""))</f>
        <v>222</v>
      </c>
      <c r="H160" s="7">
        <v>381</v>
      </c>
      <c r="I160" s="8">
        <v>120</v>
      </c>
      <c r="J160" s="10">
        <f t="shared" si="0"/>
        <v>84582</v>
      </c>
      <c r="K160" s="76" t="str">
        <f>IF(C160="استحداث بند جديد", "", IF(D160&lt;&gt;"", IFERROR(INDEX('بنود العقد'!C$3:C$388,D160), ""), ""))</f>
        <v>ميكانيكا</v>
      </c>
      <c r="L160" s="76" t="str">
        <f>IF(C160="استحداث بند جديد", IF(K160&lt;&gt;"","CMH_01-"&amp;IFERROR(VLOOKUP(K160,مراجع!$A$3:$B$14,2,FALSE),"?")&amp;"-NEW-"&amp;TEXT(A160,"000"),""), IF(D160&lt;&gt;"", IFERROR(INDEX('بنود العقد'!I$3:I$388,D160), ""), ""))</f>
        <v>CMH_01-ME-202</v>
      </c>
      <c r="M160" s="19"/>
    </row>
    <row r="161" spans="1:13" s="76" customFormat="1" ht="28.2" customHeight="1">
      <c r="A161" s="12">
        <v>159</v>
      </c>
      <c r="B161" s="6">
        <v>1</v>
      </c>
      <c r="C161" s="6" t="s">
        <v>175</v>
      </c>
      <c r="D161" s="6">
        <v>203</v>
      </c>
      <c r="E161" s="22" t="str">
        <f>IF(C161="استحداث بند جديد", "", IF(D161&lt;&gt;"", IFERROR(INDEX('بنود العقد'!B$3:B$388,D161),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63</v>
      </c>
      <c r="F161" s="23" t="str">
        <f>IF(C161="استحداث بند جديد", "", IF(D161&lt;&gt;"", IFERROR(INDEX('بنود العقد'!D$3:D$388,D161), ""), ""))</f>
        <v>م.ط</v>
      </c>
      <c r="G161" s="24">
        <f>IF(C161="استحداث بند جديد", "", IF(D161&lt;&gt;"", IFERROR(INDEX('بنود العقد'!E$3:E$388,D161), 0), ""))</f>
        <v>240</v>
      </c>
      <c r="H161" s="7">
        <v>105</v>
      </c>
      <c r="I161" s="8">
        <v>120</v>
      </c>
      <c r="J161" s="10">
        <f t="shared" si="0"/>
        <v>25200</v>
      </c>
      <c r="K161" s="76" t="str">
        <f>IF(C161="استحداث بند جديد", "", IF(D161&lt;&gt;"", IFERROR(INDEX('بنود العقد'!C$3:C$388,D161), ""), ""))</f>
        <v>ميكانيكا</v>
      </c>
      <c r="L161" s="76" t="str">
        <f>IF(C161="استحداث بند جديد", IF(K161&lt;&gt;"","CMH_01-"&amp;IFERROR(VLOOKUP(K161,مراجع!$A$3:$B$14,2,FALSE),"?")&amp;"-NEW-"&amp;TEXT(A161,"000"),""), IF(D161&lt;&gt;"", IFERROR(INDEX('بنود العقد'!I$3:I$388,D161), ""), ""))</f>
        <v>CMH_01-ME-203</v>
      </c>
      <c r="M161" s="19"/>
    </row>
    <row r="162" spans="1:13" s="76" customFormat="1" ht="28.2" customHeight="1">
      <c r="A162" s="12">
        <v>160</v>
      </c>
      <c r="B162" s="6">
        <v>1</v>
      </c>
      <c r="C162" s="6" t="s">
        <v>175</v>
      </c>
      <c r="D162" s="6">
        <v>204</v>
      </c>
      <c r="E162" s="22" t="str">
        <f>IF(C162="استحداث بند جديد", "", IF(D162&lt;&gt;"", IFERROR(INDEX('بنود العقد'!B$3:B$388,D162),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77</v>
      </c>
      <c r="F162" s="23" t="str">
        <f>IF(C162="استحداث بند جديد", "", IF(D162&lt;&gt;"", IFERROR(INDEX('بنود العقد'!D$3:D$388,D162), ""), ""))</f>
        <v>م.ط</v>
      </c>
      <c r="G162" s="24">
        <f>IF(C162="استحداث بند جديد", "", IF(D162&lt;&gt;"", IFERROR(INDEX('بنود العقد'!E$3:E$388,D162), 0), ""))</f>
        <v>288</v>
      </c>
      <c r="H162" s="7">
        <v>208.1</v>
      </c>
      <c r="I162" s="8">
        <v>120</v>
      </c>
      <c r="J162" s="10">
        <f t="shared" si="0"/>
        <v>59932.799999999996</v>
      </c>
      <c r="K162" s="76" t="str">
        <f>IF(C162="استحداث بند جديد", "", IF(D162&lt;&gt;"", IFERROR(INDEX('بنود العقد'!C$3:C$388,D162), ""), ""))</f>
        <v>ميكانيكا</v>
      </c>
      <c r="L162" s="76" t="str">
        <f>IF(C162="استحداث بند جديد", IF(K162&lt;&gt;"","CMH_01-"&amp;IFERROR(VLOOKUP(K162,مراجع!$A$3:$B$14,2,FALSE),"?")&amp;"-NEW-"&amp;TEXT(A162,"000"),""), IF(D162&lt;&gt;"", IFERROR(INDEX('بنود العقد'!I$3:I$388,D162), ""), ""))</f>
        <v>CMH_01-ME-204</v>
      </c>
      <c r="M162" s="19"/>
    </row>
    <row r="163" spans="1:13" s="76" customFormat="1" ht="28.2" customHeight="1">
      <c r="A163" s="12">
        <v>161</v>
      </c>
      <c r="B163" s="6">
        <v>1</v>
      </c>
      <c r="C163" s="6" t="s">
        <v>175</v>
      </c>
      <c r="D163" s="6">
        <v>205</v>
      </c>
      <c r="E163" s="22" t="str">
        <f>IF(C163="استحداث بند جديد", "", IF(D163&lt;&gt;"", IFERROR(INDEX('بنود العقد'!B$3:B$388,D163),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94</v>
      </c>
      <c r="F163" s="23" t="str">
        <f>IF(C163="استحداث بند جديد", "", IF(D163&lt;&gt;"", IFERROR(INDEX('بنود العقد'!D$3:D$388,D163), ""), ""))</f>
        <v>م.ط</v>
      </c>
      <c r="G163" s="24">
        <f>IF(C163="استحداث بند جديد", "", IF(D163&lt;&gt;"", IFERROR(INDEX('بنود العقد'!E$3:E$388,D163), 0), ""))</f>
        <v>324</v>
      </c>
      <c r="H163" s="7">
        <v>46.1</v>
      </c>
      <c r="I163" s="8">
        <v>120</v>
      </c>
      <c r="J163" s="10">
        <f t="shared" si="0"/>
        <v>14936.4</v>
      </c>
      <c r="K163" s="76" t="str">
        <f>IF(C163="استحداث بند جديد", "", IF(D163&lt;&gt;"", IFERROR(INDEX('بنود العقد'!C$3:C$388,D163), ""), ""))</f>
        <v>ميكانيكا</v>
      </c>
      <c r="L163" s="76" t="str">
        <f>IF(C163="استحداث بند جديد", IF(K163&lt;&gt;"","CMH_01-"&amp;IFERROR(VLOOKUP(K163,مراجع!$A$3:$B$14,2,FALSE),"?")&amp;"-NEW-"&amp;TEXT(A163,"000"),""), IF(D163&lt;&gt;"", IFERROR(INDEX('بنود العقد'!I$3:I$388,D163), ""), ""))</f>
        <v>CMH_01-ME-205</v>
      </c>
      <c r="M163" s="19"/>
    </row>
    <row r="164" spans="1:13" s="76" customFormat="1" ht="28.2" customHeight="1">
      <c r="A164" s="12">
        <v>162</v>
      </c>
      <c r="B164" s="6">
        <v>1</v>
      </c>
      <c r="C164" s="6" t="s">
        <v>175</v>
      </c>
      <c r="D164" s="6">
        <v>206</v>
      </c>
      <c r="E164" s="22" t="str">
        <f>IF(C164="استحداث بند جديد", "", IF(D164&lt;&gt;"", IFERROR(INDEX('بنود العقد'!B$3:B$388,D164),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141</v>
      </c>
      <c r="F164" s="23" t="str">
        <f>IF(C164="استحداث بند جديد", "", IF(D164&lt;&gt;"", IFERROR(INDEX('بنود العقد'!D$3:D$388,D164), ""), ""))</f>
        <v>م.ط</v>
      </c>
      <c r="G164" s="24">
        <f>IF(C164="استحداث بند جديد", "", IF(D164&lt;&gt;"", IFERROR(INDEX('بنود العقد'!E$3:E$388,D164), 0), ""))</f>
        <v>360</v>
      </c>
      <c r="H164" s="7">
        <v>370</v>
      </c>
      <c r="I164" s="8">
        <v>120</v>
      </c>
      <c r="J164" s="10">
        <f t="shared" si="0"/>
        <v>133200</v>
      </c>
      <c r="K164" s="76" t="str">
        <f>IF(C164="استحداث بند جديد", "", IF(D164&lt;&gt;"", IFERROR(INDEX('بنود العقد'!C$3:C$388,D164), ""), ""))</f>
        <v>ميكانيكا</v>
      </c>
      <c r="L164" s="76" t="str">
        <f>IF(C164="استحداث بند جديد", IF(K164&lt;&gt;"","CMH_01-"&amp;IFERROR(VLOOKUP(K164,مراجع!$A$3:$B$14,2,FALSE),"?")&amp;"-NEW-"&amp;TEXT(A164,"000"),""), IF(D164&lt;&gt;"", IFERROR(INDEX('بنود العقد'!I$3:I$388,D164), ""), ""))</f>
        <v>CMH_01-ME-206</v>
      </c>
      <c r="M164" s="19"/>
    </row>
    <row r="165" spans="1:13" s="76" customFormat="1" ht="28.2" customHeight="1">
      <c r="A165" s="12">
        <v>163</v>
      </c>
      <c r="B165" s="6">
        <v>1</v>
      </c>
      <c r="C165" s="6" t="s">
        <v>250</v>
      </c>
      <c r="D165" s="6">
        <v>207</v>
      </c>
      <c r="E165" s="22" t="str">
        <f>IF(C165="استحداث بند جديد", "", IF(D165&lt;&gt;"", IFERROR(INDEX('بنود العقد'!B$3:B$388,D165),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F165" s="23" t="str">
        <f>IF(C165="استحداث بند جديد", "", IF(D165&lt;&gt;"", IFERROR(INDEX('بنود العقد'!D$3:D$388,D165), ""), ""))</f>
        <v>م.ط</v>
      </c>
      <c r="G165" s="24">
        <f>IF(C165="استحداث بند جديد", "", IF(D165&lt;&gt;"", IFERROR(INDEX('بنود العقد'!E$3:E$388,D165), 0), ""))</f>
        <v>108</v>
      </c>
      <c r="H165" s="7">
        <v>-1938</v>
      </c>
      <c r="I165" s="8">
        <v>120</v>
      </c>
      <c r="J165" s="10">
        <f t="shared" si="0"/>
        <v>-209304</v>
      </c>
      <c r="K165" s="76" t="str">
        <f>IF(C165="استحداث بند جديد", "", IF(D165&lt;&gt;"", IFERROR(INDEX('بنود العقد'!C$3:C$388,D165), ""), ""))</f>
        <v>ميكانيكا</v>
      </c>
      <c r="L165" s="76" t="str">
        <f>IF(C165="استحداث بند جديد", IF(K165&lt;&gt;"","CMH_01-"&amp;IFERROR(VLOOKUP(K165,مراجع!$A$3:$B$14,2,FALSE),"?")&amp;"-NEW-"&amp;TEXT(A165,"000"),""), IF(D165&lt;&gt;"", IFERROR(INDEX('بنود العقد'!I$3:I$388,D165), ""), ""))</f>
        <v>CMH_01-ME-207</v>
      </c>
      <c r="M165" s="19"/>
    </row>
    <row r="166" spans="1:13" s="76" customFormat="1" ht="28.2" customHeight="1">
      <c r="A166" s="12">
        <v>164</v>
      </c>
      <c r="B166" s="6">
        <v>1</v>
      </c>
      <c r="C166" s="6" t="s">
        <v>250</v>
      </c>
      <c r="D166" s="6">
        <v>208</v>
      </c>
      <c r="E166" s="22" t="str">
        <f>IF(C166="استحداث بند جديد", "", IF(D166&lt;&gt;"", IFERROR(INDEX('بنود العقد'!B$3:B$388,D166),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32 mm dia.</v>
      </c>
      <c r="F166" s="23" t="str">
        <f>IF(C166="استحداث بند جديد", "", IF(D166&lt;&gt;"", IFERROR(INDEX('بنود العقد'!D$3:D$388,D166), ""), ""))</f>
        <v>م.ط</v>
      </c>
      <c r="G166" s="24">
        <f>IF(C166="استحداث بند جديد", "", IF(D166&lt;&gt;"", IFERROR(INDEX('بنود العقد'!E$3:E$388,D166), 0), ""))</f>
        <v>138</v>
      </c>
      <c r="H166" s="7">
        <v>-100</v>
      </c>
      <c r="I166" s="8">
        <v>120</v>
      </c>
      <c r="J166" s="10">
        <f t="shared" si="0"/>
        <v>-13800</v>
      </c>
      <c r="K166" s="76" t="str">
        <f>IF(C166="استحداث بند جديد", "", IF(D166&lt;&gt;"", IFERROR(INDEX('بنود العقد'!C$3:C$388,D166), ""), ""))</f>
        <v>ميكانيكا</v>
      </c>
      <c r="L166" s="76" t="str">
        <f>IF(C166="استحداث بند جديد", IF(K166&lt;&gt;"","CMH_01-"&amp;IFERROR(VLOOKUP(K166,مراجع!$A$3:$B$14,2,FALSE),"?")&amp;"-NEW-"&amp;TEXT(A166,"000"),""), IF(D166&lt;&gt;"", IFERROR(INDEX('بنود العقد'!I$3:I$388,D166), ""), ""))</f>
        <v>CMH_01-ME-208</v>
      </c>
      <c r="M166" s="19"/>
    </row>
    <row r="167" spans="1:13" s="76" customFormat="1" ht="28.2" customHeight="1">
      <c r="A167" s="12">
        <v>165</v>
      </c>
      <c r="B167" s="6">
        <v>1</v>
      </c>
      <c r="C167" s="6" t="s">
        <v>250</v>
      </c>
      <c r="D167" s="6">
        <v>209</v>
      </c>
      <c r="E167" s="22" t="str">
        <f>IF(C167="استحداث بند جديد", "", IF(D167&lt;&gt;"", IFERROR(INDEX('بنود العقد'!B$3:B$388,D167),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40 mm dia.</v>
      </c>
      <c r="F167" s="23" t="str">
        <f>IF(C167="استحداث بند جديد", "", IF(D167&lt;&gt;"", IFERROR(INDEX('بنود العقد'!D$3:D$388,D167), ""), ""))</f>
        <v>م.ط</v>
      </c>
      <c r="G167" s="24">
        <f>IF(C167="استحداث بند جديد", "", IF(D167&lt;&gt;"", IFERROR(INDEX('بنود العقد'!E$3:E$388,D167), 0), ""))</f>
        <v>192</v>
      </c>
      <c r="H167" s="7">
        <v>-397</v>
      </c>
      <c r="I167" s="8">
        <v>120</v>
      </c>
      <c r="J167" s="10">
        <f t="shared" si="0"/>
        <v>-76224</v>
      </c>
      <c r="K167" s="76" t="str">
        <f>IF(C167="استحداث بند جديد", "", IF(D167&lt;&gt;"", IFERROR(INDEX('بنود العقد'!C$3:C$388,D167), ""), ""))</f>
        <v>ميكانيكا</v>
      </c>
      <c r="L167" s="76" t="str">
        <f>IF(C167="استحداث بند جديد", IF(K167&lt;&gt;"","CMH_01-"&amp;IFERROR(VLOOKUP(K167,مراجع!$A$3:$B$14,2,FALSE),"?")&amp;"-NEW-"&amp;TEXT(A167,"000"),""), IF(D167&lt;&gt;"", IFERROR(INDEX('بنود العقد'!I$3:I$388,D167), ""), ""))</f>
        <v>CMH_01-ME-209</v>
      </c>
      <c r="M167" s="19"/>
    </row>
    <row r="168" spans="1:13" s="76" customFormat="1" ht="28.2" customHeight="1">
      <c r="A168" s="12">
        <v>166</v>
      </c>
      <c r="B168" s="6">
        <v>1</v>
      </c>
      <c r="C168" s="6" t="s">
        <v>250</v>
      </c>
      <c r="D168" s="6">
        <v>210</v>
      </c>
      <c r="E168" s="22" t="str">
        <f>IF(C168="استحداث بند جديد", "", IF(D168&lt;&gt;"", IFERROR(INDEX('بنود العقد'!B$3:B$388,D168),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50 mm dia.</v>
      </c>
      <c r="F168" s="23" t="str">
        <f>IF(C168="استحداث بند جديد", "", IF(D168&lt;&gt;"", IFERROR(INDEX('بنود العقد'!D$3:D$388,D168), ""), ""))</f>
        <v>م.ط</v>
      </c>
      <c r="G168" s="24">
        <f>IF(C168="استحداث بند جديد", "", IF(D168&lt;&gt;"", IFERROR(INDEX('بنود العقد'!E$3:E$388,D168), 0), ""))</f>
        <v>222</v>
      </c>
      <c r="H168" s="7">
        <v>-111</v>
      </c>
      <c r="I168" s="8">
        <v>120</v>
      </c>
      <c r="J168" s="10">
        <f t="shared" si="0"/>
        <v>-24642</v>
      </c>
      <c r="K168" s="76" t="str">
        <f>IF(C168="استحداث بند جديد", "", IF(D168&lt;&gt;"", IFERROR(INDEX('بنود العقد'!C$3:C$388,D168), ""), ""))</f>
        <v>ميكانيكا</v>
      </c>
      <c r="L168" s="76" t="str">
        <f>IF(C168="استحداث بند جديد", IF(K168&lt;&gt;"","CMH_01-"&amp;IFERROR(VLOOKUP(K168,مراجع!$A$3:$B$14,2,FALSE),"?")&amp;"-NEW-"&amp;TEXT(A168,"000"),""), IF(D168&lt;&gt;"", IFERROR(INDEX('بنود العقد'!I$3:I$388,D168), ""), ""))</f>
        <v>CMH_01-ME-210</v>
      </c>
      <c r="M168" s="19"/>
    </row>
    <row r="169" spans="1:13" s="76" customFormat="1" ht="28.2" customHeight="1">
      <c r="A169" s="12">
        <v>167</v>
      </c>
      <c r="B169" s="6">
        <v>1</v>
      </c>
      <c r="C169" s="6" t="s">
        <v>250</v>
      </c>
      <c r="D169" s="6">
        <v>211</v>
      </c>
      <c r="E169" s="22" t="str">
        <f>IF(C169="استحداث بند جديد", "", IF(D169&lt;&gt;"", IFERROR(INDEX('بنود العقد'!B$3:B$388,D169),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63 mm dia.</v>
      </c>
      <c r="F169" s="23" t="str">
        <f>IF(C169="استحداث بند جديد", "", IF(D169&lt;&gt;"", IFERROR(INDEX('بنود العقد'!D$3:D$388,D169), ""), ""))</f>
        <v>م.ط</v>
      </c>
      <c r="G169" s="24">
        <f>IF(C169="استحداث بند جديد", "", IF(D169&lt;&gt;"", IFERROR(INDEX('بنود العقد'!E$3:E$388,D169), 0), ""))</f>
        <v>240</v>
      </c>
      <c r="H169" s="7">
        <v>-100</v>
      </c>
      <c r="I169" s="8">
        <v>120</v>
      </c>
      <c r="J169" s="10">
        <f t="shared" si="0"/>
        <v>-24000</v>
      </c>
      <c r="K169" s="76" t="str">
        <f>IF(C169="استحداث بند جديد", "", IF(D169&lt;&gt;"", IFERROR(INDEX('بنود العقد'!C$3:C$388,D169), ""), ""))</f>
        <v>ميكانيكا</v>
      </c>
      <c r="L169" s="76" t="str">
        <f>IF(C169="استحداث بند جديد", IF(K169&lt;&gt;"","CMH_01-"&amp;IFERROR(VLOOKUP(K169,مراجع!$A$3:$B$14,2,FALSE),"?")&amp;"-NEW-"&amp;TEXT(A169,"000"),""), IF(D169&lt;&gt;"", IFERROR(INDEX('بنود العقد'!I$3:I$388,D169), ""), ""))</f>
        <v>CMH_01-ME-211</v>
      </c>
      <c r="M169" s="19"/>
    </row>
    <row r="170" spans="1:13" s="76" customFormat="1" ht="28.2" customHeight="1">
      <c r="A170" s="12">
        <v>168</v>
      </c>
      <c r="B170" s="6">
        <v>1</v>
      </c>
      <c r="C170" s="6" t="s">
        <v>250</v>
      </c>
      <c r="D170" s="6">
        <v>212</v>
      </c>
      <c r="E170" s="22" t="str">
        <f>IF(C170="استحداث بند جديد", "", IF(D170&lt;&gt;"", IFERROR(INDEX('بنود العقد'!B$3:B$388,D170),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80 mm dia.</v>
      </c>
      <c r="F170" s="23" t="str">
        <f>IF(C170="استحداث بند جديد", "", IF(D170&lt;&gt;"", IFERROR(INDEX('بنود العقد'!D$3:D$388,D170), ""), ""))</f>
        <v>م.ط</v>
      </c>
      <c r="G170" s="24">
        <f>IF(C170="استحداث بند جديد", "", IF(D170&lt;&gt;"", IFERROR(INDEX('بنود العقد'!E$3:E$388,D170), 0), ""))</f>
        <v>288</v>
      </c>
      <c r="H170" s="7">
        <v>-50</v>
      </c>
      <c r="I170" s="8">
        <v>120</v>
      </c>
      <c r="J170" s="10">
        <f t="shared" si="0"/>
        <v>-14400</v>
      </c>
      <c r="K170" s="76" t="str">
        <f>IF(C170="استحداث بند جديد", "", IF(D170&lt;&gt;"", IFERROR(INDEX('بنود العقد'!C$3:C$388,D170), ""), ""))</f>
        <v>ميكانيكا</v>
      </c>
      <c r="L170" s="76" t="str">
        <f>IF(C170="استحداث بند جديد", IF(K170&lt;&gt;"","CMH_01-"&amp;IFERROR(VLOOKUP(K170,مراجع!$A$3:$B$14,2,FALSE),"?")&amp;"-NEW-"&amp;TEXT(A170,"000"),""), IF(D170&lt;&gt;"", IFERROR(INDEX('بنود العقد'!I$3:I$388,D170), ""), ""))</f>
        <v>CMH_01-ME-212</v>
      </c>
      <c r="M170" s="19"/>
    </row>
    <row r="171" spans="1:13" s="76" customFormat="1" ht="28.2" customHeight="1">
      <c r="A171" s="12">
        <v>169</v>
      </c>
      <c r="B171" s="6">
        <v>1</v>
      </c>
      <c r="C171" s="6" t="s">
        <v>250</v>
      </c>
      <c r="D171" s="6">
        <v>213</v>
      </c>
      <c r="E171" s="22" t="str">
        <f>IF(C171="استحداث بند جديد", "", IF(D171&lt;&gt;"", IFERROR(INDEX('بنود العقد'!B$3:B$388,D171),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100 mm dia.</v>
      </c>
      <c r="F171" s="23" t="str">
        <f>IF(C171="استحداث بند جديد", "", IF(D171&lt;&gt;"", IFERROR(INDEX('بنود العقد'!D$3:D$388,D171), ""), ""))</f>
        <v>م.ط</v>
      </c>
      <c r="G171" s="24">
        <f>IF(C171="استحداث بند جديد", "", IF(D171&lt;&gt;"", IFERROR(INDEX('بنود العقد'!E$3:E$388,D171), 0), ""))</f>
        <v>324</v>
      </c>
      <c r="H171" s="7">
        <v>-40</v>
      </c>
      <c r="I171" s="8">
        <v>120</v>
      </c>
      <c r="J171" s="10">
        <f t="shared" si="0"/>
        <v>-12960</v>
      </c>
      <c r="K171" s="76" t="str">
        <f>IF(C171="استحداث بند جديد", "", IF(D171&lt;&gt;"", IFERROR(INDEX('بنود العقد'!C$3:C$388,D171), ""), ""))</f>
        <v>ميكانيكا</v>
      </c>
      <c r="L171" s="76" t="str">
        <f>IF(C171="استحداث بند جديد", IF(K171&lt;&gt;"","CMH_01-"&amp;IFERROR(VLOOKUP(K171,مراجع!$A$3:$B$14,2,FALSE),"?")&amp;"-NEW-"&amp;TEXT(A171,"000"),""), IF(D171&lt;&gt;"", IFERROR(INDEX('بنود العقد'!I$3:I$388,D171), ""), ""))</f>
        <v>CMH_01-ME-213</v>
      </c>
      <c r="M171" s="19"/>
    </row>
    <row r="172" spans="1:13" s="76" customFormat="1" ht="28.2" customHeight="1">
      <c r="A172" s="12">
        <v>170</v>
      </c>
      <c r="B172" s="6">
        <v>1</v>
      </c>
      <c r="C172" s="6" t="s">
        <v>175</v>
      </c>
      <c r="D172" s="6">
        <v>214</v>
      </c>
      <c r="E172" s="22" t="str">
        <f>IF(C172="استحداث بند جديد", "", IF(D172&lt;&gt;"", IFERROR(INDEX('بنود العقد'!B$3:B$388,D172), "⚠"), ""))</f>
        <v>توريد و تركيب و اختبار رشاشات آلية اوتوماتيكية كما هو موصف رشاشات معلقة، ذات فتحة 2/1 بوصة، ومعامل 5.6 =K   ودرجة حرارة تشغيل 68 درجة مئوية</v>
      </c>
      <c r="F172" s="23" t="str">
        <f>IF(C172="استحداث بند جديد", "", IF(D172&lt;&gt;"", IFERROR(INDEX('بنود العقد'!D$3:D$388,D172), ""), ""))</f>
        <v>عدد</v>
      </c>
      <c r="G172" s="24">
        <f>IF(C172="استحداث بند جديد", "", IF(D172&lt;&gt;"", IFERROR(INDEX('بنود العقد'!E$3:E$388,D172), 0), ""))</f>
        <v>66</v>
      </c>
      <c r="H172" s="7">
        <v>637</v>
      </c>
      <c r="I172" s="8">
        <v>120</v>
      </c>
      <c r="J172" s="10">
        <f t="shared" si="0"/>
        <v>42042</v>
      </c>
      <c r="K172" s="76" t="str">
        <f>IF(C172="استحداث بند جديد", "", IF(D172&lt;&gt;"", IFERROR(INDEX('بنود العقد'!C$3:C$388,D172), ""), ""))</f>
        <v>ميكانيكا</v>
      </c>
      <c r="L172" s="76" t="str">
        <f>IF(C172="استحداث بند جديد", IF(K172&lt;&gt;"","CMH_01-"&amp;IFERROR(VLOOKUP(K172,مراجع!$A$3:$B$14,2,FALSE),"?")&amp;"-NEW-"&amp;TEXT(A172,"000"),""), IF(D172&lt;&gt;"", IFERROR(INDEX('بنود العقد'!I$3:I$388,D172), ""), ""))</f>
        <v>CMH_01-ME-214</v>
      </c>
      <c r="M172" s="19"/>
    </row>
    <row r="173" spans="1:13" s="76" customFormat="1" ht="28.2" customHeight="1">
      <c r="A173" s="12">
        <v>171</v>
      </c>
      <c r="B173" s="6">
        <v>1</v>
      </c>
      <c r="C173" s="6" t="s">
        <v>250</v>
      </c>
      <c r="D173" s="6">
        <v>215</v>
      </c>
      <c r="E173" s="22" t="str">
        <f>IF(C173="استحداث بند جديد", "", IF(D173&lt;&gt;"", IFERROR(INDEX('بنود العقد'!B$3:B$388,D173), "⚠"), ""))</f>
        <v>توريد و تركيب و اختبار رشاشات آلية اوتوماتيكية كما هو موصف رشاشات من النوع المخفي، ذات فتحة 2/1 بوصة، ومعامل 5.6 =K   ودرجة حرارة تشغيل 68 درجة مئوية</v>
      </c>
      <c r="F173" s="23" t="str">
        <f>IF(C173="استحداث بند جديد", "", IF(D173&lt;&gt;"", IFERROR(INDEX('بنود العقد'!D$3:D$388,D173), ""), ""))</f>
        <v>عدد</v>
      </c>
      <c r="G173" s="24">
        <f>IF(C173="استحداث بند جديد", "", IF(D173&lt;&gt;"", IFERROR(INDEX('بنود العقد'!E$3:E$388,D173), 0), ""))</f>
        <v>90</v>
      </c>
      <c r="H173" s="7">
        <v>-649</v>
      </c>
      <c r="I173" s="8">
        <v>120</v>
      </c>
      <c r="J173" s="10">
        <f t="shared" si="0"/>
        <v>-58410</v>
      </c>
      <c r="K173" s="76" t="str">
        <f>IF(C173="استحداث بند جديد", "", IF(D173&lt;&gt;"", IFERROR(INDEX('بنود العقد'!C$3:C$388,D173), ""), ""))</f>
        <v>ميكانيكا</v>
      </c>
      <c r="L173" s="76" t="str">
        <f>IF(C173="استحداث بند جديد", IF(K173&lt;&gt;"","CMH_01-"&amp;IFERROR(VLOOKUP(K173,مراجع!$A$3:$B$14,2,FALSE),"?")&amp;"-NEW-"&amp;TEXT(A173,"000"),""), IF(D173&lt;&gt;"", IFERROR(INDEX('بنود العقد'!I$3:I$388,D173), ""), ""))</f>
        <v>CMH_01-ME-215</v>
      </c>
      <c r="M173" s="19"/>
    </row>
    <row r="174" spans="1:13" s="76" customFormat="1" ht="28.2" customHeight="1">
      <c r="A174" s="12">
        <v>172</v>
      </c>
      <c r="B174" s="6">
        <v>1</v>
      </c>
      <c r="C174" s="6" t="s">
        <v>175</v>
      </c>
      <c r="D174" s="6">
        <v>216</v>
      </c>
      <c r="E174" s="22" t="str">
        <f>IF(C174="استحداث بند جديد", "", IF(D174&lt;&gt;"", IFERROR(INDEX('بنود العقد'!B$3:B$388,D174), "⚠"), ""))</f>
        <v>توريد و تركيب و اختبار رشاشات آلية اوتوماتيكية كما هو موصف رشاشات عامودية، ذات فتحة 2/1 بوصة، ومعامل 5.6 =K   ودرجة حرارة تشغيل 68 درجة مئوية</v>
      </c>
      <c r="F174" s="23" t="str">
        <f>IF(C174="استحداث بند جديد", "", IF(D174&lt;&gt;"", IFERROR(INDEX('بنود العقد'!D$3:D$388,D174), ""), ""))</f>
        <v>عدد</v>
      </c>
      <c r="G174" s="24">
        <f>IF(C174="استحداث بند جديد", "", IF(D174&lt;&gt;"", IFERROR(INDEX('بنود العقد'!E$3:E$388,D174), 0), ""))</f>
        <v>90</v>
      </c>
      <c r="H174" s="7">
        <v>73</v>
      </c>
      <c r="I174" s="8">
        <v>120</v>
      </c>
      <c r="J174" s="10">
        <f t="shared" si="0"/>
        <v>6570</v>
      </c>
      <c r="K174" s="76" t="str">
        <f>IF(C174="استحداث بند جديد", "", IF(D174&lt;&gt;"", IFERROR(INDEX('بنود العقد'!C$3:C$388,D174), ""), ""))</f>
        <v>ميكانيكا</v>
      </c>
      <c r="L174" s="76" t="str">
        <f>IF(C174="استحداث بند جديد", IF(K174&lt;&gt;"","CMH_01-"&amp;IFERROR(VLOOKUP(K174,مراجع!$A$3:$B$14,2,FALSE),"?")&amp;"-NEW-"&amp;TEXT(A174,"000"),""), IF(D174&lt;&gt;"", IFERROR(INDEX('بنود العقد'!I$3:I$388,D174), ""), ""))</f>
        <v>CMH_01-ME-216</v>
      </c>
      <c r="M174" s="19"/>
    </row>
    <row r="175" spans="1:13" s="76" customFormat="1" ht="28.2" customHeight="1">
      <c r="A175" s="12">
        <v>173</v>
      </c>
      <c r="B175" s="6">
        <v>1</v>
      </c>
      <c r="C175" s="6" t="s">
        <v>250</v>
      </c>
      <c r="D175" s="6">
        <v>217</v>
      </c>
      <c r="E175" s="22" t="str">
        <f>IF(C175="استحداث بند جديد", "", IF(D175&lt;&gt;"", IFERROR(INDEX('بنود العقد'!B$3:B$388,D175), "⚠"), ""))</f>
        <v>توريد و تركيب طفايات حريق قابلة للحمل كما هو محددنوع ABC ، سعة 6 كغ ، بودرة جافّة مرجع 1-FE</v>
      </c>
      <c r="F175" s="23" t="str">
        <f>IF(C175="استحداث بند جديد", "", IF(D175&lt;&gt;"", IFERROR(INDEX('بنود العقد'!D$3:D$388,D175), ""), ""))</f>
        <v>عدد</v>
      </c>
      <c r="G175" s="24">
        <f>IF(C175="استحداث بند جديد", "", IF(D175&lt;&gt;"", IFERROR(INDEX('بنود العقد'!E$3:E$388,D175), 0), ""))</f>
        <v>180</v>
      </c>
      <c r="H175" s="7">
        <v>-1</v>
      </c>
      <c r="I175" s="8">
        <v>120</v>
      </c>
      <c r="J175" s="10">
        <f t="shared" si="0"/>
        <v>-180</v>
      </c>
      <c r="K175" s="76" t="str">
        <f>IF(C175="استحداث بند جديد", "", IF(D175&lt;&gt;"", IFERROR(INDEX('بنود العقد'!C$3:C$388,D175), ""), ""))</f>
        <v>ميكانيكا</v>
      </c>
      <c r="L175" s="76" t="str">
        <f>IF(C175="استحداث بند جديد", IF(K175&lt;&gt;"","CMH_01-"&amp;IFERROR(VLOOKUP(K175,مراجع!$A$3:$B$14,2,FALSE),"?")&amp;"-NEW-"&amp;TEXT(A175,"000"),""), IF(D175&lt;&gt;"", IFERROR(INDEX('بنود العقد'!I$3:I$388,D175), ""), ""))</f>
        <v>CMH_01-ME-217</v>
      </c>
      <c r="M175" s="19"/>
    </row>
    <row r="176" spans="1:13" s="76" customFormat="1" ht="28.2" customHeight="1">
      <c r="A176" s="12">
        <v>174</v>
      </c>
      <c r="B176" s="6">
        <v>1</v>
      </c>
      <c r="C176" s="6" t="s">
        <v>250</v>
      </c>
      <c r="D176" s="6">
        <v>218</v>
      </c>
      <c r="E176" s="22" t="str">
        <f>IF(C176="استحداث بند جديد", "", IF(D176&lt;&gt;"", IFERROR(INDEX('بنود العقد'!B$3:B$388,D176), "⚠"), ""))</f>
        <v>توريد و تركيب نظام  غازي200FM لغرف الكهرباء و السنترال و ما يتطلبه النظام من تعديلاتمعمارية على ان يتم تقديمها للاعتماد من قبل مهندس المشرف  ،  مرجع 3-FE</v>
      </c>
      <c r="F176" s="23" t="str">
        <f>IF(C176="استحداث بند جديد", "", IF(D176&lt;&gt;"", IFERROR(INDEX('بنود العقد'!D$3:D$388,D176), ""), ""))</f>
        <v>عدد</v>
      </c>
      <c r="G176" s="24">
        <f>IF(C176="استحداث بند جديد", "", IF(D176&lt;&gt;"", IFERROR(INDEX('بنود العقد'!E$3:E$388,D176), 0), ""))</f>
        <v>54000</v>
      </c>
      <c r="H176" s="7">
        <v>-9</v>
      </c>
      <c r="I176" s="8">
        <v>120</v>
      </c>
      <c r="J176" s="10">
        <f t="shared" si="0"/>
        <v>-486000</v>
      </c>
      <c r="K176" s="76" t="str">
        <f>IF(C176="استحداث بند جديد", "", IF(D176&lt;&gt;"", IFERROR(INDEX('بنود العقد'!C$3:C$388,D176), ""), ""))</f>
        <v>ميكانيكا</v>
      </c>
      <c r="L176" s="76" t="str">
        <f>IF(C176="استحداث بند جديد", IF(K176&lt;&gt;"","CMH_01-"&amp;IFERROR(VLOOKUP(K176,مراجع!$A$3:$B$14,2,FALSE),"?")&amp;"-NEW-"&amp;TEXT(A176,"000"),""), IF(D176&lt;&gt;"", IFERROR(INDEX('بنود العقد'!I$3:I$388,D176), ""), ""))</f>
        <v>CMH_01-ME-218</v>
      </c>
      <c r="M176" s="19"/>
    </row>
    <row r="177" spans="1:13" s="76" customFormat="1" ht="28.2" customHeight="1">
      <c r="A177" s="12">
        <v>175</v>
      </c>
      <c r="B177" s="6">
        <v>1</v>
      </c>
      <c r="C177" s="6" t="s">
        <v>175</v>
      </c>
      <c r="D177" s="6">
        <v>219</v>
      </c>
      <c r="E177" s="22" t="str">
        <f>IF(C177="استحداث بند جديد", "", IF(D177&lt;&gt;"", IFERROR(INDEX('بنود العقد'!B$3:B$388,D177), "⚠"), ""))</f>
        <v>توريد و تركيب كبائن مكافحة الحريق class II مزوده بمحبس 5.1 بوصة و خرطوم قماشي من مادةمعتمدة و ايضا بها طفاية حريق ABC  سعة 6 كيلو</v>
      </c>
      <c r="F177" s="23" t="str">
        <f>IF(C177="استحداث بند جديد", "", IF(D177&lt;&gt;"", IFERROR(INDEX('بنود العقد'!D$3:D$388,D177), ""), ""))</f>
        <v>عدد</v>
      </c>
      <c r="G177" s="24">
        <f>IF(C177="استحداث بند جديد", "", IF(D177&lt;&gt;"", IFERROR(INDEX('بنود العقد'!E$3:E$388,D177), 0), ""))</f>
        <v>4800</v>
      </c>
      <c r="H177" s="7">
        <v>9</v>
      </c>
      <c r="I177" s="8">
        <v>120</v>
      </c>
      <c r="J177" s="10">
        <f t="shared" si="0"/>
        <v>43200</v>
      </c>
      <c r="K177" s="76" t="str">
        <f>IF(C177="استحداث بند جديد", "", IF(D177&lt;&gt;"", IFERROR(INDEX('بنود العقد'!C$3:C$388,D177), ""), ""))</f>
        <v>ميكانيكا</v>
      </c>
      <c r="L177" s="76" t="str">
        <f>IF(C177="استحداث بند جديد", IF(K177&lt;&gt;"","CMH_01-"&amp;IFERROR(VLOOKUP(K177,مراجع!$A$3:$B$14,2,FALSE),"?")&amp;"-NEW-"&amp;TEXT(A177,"000"),""), IF(D177&lt;&gt;"", IFERROR(INDEX('بنود العقد'!I$3:I$388,D177), ""), ""))</f>
        <v>CMH_01-ME-219</v>
      </c>
      <c r="M177" s="19"/>
    </row>
    <row r="178" spans="1:13" s="76" customFormat="1" ht="28.2" customHeight="1">
      <c r="A178" s="12">
        <v>176</v>
      </c>
      <c r="B178" s="6">
        <v>1</v>
      </c>
      <c r="C178" s="6" t="s">
        <v>175</v>
      </c>
      <c r="D178" s="6">
        <v>220</v>
      </c>
      <c r="E178" s="22" t="str">
        <f>IF(C178="استحداث بند جديد", "", IF(D178&lt;&gt;"", IFERROR(INDEX('بنود العقد'!B$3:B$388,D178), "⚠"), ""))</f>
        <v xml:space="preserve"> توريد و تركيب طفايات حريق  نوع 2Co ، سعة 6 كغ ، بودرة جافّة</v>
      </c>
      <c r="F178" s="23" t="str">
        <f>IF(C178="استحداث بند جديد", "", IF(D178&lt;&gt;"", IFERROR(INDEX('بنود العقد'!D$3:D$388,D178), ""), ""))</f>
        <v>عدد</v>
      </c>
      <c r="G178" s="24">
        <f>IF(C178="استحداث بند جديد", "", IF(D178&lt;&gt;"", IFERROR(INDEX('بنود العقد'!E$3:E$388,D178), 0), ""))</f>
        <v>420</v>
      </c>
      <c r="H178" s="7">
        <v>25</v>
      </c>
      <c r="I178" s="8">
        <v>120</v>
      </c>
      <c r="J178" s="10">
        <f t="shared" si="0"/>
        <v>10500</v>
      </c>
      <c r="K178" s="76" t="str">
        <f>IF(C178="استحداث بند جديد", "", IF(D178&lt;&gt;"", IFERROR(INDEX('بنود العقد'!C$3:C$388,D178), ""), ""))</f>
        <v>ميكانيكا</v>
      </c>
      <c r="L178" s="76" t="str">
        <f>IF(C178="استحداث بند جديد", IF(K178&lt;&gt;"","CMH_01-"&amp;IFERROR(VLOOKUP(K178,مراجع!$A$3:$B$14,2,FALSE),"?")&amp;"-NEW-"&amp;TEXT(A178,"000"),""), IF(D178&lt;&gt;"", IFERROR(INDEX('بنود العقد'!I$3:I$388,D178), ""), ""))</f>
        <v>CMH_01-ME-220</v>
      </c>
      <c r="M178" s="19"/>
    </row>
    <row r="179" spans="1:13" s="76" customFormat="1" ht="28.2" customHeight="1">
      <c r="A179" s="12">
        <v>177</v>
      </c>
      <c r="B179" s="6">
        <v>1</v>
      </c>
      <c r="C179" s="6" t="s">
        <v>175</v>
      </c>
      <c r="D179" s="6">
        <v>221</v>
      </c>
      <c r="E179" s="22" t="str">
        <f>IF(C179="استحداث بند جديد", "", IF(D179&lt;&gt;"", IFERROR(INDEX('بنود العقد'!B$3:B$388,D179),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01-VAV ، اجمالي الهواء 0-250 ) ق/د( استطاعة التخزين 5.1 )ك/و(</v>
      </c>
      <c r="F179" s="23" t="str">
        <f>IF(C179="استحداث بند جديد", "", IF(D179&lt;&gt;"", IFERROR(INDEX('بنود العقد'!D$3:D$388,D179), ""), ""))</f>
        <v>عدد</v>
      </c>
      <c r="G179" s="24">
        <f>IF(C179="استحداث بند جديد", "", IF(D179&lt;&gt;"", IFERROR(INDEX('بنود العقد'!E$3:E$388,D179), 0), ""))</f>
        <v>6600</v>
      </c>
      <c r="H179" s="7">
        <v>38</v>
      </c>
      <c r="I179" s="8">
        <v>120</v>
      </c>
      <c r="J179" s="10">
        <f t="shared" si="0"/>
        <v>250800</v>
      </c>
      <c r="K179" s="76" t="str">
        <f>IF(C179="استحداث بند جديد", "", IF(D179&lt;&gt;"", IFERROR(INDEX('بنود العقد'!C$3:C$388,D179), ""), ""))</f>
        <v>تكييف</v>
      </c>
      <c r="L179" s="76" t="str">
        <f>IF(C179="استحداث بند جديد", IF(K179&lt;&gt;"","CMH_01-"&amp;IFERROR(VLOOKUP(K179,مراجع!$A$3:$B$14,2,FALSE),"?")&amp;"-NEW-"&amp;TEXT(A179,"000"),""), IF(D179&lt;&gt;"", IFERROR(INDEX('بنود العقد'!I$3:I$388,D179), ""), ""))</f>
        <v>CMH_01-HV-221</v>
      </c>
      <c r="M179" s="19"/>
    </row>
    <row r="180" spans="1:13" s="76" customFormat="1" ht="28.2" customHeight="1">
      <c r="A180" s="12">
        <v>178</v>
      </c>
      <c r="B180" s="6">
        <v>1</v>
      </c>
      <c r="C180" s="6" t="s">
        <v>175</v>
      </c>
      <c r="D180" s="6">
        <v>222</v>
      </c>
      <c r="E180" s="22" t="str">
        <f>IF(C180="استحداث بند جديد", "", IF(D180&lt;&gt;"", IFERROR(INDEX('بنود العقد'!B$3:B$388,D180),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02-VAV ، اجمالي الهواء 0-500 ) ق/د( استطاعة التخزين 2 )ك/و(</v>
      </c>
      <c r="F180" s="23" t="str">
        <f>IF(C180="استحداث بند جديد", "", IF(D180&lt;&gt;"", IFERROR(INDEX('بنود العقد'!D$3:D$388,D180), ""), ""))</f>
        <v>عدد</v>
      </c>
      <c r="G180" s="24">
        <f>IF(C180="استحداث بند جديد", "", IF(D180&lt;&gt;"", IFERROR(INDEX('بنود العقد'!E$3:E$388,D180), 0), ""))</f>
        <v>6960</v>
      </c>
      <c r="H180" s="7">
        <v>15</v>
      </c>
      <c r="I180" s="8">
        <v>120</v>
      </c>
      <c r="J180" s="10">
        <f t="shared" si="0"/>
        <v>104400</v>
      </c>
      <c r="K180" s="76" t="str">
        <f>IF(C180="استحداث بند جديد", "", IF(D180&lt;&gt;"", IFERROR(INDEX('بنود العقد'!C$3:C$388,D180), ""), ""))</f>
        <v>تكييف</v>
      </c>
      <c r="L180" s="76" t="str">
        <f>IF(C180="استحداث بند جديد", IF(K180&lt;&gt;"","CMH_01-"&amp;IFERROR(VLOOKUP(K180,مراجع!$A$3:$B$14,2,FALSE),"?")&amp;"-NEW-"&amp;TEXT(A180,"000"),""), IF(D180&lt;&gt;"", IFERROR(INDEX('بنود العقد'!I$3:I$388,D180), ""), ""))</f>
        <v>CMH_01-HV-222</v>
      </c>
      <c r="M180" s="19"/>
    </row>
    <row r="181" spans="1:13" s="76" customFormat="1" ht="28.2" customHeight="1">
      <c r="A181" s="12">
        <v>179</v>
      </c>
      <c r="B181" s="6">
        <v>1</v>
      </c>
      <c r="C181" s="6" t="s">
        <v>175</v>
      </c>
      <c r="D181" s="6">
        <v>223</v>
      </c>
      <c r="E181" s="22" t="str">
        <f>IF(C181="استحداث بند جديد", "", IF(D181&lt;&gt;"", IFERROR(INDEX('بنود العقد'!B$3:B$388,D181), "⚠"), ""))</f>
        <v xml:space="preserve">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03-VAV ، اجمالي الهواء 0-750 ) ق/د( استطاعة التخزين 3 )ك/و( </v>
      </c>
      <c r="F181" s="23" t="str">
        <f>IF(C181="استحداث بند جديد", "", IF(D181&lt;&gt;"", IFERROR(INDEX('بنود العقد'!D$3:D$388,D181), ""), ""))</f>
        <v>عدد</v>
      </c>
      <c r="G181" s="24">
        <f>IF(C181="استحداث بند جديد", "", IF(D181&lt;&gt;"", IFERROR(INDEX('بنود العقد'!E$3:E$388,D181), 0), ""))</f>
        <v>7200</v>
      </c>
      <c r="H181" s="7">
        <v>12</v>
      </c>
      <c r="I181" s="8">
        <v>120</v>
      </c>
      <c r="J181" s="10">
        <f t="shared" si="0"/>
        <v>86400</v>
      </c>
      <c r="K181" s="76" t="str">
        <f>IF(C181="استحداث بند جديد", "", IF(D181&lt;&gt;"", IFERROR(INDEX('بنود العقد'!C$3:C$388,D181), ""), ""))</f>
        <v>تكييف</v>
      </c>
      <c r="L181" s="76" t="str">
        <f>IF(C181="استحداث بند جديد", IF(K181&lt;&gt;"","CMH_01-"&amp;IFERROR(VLOOKUP(K181,مراجع!$A$3:$B$14,2,FALSE),"?")&amp;"-NEW-"&amp;TEXT(A181,"000"),""), IF(D181&lt;&gt;"", IFERROR(INDEX('بنود العقد'!I$3:I$388,D181), ""), ""))</f>
        <v>CMH_01-HV-223</v>
      </c>
      <c r="M181" s="19"/>
    </row>
    <row r="182" spans="1:13" s="76" customFormat="1" ht="28.2" customHeight="1">
      <c r="A182" s="12">
        <v>180</v>
      </c>
      <c r="B182" s="6">
        <v>1</v>
      </c>
      <c r="C182" s="6" t="s">
        <v>175</v>
      </c>
      <c r="D182" s="6">
        <v>224</v>
      </c>
      <c r="E182" s="22" t="str">
        <f>IF(C182="استحداث بند جديد", "", IF(D182&lt;&gt;"", IFERROR(INDEX('بنود العقد'!B$3:B$388,D182),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04-VAV ، اجمالي الهواء 0-1000 ) ق/د( استطاعة التخزين 5.3 )ك/و(</v>
      </c>
      <c r="F182" s="23" t="str">
        <f>IF(C182="استحداث بند جديد", "", IF(D182&lt;&gt;"", IFERROR(INDEX('بنود العقد'!D$3:D$388,D182), ""), ""))</f>
        <v>عدد</v>
      </c>
      <c r="G182" s="24">
        <f>IF(C182="استحداث بند جديد", "", IF(D182&lt;&gt;"", IFERROR(INDEX('بنود العقد'!E$3:E$388,D182), 0), ""))</f>
        <v>7200</v>
      </c>
      <c r="H182" s="7">
        <v>15</v>
      </c>
      <c r="I182" s="8">
        <v>120</v>
      </c>
      <c r="J182" s="10">
        <f t="shared" si="0"/>
        <v>108000</v>
      </c>
      <c r="K182" s="76" t="str">
        <f>IF(C182="استحداث بند جديد", "", IF(D182&lt;&gt;"", IFERROR(INDEX('بنود العقد'!C$3:C$388,D182), ""), ""))</f>
        <v>تكييف</v>
      </c>
      <c r="L182" s="76" t="str">
        <f>IF(C182="استحداث بند جديد", IF(K182&lt;&gt;"","CMH_01-"&amp;IFERROR(VLOOKUP(K182,مراجع!$A$3:$B$14,2,FALSE),"?")&amp;"-NEW-"&amp;TEXT(A182,"000"),""), IF(D182&lt;&gt;"", IFERROR(INDEX('بنود العقد'!I$3:I$388,D182), ""), ""))</f>
        <v>CMH_01-HV-224</v>
      </c>
      <c r="M182" s="19"/>
    </row>
    <row r="183" spans="1:13" s="76" customFormat="1" ht="28.2" customHeight="1">
      <c r="A183" s="12">
        <v>181</v>
      </c>
      <c r="B183" s="6">
        <v>1</v>
      </c>
      <c r="C183" s="6" t="s">
        <v>175</v>
      </c>
      <c r="D183" s="6">
        <v>225</v>
      </c>
      <c r="E183" s="22" t="str">
        <f>IF(C183="استحداث بند جديد", "", IF(D183&lt;&gt;"", IFERROR(INDEX('بنود العقد'!B$3:B$388,D183),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05-VAV ، اجمالي الهواء 0-1500 ) ق/د( استطاعة التخزين 5.3 )ك/و(</v>
      </c>
      <c r="F183" s="23" t="str">
        <f>IF(C183="استحداث بند جديد", "", IF(D183&lt;&gt;"", IFERROR(INDEX('بنود العقد'!D$3:D$388,D183), ""), ""))</f>
        <v>عدد</v>
      </c>
      <c r="G183" s="24">
        <f>IF(C183="استحداث بند جديد", "", IF(D183&lt;&gt;"", IFERROR(INDEX('بنود العقد'!E$3:E$388,D183), 0), ""))</f>
        <v>9000</v>
      </c>
      <c r="H183" s="7">
        <v>13</v>
      </c>
      <c r="I183" s="8">
        <v>120</v>
      </c>
      <c r="J183" s="10">
        <f t="shared" si="0"/>
        <v>117000</v>
      </c>
      <c r="K183" s="76" t="str">
        <f>IF(C183="استحداث بند جديد", "", IF(D183&lt;&gt;"", IFERROR(INDEX('بنود العقد'!C$3:C$388,D183), ""), ""))</f>
        <v>تكييف</v>
      </c>
      <c r="L183" s="76" t="str">
        <f>IF(C183="استحداث بند جديد", IF(K183&lt;&gt;"","CMH_01-"&amp;IFERROR(VLOOKUP(K183,مراجع!$A$3:$B$14,2,FALSE),"?")&amp;"-NEW-"&amp;TEXT(A183,"000"),""), IF(D183&lt;&gt;"", IFERROR(INDEX('بنود العقد'!I$3:I$388,D183), ""), ""))</f>
        <v>CMH_01-HV-225</v>
      </c>
      <c r="M183" s="19"/>
    </row>
    <row r="184" spans="1:13" s="76" customFormat="1" ht="28.2" customHeight="1">
      <c r="A184" s="12">
        <v>182</v>
      </c>
      <c r="B184" s="6">
        <v>1</v>
      </c>
      <c r="C184" s="6" t="s">
        <v>250</v>
      </c>
      <c r="D184" s="6">
        <v>226</v>
      </c>
      <c r="E184" s="22" t="str">
        <f>IF(C184="استحداث بند جديد", "", IF(D184&lt;&gt;"", IFERROR(INDEX('بنود العقد'!B$3:B$388,D184),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06-VAV ، اجمالي الهواء 0-2000 ) ق/د( استطاعة التخزين 6.3 )ك/و(</v>
      </c>
      <c r="F184" s="23" t="str">
        <f>IF(C184="استحداث بند جديد", "", IF(D184&lt;&gt;"", IFERROR(INDEX('بنود العقد'!D$3:D$388,D184), ""), ""))</f>
        <v>عدد</v>
      </c>
      <c r="G184" s="24">
        <f>IF(C184="استحداث بند جديد", "", IF(D184&lt;&gt;"", IFERROR(INDEX('بنود العقد'!E$3:E$388,D184), 0), ""))</f>
        <v>10200</v>
      </c>
      <c r="H184" s="7">
        <v>-25</v>
      </c>
      <c r="I184" s="8">
        <v>120</v>
      </c>
      <c r="J184" s="10">
        <f t="shared" si="0"/>
        <v>-255000</v>
      </c>
      <c r="K184" s="76" t="str">
        <f>IF(C184="استحداث بند جديد", "", IF(D184&lt;&gt;"", IFERROR(INDEX('بنود العقد'!C$3:C$388,D184), ""), ""))</f>
        <v>تكييف</v>
      </c>
      <c r="L184" s="76" t="str">
        <f>IF(C184="استحداث بند جديد", IF(K184&lt;&gt;"","CMH_01-"&amp;IFERROR(VLOOKUP(K184,مراجع!$A$3:$B$14,2,FALSE),"?")&amp;"-NEW-"&amp;TEXT(A184,"000"),""), IF(D184&lt;&gt;"", IFERROR(INDEX('بنود العقد'!I$3:I$388,D184), ""), ""))</f>
        <v>CMH_01-HV-226</v>
      </c>
      <c r="M184" s="19"/>
    </row>
    <row r="185" spans="1:13" s="76" customFormat="1" ht="28.2" customHeight="1">
      <c r="A185" s="12">
        <v>183</v>
      </c>
      <c r="B185" s="6">
        <v>1</v>
      </c>
      <c r="C185" s="6" t="s">
        <v>250</v>
      </c>
      <c r="D185" s="6">
        <v>227</v>
      </c>
      <c r="E185" s="22" t="str">
        <f>IF(C185="استحداث بند جديد", "", IF(D185&lt;&gt;"", IFERROR(INDEX('بنود العقد'!B$3:B$388,D185),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07-VAV ، اجمالي الهواء 0-2500 ) ق/د( استطاعة التخزين 7.3 )ك/و(</v>
      </c>
      <c r="F185" s="23" t="str">
        <f>IF(C185="استحداث بند جديد", "", IF(D185&lt;&gt;"", IFERROR(INDEX('بنود العقد'!D$3:D$388,D185), ""), ""))</f>
        <v>عدد</v>
      </c>
      <c r="G185" s="24">
        <f>IF(C185="استحداث بند جديد", "", IF(D185&lt;&gt;"", IFERROR(INDEX('بنود العقد'!E$3:E$388,D185), 0), ""))</f>
        <v>10800</v>
      </c>
      <c r="H185" s="7">
        <v>-5</v>
      </c>
      <c r="I185" s="8">
        <v>120</v>
      </c>
      <c r="J185" s="10">
        <f t="shared" si="0"/>
        <v>-54000</v>
      </c>
      <c r="K185" s="76" t="str">
        <f>IF(C185="استحداث بند جديد", "", IF(D185&lt;&gt;"", IFERROR(INDEX('بنود العقد'!C$3:C$388,D185), ""), ""))</f>
        <v>تكييف</v>
      </c>
      <c r="L185" s="76" t="str">
        <f>IF(C185="استحداث بند جديد", IF(K185&lt;&gt;"","CMH_01-"&amp;IFERROR(VLOOKUP(K185,مراجع!$A$3:$B$14,2,FALSE),"?")&amp;"-NEW-"&amp;TEXT(A185,"000"),""), IF(D185&lt;&gt;"", IFERROR(INDEX('بنود العقد'!I$3:I$388,D185), ""), ""))</f>
        <v>CMH_01-HV-227</v>
      </c>
      <c r="M185" s="19"/>
    </row>
    <row r="186" spans="1:13" s="76" customFormat="1" ht="28.2" customHeight="1">
      <c r="A186" s="12">
        <v>184</v>
      </c>
      <c r="B186" s="6">
        <v>1</v>
      </c>
      <c r="C186" s="6" t="s">
        <v>250</v>
      </c>
      <c r="D186" s="6">
        <v>228</v>
      </c>
      <c r="E186" s="22" t="str">
        <f>IF(C186="استحداث بند جديد", "", IF(D186&lt;&gt;"", IFERROR(INDEX('بنود العقد'!B$3:B$388,D186), "⚠"), ""))</f>
        <v>فك و ترحيل VAV الموجودة حاليا  و تركيبها حسب المخطط  المعدل و حسب تعليمات المهندس المشرف. على المقاول معاينة الوحدات الموجودة و الاستفادة بإعادة تركيبها بعد عمل الفحوصات و الاختبارات المناسبة لحسن ضمان عملها و حسب تعليمات المهندس المشرف</v>
      </c>
      <c r="F186" s="23" t="str">
        <f>IF(C186="استحداث بند جديد", "", IF(D186&lt;&gt;"", IFERROR(INDEX('بنود العقد'!D$3:D$388,D186), ""), ""))</f>
        <v>عدد</v>
      </c>
      <c r="G186" s="24">
        <f>IF(C186="استحداث بند جديد", "", IF(D186&lt;&gt;"", IFERROR(INDEX('بنود العقد'!E$3:E$388,D186), 0), ""))</f>
        <v>1800</v>
      </c>
      <c r="H186" s="7">
        <v>-100</v>
      </c>
      <c r="I186" s="8">
        <v>120</v>
      </c>
      <c r="J186" s="10">
        <f t="shared" si="0"/>
        <v>-180000</v>
      </c>
      <c r="K186" s="76" t="str">
        <f>IF(C186="استحداث بند جديد", "", IF(D186&lt;&gt;"", IFERROR(INDEX('بنود العقد'!C$3:C$388,D186), ""), ""))</f>
        <v>تكييف</v>
      </c>
      <c r="L186" s="76" t="str">
        <f>IF(C186="استحداث بند جديد", IF(K186&lt;&gt;"","CMH_01-"&amp;IFERROR(VLOOKUP(K186,مراجع!$A$3:$B$14,2,FALSE),"?")&amp;"-NEW-"&amp;TEXT(A186,"000"),""), IF(D186&lt;&gt;"", IFERROR(INDEX('بنود العقد'!I$3:I$388,D186), ""), ""))</f>
        <v>CMH_01-HV-228</v>
      </c>
      <c r="M186" s="19"/>
    </row>
    <row r="187" spans="1:13" s="76" customFormat="1" ht="28.2" customHeight="1">
      <c r="A187" s="12">
        <v>185</v>
      </c>
      <c r="B187" s="6">
        <v>1</v>
      </c>
      <c r="C187" s="6" t="s">
        <v>250</v>
      </c>
      <c r="D187" s="6">
        <v>229</v>
      </c>
      <c r="E187" s="22" t="str">
        <f>IF(C187="استحداث بند جديد", "", IF(D187&lt;&gt;"", IFERROR(INDEX('بنود العقد'!B$3:B$388,D187), "⚠"), ""))</f>
        <v>فك وإعادة تهيئة و اصلاح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F187" s="23" t="str">
        <f>IF(C187="استحداث بند جديد", "", IF(D187&lt;&gt;"", IFERROR(INDEX('بنود العقد'!D$3:D$388,D187), ""), ""))</f>
        <v>م.ط</v>
      </c>
      <c r="G187" s="24">
        <f>IF(C187="استحداث بند جديد", "", IF(D187&lt;&gt;"", IFERROR(INDEX('بنود العقد'!E$3:E$388,D187), 0), ""))</f>
        <v>264</v>
      </c>
      <c r="H187" s="7">
        <v>-2000</v>
      </c>
      <c r="I187" s="8">
        <v>120</v>
      </c>
      <c r="J187" s="10">
        <f t="shared" si="0"/>
        <v>-528000</v>
      </c>
      <c r="K187" s="76" t="str">
        <f>IF(C187="استحداث بند جديد", "", IF(D187&lt;&gt;"", IFERROR(INDEX('بنود العقد'!C$3:C$388,D187), ""), ""))</f>
        <v>تكييف</v>
      </c>
      <c r="L187" s="76" t="str">
        <f>IF(C187="استحداث بند جديد", IF(K187&lt;&gt;"","CMH_01-"&amp;IFERROR(VLOOKUP(K187,مراجع!$A$3:$B$14,2,FALSE),"?")&amp;"-NEW-"&amp;TEXT(A187,"000"),""), IF(D187&lt;&gt;"", IFERROR(INDEX('بنود العقد'!I$3:I$388,D187), ""), ""))</f>
        <v>CMH_01-HV-229</v>
      </c>
      <c r="M187" s="19"/>
    </row>
    <row r="188" spans="1:13" s="76" customFormat="1" ht="28.2" customHeight="1">
      <c r="A188" s="12">
        <v>186</v>
      </c>
      <c r="B188" s="6">
        <v>1</v>
      </c>
      <c r="C188" s="6" t="s">
        <v>175</v>
      </c>
      <c r="D188" s="6">
        <v>230</v>
      </c>
      <c r="E188" s="22" t="str">
        <f>IF(C188="استحداث بند جديد", "", IF(D188&lt;&gt;"", IFERROR(INDEX('بنود العقد'!B$3:B$388,D188),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F188" s="23" t="str">
        <f>IF(C188="استحداث بند جديد", "", IF(D188&lt;&gt;"", IFERROR(INDEX('بنود العقد'!D$3:D$388,D188), ""), ""))</f>
        <v>م.ط</v>
      </c>
      <c r="G188" s="24">
        <f>IF(C188="استحداث بند جديد", "", IF(D188&lt;&gt;"", IFERROR(INDEX('بنود العقد'!E$3:E$388,D188), 0), ""))</f>
        <v>300</v>
      </c>
      <c r="H188" s="7">
        <v>4694</v>
      </c>
      <c r="I188" s="8">
        <v>120</v>
      </c>
      <c r="J188" s="10">
        <f t="shared" si="0"/>
        <v>1408200</v>
      </c>
      <c r="K188" s="76" t="str">
        <f>IF(C188="استحداث بند جديد", "", IF(D188&lt;&gt;"", IFERROR(INDEX('بنود العقد'!C$3:C$388,D188), ""), ""))</f>
        <v>تكييف</v>
      </c>
      <c r="L188" s="76" t="str">
        <f>IF(C188="استحداث بند جديد", IF(K188&lt;&gt;"","CMH_01-"&amp;IFERROR(VLOOKUP(K188,مراجع!$A$3:$B$14,2,FALSE),"?")&amp;"-NEW-"&amp;TEXT(A188,"000"),""), IF(D188&lt;&gt;"", IFERROR(INDEX('بنود العقد'!I$3:I$388,D188), ""), ""))</f>
        <v>CMH_01-HV-230</v>
      </c>
      <c r="M188" s="19"/>
    </row>
    <row r="189" spans="1:13" s="76" customFormat="1" ht="28.2" customHeight="1">
      <c r="A189" s="12">
        <v>187</v>
      </c>
      <c r="B189" s="6">
        <v>1</v>
      </c>
      <c r="C189" s="6" t="s">
        <v>250</v>
      </c>
      <c r="D189" s="6">
        <v>231</v>
      </c>
      <c r="E189" s="22" t="str">
        <f>IF(C189="استحداث بند جديد", "", IF(D189&lt;&gt;"", IFERROR(INDEX('بنود العقد'!B$3:B$388,D189), "⚠"), ""))</f>
        <v>ناشرة هواء ذات فتحات طولية  للهواء الداخل مصنعة من الألمنيوم المشكل بالبثق ومطلية بمسحوق البولستركاملة، مخمدات صوت ذات أرياش متضادّة ،وصندوق حجمى معزول من الداخل بعازل صوتى وميكانيزم للتحكم فى الهواء من واجهة الناشر وكل قطع الأكسسوار حسب المواصفات والمخططات مع توفير عينات للاعتماد من مهندس المشرف. ثلاثة فتحات / ثقب 25مم عرض</v>
      </c>
      <c r="F189" s="23" t="str">
        <f>IF(C189="استحداث بند جديد", "", IF(D189&lt;&gt;"", IFERROR(INDEX('بنود العقد'!D$3:D$388,D189), ""), ""))</f>
        <v>م.ط</v>
      </c>
      <c r="G189" s="24">
        <f>IF(C189="استحداث بند جديد", "", IF(D189&lt;&gt;"", IFERROR(INDEX('بنود العقد'!E$3:E$388,D189), 0), ""))</f>
        <v>480</v>
      </c>
      <c r="H189" s="7">
        <v>-265</v>
      </c>
      <c r="I189" s="8">
        <v>120</v>
      </c>
      <c r="J189" s="10">
        <f t="shared" si="0"/>
        <v>-127200</v>
      </c>
      <c r="K189" s="76" t="str">
        <f>IF(C189="استحداث بند جديد", "", IF(D189&lt;&gt;"", IFERROR(INDEX('بنود العقد'!C$3:C$388,D189), ""), ""))</f>
        <v>تكييف</v>
      </c>
      <c r="L189" s="76" t="str">
        <f>IF(C189="استحداث بند جديد", IF(K189&lt;&gt;"","CMH_01-"&amp;IFERROR(VLOOKUP(K189,مراجع!$A$3:$B$14,2,FALSE),"?")&amp;"-NEW-"&amp;TEXT(A189,"000"),""), IF(D189&lt;&gt;"", IFERROR(INDEX('بنود العقد'!I$3:I$388,D189), ""), ""))</f>
        <v>CMH_01-HV-231</v>
      </c>
      <c r="M189" s="19"/>
    </row>
    <row r="190" spans="1:13" s="76" customFormat="1" ht="28.2" customHeight="1">
      <c r="A190" s="12">
        <v>188</v>
      </c>
      <c r="B190" s="6">
        <v>1</v>
      </c>
      <c r="C190" s="6" t="s">
        <v>250</v>
      </c>
      <c r="D190" s="6">
        <v>232</v>
      </c>
      <c r="E190" s="22" t="str">
        <f>IF(C190="استحداث بند جديد", "", IF(D190&lt;&gt;"", IFERROR(INDEX('بنود العقد'!B$3:B$388,D190), "⚠"), ""))</f>
        <v>ناشرة هواء ذات فتحات طولية للهواء الراجع مصنعة من الألمنيوم المشكل بالبثق ومطلية بمسحوق البولستركاملة، وكل قطع الأكسسوار حسب المواصفات والمخططات مع توفير عينات للاعتماد من مهندس المشرف. ثلاثة فتحات / ثقب 25مم عرض</v>
      </c>
      <c r="F190" s="23" t="str">
        <f>IF(C190="استحداث بند جديد", "", IF(D190&lt;&gt;"", IFERROR(INDEX('بنود العقد'!D$3:D$388,D190), ""), ""))</f>
        <v>م.ط</v>
      </c>
      <c r="G190" s="24">
        <f>IF(C190="استحداث بند جديد", "", IF(D190&lt;&gt;"", IFERROR(INDEX('بنود العقد'!E$3:E$388,D190), 0), ""))</f>
        <v>480</v>
      </c>
      <c r="H190" s="7">
        <v>-336</v>
      </c>
      <c r="I190" s="8">
        <v>120</v>
      </c>
      <c r="J190" s="10">
        <f t="shared" si="0"/>
        <v>-161280</v>
      </c>
      <c r="K190" s="76" t="str">
        <f>IF(C190="استحداث بند جديد", "", IF(D190&lt;&gt;"", IFERROR(INDEX('بنود العقد'!C$3:C$388,D190), ""), ""))</f>
        <v>تكييف</v>
      </c>
      <c r="L190" s="76" t="str">
        <f>IF(C190="استحداث بند جديد", IF(K190&lt;&gt;"","CMH_01-"&amp;IFERROR(VLOOKUP(K190,مراجع!$A$3:$B$14,2,FALSE),"?")&amp;"-NEW-"&amp;TEXT(A190,"000"),""), IF(D190&lt;&gt;"", IFERROR(INDEX('بنود العقد'!I$3:I$388,D190), ""), ""))</f>
        <v>CMH_01-HV-232</v>
      </c>
      <c r="M190" s="19"/>
    </row>
    <row r="191" spans="1:13" s="76" customFormat="1" ht="28.2" customHeight="1">
      <c r="A191" s="12">
        <v>189</v>
      </c>
      <c r="B191" s="6">
        <v>1</v>
      </c>
      <c r="C191" s="6" t="s">
        <v>250</v>
      </c>
      <c r="D191" s="6">
        <v>233</v>
      </c>
      <c r="E191" s="22" t="str">
        <f>IF(C191="استحداث بند جديد", "", IF(D191&lt;&gt;"", IFERROR(INDEX('بنود العقد'!B$3:B$388,D191), "⚠"), ""))</f>
        <v xml:space="preserve"> جريلات تغذية من الالومينيوم مغطاة ببودرة البوليستر كاملة وجميع الملحقات حسب المخططات..والمواصفات مع توفير عينات للاعتماد من مهندس المشرف 600mm X 600mm</v>
      </c>
      <c r="F191" s="23" t="str">
        <f>IF(C191="استحداث بند جديد", "", IF(D191&lt;&gt;"", IFERROR(INDEX('بنود العقد'!D$3:D$388,D191), ""), ""))</f>
        <v>عدد</v>
      </c>
      <c r="G191" s="24">
        <f>IF(C191="استحداث بند جديد", "", IF(D191&lt;&gt;"", IFERROR(INDEX('بنود العقد'!E$3:E$388,D191), 0), ""))</f>
        <v>456</v>
      </c>
      <c r="H191" s="7">
        <v>-2</v>
      </c>
      <c r="I191" s="8">
        <v>120</v>
      </c>
      <c r="J191" s="10">
        <f t="shared" si="0"/>
        <v>-912</v>
      </c>
      <c r="K191" s="76" t="str">
        <f>IF(C191="استحداث بند جديد", "", IF(D191&lt;&gt;"", IFERROR(INDEX('بنود العقد'!C$3:C$388,D191), ""), ""))</f>
        <v>تكييف</v>
      </c>
      <c r="L191" s="76" t="str">
        <f>IF(C191="استحداث بند جديد", IF(K191&lt;&gt;"","CMH_01-"&amp;IFERROR(VLOOKUP(K191,مراجع!$A$3:$B$14,2,FALSE),"?")&amp;"-NEW-"&amp;TEXT(A191,"000"),""), IF(D191&lt;&gt;"", IFERROR(INDEX('بنود العقد'!I$3:I$388,D191), ""), ""))</f>
        <v>CMH_01-HV-233</v>
      </c>
      <c r="M191" s="19"/>
    </row>
    <row r="192" spans="1:13" s="76" customFormat="1" ht="28.2" customHeight="1">
      <c r="A192" s="12">
        <v>190</v>
      </c>
      <c r="B192" s="6">
        <v>1</v>
      </c>
      <c r="C192" s="6" t="s">
        <v>250</v>
      </c>
      <c r="D192" s="6">
        <v>234</v>
      </c>
      <c r="E192" s="22" t="str">
        <f>IF(C192="استحداث بند جديد", "", IF(D192&lt;&gt;"", IFERROR(INDEX('بنود العقد'!B$3:B$388,D192), "⚠"), ""))</f>
        <v xml:space="preserve"> جريلات رجوع من الالومينيوم مغطاة ببودرة البوليستر كاملة وجميع الملحقات حسب المخططات.والمواصفات مع توفير عينات للاعتماد من مهندس المشرف 600mm X 600mm</v>
      </c>
      <c r="F192" s="23" t="str">
        <f>IF(C192="استحداث بند جديد", "", IF(D192&lt;&gt;"", IFERROR(INDEX('بنود العقد'!D$3:D$388,D192), ""), ""))</f>
        <v>عدد</v>
      </c>
      <c r="G192" s="24">
        <f>IF(C192="استحداث بند جديد", "", IF(D192&lt;&gt;"", IFERROR(INDEX('بنود العقد'!E$3:E$388,D192), 0), ""))</f>
        <v>264</v>
      </c>
      <c r="H192" s="7">
        <v>-228</v>
      </c>
      <c r="I192" s="8">
        <v>120</v>
      </c>
      <c r="J192" s="10">
        <f t="shared" si="0"/>
        <v>-60192</v>
      </c>
      <c r="K192" s="76" t="str">
        <f>IF(C192="استحداث بند جديد", "", IF(D192&lt;&gt;"", IFERROR(INDEX('بنود العقد'!C$3:C$388,D192), ""), ""))</f>
        <v>تكييف</v>
      </c>
      <c r="L192" s="76" t="str">
        <f>IF(C192="استحداث بند جديد", IF(K192&lt;&gt;"","CMH_01-"&amp;IFERROR(VLOOKUP(K192,مراجع!$A$3:$B$14,2,FALSE),"?")&amp;"-NEW-"&amp;TEXT(A192,"000"),""), IF(D192&lt;&gt;"", IFERROR(INDEX('بنود العقد'!I$3:I$388,D192), ""), ""))</f>
        <v>CMH_01-HV-234</v>
      </c>
      <c r="M192" s="19"/>
    </row>
    <row r="193" spans="1:13" s="76" customFormat="1" ht="28.2" customHeight="1">
      <c r="A193" s="12">
        <v>191</v>
      </c>
      <c r="B193" s="6">
        <v>1</v>
      </c>
      <c r="C193" s="6" t="s">
        <v>175</v>
      </c>
      <c r="D193" s="6">
        <v>235</v>
      </c>
      <c r="E193" s="22" t="str">
        <f>IF(C193="استحداث بند جديد", "", IF(D193&lt;&gt;"", IFERROR(INDEX('بنود العقد'!B$3:B$388,D193), "⚠"), ""))</f>
        <v xml:space="preserve"> جريلات لسحب الهواء من الالمونيوم مغطاة ببودرة البوليستر كاملة بجميع ملحقات التركيب وحسب.المخططات والمواصفات مع توفير عينات للاعتماد من مهندس المشرف 150mm X 150MM</v>
      </c>
      <c r="F193" s="23" t="str">
        <f>IF(C193="استحداث بند جديد", "", IF(D193&lt;&gt;"", IFERROR(INDEX('بنود العقد'!D$3:D$388,D193), ""), ""))</f>
        <v>عدد</v>
      </c>
      <c r="G193" s="24">
        <f>IF(C193="استحداث بند جديد", "", IF(D193&lt;&gt;"", IFERROR(INDEX('بنود العقد'!E$3:E$388,D193), 0), ""))</f>
        <v>210</v>
      </c>
      <c r="H193" s="7">
        <v>63</v>
      </c>
      <c r="I193" s="8">
        <v>120</v>
      </c>
      <c r="J193" s="10">
        <f t="shared" si="0"/>
        <v>13230</v>
      </c>
      <c r="K193" s="76" t="str">
        <f>IF(C193="استحداث بند جديد", "", IF(D193&lt;&gt;"", IFERROR(INDEX('بنود العقد'!C$3:C$388,D193), ""), ""))</f>
        <v>تكييف</v>
      </c>
      <c r="L193" s="76" t="str">
        <f>IF(C193="استحداث بند جديد", IF(K193&lt;&gt;"","CMH_01-"&amp;IFERROR(VLOOKUP(K193,مراجع!$A$3:$B$14,2,FALSE),"?")&amp;"-NEW-"&amp;TEXT(A193,"000"),""), IF(D193&lt;&gt;"", IFERROR(INDEX('بنود العقد'!I$3:I$388,D193), ""), ""))</f>
        <v>CMH_01-HV-235</v>
      </c>
      <c r="M193" s="19"/>
    </row>
    <row r="194" spans="1:13" s="76" customFormat="1" ht="28.2" customHeight="1">
      <c r="A194" s="12">
        <v>192</v>
      </c>
      <c r="B194" s="6">
        <v>1</v>
      </c>
      <c r="C194" s="6" t="s">
        <v>250</v>
      </c>
      <c r="D194" s="6">
        <v>237</v>
      </c>
      <c r="E194" s="22" t="str">
        <f>IF(C194="استحداث بند جديد", "", IF(D194&lt;&gt;"", IFERROR(INDEX('بنود العقد'!B$3:B$388,D194),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200 mm</v>
      </c>
      <c r="F194" s="23" t="str">
        <f>IF(C194="استحداث بند جديد", "", IF(D194&lt;&gt;"", IFERROR(INDEX('بنود العقد'!D$3:D$388,D194), ""), ""))</f>
        <v>م.ط</v>
      </c>
      <c r="G194" s="24">
        <f>IF(C194="استحداث بند جديد", "", IF(D194&lt;&gt;"", IFERROR(INDEX('بنود العقد'!E$3:E$388,D194), 0), ""))</f>
        <v>54</v>
      </c>
      <c r="H194" s="7">
        <v>-2514</v>
      </c>
      <c r="I194" s="8">
        <v>120</v>
      </c>
      <c r="J194" s="10">
        <f t="shared" si="0"/>
        <v>-135756</v>
      </c>
      <c r="K194" s="76" t="str">
        <f>IF(C194="استحداث بند جديد", "", IF(D194&lt;&gt;"", IFERROR(INDEX('بنود العقد'!C$3:C$388,D194), ""), ""))</f>
        <v>تكييف</v>
      </c>
      <c r="L194" s="76" t="str">
        <f>IF(C194="استحداث بند جديد", IF(K194&lt;&gt;"","CMH_01-"&amp;IFERROR(VLOOKUP(K194,مراجع!$A$3:$B$14,2,FALSE),"?")&amp;"-NEW-"&amp;TEXT(A194,"000"),""), IF(D194&lt;&gt;"", IFERROR(INDEX('بنود العقد'!I$3:I$388,D194), ""), ""))</f>
        <v>CMH_01-HV-237</v>
      </c>
      <c r="M194" s="19"/>
    </row>
    <row r="195" spans="1:13" s="76" customFormat="1" ht="28.2" customHeight="1">
      <c r="A195" s="12">
        <v>193</v>
      </c>
      <c r="B195" s="6">
        <v>1</v>
      </c>
      <c r="C195" s="6" t="s">
        <v>175</v>
      </c>
      <c r="D195" s="6">
        <v>238</v>
      </c>
      <c r="E195" s="22" t="str">
        <f>IF(C195="استحداث بند جديد", "", IF(D195&lt;&gt;"", IFERROR(INDEX('بنود العقد'!B$3:B$388,D195),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250 mm</v>
      </c>
      <c r="F195" s="23" t="str">
        <f>IF(C195="استحداث بند جديد", "", IF(D195&lt;&gt;"", IFERROR(INDEX('بنود العقد'!D$3:D$388,D195), ""), ""))</f>
        <v>م.ط</v>
      </c>
      <c r="G195" s="24">
        <f>IF(C195="استحداث بند جديد", "", IF(D195&lt;&gt;"", IFERROR(INDEX('بنود العقد'!E$3:E$388,D195), 0), ""))</f>
        <v>66</v>
      </c>
      <c r="H195" s="7">
        <v>1572</v>
      </c>
      <c r="I195" s="8">
        <v>120</v>
      </c>
      <c r="J195" s="10">
        <f t="shared" si="0"/>
        <v>103752</v>
      </c>
      <c r="K195" s="76" t="str">
        <f>IF(C195="استحداث بند جديد", "", IF(D195&lt;&gt;"", IFERROR(INDEX('بنود العقد'!C$3:C$388,D195), ""), ""))</f>
        <v>تكييف</v>
      </c>
      <c r="L195" s="76" t="str">
        <f>IF(C195="استحداث بند جديد", IF(K195&lt;&gt;"","CMH_01-"&amp;IFERROR(VLOOKUP(K195,مراجع!$A$3:$B$14,2,FALSE),"?")&amp;"-NEW-"&amp;TEXT(A195,"000"),""), IF(D195&lt;&gt;"", IFERROR(INDEX('بنود العقد'!I$3:I$388,D195), ""), ""))</f>
        <v>CMH_01-HV-238</v>
      </c>
      <c r="M195" s="19"/>
    </row>
    <row r="196" spans="1:13" s="76" customFormat="1" ht="28.2" customHeight="1">
      <c r="A196" s="12">
        <v>194</v>
      </c>
      <c r="B196" s="6">
        <v>1</v>
      </c>
      <c r="C196" s="6" t="s">
        <v>250</v>
      </c>
      <c r="D196" s="6">
        <v>248</v>
      </c>
      <c r="E196" s="22" t="str">
        <f>IF(C196="استحداث بند جديد", "", IF(D196&lt;&gt;"", IFERROR(INDEX('بنود العقد'!B$3:B$388,D196),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v>
      </c>
      <c r="F196" s="23" t="str">
        <f>IF(C196="استحداث بند جديد", "", IF(D196&lt;&gt;"", IFERROR(INDEX('بنود العقد'!D$3:D$388,D196), ""), ""))</f>
        <v>عدد</v>
      </c>
      <c r="G196" s="24">
        <f>IF(C196="استحداث بند جديد", "", IF(D196&lt;&gt;"", IFERROR(INDEX('بنود العقد'!E$3:E$388,D196), 0), ""))</f>
        <v>216</v>
      </c>
      <c r="H196" s="7">
        <v>-14</v>
      </c>
      <c r="I196" s="8">
        <v>120</v>
      </c>
      <c r="J196" s="10">
        <f t="shared" ref="J196:J259" si="1">IF(C196="تمديد مدة", 0, IF(AND(H196&lt;&gt;"",G196&lt;&gt;""), H196*G196, ""))</f>
        <v>-3024</v>
      </c>
      <c r="K196" s="76" t="str">
        <f>IF(C196="استحداث بند جديد", "", IF(D196&lt;&gt;"", IFERROR(INDEX('بنود العقد'!C$3:C$388,D196), ""), ""))</f>
        <v>كهرباء</v>
      </c>
      <c r="L196" s="76" t="str">
        <f>IF(C196="استحداث بند جديد", IF(K196&lt;&gt;"","CMH_01-"&amp;IFERROR(VLOOKUP(K196,مراجع!$A$3:$B$14,2,FALSE),"?")&amp;"-NEW-"&amp;TEXT(A196,"000"),""), IF(D196&lt;&gt;"", IFERROR(INDEX('بنود العقد'!I$3:I$388,D196), ""), ""))</f>
        <v>CMH_01-EE-248</v>
      </c>
      <c r="M196" s="19"/>
    </row>
    <row r="197" spans="1:13" s="76" customFormat="1" ht="28.2" customHeight="1">
      <c r="A197" s="12">
        <v>195</v>
      </c>
      <c r="B197" s="6">
        <v>1</v>
      </c>
      <c r="C197" s="6" t="s">
        <v>250</v>
      </c>
      <c r="D197" s="6">
        <v>249</v>
      </c>
      <c r="E197" s="22" t="str">
        <f>IF(C197="استحداث بند جديد", "", IF(D197&lt;&gt;"", IFERROR(INDEX('بنود العقد'!B$3:B$388,D197),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مقبس ثنائي سقفى، من النوع المؤرض، 15 أمبير، 230 فولت، طور واحد، قطبين، 3 أسلاك.</v>
      </c>
      <c r="F197" s="23" t="str">
        <f>IF(C197="استحداث بند جديد", "", IF(D197&lt;&gt;"", IFERROR(INDEX('بنود العقد'!D$3:D$388,D197), ""), ""))</f>
        <v>عدد</v>
      </c>
      <c r="G197" s="24">
        <f>IF(C197="استحداث بند جديد", "", IF(D197&lt;&gt;"", IFERROR(INDEX('بنود العقد'!E$3:E$388,D197), 0), ""))</f>
        <v>216</v>
      </c>
      <c r="H197" s="7">
        <v>-14</v>
      </c>
      <c r="I197" s="8">
        <v>120</v>
      </c>
      <c r="J197" s="10">
        <f t="shared" si="1"/>
        <v>-3024</v>
      </c>
      <c r="K197" s="76" t="str">
        <f>IF(C197="استحداث بند جديد", "", IF(D197&lt;&gt;"", IFERROR(INDEX('بنود العقد'!C$3:C$388,D197), ""), ""))</f>
        <v>كهرباء</v>
      </c>
      <c r="L197" s="76" t="str">
        <f>IF(C197="استحداث بند جديد", IF(K197&lt;&gt;"","CMH_01-"&amp;IFERROR(VLOOKUP(K197,مراجع!$A$3:$B$14,2,FALSE),"?")&amp;"-NEW-"&amp;TEXT(A197,"000"),""), IF(D197&lt;&gt;"", IFERROR(INDEX('بنود العقد'!I$3:I$388,D197), ""), ""))</f>
        <v>CMH_01-EE-249</v>
      </c>
      <c r="M197" s="19"/>
    </row>
    <row r="198" spans="1:13" s="76" customFormat="1" ht="28.2" customHeight="1">
      <c r="A198" s="12">
        <v>196</v>
      </c>
      <c r="B198" s="6">
        <v>1</v>
      </c>
      <c r="C198" s="6" t="s">
        <v>250</v>
      </c>
      <c r="D198" s="6">
        <v>250</v>
      </c>
      <c r="E198" s="22" t="str">
        <f>IF(C198="استحداث بند جديد", "", IF(D198&lt;&gt;"", IFERROR(INDEX('بنود العقد'!B$3:B$388,D198),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الارض، من النوع المؤرض، 15 أمبير، 230 فولت، طور واحد، قطبين، 3 أسلاك.</v>
      </c>
      <c r="F198" s="23" t="str">
        <f>IF(C198="استحداث بند جديد", "", IF(D198&lt;&gt;"", IFERROR(INDEX('بنود العقد'!D$3:D$388,D198), ""), ""))</f>
        <v>عدد</v>
      </c>
      <c r="G198" s="24">
        <f>IF(C198="استحداث بند جديد", "", IF(D198&lt;&gt;"", IFERROR(INDEX('بنود العقد'!E$3:E$388,D198), 0), ""))</f>
        <v>420</v>
      </c>
      <c r="H198" s="7">
        <v>-120</v>
      </c>
      <c r="I198" s="8">
        <v>120</v>
      </c>
      <c r="J198" s="10">
        <f t="shared" si="1"/>
        <v>-50400</v>
      </c>
      <c r="K198" s="76" t="str">
        <f>IF(C198="استحداث بند جديد", "", IF(D198&lt;&gt;"", IFERROR(INDEX('بنود العقد'!C$3:C$388,D198), ""), ""))</f>
        <v>كهرباء</v>
      </c>
      <c r="L198" s="76" t="str">
        <f>IF(C198="استحداث بند جديد", IF(K198&lt;&gt;"","CMH_01-"&amp;IFERROR(VLOOKUP(K198,مراجع!$A$3:$B$14,2,FALSE),"?")&amp;"-NEW-"&amp;TEXT(A198,"000"),""), IF(D198&lt;&gt;"", IFERROR(INDEX('بنود العقد'!I$3:I$388,D198), ""), ""))</f>
        <v>CMH_01-EE-250</v>
      </c>
      <c r="M198" s="19"/>
    </row>
    <row r="199" spans="1:13" s="76" customFormat="1" ht="28.2" customHeight="1">
      <c r="A199" s="12">
        <v>197</v>
      </c>
      <c r="B199" s="6">
        <v>1</v>
      </c>
      <c r="C199" s="6" t="s">
        <v>175</v>
      </c>
      <c r="D199" s="6">
        <v>251</v>
      </c>
      <c r="E199" s="22" t="str">
        <f>IF(C199="استحداث بند جديد", "", IF(D199&lt;&gt;"", IFERROR(INDEX('بنود العقد'!B$3:B$388,D199), "⚠"), ""))</f>
        <v xml:space="preserve">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 RESIDUAL CURRENT DEVICE, 30mA TRIPPING( </v>
      </c>
      <c r="F199" s="23" t="str">
        <f>IF(C199="استحداث بند جديد", "", IF(D199&lt;&gt;"", IFERROR(INDEX('بنود العقد'!D$3:D$388,D199), ""), ""))</f>
        <v>عدد</v>
      </c>
      <c r="G199" s="24">
        <f>IF(C199="استحداث بند جديد", "", IF(D199&lt;&gt;"", IFERROR(INDEX('بنود العقد'!E$3:E$388,D199), 0), ""))</f>
        <v>504</v>
      </c>
      <c r="H199" s="7">
        <v>10</v>
      </c>
      <c r="I199" s="8">
        <v>120</v>
      </c>
      <c r="J199" s="10">
        <f t="shared" si="1"/>
        <v>5040</v>
      </c>
      <c r="K199" s="76" t="str">
        <f>IF(C199="استحداث بند جديد", "", IF(D199&lt;&gt;"", IFERROR(INDEX('بنود العقد'!C$3:C$388,D199), ""), ""))</f>
        <v>كهرباء</v>
      </c>
      <c r="L199" s="76" t="str">
        <f>IF(C199="استحداث بند جديد", IF(K199&lt;&gt;"","CMH_01-"&amp;IFERROR(VLOOKUP(K199,مراجع!$A$3:$B$14,2,FALSE),"?")&amp;"-NEW-"&amp;TEXT(A199,"000"),""), IF(D199&lt;&gt;"", IFERROR(INDEX('بنود العقد'!I$3:I$388,D199), ""), ""))</f>
        <v>CMH_01-EE-251</v>
      </c>
      <c r="M199" s="19"/>
    </row>
    <row r="200" spans="1:13" s="76" customFormat="1" ht="28.2" customHeight="1">
      <c r="A200" s="12">
        <v>198</v>
      </c>
      <c r="B200" s="6">
        <v>1</v>
      </c>
      <c r="C200" s="6" t="s">
        <v>250</v>
      </c>
      <c r="D200" s="6">
        <v>252</v>
      </c>
      <c r="E200" s="22" t="str">
        <f>IF(C200="استحداث بند جديد", "", IF(D200&lt;&gt;"", IFERROR(INDEX('بنود العقد'!B$3:B$388,D200), "⚠"), ""))</f>
        <v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مخرج مقبس متعدد الاستخدام ومؤرض 30 أمبير ، 230 فولت 3 أسلاك ، 1 فاز ، للمطبخ</v>
      </c>
      <c r="F200" s="23" t="str">
        <f>IF(C200="استحداث بند جديد", "", IF(D200&lt;&gt;"", IFERROR(INDEX('بنود العقد'!D$3:D$388,D200), ""), ""))</f>
        <v>عدد</v>
      </c>
      <c r="G200" s="24">
        <f>IF(C200="استحداث بند جديد", "", IF(D200&lt;&gt;"", IFERROR(INDEX('بنود العقد'!E$3:E$388,D200), 0), ""))</f>
        <v>384</v>
      </c>
      <c r="H200" s="7">
        <v>-32</v>
      </c>
      <c r="I200" s="8">
        <v>120</v>
      </c>
      <c r="J200" s="10">
        <f t="shared" si="1"/>
        <v>-12288</v>
      </c>
      <c r="K200" s="76" t="str">
        <f>IF(C200="استحداث بند جديد", "", IF(D200&lt;&gt;"", IFERROR(INDEX('بنود العقد'!C$3:C$388,D200), ""), ""))</f>
        <v>كهرباء</v>
      </c>
      <c r="L200" s="76" t="str">
        <f>IF(C200="استحداث بند جديد", IF(K200&lt;&gt;"","CMH_01-"&amp;IFERROR(VLOOKUP(K200,مراجع!$A$3:$B$14,2,FALSE),"?")&amp;"-NEW-"&amp;TEXT(A200,"000"),""), IF(D200&lt;&gt;"", IFERROR(INDEX('بنود العقد'!I$3:I$388,D200), ""), ""))</f>
        <v>CMH_01-EE-252</v>
      </c>
      <c r="M200" s="19"/>
    </row>
    <row r="201" spans="1:13" s="76" customFormat="1" ht="28.2" customHeight="1">
      <c r="A201" s="12">
        <v>199</v>
      </c>
      <c r="B201" s="6">
        <v>1</v>
      </c>
      <c r="C201" s="6" t="s">
        <v>175</v>
      </c>
      <c r="D201" s="6">
        <v>253</v>
      </c>
      <c r="E201" s="22" t="str">
        <f>IF(C201="استحداث بند جديد", "", IF(D201&lt;&gt;"", IFERROR(INDEX('بنود العقد'!B$3:B$388,D201), "⚠"), ""))</f>
        <v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المشرفمخرج  ومؤرض 30 أمبير ، 230 فولت 3 أسلاك ، 1 فاز لمجفف الأيدي</v>
      </c>
      <c r="F201" s="23" t="str">
        <f>IF(C201="استحداث بند جديد", "", IF(D201&lt;&gt;"", IFERROR(INDEX('بنود العقد'!D$3:D$388,D201), ""), ""))</f>
        <v>عدد</v>
      </c>
      <c r="G201" s="24">
        <f>IF(C201="استحداث بند جديد", "", IF(D201&lt;&gt;"", IFERROR(INDEX('بنود العقد'!E$3:E$388,D201), 0), ""))</f>
        <v>264</v>
      </c>
      <c r="H201" s="7">
        <v>4</v>
      </c>
      <c r="I201" s="8">
        <v>120</v>
      </c>
      <c r="J201" s="10">
        <f t="shared" si="1"/>
        <v>1056</v>
      </c>
      <c r="K201" s="76" t="str">
        <f>IF(C201="استحداث بند جديد", "", IF(D201&lt;&gt;"", IFERROR(INDEX('بنود العقد'!C$3:C$388,D201), ""), ""))</f>
        <v>كهرباء</v>
      </c>
      <c r="L201" s="76" t="str">
        <f>IF(C201="استحداث بند جديد", IF(K201&lt;&gt;"","CMH_01-"&amp;IFERROR(VLOOKUP(K201,مراجع!$A$3:$B$14,2,FALSE),"?")&amp;"-NEW-"&amp;TEXT(A201,"000"),""), IF(D201&lt;&gt;"", IFERROR(INDEX('بنود العقد'!I$3:I$388,D201), ""), ""))</f>
        <v>CMH_01-EE-253</v>
      </c>
      <c r="M201" s="19"/>
    </row>
    <row r="202" spans="1:13" s="76" customFormat="1" ht="28.2" customHeight="1">
      <c r="A202" s="12">
        <v>200</v>
      </c>
      <c r="B202" s="6">
        <v>1</v>
      </c>
      <c r="C202" s="6" t="s">
        <v>175</v>
      </c>
      <c r="D202" s="6">
        <v>254</v>
      </c>
      <c r="E202" s="22" t="str">
        <f>IF(C202="استحداث بند جديد", "", IF(D202&lt;&gt;"", IFERROR(INDEX('بنود العقد'!B$3:B$388,D202),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)A(  )تحتوى على  4 قوى &amp; 4 داتا (</v>
      </c>
      <c r="F202" s="23" t="str">
        <f>IF(C202="استحداث بند جديد", "", IF(D202&lt;&gt;"", IFERROR(INDEX('بنود العقد'!D$3:D$388,D202), ""), ""))</f>
        <v>عدد</v>
      </c>
      <c r="G202" s="24">
        <f>IF(C202="استحداث بند جديد", "", IF(D202&lt;&gt;"", IFERROR(INDEX('بنود العقد'!E$3:E$388,D202), 0), ""))</f>
        <v>2160</v>
      </c>
      <c r="H202" s="7">
        <v>98</v>
      </c>
      <c r="I202" s="8">
        <v>120</v>
      </c>
      <c r="J202" s="10">
        <f t="shared" si="1"/>
        <v>211680</v>
      </c>
      <c r="K202" s="76" t="str">
        <f>IF(C202="استحداث بند جديد", "", IF(D202&lt;&gt;"", IFERROR(INDEX('بنود العقد'!C$3:C$388,D202), ""), ""))</f>
        <v>كهرباء</v>
      </c>
      <c r="L202" s="76" t="str">
        <f>IF(C202="استحداث بند جديد", IF(K202&lt;&gt;"","CMH_01-"&amp;IFERROR(VLOOKUP(K202,مراجع!$A$3:$B$14,2,FALSE),"?")&amp;"-NEW-"&amp;TEXT(A202,"000"),""), IF(D202&lt;&gt;"", IFERROR(INDEX('بنود العقد'!I$3:I$388,D202), ""), ""))</f>
        <v>CMH_01-EE-254</v>
      </c>
      <c r="M202" s="19"/>
    </row>
    <row r="203" spans="1:13" s="76" customFormat="1" ht="28.2" customHeight="1">
      <c r="A203" s="12">
        <v>201</v>
      </c>
      <c r="B203" s="6">
        <v>1</v>
      </c>
      <c r="C203" s="6" t="s">
        <v>175</v>
      </c>
      <c r="D203" s="6">
        <v>255</v>
      </c>
      <c r="E203" s="22" t="str">
        <f>IF(C203="استحداث بند جديد", "", IF(D203&lt;&gt;"", IFERROR(INDEX('بنود العقد'!B$3:B$388,D203),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)B(   )تحتوى على 2 قوى &amp; 2 داتا (</v>
      </c>
      <c r="F203" s="23" t="str">
        <f>IF(C203="استحداث بند جديد", "", IF(D203&lt;&gt;"", IFERROR(INDEX('بنود العقد'!D$3:D$388,D203), ""), ""))</f>
        <v>عدد</v>
      </c>
      <c r="G203" s="24">
        <f>IF(C203="استحداث بند جديد", "", IF(D203&lt;&gt;"", IFERROR(INDEX('بنود العقد'!E$3:E$388,D203), 0), ""))</f>
        <v>1800</v>
      </c>
      <c r="H203" s="7">
        <v>315</v>
      </c>
      <c r="I203" s="8">
        <v>120</v>
      </c>
      <c r="J203" s="10">
        <f t="shared" si="1"/>
        <v>567000</v>
      </c>
      <c r="K203" s="76" t="str">
        <f>IF(C203="استحداث بند جديد", "", IF(D203&lt;&gt;"", IFERROR(INDEX('بنود العقد'!C$3:C$388,D203), ""), ""))</f>
        <v>كهرباء</v>
      </c>
      <c r="L203" s="76" t="str">
        <f>IF(C203="استحداث بند جديد", IF(K203&lt;&gt;"","CMH_01-"&amp;IFERROR(VLOOKUP(K203,مراجع!$A$3:$B$14,2,FALSE),"?")&amp;"-NEW-"&amp;TEXT(A203,"000"),""), IF(D203&lt;&gt;"", IFERROR(INDEX('بنود العقد'!I$3:I$388,D203), ""), ""))</f>
        <v>CMH_01-EE-255</v>
      </c>
      <c r="M203" s="19"/>
    </row>
    <row r="204" spans="1:13" s="76" customFormat="1" ht="28.2" customHeight="1">
      <c r="A204" s="12">
        <v>202</v>
      </c>
      <c r="B204" s="6">
        <v>1</v>
      </c>
      <c r="C204" s="6" t="s">
        <v>250</v>
      </c>
      <c r="D204" s="6">
        <v>256</v>
      </c>
      <c r="E204" s="22" t="str">
        <f>IF(C204="استحداث بند جديد", "", IF(D204&lt;&gt;"", IFERROR(INDEX('بنود العقد'!B$3:B$388,D204),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)1FB(   )تحتوى على 1 قوى (</v>
      </c>
      <c r="F204" s="23" t="str">
        <f>IF(C204="استحداث بند جديد", "", IF(D204&lt;&gt;"", IFERROR(INDEX('بنود العقد'!D$3:D$388,D204), ""), ""))</f>
        <v>عدد</v>
      </c>
      <c r="G204" s="24">
        <f>IF(C204="استحداث بند جديد", "", IF(D204&lt;&gt;"", IFERROR(INDEX('بنود العقد'!E$3:E$388,D204), 0), ""))</f>
        <v>720</v>
      </c>
      <c r="H204" s="7">
        <v>-19</v>
      </c>
      <c r="I204" s="8">
        <v>120</v>
      </c>
      <c r="J204" s="10">
        <f t="shared" si="1"/>
        <v>-13680</v>
      </c>
      <c r="K204" s="76" t="str">
        <f>IF(C204="استحداث بند جديد", "", IF(D204&lt;&gt;"", IFERROR(INDEX('بنود العقد'!C$3:C$388,D204), ""), ""))</f>
        <v>كهرباء</v>
      </c>
      <c r="L204" s="76" t="str">
        <f>IF(C204="استحداث بند جديد", IF(K204&lt;&gt;"","CMH_01-"&amp;IFERROR(VLOOKUP(K204,مراجع!$A$3:$B$14,2,FALSE),"?")&amp;"-NEW-"&amp;TEXT(A204,"000"),""), IF(D204&lt;&gt;"", IFERROR(INDEX('بنود العقد'!I$3:I$388,D204), ""), ""))</f>
        <v>CMH_01-EE-256</v>
      </c>
      <c r="M204" s="19"/>
    </row>
    <row r="205" spans="1:13" s="76" customFormat="1" ht="28.2" customHeight="1">
      <c r="A205" s="12">
        <v>203</v>
      </c>
      <c r="B205" s="6">
        <v>1</v>
      </c>
      <c r="C205" s="6" t="s">
        <v>175</v>
      </c>
      <c r="D205" s="6">
        <v>257</v>
      </c>
      <c r="E205" s="22" t="str">
        <f>IF(C205="استحداث بند جديد", "", IF(D205&lt;&gt;"", IFERROR(INDEX('بنود العقد'!B$3:B$388,D205),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)2FB(   )تحتوى على 2 قوى (</v>
      </c>
      <c r="F205" s="23" t="str">
        <f>IF(C205="استحداث بند جديد", "", IF(D205&lt;&gt;"", IFERROR(INDEX('بنود العقد'!D$3:D$388,D205), ""), ""))</f>
        <v>عدد</v>
      </c>
      <c r="G205" s="24">
        <f>IF(C205="استحداث بند جديد", "", IF(D205&lt;&gt;"", IFERROR(INDEX('بنود العقد'!E$3:E$388,D205), 0), ""))</f>
        <v>960</v>
      </c>
      <c r="H205" s="7">
        <v>8</v>
      </c>
      <c r="I205" s="8">
        <v>120</v>
      </c>
      <c r="J205" s="10">
        <f t="shared" si="1"/>
        <v>7680</v>
      </c>
      <c r="K205" s="76" t="str">
        <f>IF(C205="استحداث بند جديد", "", IF(D205&lt;&gt;"", IFERROR(INDEX('بنود العقد'!C$3:C$388,D205), ""), ""))</f>
        <v>كهرباء</v>
      </c>
      <c r="L205" s="76" t="str">
        <f>IF(C205="استحداث بند جديد", IF(K205&lt;&gt;"","CMH_01-"&amp;IFERROR(VLOOKUP(K205,مراجع!$A$3:$B$14,2,FALSE),"?")&amp;"-NEW-"&amp;TEXT(A205,"000"),""), IF(D205&lt;&gt;"", IFERROR(INDEX('بنود العقد'!I$3:I$388,D205), ""), ""))</f>
        <v>CMH_01-EE-257</v>
      </c>
      <c r="M205" s="19"/>
    </row>
    <row r="206" spans="1:13" s="76" customFormat="1" ht="28.2" customHeight="1">
      <c r="A206" s="12">
        <v>204</v>
      </c>
      <c r="B206" s="6">
        <v>1</v>
      </c>
      <c r="C206" s="6" t="s">
        <v>250</v>
      </c>
      <c r="D206" s="6">
        <v>258</v>
      </c>
      <c r="E206" s="22" t="str">
        <f>IF(C206="استحداث بند جديد", "", IF(D206&lt;&gt;"", IFERROR(INDEX('بنود العقد'!B$3:B$388,D206), "⚠"), ""))</f>
        <v xml:space="preserve"> 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وحتى كابينة الداتا  وحسب CAT 6A UTP المقابس + )ب( مآخذ للهاتف والبيانات ذات كابلات .بالوزارة IT  مواصفات إدارة الـ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Type JB 1U  ( 2 power &amp; 1 data )</v>
      </c>
      <c r="F206" s="23" t="str">
        <f>IF(C206="استحداث بند جديد", "", IF(D206&lt;&gt;"", IFERROR(INDEX('بنود العقد'!D$3:D$388,D206), ""), ""))</f>
        <v>عدد</v>
      </c>
      <c r="G206" s="24">
        <f>IF(C206="استحداث بند جديد", "", IF(D206&lt;&gt;"", IFERROR(INDEX('بنود العقد'!E$3:E$388,D206), 0), ""))</f>
        <v>600</v>
      </c>
      <c r="H206" s="7">
        <v>-119</v>
      </c>
      <c r="I206" s="8">
        <v>120</v>
      </c>
      <c r="J206" s="10">
        <f t="shared" si="1"/>
        <v>-71400</v>
      </c>
      <c r="K206" s="76" t="str">
        <f>IF(C206="استحداث بند جديد", "", IF(D206&lt;&gt;"", IFERROR(INDEX('بنود العقد'!C$3:C$388,D206), ""), ""))</f>
        <v>كهرباء</v>
      </c>
      <c r="L206" s="76" t="str">
        <f>IF(C206="استحداث بند جديد", IF(K206&lt;&gt;"","CMH_01-"&amp;IFERROR(VLOOKUP(K206,مراجع!$A$3:$B$14,2,FALSE),"?")&amp;"-NEW-"&amp;TEXT(A206,"000"),""), IF(D206&lt;&gt;"", IFERROR(INDEX('بنود العقد'!I$3:I$388,D206), ""), ""))</f>
        <v>CMH_01-EE-258</v>
      </c>
      <c r="M206" s="19"/>
    </row>
    <row r="207" spans="1:13" s="76" customFormat="1" ht="28.2" customHeight="1">
      <c r="A207" s="12">
        <v>205</v>
      </c>
      <c r="B207" s="6">
        <v>1</v>
      </c>
      <c r="C207" s="6" t="s">
        <v>250</v>
      </c>
      <c r="D207" s="6">
        <v>259</v>
      </c>
      <c r="E207" s="22" t="str">
        <f>IF(C207="استحداث بند جديد", "", IF(D207&lt;&gt;"", IFERROR(INDEX('بنود العقد'!B$3:B$388,D207), "⚠"), ""))</f>
        <v xml:space="preserve"> 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وحتى كابينة الداتا  وحسب CAT 6A UTP المقابس + )ب( مآخذ للهاتف والبيانات ذات كابلات .بالوزارة IT  مواصفات إدارة الـ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Type JB 2U  ( 4 power &amp; 2 data )</v>
      </c>
      <c r="F207" s="23" t="str">
        <f>IF(C207="استحداث بند جديد", "", IF(D207&lt;&gt;"", IFERROR(INDEX('بنود العقد'!D$3:D$388,D207), ""), ""))</f>
        <v>عدد</v>
      </c>
      <c r="G207" s="24">
        <f>IF(C207="استحداث بند جديد", "", IF(D207&lt;&gt;"", IFERROR(INDEX('بنود العقد'!E$3:E$388,D207), 0), ""))</f>
        <v>840</v>
      </c>
      <c r="H207" s="7">
        <v>-75</v>
      </c>
      <c r="I207" s="8">
        <v>120</v>
      </c>
      <c r="J207" s="10">
        <f t="shared" si="1"/>
        <v>-63000</v>
      </c>
      <c r="K207" s="76" t="str">
        <f>IF(C207="استحداث بند جديد", "", IF(D207&lt;&gt;"", IFERROR(INDEX('بنود العقد'!C$3:C$388,D207), ""), ""))</f>
        <v>كهرباء</v>
      </c>
      <c r="L207" s="76" t="str">
        <f>IF(C207="استحداث بند جديد", IF(K207&lt;&gt;"","CMH_01-"&amp;IFERROR(VLOOKUP(K207,مراجع!$A$3:$B$14,2,FALSE),"?")&amp;"-NEW-"&amp;TEXT(A207,"000"),""), IF(D207&lt;&gt;"", IFERROR(INDEX('بنود العقد'!I$3:I$388,D207), ""), ""))</f>
        <v>CMH_01-EE-259</v>
      </c>
      <c r="M207" s="19"/>
    </row>
    <row r="208" spans="1:13" s="76" customFormat="1" ht="28.2" customHeight="1">
      <c r="A208" s="12">
        <v>206</v>
      </c>
      <c r="B208" s="6">
        <v>1</v>
      </c>
      <c r="C208" s="6" t="s">
        <v>250</v>
      </c>
      <c r="D208" s="6">
        <v>260</v>
      </c>
      <c r="E208" s="22" t="str">
        <f>IF(C208="استحداث بند جديد", "", IF(D208&lt;&gt;"", IFERROR(INDEX('بنود العقد'!B$3:B$388,D208), "⚠"), ""))</f>
        <v xml:space="preserve"> 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وحتى كابينة الداتا  وحسب CAT 6A UTP المقابس + )ب( مآخذ للهاتف والبيانات ذات كابلات .بالوزارة IT  مواصفات إدارة الـ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Type JB 4U ( 8 power &amp; 4 data )</v>
      </c>
      <c r="F208" s="23" t="str">
        <f>IF(C208="استحداث بند جديد", "", IF(D208&lt;&gt;"", IFERROR(INDEX('بنود العقد'!D$3:D$388,D208), ""), ""))</f>
        <v>عدد</v>
      </c>
      <c r="G208" s="24">
        <f>IF(C208="استحداث بند جديد", "", IF(D208&lt;&gt;"", IFERROR(INDEX('بنود العقد'!E$3:E$388,D208), 0), ""))</f>
        <v>1440</v>
      </c>
      <c r="H208" s="7">
        <v>-324</v>
      </c>
      <c r="I208" s="8">
        <v>120</v>
      </c>
      <c r="J208" s="10">
        <f t="shared" si="1"/>
        <v>-466560</v>
      </c>
      <c r="K208" s="76" t="str">
        <f>IF(C208="استحداث بند جديد", "", IF(D208&lt;&gt;"", IFERROR(INDEX('بنود العقد'!C$3:C$388,D208), ""), ""))</f>
        <v>كهرباء</v>
      </c>
      <c r="L208" s="76" t="str">
        <f>IF(C208="استحداث بند جديد", IF(K208&lt;&gt;"","CMH_01-"&amp;IFERROR(VLOOKUP(K208,مراجع!$A$3:$B$14,2,FALSE),"?")&amp;"-NEW-"&amp;TEXT(A208,"000"),""), IF(D208&lt;&gt;"", IFERROR(INDEX('بنود العقد'!I$3:I$388,D208), ""), ""))</f>
        <v>CMH_01-EE-260</v>
      </c>
      <c r="M208" s="19"/>
    </row>
    <row r="209" spans="1:13" s="76" customFormat="1" ht="28.2" customHeight="1">
      <c r="A209" s="12">
        <v>207</v>
      </c>
      <c r="B209" s="6">
        <v>1</v>
      </c>
      <c r="C209" s="6" t="s">
        <v>250</v>
      </c>
      <c r="D209" s="6">
        <v>261</v>
      </c>
      <c r="E209" s="22" t="str">
        <f>IF(C209="استحداث بند جديد", "", IF(D209&lt;&gt;"", IFERROR(INDEX('بنود العقد'!B$3:B$388,D209), "⚠"), ""))</f>
        <v xml:space="preserve"> توريد وتركيب واختبار والتشغيل التجريبي لمفاتيح فصل على الحمل من النوع عالية التحمل مع ماسورة  التثبيت المعدنية المرنة والمانعة لنفاذ السوائل، وقطع الإكسسوارعلى المقاول المعاينة و فحص الشبكة الحالية و الاستفادة من التمديدات الحالية و دمجها مع التركيبات الجديدة بعد عمل الاختبارات اللازمة و بعدالموافقة من مهندس المشرف  وبالإستطاعات التالية 30 A, 250 V, 2P</v>
      </c>
      <c r="F209" s="23" t="str">
        <f>IF(C209="استحداث بند جديد", "", IF(D209&lt;&gt;"", IFERROR(INDEX('بنود العقد'!D$3:D$388,D209), ""), ""))</f>
        <v>عدد</v>
      </c>
      <c r="G209" s="24">
        <f>IF(C209="استحداث بند جديد", "", IF(D209&lt;&gt;"", IFERROR(INDEX('بنود العقد'!E$3:E$388,D209), 0), ""))</f>
        <v>384</v>
      </c>
      <c r="H209" s="7">
        <v>-30</v>
      </c>
      <c r="I209" s="8">
        <v>120</v>
      </c>
      <c r="J209" s="10">
        <f t="shared" si="1"/>
        <v>-11520</v>
      </c>
      <c r="K209" s="76" t="str">
        <f>IF(C209="استحداث بند جديد", "", IF(D209&lt;&gt;"", IFERROR(INDEX('بنود العقد'!C$3:C$388,D209), ""), ""))</f>
        <v>كهرباء</v>
      </c>
      <c r="L209" s="76" t="str">
        <f>IF(C209="استحداث بند جديد", IF(K209&lt;&gt;"","CMH_01-"&amp;IFERROR(VLOOKUP(K209,مراجع!$A$3:$B$14,2,FALSE),"?")&amp;"-NEW-"&amp;TEXT(A209,"000"),""), IF(D209&lt;&gt;"", IFERROR(INDEX('بنود العقد'!I$3:I$388,D209), ""), ""))</f>
        <v>CMH_01-EE-261</v>
      </c>
      <c r="M209" s="19"/>
    </row>
    <row r="210" spans="1:13" s="76" customFormat="1" ht="28.2" customHeight="1">
      <c r="A210" s="12">
        <v>208</v>
      </c>
      <c r="B210" s="6">
        <v>1</v>
      </c>
      <c r="C210" s="6" t="s">
        <v>250</v>
      </c>
      <c r="D210" s="6">
        <v>262</v>
      </c>
      <c r="E210" s="22" t="str">
        <f>IF(C210="استحداث بند جديد", "", IF(D210&lt;&gt;"", IFERROR(INDEX('بنود العقد'!B$3:B$388,D210),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v>
      </c>
      <c r="F210" s="23" t="str">
        <f>IF(C210="استحداث بند جديد", "", IF(D210&lt;&gt;"", IFERROR(INDEX('بنود العقد'!D$3:D$388,D210), ""), ""))</f>
        <v>عدد</v>
      </c>
      <c r="G210" s="24">
        <f>IF(C210="استحداث بند جديد", "", IF(D210&lt;&gt;"", IFERROR(INDEX('بنود العقد'!E$3:E$388,D210), 0), ""))</f>
        <v>348</v>
      </c>
      <c r="H210" s="7">
        <v>-100</v>
      </c>
      <c r="I210" s="8">
        <v>120</v>
      </c>
      <c r="J210" s="10">
        <f t="shared" si="1"/>
        <v>-34800</v>
      </c>
      <c r="K210" s="76" t="str">
        <f>IF(C210="استحداث بند جديد", "", IF(D210&lt;&gt;"", IFERROR(INDEX('بنود العقد'!C$3:C$388,D210), ""), ""))</f>
        <v>كهرباء</v>
      </c>
      <c r="L210" s="76" t="str">
        <f>IF(C210="استحداث بند جديد", IF(K210&lt;&gt;"","CMH_01-"&amp;IFERROR(VLOOKUP(K210,مراجع!$A$3:$B$14,2,FALSE),"?")&amp;"-NEW-"&amp;TEXT(A210,"000"),""), IF(D210&lt;&gt;"", IFERROR(INDEX('بنود العقد'!I$3:I$388,D210), ""), ""))</f>
        <v>CMH_01-EE-262</v>
      </c>
      <c r="M210" s="19"/>
    </row>
    <row r="211" spans="1:13" s="76" customFormat="1" ht="28.2" customHeight="1">
      <c r="A211" s="12">
        <v>209</v>
      </c>
      <c r="B211" s="6">
        <v>1</v>
      </c>
      <c r="C211" s="6" t="s">
        <v>250</v>
      </c>
      <c r="D211" s="6">
        <v>263</v>
      </c>
      <c r="E211" s="22" t="str">
        <f>IF(C211="استحداث بند جديد", "", IF(D211&lt;&gt;"", IFERROR(INDEX('بنود العقد'!B$3:B$388,D211),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A1E</v>
      </c>
      <c r="F211" s="23" t="str">
        <f>IF(C211="استحداث بند جديد", "", IF(D211&lt;&gt;"", IFERROR(INDEX('بنود العقد'!D$3:D$388,D211), ""), ""))</f>
        <v>عدد</v>
      </c>
      <c r="G211" s="24">
        <f>IF(C211="استحداث بند جديد", "", IF(D211&lt;&gt;"", IFERROR(INDEX('بنود العقد'!E$3:E$388,D211), 0), ""))</f>
        <v>660</v>
      </c>
      <c r="H211" s="7">
        <v>-7</v>
      </c>
      <c r="I211" s="8">
        <v>120</v>
      </c>
      <c r="J211" s="10">
        <f t="shared" si="1"/>
        <v>-4620</v>
      </c>
      <c r="K211" s="76" t="str">
        <f>IF(C211="استحداث بند جديد", "", IF(D211&lt;&gt;"", IFERROR(INDEX('بنود العقد'!C$3:C$388,D211), ""), ""))</f>
        <v>كهرباء</v>
      </c>
      <c r="L211" s="76" t="str">
        <f>IF(C211="استحداث بند جديد", IF(K211&lt;&gt;"","CMH_01-"&amp;IFERROR(VLOOKUP(K211,مراجع!$A$3:$B$14,2,FALSE),"?")&amp;"-NEW-"&amp;TEXT(A211,"000"),""), IF(D211&lt;&gt;"", IFERROR(INDEX('بنود العقد'!I$3:I$388,D211), ""), ""))</f>
        <v>CMH_01-EE-263</v>
      </c>
      <c r="M211" s="19"/>
    </row>
    <row r="212" spans="1:13" s="76" customFormat="1" ht="28.2" customHeight="1">
      <c r="A212" s="12">
        <v>210</v>
      </c>
      <c r="B212" s="6">
        <v>1</v>
      </c>
      <c r="C212" s="6" t="s">
        <v>250</v>
      </c>
      <c r="D212" s="6">
        <v>264</v>
      </c>
      <c r="E212" s="22" t="str">
        <f>IF(C212="استحداث بند جديد", "", IF(D212&lt;&gt;"", IFERROR(INDEX('بنود العقد'!B$3:B$388,D212),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A2</v>
      </c>
      <c r="F212" s="23" t="str">
        <f>IF(C212="استحداث بند جديد", "", IF(D212&lt;&gt;"", IFERROR(INDEX('بنود العقد'!D$3:D$388,D212), ""), ""))</f>
        <v>عدد</v>
      </c>
      <c r="G212" s="24">
        <f>IF(C212="استحداث بند جديد", "", IF(D212&lt;&gt;"", IFERROR(INDEX('بنود العقد'!E$3:E$388,D212), 0), ""))</f>
        <v>1044</v>
      </c>
      <c r="H212" s="7">
        <v>-6</v>
      </c>
      <c r="I212" s="8">
        <v>120</v>
      </c>
      <c r="J212" s="10">
        <f t="shared" si="1"/>
        <v>-6264</v>
      </c>
      <c r="K212" s="76" t="str">
        <f>IF(C212="استحداث بند جديد", "", IF(D212&lt;&gt;"", IFERROR(INDEX('بنود العقد'!C$3:C$388,D212), ""), ""))</f>
        <v>كهرباء</v>
      </c>
      <c r="L212" s="76" t="str">
        <f>IF(C212="استحداث بند جديد", IF(K212&lt;&gt;"","CMH_01-"&amp;IFERROR(VLOOKUP(K212,مراجع!$A$3:$B$14,2,FALSE),"?")&amp;"-NEW-"&amp;TEXT(A212,"000"),""), IF(D212&lt;&gt;"", IFERROR(INDEX('بنود العقد'!I$3:I$388,D212), ""), ""))</f>
        <v>CMH_01-EE-264</v>
      </c>
      <c r="M212" s="19"/>
    </row>
    <row r="213" spans="1:13" s="76" customFormat="1" ht="28.2" customHeight="1">
      <c r="A213" s="12">
        <v>211</v>
      </c>
      <c r="B213" s="6">
        <v>1</v>
      </c>
      <c r="C213" s="6" t="s">
        <v>175</v>
      </c>
      <c r="D213" s="6">
        <v>268</v>
      </c>
      <c r="E213" s="22" t="str">
        <f>IF(C213="استحداث بند جديد", "", IF(D213&lt;&gt;"", IFERROR(INDEX('بنود العقد'!B$3:B$388,D213),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A6</v>
      </c>
      <c r="F213" s="23" t="str">
        <f>IF(C213="استحداث بند جديد", "", IF(D213&lt;&gt;"", IFERROR(INDEX('بنود العقد'!D$3:D$388,D213), ""), ""))</f>
        <v>عدد</v>
      </c>
      <c r="G213" s="24">
        <f>IF(C213="استحداث بند جديد", "", IF(D213&lt;&gt;"", IFERROR(INDEX('بنود العقد'!E$3:E$388,D213), 0), ""))</f>
        <v>1044</v>
      </c>
      <c r="H213" s="7">
        <v>3</v>
      </c>
      <c r="I213" s="8">
        <v>120</v>
      </c>
      <c r="J213" s="10">
        <f t="shared" si="1"/>
        <v>3132</v>
      </c>
      <c r="K213" s="76" t="str">
        <f>IF(C213="استحداث بند جديد", "", IF(D213&lt;&gt;"", IFERROR(INDEX('بنود العقد'!C$3:C$388,D213), ""), ""))</f>
        <v>كهرباء</v>
      </c>
      <c r="L213" s="76" t="str">
        <f>IF(C213="استحداث بند جديد", IF(K213&lt;&gt;"","CMH_01-"&amp;IFERROR(VLOOKUP(K213,مراجع!$A$3:$B$14,2,FALSE),"?")&amp;"-NEW-"&amp;TEXT(A213,"000"),""), IF(D213&lt;&gt;"", IFERROR(INDEX('بنود العقد'!I$3:I$388,D213), ""), ""))</f>
        <v>CMH_01-EE-268</v>
      </c>
      <c r="M213" s="19"/>
    </row>
    <row r="214" spans="1:13" s="76" customFormat="1" ht="28.2" customHeight="1">
      <c r="A214" s="12">
        <v>212</v>
      </c>
      <c r="B214" s="6">
        <v>1</v>
      </c>
      <c r="C214" s="6" t="s">
        <v>175</v>
      </c>
      <c r="D214" s="6">
        <v>269</v>
      </c>
      <c r="E214" s="22" t="str">
        <f>IF(C214="استحداث بند جديد", "", IF(D214&lt;&gt;"", IFERROR(INDEX('بنود العقد'!B$3:B$388,D214),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A7</v>
      </c>
      <c r="F214" s="23" t="str">
        <f>IF(C214="استحداث بند جديد", "", IF(D214&lt;&gt;"", IFERROR(INDEX('بنود العقد'!D$3:D$388,D214), ""), ""))</f>
        <v>عدد</v>
      </c>
      <c r="G214" s="24">
        <f>IF(C214="استحداث بند جديد", "", IF(D214&lt;&gt;"", IFERROR(INDEX('بنود العقد'!E$3:E$388,D214), 0), ""))</f>
        <v>1044</v>
      </c>
      <c r="H214" s="7">
        <v>4</v>
      </c>
      <c r="I214" s="8">
        <v>120</v>
      </c>
      <c r="J214" s="10">
        <f t="shared" si="1"/>
        <v>4176</v>
      </c>
      <c r="K214" s="76" t="str">
        <f>IF(C214="استحداث بند جديد", "", IF(D214&lt;&gt;"", IFERROR(INDEX('بنود العقد'!C$3:C$388,D214), ""), ""))</f>
        <v>كهرباء</v>
      </c>
      <c r="L214" s="76" t="str">
        <f>IF(C214="استحداث بند جديد", IF(K214&lt;&gt;"","CMH_01-"&amp;IFERROR(VLOOKUP(K214,مراجع!$A$3:$B$14,2,FALSE),"?")&amp;"-NEW-"&amp;TEXT(A214,"000"),""), IF(D214&lt;&gt;"", IFERROR(INDEX('بنود العقد'!I$3:I$388,D214), ""), ""))</f>
        <v>CMH_01-EE-269</v>
      </c>
      <c r="M214" s="19"/>
    </row>
    <row r="215" spans="1:13" s="76" customFormat="1" ht="28.2" customHeight="1">
      <c r="A215" s="12">
        <v>213</v>
      </c>
      <c r="B215" s="6">
        <v>1</v>
      </c>
      <c r="C215" s="6" t="s">
        <v>250</v>
      </c>
      <c r="D215" s="6">
        <v>272</v>
      </c>
      <c r="E215" s="22" t="str">
        <f>IF(C215="استحداث بند جديد", "", IF(D215&lt;&gt;"", IFERROR(INDEX('بنود العقد'!B$3:B$388,D215),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B1</v>
      </c>
      <c r="F215" s="23" t="str">
        <f>IF(C215="استحداث بند جديد", "", IF(D215&lt;&gt;"", IFERROR(INDEX('بنود العقد'!D$3:D$388,D215), ""), ""))</f>
        <v>عدد</v>
      </c>
      <c r="G215" s="24">
        <f>IF(C215="استحداث بند جديد", "", IF(D215&lt;&gt;"", IFERROR(INDEX('بنود العقد'!E$3:E$388,D215), 0), ""))</f>
        <v>720</v>
      </c>
      <c r="H215" s="7">
        <v>-246</v>
      </c>
      <c r="I215" s="8">
        <v>120</v>
      </c>
      <c r="J215" s="10">
        <f t="shared" si="1"/>
        <v>-177120</v>
      </c>
      <c r="K215" s="76" t="str">
        <f>IF(C215="استحداث بند جديد", "", IF(D215&lt;&gt;"", IFERROR(INDEX('بنود العقد'!C$3:C$388,D215), ""), ""))</f>
        <v>كهرباء</v>
      </c>
      <c r="L215" s="76" t="str">
        <f>IF(C215="استحداث بند جديد", IF(K215&lt;&gt;"","CMH_01-"&amp;IFERROR(VLOOKUP(K215,مراجع!$A$3:$B$14,2,FALSE),"?")&amp;"-NEW-"&amp;TEXT(A215,"000"),""), IF(D215&lt;&gt;"", IFERROR(INDEX('بنود العقد'!I$3:I$388,D215), ""), ""))</f>
        <v>CMH_01-EE-272</v>
      </c>
      <c r="M215" s="19"/>
    </row>
    <row r="216" spans="1:13" s="76" customFormat="1" ht="28.2" customHeight="1">
      <c r="A216" s="12">
        <v>214</v>
      </c>
      <c r="B216" s="6">
        <v>1</v>
      </c>
      <c r="C216" s="6" t="s">
        <v>250</v>
      </c>
      <c r="D216" s="6">
        <v>273</v>
      </c>
      <c r="E216" s="22" t="str">
        <f>IF(C216="استحداث بند جديد", "", IF(D216&lt;&gt;"", IFERROR(INDEX('بنود العقد'!B$3:B$388,D216),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B2</v>
      </c>
      <c r="F216" s="23" t="str">
        <f>IF(C216="استحداث بند جديد", "", IF(D216&lt;&gt;"", IFERROR(INDEX('بنود العقد'!D$3:D$388,D216), ""), ""))</f>
        <v>عدد</v>
      </c>
      <c r="G216" s="24">
        <f>IF(C216="استحداث بند جديد", "", IF(D216&lt;&gt;"", IFERROR(INDEX('بنود العقد'!E$3:E$388,D216), 0), ""))</f>
        <v>780</v>
      </c>
      <c r="H216" s="7">
        <v>-46</v>
      </c>
      <c r="I216" s="8">
        <v>120</v>
      </c>
      <c r="J216" s="10">
        <f t="shared" si="1"/>
        <v>-35880</v>
      </c>
      <c r="K216" s="76" t="str">
        <f>IF(C216="استحداث بند جديد", "", IF(D216&lt;&gt;"", IFERROR(INDEX('بنود العقد'!C$3:C$388,D216), ""), ""))</f>
        <v>كهرباء</v>
      </c>
      <c r="L216" s="76" t="str">
        <f>IF(C216="استحداث بند جديد", IF(K216&lt;&gt;"","CMH_01-"&amp;IFERROR(VLOOKUP(K216,مراجع!$A$3:$B$14,2,FALSE),"?")&amp;"-NEW-"&amp;TEXT(A216,"000"),""), IF(D216&lt;&gt;"", IFERROR(INDEX('بنود العقد'!I$3:I$388,D216), ""), ""))</f>
        <v>CMH_01-EE-273</v>
      </c>
      <c r="M216" s="19"/>
    </row>
    <row r="217" spans="1:13" s="76" customFormat="1" ht="28.2" customHeight="1">
      <c r="A217" s="12">
        <v>215</v>
      </c>
      <c r="B217" s="6">
        <v>1</v>
      </c>
      <c r="C217" s="6" t="s">
        <v>250</v>
      </c>
      <c r="D217" s="6">
        <v>274</v>
      </c>
      <c r="E217" s="22" t="str">
        <f>IF(C217="استحداث بند جديد", "", IF(D217&lt;&gt;"", IFERROR(INDEX('بنود العقد'!B$3:B$388,D217),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C1</v>
      </c>
      <c r="F217" s="23" t="str">
        <f>IF(C217="استحداث بند جديد", "", IF(D217&lt;&gt;"", IFERROR(INDEX('بنود العقد'!D$3:D$388,D217), ""), ""))</f>
        <v>عدد</v>
      </c>
      <c r="G217" s="24">
        <f>IF(C217="استحداث بند جديد", "", IF(D217&lt;&gt;"", IFERROR(INDEX('بنود العقد'!E$3:E$388,D217), 0), ""))</f>
        <v>1128</v>
      </c>
      <c r="H217" s="7">
        <v>-28</v>
      </c>
      <c r="I217" s="8">
        <v>120</v>
      </c>
      <c r="J217" s="10">
        <f t="shared" si="1"/>
        <v>-31584</v>
      </c>
      <c r="K217" s="76" t="str">
        <f>IF(C217="استحداث بند جديد", "", IF(D217&lt;&gt;"", IFERROR(INDEX('بنود العقد'!C$3:C$388,D217), ""), ""))</f>
        <v>كهرباء</v>
      </c>
      <c r="L217" s="76" t="str">
        <f>IF(C217="استحداث بند جديد", IF(K217&lt;&gt;"","CMH_01-"&amp;IFERROR(VLOOKUP(K217,مراجع!$A$3:$B$14,2,FALSE),"?")&amp;"-NEW-"&amp;TEXT(A217,"000"),""), IF(D217&lt;&gt;"", IFERROR(INDEX('بنود العقد'!I$3:I$388,D217), ""), ""))</f>
        <v>CMH_01-EE-274</v>
      </c>
      <c r="M217" s="19"/>
    </row>
    <row r="218" spans="1:13" s="76" customFormat="1" ht="28.2" customHeight="1">
      <c r="A218" s="12">
        <v>216</v>
      </c>
      <c r="B218" s="6">
        <v>1</v>
      </c>
      <c r="C218" s="6" t="s">
        <v>250</v>
      </c>
      <c r="D218" s="6">
        <v>275</v>
      </c>
      <c r="E218" s="22" t="str">
        <f>IF(C218="استحداث بند جديد", "", IF(D218&lt;&gt;"", IFERROR(INDEX('بنود العقد'!B$3:B$388,D218),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v>
      </c>
      <c r="F218" s="23" t="str">
        <f>IF(C218="استحداث بند جديد", "", IF(D218&lt;&gt;"", IFERROR(INDEX('بنود العقد'!D$3:D$388,D218), ""), ""))</f>
        <v>عدد</v>
      </c>
      <c r="G218" s="24">
        <f>IF(C218="استحداث بند جديد", "", IF(D218&lt;&gt;"", IFERROR(INDEX('بنود العقد'!E$3:E$388,D218), 0), ""))</f>
        <v>420</v>
      </c>
      <c r="H218" s="7">
        <v>-140</v>
      </c>
      <c r="I218" s="8">
        <v>120</v>
      </c>
      <c r="J218" s="10">
        <f t="shared" si="1"/>
        <v>-58800</v>
      </c>
      <c r="K218" s="76" t="str">
        <f>IF(C218="استحداث بند جديد", "", IF(D218&lt;&gt;"", IFERROR(INDEX('بنود العقد'!C$3:C$388,D218), ""), ""))</f>
        <v>كهرباء</v>
      </c>
      <c r="L218" s="76" t="str">
        <f>IF(C218="استحداث بند جديد", IF(K218&lt;&gt;"","CMH_01-"&amp;IFERROR(VLOOKUP(K218,مراجع!$A$3:$B$14,2,FALSE),"?")&amp;"-NEW-"&amp;TEXT(A218,"000"),""), IF(D218&lt;&gt;"", IFERROR(INDEX('بنود العقد'!I$3:I$388,D218), ""), ""))</f>
        <v>CMH_01-EE-275</v>
      </c>
      <c r="M218" s="19"/>
    </row>
    <row r="219" spans="1:13" s="76" customFormat="1" ht="28.2" customHeight="1">
      <c r="A219" s="12">
        <v>217</v>
      </c>
      <c r="B219" s="6">
        <v>1</v>
      </c>
      <c r="C219" s="6" t="s">
        <v>175</v>
      </c>
      <c r="D219" s="6">
        <v>276</v>
      </c>
      <c r="E219" s="22" t="str">
        <f>IF(C219="استحداث بند جديد", "", IF(D219&lt;&gt;"", IFERROR(INDEX('بنود العقد'!B$3:B$388,D219),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v>
      </c>
      <c r="F219" s="23" t="str">
        <f>IF(C219="استحداث بند جديد", "", IF(D219&lt;&gt;"", IFERROR(INDEX('بنود العقد'!D$3:D$388,D219), ""), ""))</f>
        <v>عدد</v>
      </c>
      <c r="G219" s="24">
        <f>IF(C219="استحداث بند جديد", "", IF(D219&lt;&gt;"", IFERROR(INDEX('بنود العقد'!E$3:E$388,D219), 0), ""))</f>
        <v>444</v>
      </c>
      <c r="H219" s="7">
        <v>63</v>
      </c>
      <c r="I219" s="8">
        <v>120</v>
      </c>
      <c r="J219" s="10">
        <f t="shared" si="1"/>
        <v>27972</v>
      </c>
      <c r="K219" s="76" t="str">
        <f>IF(C219="استحداث بند جديد", "", IF(D219&lt;&gt;"", IFERROR(INDEX('بنود العقد'!C$3:C$388,D219), ""), ""))</f>
        <v>كهرباء</v>
      </c>
      <c r="L219" s="76" t="str">
        <f>IF(C219="استحداث بند جديد", IF(K219&lt;&gt;"","CMH_01-"&amp;IFERROR(VLOOKUP(K219,مراجع!$A$3:$B$14,2,FALSE),"?")&amp;"-NEW-"&amp;TEXT(A219,"000"),""), IF(D219&lt;&gt;"", IFERROR(INDEX('بنود العقد'!I$3:I$388,D219), ""), ""))</f>
        <v>CMH_01-EE-276</v>
      </c>
      <c r="M219" s="19"/>
    </row>
    <row r="220" spans="1:13" s="76" customFormat="1" ht="28.2" customHeight="1">
      <c r="A220" s="12">
        <v>218</v>
      </c>
      <c r="B220" s="6">
        <v>1</v>
      </c>
      <c r="C220" s="6" t="s">
        <v>175</v>
      </c>
      <c r="D220" s="6">
        <v>277</v>
      </c>
      <c r="E220" s="22" t="str">
        <f>IF(C220="استحداث بند جديد", "", IF(D220&lt;&gt;"", IFERROR(INDEX('بنود العقد'!B$3:B$388,D220),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v>
      </c>
      <c r="F220" s="23" t="str">
        <f>IF(C220="استحداث بند جديد", "", IF(D220&lt;&gt;"", IFERROR(INDEX('بنود العقد'!D$3:D$388,D220), ""), ""))</f>
        <v>عدد</v>
      </c>
      <c r="G220" s="24">
        <f>IF(C220="استحداث بند جديد", "", IF(D220&lt;&gt;"", IFERROR(INDEX('بنود العقد'!E$3:E$388,D220), 0), ""))</f>
        <v>300</v>
      </c>
      <c r="H220" s="7">
        <v>1</v>
      </c>
      <c r="I220" s="8">
        <v>120</v>
      </c>
      <c r="J220" s="10">
        <f t="shared" si="1"/>
        <v>300</v>
      </c>
      <c r="K220" s="76" t="str">
        <f>IF(C220="استحداث بند جديد", "", IF(D220&lt;&gt;"", IFERROR(INDEX('بنود العقد'!C$3:C$388,D220), ""), ""))</f>
        <v>كهرباء</v>
      </c>
      <c r="L220" s="76" t="str">
        <f>IF(C220="استحداث بند جديد", IF(K220&lt;&gt;"","CMH_01-"&amp;IFERROR(VLOOKUP(K220,مراجع!$A$3:$B$14,2,FALSE),"?")&amp;"-NEW-"&amp;TEXT(A220,"000"),""), IF(D220&lt;&gt;"", IFERROR(INDEX('بنود العقد'!I$3:I$388,D220), ""), ""))</f>
        <v>CMH_01-EE-277</v>
      </c>
      <c r="M220" s="19"/>
    </row>
    <row r="221" spans="1:13" s="76" customFormat="1" ht="28.2" customHeight="1">
      <c r="A221" s="12">
        <v>219</v>
      </c>
      <c r="B221" s="6">
        <v>1</v>
      </c>
      <c r="C221" s="6" t="s">
        <v>250</v>
      </c>
      <c r="D221" s="6">
        <v>278</v>
      </c>
      <c r="E221" s="22" t="str">
        <f>IF(C221="استحداث بند جديد", "", IF(D221&lt;&gt;"", IFERROR(INDEX('بنود العقد'!B$3:B$388,D221),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C5</v>
      </c>
      <c r="F221" s="23" t="str">
        <f>IF(C221="استحداث بند جديد", "", IF(D221&lt;&gt;"", IFERROR(INDEX('بنود العقد'!D$3:D$388,D221), ""), ""))</f>
        <v>عدد</v>
      </c>
      <c r="G221" s="24">
        <f>IF(C221="استحداث بند جديد", "", IF(D221&lt;&gt;"", IFERROR(INDEX('بنود العقد'!E$3:E$388,D221), 0), ""))</f>
        <v>438</v>
      </c>
      <c r="H221" s="7">
        <v>-16</v>
      </c>
      <c r="I221" s="8">
        <v>120</v>
      </c>
      <c r="J221" s="10">
        <f t="shared" si="1"/>
        <v>-7008</v>
      </c>
      <c r="K221" s="76" t="str">
        <f>IF(C221="استحداث بند جديد", "", IF(D221&lt;&gt;"", IFERROR(INDEX('بنود العقد'!C$3:C$388,D221), ""), ""))</f>
        <v>كهرباء</v>
      </c>
      <c r="L221" s="76" t="str">
        <f>IF(C221="استحداث بند جديد", IF(K221&lt;&gt;"","CMH_01-"&amp;IFERROR(VLOOKUP(K221,مراجع!$A$3:$B$14,2,FALSE),"?")&amp;"-NEW-"&amp;TEXT(A221,"000"),""), IF(D221&lt;&gt;"", IFERROR(INDEX('بنود العقد'!I$3:I$388,D221), ""), ""))</f>
        <v>CMH_01-EE-278</v>
      </c>
      <c r="M221" s="19"/>
    </row>
    <row r="222" spans="1:13" s="76" customFormat="1" ht="28.2" customHeight="1">
      <c r="A222" s="12">
        <v>220</v>
      </c>
      <c r="B222" s="6">
        <v>1</v>
      </c>
      <c r="C222" s="6" t="s">
        <v>175</v>
      </c>
      <c r="D222" s="6">
        <v>279</v>
      </c>
      <c r="E222" s="22" t="str">
        <f>IF(C222="استحداث بند جديد", "", IF(D222&lt;&gt;"", IFERROR(INDEX('بنود العقد'!B$3:B$388,D222),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C6</v>
      </c>
      <c r="F222" s="23" t="str">
        <f>IF(C222="استحداث بند جديد", "", IF(D222&lt;&gt;"", IFERROR(INDEX('بنود العقد'!D$3:D$388,D222), ""), ""))</f>
        <v>عدد</v>
      </c>
      <c r="G222" s="24">
        <f>IF(C222="استحداث بند جديد", "", IF(D222&lt;&gt;"", IFERROR(INDEX('بنود العقد'!E$3:E$388,D222), 0), ""))</f>
        <v>288</v>
      </c>
      <c r="H222" s="7">
        <v>12</v>
      </c>
      <c r="I222" s="8">
        <v>120</v>
      </c>
      <c r="J222" s="10">
        <f t="shared" si="1"/>
        <v>3456</v>
      </c>
      <c r="K222" s="76" t="str">
        <f>IF(C222="استحداث بند جديد", "", IF(D222&lt;&gt;"", IFERROR(INDEX('بنود العقد'!C$3:C$388,D222), ""), ""))</f>
        <v>كهرباء</v>
      </c>
      <c r="L222" s="76" t="str">
        <f>IF(C222="استحداث بند جديد", IF(K222&lt;&gt;"","CMH_01-"&amp;IFERROR(VLOOKUP(K222,مراجع!$A$3:$B$14,2,FALSE),"?")&amp;"-NEW-"&amp;TEXT(A222,"000"),""), IF(D222&lt;&gt;"", IFERROR(INDEX('بنود العقد'!I$3:I$388,D222), ""), ""))</f>
        <v>CMH_01-EE-279</v>
      </c>
      <c r="M222" s="19"/>
    </row>
    <row r="223" spans="1:13" s="76" customFormat="1" ht="28.2" customHeight="1">
      <c r="A223" s="12">
        <v>221</v>
      </c>
      <c r="B223" s="6">
        <v>1</v>
      </c>
      <c r="C223" s="6" t="s">
        <v>175</v>
      </c>
      <c r="D223" s="6">
        <v>283</v>
      </c>
      <c r="E223" s="22" t="str">
        <f>IF(C223="استحداث بند جديد", "", IF(D223&lt;&gt;"", IFERROR(INDEX('بنود العقد'!B$3:B$388,D223),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D3</v>
      </c>
      <c r="F223" s="23" t="str">
        <f>IF(C223="استحداث بند جديد", "", IF(D223&lt;&gt;"", IFERROR(INDEX('بنود العقد'!D$3:D$388,D223), ""), ""))</f>
        <v>عدد</v>
      </c>
      <c r="G223" s="24">
        <f>IF(C223="استحداث بند جديد", "", IF(D223&lt;&gt;"", IFERROR(INDEX('بنود العقد'!E$3:E$388,D223), 0), ""))</f>
        <v>288</v>
      </c>
      <c r="H223" s="7">
        <v>112</v>
      </c>
      <c r="I223" s="8">
        <v>120</v>
      </c>
      <c r="J223" s="10">
        <f t="shared" si="1"/>
        <v>32256</v>
      </c>
      <c r="K223" s="76" t="str">
        <f>IF(C223="استحداث بند جديد", "", IF(D223&lt;&gt;"", IFERROR(INDEX('بنود العقد'!C$3:C$388,D223), ""), ""))</f>
        <v>كهرباء</v>
      </c>
      <c r="L223" s="76" t="str">
        <f>IF(C223="استحداث بند جديد", IF(K223&lt;&gt;"","CMH_01-"&amp;IFERROR(VLOOKUP(K223,مراجع!$A$3:$B$14,2,FALSE),"?")&amp;"-NEW-"&amp;TEXT(A223,"000"),""), IF(D223&lt;&gt;"", IFERROR(INDEX('بنود العقد'!I$3:I$388,D223), ""), ""))</f>
        <v>CMH_01-EE-283</v>
      </c>
      <c r="M223" s="19"/>
    </row>
    <row r="224" spans="1:13" s="76" customFormat="1" ht="28.2" customHeight="1">
      <c r="A224" s="12">
        <v>222</v>
      </c>
      <c r="B224" s="6">
        <v>1</v>
      </c>
      <c r="C224" s="6" t="s">
        <v>175</v>
      </c>
      <c r="D224" s="6">
        <v>286</v>
      </c>
      <c r="E224" s="22" t="str">
        <f>IF(C224="استحداث بند جديد", "", IF(D224&lt;&gt;"", IFERROR(INDEX('بنود العقد'!B$3:B$388,D224),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E2</v>
      </c>
      <c r="F224" s="23" t="str">
        <f>IF(C224="استحداث بند جديد", "", IF(D224&lt;&gt;"", IFERROR(INDEX('بنود العقد'!D$3:D$388,D224), ""), ""))</f>
        <v>عدد</v>
      </c>
      <c r="G224" s="24">
        <f>IF(C224="استحداث بند جديد", "", IF(D224&lt;&gt;"", IFERROR(INDEX('بنود العقد'!E$3:E$388,D224), 0), ""))</f>
        <v>504</v>
      </c>
      <c r="H224" s="7">
        <v>55</v>
      </c>
      <c r="I224" s="8">
        <v>120</v>
      </c>
      <c r="J224" s="10">
        <f t="shared" si="1"/>
        <v>27720</v>
      </c>
      <c r="K224" s="76" t="str">
        <f>IF(C224="استحداث بند جديد", "", IF(D224&lt;&gt;"", IFERROR(INDEX('بنود العقد'!C$3:C$388,D224), ""), ""))</f>
        <v>كهرباء</v>
      </c>
      <c r="L224" s="76" t="str">
        <f>IF(C224="استحداث بند جديد", IF(K224&lt;&gt;"","CMH_01-"&amp;IFERROR(VLOOKUP(K224,مراجع!$A$3:$B$14,2,FALSE),"?")&amp;"-NEW-"&amp;TEXT(A224,"000"),""), IF(D224&lt;&gt;"", IFERROR(INDEX('بنود العقد'!I$3:I$388,D224), ""), ""))</f>
        <v>CMH_01-EE-286</v>
      </c>
      <c r="M224" s="19"/>
    </row>
    <row r="225" spans="1:13" s="76" customFormat="1" ht="28.2" customHeight="1">
      <c r="A225" s="12">
        <v>223</v>
      </c>
      <c r="B225" s="6">
        <v>1</v>
      </c>
      <c r="C225" s="6" t="s">
        <v>250</v>
      </c>
      <c r="D225" s="6">
        <v>288</v>
      </c>
      <c r="E225" s="22" t="str">
        <f>IF(C225="استحداث بند جديد", "", IF(D225&lt;&gt;"", IFERROR(INDEX('بنود العقد'!B$3:B$388,D225),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LB1</v>
      </c>
      <c r="F225" s="23" t="str">
        <f>IF(C225="استحداث بند جديد", "", IF(D225&lt;&gt;"", IFERROR(INDEX('بنود العقد'!D$3:D$388,D225), ""), ""))</f>
        <v>م.ط</v>
      </c>
      <c r="G225" s="24">
        <f>IF(C225="استحداث بند جديد", "", IF(D225&lt;&gt;"", IFERROR(INDEX('بنود العقد'!E$3:E$388,D225), 0), ""))</f>
        <v>170.4</v>
      </c>
      <c r="H225" s="7">
        <v>-464.1</v>
      </c>
      <c r="I225" s="8">
        <v>120</v>
      </c>
      <c r="J225" s="10">
        <f t="shared" si="1"/>
        <v>-79082.64</v>
      </c>
      <c r="K225" s="76" t="str">
        <f>IF(C225="استحداث بند جديد", "", IF(D225&lt;&gt;"", IFERROR(INDEX('بنود العقد'!C$3:C$388,D225), ""), ""))</f>
        <v>كهرباء</v>
      </c>
      <c r="L225" s="76" t="str">
        <f>IF(C225="استحداث بند جديد", IF(K225&lt;&gt;"","CMH_01-"&amp;IFERROR(VLOOKUP(K225,مراجع!$A$3:$B$14,2,FALSE),"?")&amp;"-NEW-"&amp;TEXT(A225,"000"),""), IF(D225&lt;&gt;"", IFERROR(INDEX('بنود العقد'!I$3:I$388,D225), ""), ""))</f>
        <v>CMH_01-EE-288</v>
      </c>
      <c r="M225" s="19"/>
    </row>
    <row r="226" spans="1:13" s="76" customFormat="1" ht="28.2" customHeight="1">
      <c r="A226" s="12">
        <v>224</v>
      </c>
      <c r="B226" s="6">
        <v>1</v>
      </c>
      <c r="C226" s="6" t="s">
        <v>250</v>
      </c>
      <c r="D226" s="6">
        <v>289</v>
      </c>
      <c r="E226" s="22" t="str">
        <f>IF(C226="استحداث بند جديد", "", IF(D226&lt;&gt;"", IFERROR(INDEX('بنود العقد'!B$3:B$388,D226),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LB2</v>
      </c>
      <c r="F226" s="23" t="str">
        <f>IF(C226="استحداث بند جديد", "", IF(D226&lt;&gt;"", IFERROR(INDEX('بنود العقد'!D$3:D$388,D226), ""), ""))</f>
        <v>عدد</v>
      </c>
      <c r="G226" s="24">
        <f>IF(C226="استحداث بند جديد", "", IF(D226&lt;&gt;"", IFERROR(INDEX('بنود العقد'!E$3:E$388,D226), 0), ""))</f>
        <v>13800</v>
      </c>
      <c r="H226" s="7">
        <v>-2</v>
      </c>
      <c r="I226" s="8">
        <v>120</v>
      </c>
      <c r="J226" s="10">
        <f t="shared" si="1"/>
        <v>-27600</v>
      </c>
      <c r="K226" s="76" t="str">
        <f>IF(C226="استحداث بند جديد", "", IF(D226&lt;&gt;"", IFERROR(INDEX('بنود العقد'!C$3:C$388,D226), ""), ""))</f>
        <v>كهرباء</v>
      </c>
      <c r="L226" s="76" t="str">
        <f>IF(C226="استحداث بند جديد", IF(K226&lt;&gt;"","CMH_01-"&amp;IFERROR(VLOOKUP(K226,مراجع!$A$3:$B$14,2,FALSE),"?")&amp;"-NEW-"&amp;TEXT(A226,"000"),""), IF(D226&lt;&gt;"", IFERROR(INDEX('بنود العقد'!I$3:I$388,D226), ""), ""))</f>
        <v>CMH_01-EE-289</v>
      </c>
      <c r="M226" s="19"/>
    </row>
    <row r="227" spans="1:13" s="76" customFormat="1" ht="28.2" customHeight="1">
      <c r="A227" s="12">
        <v>225</v>
      </c>
      <c r="B227" s="6">
        <v>1</v>
      </c>
      <c r="C227" s="6" t="s">
        <v>175</v>
      </c>
      <c r="D227" s="6">
        <v>291</v>
      </c>
      <c r="E227" s="22" t="str">
        <f>IF(C227="استحداث بند جديد", "", IF(D227&lt;&gt;"", IFERROR(INDEX('بنود العقد'!B$3:B$388,D227),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LB4</v>
      </c>
      <c r="F227" s="23" t="str">
        <f>IF(C227="استحداث بند جديد", "", IF(D227&lt;&gt;"", IFERROR(INDEX('بنود العقد'!D$3:D$388,D227), ""), ""))</f>
        <v>عدد</v>
      </c>
      <c r="G227" s="24">
        <f>IF(C227="استحداث بند جديد", "", IF(D227&lt;&gt;"", IFERROR(INDEX('بنود العقد'!E$3:E$388,D227), 0), ""))</f>
        <v>1104</v>
      </c>
      <c r="H227" s="7">
        <v>4</v>
      </c>
      <c r="I227" s="8">
        <v>120</v>
      </c>
      <c r="J227" s="10">
        <f t="shared" si="1"/>
        <v>4416</v>
      </c>
      <c r="K227" s="76" t="str">
        <f>IF(C227="استحداث بند جديد", "", IF(D227&lt;&gt;"", IFERROR(INDEX('بنود العقد'!C$3:C$388,D227), ""), ""))</f>
        <v>كهرباء</v>
      </c>
      <c r="L227" s="76" t="str">
        <f>IF(C227="استحداث بند جديد", IF(K227&lt;&gt;"","CMH_01-"&amp;IFERROR(VLOOKUP(K227,مراجع!$A$3:$B$14,2,FALSE),"?")&amp;"-NEW-"&amp;TEXT(A227,"000"),""), IF(D227&lt;&gt;"", IFERROR(INDEX('بنود العقد'!I$3:I$388,D227), ""), ""))</f>
        <v>CMH_01-EE-291</v>
      </c>
      <c r="M227" s="19"/>
    </row>
    <row r="228" spans="1:13" s="76" customFormat="1" ht="28.2" customHeight="1">
      <c r="A228" s="12">
        <v>226</v>
      </c>
      <c r="B228" s="6">
        <v>1</v>
      </c>
      <c r="C228" s="6" t="s">
        <v>175</v>
      </c>
      <c r="D228" s="6">
        <v>292</v>
      </c>
      <c r="E228" s="22" t="str">
        <f>IF(C228="استحداث بند جديد", "", IF(D228&lt;&gt;"", IFERROR(INDEX('بنود العقد'!B$3:B$388,D228), "⚠"), ""))</f>
        <v xml:space="preserve"> توريد وتركيب وتوصيل وإختبار وفحص اجهزة الإنارة ويشمل اللمبات وأقواس التركيب وحبال التعليق وعلبEMT أو PVC  وقطع الأكسسوار و ايضا نقاط الانارة متضمنة مواسير/أقنية قاسية عالية التحمل ذات أسلاك لاتقل عن 0.4 مم2 لنقطة الإنارة وتوصيل أطراف أسلاك التأريض،وكل الأعمال المساعدة كما.هو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LB5</v>
      </c>
      <c r="F228" s="23" t="str">
        <f>IF(C228="استحداث بند جديد", "", IF(D228&lt;&gt;"", IFERROR(INDEX('بنود العقد'!D$3:D$388,D228), ""), ""))</f>
        <v>م.ط</v>
      </c>
      <c r="G228" s="24">
        <f>IF(C228="استحداث بند جديد", "", IF(D228&lt;&gt;"", IFERROR(INDEX('بنود العقد'!E$3:E$388,D228), 0), ""))</f>
        <v>174</v>
      </c>
      <c r="H228" s="7">
        <v>340.9</v>
      </c>
      <c r="I228" s="8">
        <v>120</v>
      </c>
      <c r="J228" s="10">
        <f t="shared" si="1"/>
        <v>59316.6</v>
      </c>
      <c r="K228" s="76" t="str">
        <f>IF(C228="استحداث بند جديد", "", IF(D228&lt;&gt;"", IFERROR(INDEX('بنود العقد'!C$3:C$388,D228), ""), ""))</f>
        <v>كهرباء</v>
      </c>
      <c r="L228" s="76" t="str">
        <f>IF(C228="استحداث بند جديد", IF(K228&lt;&gt;"","CMH_01-"&amp;IFERROR(VLOOKUP(K228,مراجع!$A$3:$B$14,2,FALSE),"?")&amp;"-NEW-"&amp;TEXT(A228,"000"),""), IF(D228&lt;&gt;"", IFERROR(INDEX('بنود العقد'!I$3:I$388,D228), ""), ""))</f>
        <v>CMH_01-EE-292</v>
      </c>
      <c r="M228" s="19"/>
    </row>
    <row r="229" spans="1:13" s="76" customFormat="1" ht="28.2" customHeight="1">
      <c r="A229" s="12">
        <v>227</v>
      </c>
      <c r="B229" s="6">
        <v>1</v>
      </c>
      <c r="C229" s="6" t="s">
        <v>175</v>
      </c>
      <c r="D229" s="6">
        <v>293</v>
      </c>
      <c r="E229" s="22" t="str">
        <f>IF(C229="استحداث بند جديد", "", IF(D229&lt;&gt;"", IFERROR(INDEX('بنود العقد'!B$3:B$388,D229),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LB6</v>
      </c>
      <c r="F229" s="23" t="str">
        <f>IF(C229="استحداث بند جديد", "", IF(D229&lt;&gt;"", IFERROR(INDEX('بنود العقد'!D$3:D$388,D229), ""), ""))</f>
        <v>م.ط</v>
      </c>
      <c r="G229" s="24">
        <f>IF(C229="استحداث بند جديد", "", IF(D229&lt;&gt;"", IFERROR(INDEX('بنود العقد'!E$3:E$388,D229), 0), ""))</f>
        <v>174</v>
      </c>
      <c r="H229" s="7">
        <v>84.8</v>
      </c>
      <c r="I229" s="8">
        <v>120</v>
      </c>
      <c r="J229" s="10">
        <f t="shared" si="1"/>
        <v>14755.199999999999</v>
      </c>
      <c r="K229" s="76" t="str">
        <f>IF(C229="استحداث بند جديد", "", IF(D229&lt;&gt;"", IFERROR(INDEX('بنود العقد'!C$3:C$388,D229), ""), ""))</f>
        <v>كهرباء</v>
      </c>
      <c r="L229" s="76" t="str">
        <f>IF(C229="استحداث بند جديد", IF(K229&lt;&gt;"","CMH_01-"&amp;IFERROR(VLOOKUP(K229,مراجع!$A$3:$B$14,2,FALSE),"?")&amp;"-NEW-"&amp;TEXT(A229,"000"),""), IF(D229&lt;&gt;"", IFERROR(INDEX('بنود العقد'!I$3:I$388,D229), ""), ""))</f>
        <v>CMH_01-EE-293</v>
      </c>
      <c r="M229" s="19"/>
    </row>
    <row r="230" spans="1:13" s="76" customFormat="1" ht="28.2" customHeight="1">
      <c r="A230" s="12">
        <v>228</v>
      </c>
      <c r="B230" s="6">
        <v>1</v>
      </c>
      <c r="C230" s="6" t="s">
        <v>175</v>
      </c>
      <c r="D230" s="6">
        <v>294</v>
      </c>
      <c r="E230" s="22" t="str">
        <f>IF(C230="استحداث بند جديد", "", IF(D230&lt;&gt;"", IFERROR(INDEX('بنود العقد'!B$3:B$388,D230),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LB7</v>
      </c>
      <c r="F230" s="23" t="str">
        <f>IF(C230="استحداث بند جديد", "", IF(D230&lt;&gt;"", IFERROR(INDEX('بنود العقد'!D$3:D$388,D230), ""), ""))</f>
        <v>عدد</v>
      </c>
      <c r="G230" s="24">
        <f>IF(C230="استحداث بند جديد", "", IF(D230&lt;&gt;"", IFERROR(INDEX('بنود العقد'!E$3:E$388,D230), 0), ""))</f>
        <v>174</v>
      </c>
      <c r="H230" s="7">
        <v>2</v>
      </c>
      <c r="I230" s="8">
        <v>120</v>
      </c>
      <c r="J230" s="10">
        <f t="shared" si="1"/>
        <v>348</v>
      </c>
      <c r="K230" s="76" t="str">
        <f>IF(C230="استحداث بند جديد", "", IF(D230&lt;&gt;"", IFERROR(INDEX('بنود العقد'!C$3:C$388,D230), ""), ""))</f>
        <v>كهرباء</v>
      </c>
      <c r="L230" s="76" t="str">
        <f>IF(C230="استحداث بند جديد", IF(K230&lt;&gt;"","CMH_01-"&amp;IFERROR(VLOOKUP(K230,مراجع!$A$3:$B$14,2,FALSE),"?")&amp;"-NEW-"&amp;TEXT(A230,"000"),""), IF(D230&lt;&gt;"", IFERROR(INDEX('بنود العقد'!I$3:I$388,D230), ""), ""))</f>
        <v>CMH_01-EE-294</v>
      </c>
      <c r="M230" s="19"/>
    </row>
    <row r="231" spans="1:13" s="76" customFormat="1" ht="28.2" customHeight="1">
      <c r="A231" s="12">
        <v>229</v>
      </c>
      <c r="B231" s="6">
        <v>1</v>
      </c>
      <c r="C231" s="6" t="s">
        <v>250</v>
      </c>
      <c r="D231" s="6">
        <v>295</v>
      </c>
      <c r="E231" s="22" t="str">
        <f>IF(C231="استحداث بند جديد", "", IF(D231&lt;&gt;"", IFERROR(INDEX('بنود العقد'!B$3:B$388,D231),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ES-1</v>
      </c>
      <c r="F231" s="23" t="str">
        <f>IF(C231="استحداث بند جديد", "", IF(D231&lt;&gt;"", IFERROR(INDEX('بنود العقد'!D$3:D$388,D231), ""), ""))</f>
        <v>عدد</v>
      </c>
      <c r="G231" s="24">
        <f>IF(C231="استحداث بند جديد", "", IF(D231&lt;&gt;"", IFERROR(INDEX('بنود العقد'!E$3:E$388,D231), 0), ""))</f>
        <v>360</v>
      </c>
      <c r="H231" s="7">
        <v>-118</v>
      </c>
      <c r="I231" s="8">
        <v>120</v>
      </c>
      <c r="J231" s="10">
        <f t="shared" si="1"/>
        <v>-42480</v>
      </c>
      <c r="K231" s="76" t="str">
        <f>IF(C231="استحداث بند جديد", "", IF(D231&lt;&gt;"", IFERROR(INDEX('بنود العقد'!C$3:C$388,D231), ""), ""))</f>
        <v>كهرباء</v>
      </c>
      <c r="L231" s="76" t="str">
        <f>IF(C231="استحداث بند جديد", IF(K231&lt;&gt;"","CMH_01-"&amp;IFERROR(VLOOKUP(K231,مراجع!$A$3:$B$14,2,FALSE),"?")&amp;"-NEW-"&amp;TEXT(A231,"000"),""), IF(D231&lt;&gt;"", IFERROR(INDEX('بنود العقد'!I$3:I$388,D231), ""), ""))</f>
        <v>CMH_01-EE-295</v>
      </c>
      <c r="M231" s="19"/>
    </row>
    <row r="232" spans="1:13" s="76" customFormat="1" ht="28.2" customHeight="1">
      <c r="A232" s="12">
        <v>230</v>
      </c>
      <c r="B232" s="6">
        <v>1</v>
      </c>
      <c r="C232" s="6" t="s">
        <v>250</v>
      </c>
      <c r="D232" s="6">
        <v>296</v>
      </c>
      <c r="E232" s="22" t="str">
        <f>IF(C232="استحداث بند جديد", "", IF(D232&lt;&gt;"", IFERROR(INDEX('بنود العقد'!B$3:B$388,D232),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E2</v>
      </c>
      <c r="F232" s="23" t="str">
        <f>IF(C232="استحداث بند جديد", "", IF(D232&lt;&gt;"", IFERROR(INDEX('بنود العقد'!D$3:D$388,D232), ""), ""))</f>
        <v>عدد</v>
      </c>
      <c r="G232" s="24">
        <f>IF(C232="استحداث بند جديد", "", IF(D232&lt;&gt;"", IFERROR(INDEX('بنود العقد'!E$3:E$388,D232), 0), ""))</f>
        <v>504</v>
      </c>
      <c r="H232" s="7">
        <v>-248</v>
      </c>
      <c r="I232" s="8">
        <v>120</v>
      </c>
      <c r="J232" s="10">
        <f t="shared" si="1"/>
        <v>-124992</v>
      </c>
      <c r="K232" s="76" t="str">
        <f>IF(C232="استحداث بند جديد", "", IF(D232&lt;&gt;"", IFERROR(INDEX('بنود العقد'!C$3:C$388,D232), ""), ""))</f>
        <v>كهرباء</v>
      </c>
      <c r="L232" s="76" t="str">
        <f>IF(C232="استحداث بند جديد", IF(K232&lt;&gt;"","CMH_01-"&amp;IFERROR(VLOOKUP(K232,مراجع!$A$3:$B$14,2,FALSE),"?")&amp;"-NEW-"&amp;TEXT(A232,"000"),""), IF(D232&lt;&gt;"", IFERROR(INDEX('بنود العقد'!I$3:I$388,D232), ""), ""))</f>
        <v>CMH_01-EE-296</v>
      </c>
      <c r="M232" s="19"/>
    </row>
    <row r="233" spans="1:13" s="76" customFormat="1" ht="28.2" customHeight="1">
      <c r="A233" s="12">
        <v>231</v>
      </c>
      <c r="B233" s="6">
        <v>1</v>
      </c>
      <c r="C233" s="6" t="s">
        <v>250</v>
      </c>
      <c r="D233" s="6">
        <v>297</v>
      </c>
      <c r="E233" s="22" t="str">
        <f>IF(C233="استحداث بند جديد", "", IF(D233&lt;&gt;"", IFERROR(INDEX('بنود العقد'!B$3:B$388,D233),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E3</v>
      </c>
      <c r="F233" s="23" t="str">
        <f>IF(C233="استحداث بند جديد", "", IF(D233&lt;&gt;"", IFERROR(INDEX('بنود العقد'!D$3:D$388,D233), ""), ""))</f>
        <v>عدد</v>
      </c>
      <c r="G233" s="24">
        <f>IF(C233="استحداث بند جديد", "", IF(D233&lt;&gt;"", IFERROR(INDEX('بنود العقد'!E$3:E$388,D233), 0), ""))</f>
        <v>420</v>
      </c>
      <c r="H233" s="7">
        <v>-260</v>
      </c>
      <c r="I233" s="8">
        <v>120</v>
      </c>
      <c r="J233" s="10">
        <f t="shared" si="1"/>
        <v>-109200</v>
      </c>
      <c r="K233" s="76" t="str">
        <f>IF(C233="استحداث بند جديد", "", IF(D233&lt;&gt;"", IFERROR(INDEX('بنود العقد'!C$3:C$388,D233), ""), ""))</f>
        <v>كهرباء</v>
      </c>
      <c r="L233" s="76" t="str">
        <f>IF(C233="استحداث بند جديد", IF(K233&lt;&gt;"","CMH_01-"&amp;IFERROR(VLOOKUP(K233,مراجع!$A$3:$B$14,2,FALSE),"?")&amp;"-NEW-"&amp;TEXT(A233,"000"),""), IF(D233&lt;&gt;"", IFERROR(INDEX('بنود العقد'!I$3:I$388,D233), ""), ""))</f>
        <v>CMH_01-EE-297</v>
      </c>
      <c r="M233" s="19"/>
    </row>
    <row r="234" spans="1:13" s="76" customFormat="1" ht="28.2" customHeight="1">
      <c r="A234" s="12">
        <v>232</v>
      </c>
      <c r="B234" s="6">
        <v>1</v>
      </c>
      <c r="C234" s="6" t="s">
        <v>175</v>
      </c>
      <c r="D234" s="6">
        <v>298</v>
      </c>
      <c r="E234" s="22" t="str">
        <f>IF(C234="استحداث بند جديد", "", IF(D234&lt;&gt;"", IFERROR(INDEX('بنود العقد'!B$3:B$388,D234),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P1</v>
      </c>
      <c r="F234" s="23" t="str">
        <f>IF(C234="استحداث بند جديد", "", IF(D234&lt;&gt;"", IFERROR(INDEX('بنود العقد'!D$3:D$388,D234), ""), ""))</f>
        <v>عدد</v>
      </c>
      <c r="G234" s="24">
        <f>IF(C234="استحداث بند جديد", "", IF(D234&lt;&gt;"", IFERROR(INDEX('بنود العقد'!E$3:E$388,D234), 0), ""))</f>
        <v>420</v>
      </c>
      <c r="H234" s="7">
        <v>35</v>
      </c>
      <c r="I234" s="8">
        <v>120</v>
      </c>
      <c r="J234" s="10">
        <f t="shared" si="1"/>
        <v>14700</v>
      </c>
      <c r="K234" s="76" t="str">
        <f>IF(C234="استحداث بند جديد", "", IF(D234&lt;&gt;"", IFERROR(INDEX('بنود العقد'!C$3:C$388,D234), ""), ""))</f>
        <v>كهرباء</v>
      </c>
      <c r="L234" s="76" t="str">
        <f>IF(C234="استحداث بند جديد", IF(K234&lt;&gt;"","CMH_01-"&amp;IFERROR(VLOOKUP(K234,مراجع!$A$3:$B$14,2,FALSE),"?")&amp;"-NEW-"&amp;TEXT(A234,"000"),""), IF(D234&lt;&gt;"", IFERROR(INDEX('بنود العقد'!I$3:I$388,D234), ""), ""))</f>
        <v>CMH_01-EE-298</v>
      </c>
      <c r="M234" s="19"/>
    </row>
    <row r="235" spans="1:13" s="76" customFormat="1" ht="28.2" customHeight="1">
      <c r="A235" s="12">
        <v>233</v>
      </c>
      <c r="B235" s="6">
        <v>1</v>
      </c>
      <c r="C235" s="6" t="s">
        <v>250</v>
      </c>
      <c r="D235" s="6">
        <v>299</v>
      </c>
      <c r="E235" s="22" t="str">
        <f>IF(C235="استحداث بند جديد", "", IF(D235&lt;&gt;"", IFERROR(INDEX('بنود العقد'!B$3:B$388,D235),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T1</v>
      </c>
      <c r="F235" s="23" t="str">
        <f>IF(C235="استحداث بند جديد", "", IF(D235&lt;&gt;"", IFERROR(INDEX('بنود العقد'!D$3:D$388,D235), ""), ""))</f>
        <v>عدد</v>
      </c>
      <c r="G235" s="24">
        <f>IF(C235="استحداث بند جديد", "", IF(D235&lt;&gt;"", IFERROR(INDEX('بنود العقد'!E$3:E$388,D235), 0), ""))</f>
        <v>744</v>
      </c>
      <c r="H235" s="7">
        <v>-129</v>
      </c>
      <c r="I235" s="8">
        <v>120</v>
      </c>
      <c r="J235" s="10">
        <f t="shared" si="1"/>
        <v>-95976</v>
      </c>
      <c r="K235" s="76" t="str">
        <f>IF(C235="استحداث بند جديد", "", IF(D235&lt;&gt;"", IFERROR(INDEX('بنود العقد'!C$3:C$388,D235), ""), ""))</f>
        <v>كهرباء</v>
      </c>
      <c r="L235" s="76" t="str">
        <f>IF(C235="استحداث بند جديد", IF(K235&lt;&gt;"","CMH_01-"&amp;IFERROR(VLOOKUP(K235,مراجع!$A$3:$B$14,2,FALSE),"?")&amp;"-NEW-"&amp;TEXT(A235,"000"),""), IF(D235&lt;&gt;"", IFERROR(INDEX('بنود العقد'!I$3:I$388,D235), ""), ""))</f>
        <v>CMH_01-EE-299</v>
      </c>
      <c r="M235" s="19"/>
    </row>
    <row r="236" spans="1:13" s="76" customFormat="1" ht="28.2" customHeight="1">
      <c r="A236" s="12">
        <v>234</v>
      </c>
      <c r="B236" s="6">
        <v>1</v>
      </c>
      <c r="C236" s="6" t="s">
        <v>175</v>
      </c>
      <c r="D236" s="6">
        <v>303</v>
      </c>
      <c r="E236" s="22" t="str">
        <f>IF(C236="استحداث بند جديد", "", IF(D236&lt;&gt;"", IFERROR(INDEX('بنود العقد'!B$3:B$388,D236),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مفتاح أحادي ، أحادي الكباّس، 10 أمبير</v>
      </c>
      <c r="F236" s="23" t="str">
        <f>IF(C236="استحداث بند جديد", "", IF(D236&lt;&gt;"", IFERROR(INDEX('بنود العقد'!D$3:D$388,D236), ""), ""))</f>
        <v>عدد</v>
      </c>
      <c r="G236" s="24">
        <f>IF(C236="استحداث بند جديد", "", IF(D236&lt;&gt;"", IFERROR(INDEX('بنود العقد'!E$3:E$388,D236), 0), ""))</f>
        <v>216</v>
      </c>
      <c r="H236" s="7">
        <v>153</v>
      </c>
      <c r="I236" s="8">
        <v>120</v>
      </c>
      <c r="J236" s="10">
        <f t="shared" si="1"/>
        <v>33048</v>
      </c>
      <c r="K236" s="76" t="str">
        <f>IF(C236="استحداث بند جديد", "", IF(D236&lt;&gt;"", IFERROR(INDEX('بنود العقد'!C$3:C$388,D236), ""), ""))</f>
        <v>كهرباء</v>
      </c>
      <c r="L236" s="76" t="str">
        <f>IF(C236="استحداث بند جديد", IF(K236&lt;&gt;"","CMH_01-"&amp;IFERROR(VLOOKUP(K236,مراجع!$A$3:$B$14,2,FALSE),"?")&amp;"-NEW-"&amp;TEXT(A236,"000"),""), IF(D236&lt;&gt;"", IFERROR(INDEX('بنود العقد'!I$3:I$388,D236), ""), ""))</f>
        <v>CMH_01-EE-303</v>
      </c>
      <c r="M236" s="19"/>
    </row>
    <row r="237" spans="1:13" s="76" customFormat="1" ht="28.2" customHeight="1">
      <c r="A237" s="12">
        <v>235</v>
      </c>
      <c r="B237" s="6">
        <v>1</v>
      </c>
      <c r="C237" s="6" t="s">
        <v>175</v>
      </c>
      <c r="D237" s="6">
        <v>304</v>
      </c>
      <c r="E237" s="22" t="str">
        <f>IF(C237="استحداث بند جديد", "", IF(D237&lt;&gt;"", IFERROR(INDEX('بنود العقد'!B$3:B$388,D237),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أحادي ، ثنائي الكباّس، 10 أمبير</v>
      </c>
      <c r="F237" s="23" t="str">
        <f>IF(C237="استحداث بند جديد", "", IF(D237&lt;&gt;"", IFERROR(INDEX('بنود العقد'!D$3:D$388,D237), ""), ""))</f>
        <v>عدد</v>
      </c>
      <c r="G237" s="24">
        <f>IF(C237="استحداث بند جديد", "", IF(D237&lt;&gt;"", IFERROR(INDEX('بنود العقد'!E$3:E$388,D237), 0), ""))</f>
        <v>216</v>
      </c>
      <c r="H237" s="7">
        <v>91</v>
      </c>
      <c r="I237" s="8">
        <v>120</v>
      </c>
      <c r="J237" s="10">
        <f t="shared" si="1"/>
        <v>19656</v>
      </c>
      <c r="K237" s="76" t="str">
        <f>IF(C237="استحداث بند جديد", "", IF(D237&lt;&gt;"", IFERROR(INDEX('بنود العقد'!C$3:C$388,D237), ""), ""))</f>
        <v>كهرباء</v>
      </c>
      <c r="L237" s="76" t="str">
        <f>IF(C237="استحداث بند جديد", IF(K237&lt;&gt;"","CMH_01-"&amp;IFERROR(VLOOKUP(K237,مراجع!$A$3:$B$14,2,FALSE),"?")&amp;"-NEW-"&amp;TEXT(A237,"000"),""), IF(D237&lt;&gt;"", IFERROR(INDEX('بنود العقد'!I$3:I$388,D237), ""), ""))</f>
        <v>CMH_01-EE-304</v>
      </c>
      <c r="M237" s="19"/>
    </row>
    <row r="238" spans="1:13" s="76" customFormat="1" ht="28.2" customHeight="1">
      <c r="A238" s="12">
        <v>236</v>
      </c>
      <c r="B238" s="6">
        <v>1</v>
      </c>
      <c r="C238" s="6" t="s">
        <v>250</v>
      </c>
      <c r="D238" s="6">
        <v>305</v>
      </c>
      <c r="E238" s="22" t="str">
        <f>IF(C238="استحداث بند جديد", "", IF(D238&lt;&gt;"", IFERROR(INDEX('بنود العقد'!B$3:B$388,D238),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ثلاثي ، ثلاثي الكباّس، 10 أمبير</v>
      </c>
      <c r="F238" s="23" t="str">
        <f>IF(C238="استحداث بند جديد", "", IF(D238&lt;&gt;"", IFERROR(INDEX('بنود العقد'!D$3:D$388,D238), ""), ""))</f>
        <v>عدد</v>
      </c>
      <c r="G238" s="24">
        <f>IF(C238="استحداث بند جديد", "", IF(D238&lt;&gt;"", IFERROR(INDEX('بنود العقد'!E$3:E$388,D238), 0), ""))</f>
        <v>120</v>
      </c>
      <c r="H238" s="7">
        <v>-108</v>
      </c>
      <c r="I238" s="8">
        <v>120</v>
      </c>
      <c r="J238" s="10">
        <f t="shared" si="1"/>
        <v>-12960</v>
      </c>
      <c r="K238" s="76" t="str">
        <f>IF(C238="استحداث بند جديد", "", IF(D238&lt;&gt;"", IFERROR(INDEX('بنود العقد'!C$3:C$388,D238), ""), ""))</f>
        <v>كهرباء</v>
      </c>
      <c r="L238" s="76" t="str">
        <f>IF(C238="استحداث بند جديد", IF(K238&lt;&gt;"","CMH_01-"&amp;IFERROR(VLOOKUP(K238,مراجع!$A$3:$B$14,2,FALSE),"?")&amp;"-NEW-"&amp;TEXT(A238,"000"),""), IF(D238&lt;&gt;"", IFERROR(INDEX('بنود العقد'!I$3:I$388,D238), ""), ""))</f>
        <v>CMH_01-EE-305</v>
      </c>
      <c r="M238" s="19"/>
    </row>
    <row r="239" spans="1:13" s="76" customFormat="1" ht="28.2" customHeight="1">
      <c r="A239" s="12">
        <v>237</v>
      </c>
      <c r="B239" s="6">
        <v>1</v>
      </c>
      <c r="C239" s="6" t="s">
        <v>175</v>
      </c>
      <c r="D239" s="6">
        <v>306</v>
      </c>
      <c r="E239" s="22" t="str">
        <f>IF(C239="استحداث بند جديد", "", IF(D239&lt;&gt;"", IFERROR(INDEX('بنود العقد'!B$3:B$388,D239),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ثنائي ، ثنائي الكباّس، 10 أمبير</v>
      </c>
      <c r="F239" s="23" t="str">
        <f>IF(C239="استحداث بند جديد", "", IF(D239&lt;&gt;"", IFERROR(INDEX('بنود العقد'!D$3:D$388,D239), ""), ""))</f>
        <v>عدد</v>
      </c>
      <c r="G239" s="24">
        <f>IF(C239="استحداث بند جديد", "", IF(D239&lt;&gt;"", IFERROR(INDEX('بنود العقد'!E$3:E$388,D239), 0), ""))</f>
        <v>216</v>
      </c>
      <c r="H239" s="7">
        <v>215</v>
      </c>
      <c r="I239" s="8">
        <v>120</v>
      </c>
      <c r="J239" s="10">
        <f t="shared" si="1"/>
        <v>46440</v>
      </c>
      <c r="K239" s="76" t="str">
        <f>IF(C239="استحداث بند جديد", "", IF(D239&lt;&gt;"", IFERROR(INDEX('بنود العقد'!C$3:C$388,D239), ""), ""))</f>
        <v>كهرباء</v>
      </c>
      <c r="L239" s="76" t="str">
        <f>IF(C239="استحداث بند جديد", IF(K239&lt;&gt;"","CMH_01-"&amp;IFERROR(VLOOKUP(K239,مراجع!$A$3:$B$14,2,FALSE),"?")&amp;"-NEW-"&amp;TEXT(A239,"000"),""), IF(D239&lt;&gt;"", IFERROR(INDEX('بنود العقد'!I$3:I$388,D239), ""), ""))</f>
        <v>CMH_01-EE-306</v>
      </c>
      <c r="M239" s="19"/>
    </row>
    <row r="240" spans="1:13" s="76" customFormat="1" ht="28.2" customHeight="1">
      <c r="A240" s="12">
        <v>238</v>
      </c>
      <c r="B240" s="6">
        <v>1</v>
      </c>
      <c r="C240" s="6" t="s">
        <v>175</v>
      </c>
      <c r="D240" s="6">
        <v>307</v>
      </c>
      <c r="E240" s="22" t="str">
        <f>IF(C240="استحداث بند جديد", "", IF(D240&lt;&gt;"", IFERROR(INDEX('بنود العقد'!B$3:B$388,D240), "⚠"), ""))</f>
        <v xml:space="preserve"> توريد وتركيب وتوصيل وتجريب مفاتيح ذات أضواء دليلية وتشمل الماسورة والأسلاك حسب المبيّن على.المخططات و ذلك لسخانات المياه  وحسب المواصفات 20 Amp., 230 V, 1PH</v>
      </c>
      <c r="F240" s="23" t="str">
        <f>IF(C240="استحداث بند جديد", "", IF(D240&lt;&gt;"", IFERROR(INDEX('بنود العقد'!D$3:D$388,D240), ""), ""))</f>
        <v>عدد</v>
      </c>
      <c r="G240" s="24">
        <f>IF(C240="استحداث بند جديد", "", IF(D240&lt;&gt;"", IFERROR(INDEX('بنود العقد'!E$3:E$388,D240), 0), ""))</f>
        <v>300</v>
      </c>
      <c r="H240" s="7">
        <v>9</v>
      </c>
      <c r="I240" s="8">
        <v>120</v>
      </c>
      <c r="J240" s="10">
        <f t="shared" si="1"/>
        <v>2700</v>
      </c>
      <c r="K240" s="76" t="str">
        <f>IF(C240="استحداث بند جديد", "", IF(D240&lt;&gt;"", IFERROR(INDEX('بنود العقد'!C$3:C$388,D240), ""), ""))</f>
        <v>كهرباء</v>
      </c>
      <c r="L240" s="76" t="str">
        <f>IF(C240="استحداث بند جديد", IF(K240&lt;&gt;"","CMH_01-"&amp;IFERROR(VLOOKUP(K240,مراجع!$A$3:$B$14,2,FALSE),"?")&amp;"-NEW-"&amp;TEXT(A240,"000"),""), IF(D240&lt;&gt;"", IFERROR(INDEX('بنود العقد'!I$3:I$388,D240), ""), ""))</f>
        <v>CMH_01-EE-307</v>
      </c>
      <c r="M240" s="19"/>
    </row>
    <row r="241" spans="1:13" s="76" customFormat="1" ht="28.2" customHeight="1">
      <c r="A241" s="12">
        <v>239</v>
      </c>
      <c r="B241" s="6">
        <v>1</v>
      </c>
      <c r="C241" s="6" t="s">
        <v>250</v>
      </c>
      <c r="D241" s="6">
        <v>309</v>
      </c>
      <c r="E241" s="22" t="str">
        <f>IF(C241="استحداث بند جديد", "", IF(D241&lt;&gt;"", IFERROR(INDEX('بنود العقد'!B$3:B$388,D241), "⚠"), ""))</f>
        <v xml:space="preserve"> كاشف انذار دخان من النوع المعنون طبقا للمخططات  ومواصفات المشروع</v>
      </c>
      <c r="F241" s="23" t="str">
        <f>IF(C241="استحداث بند جديد", "", IF(D241&lt;&gt;"", IFERROR(INDEX('بنود العقد'!D$3:D$388,D241), ""), ""))</f>
        <v>عدد</v>
      </c>
      <c r="G241" s="24">
        <f>IF(C241="استحداث بند جديد", "", IF(D241&lt;&gt;"", IFERROR(INDEX('بنود العقد'!E$3:E$388,D241), 0), ""))</f>
        <v>276</v>
      </c>
      <c r="H241" s="7">
        <v>-3</v>
      </c>
      <c r="I241" s="8">
        <v>120</v>
      </c>
      <c r="J241" s="10">
        <f t="shared" si="1"/>
        <v>-828</v>
      </c>
      <c r="K241" s="76" t="str">
        <f>IF(C241="استحداث بند جديد", "", IF(D241&lt;&gt;"", IFERROR(INDEX('بنود العقد'!C$3:C$388,D241), ""), ""))</f>
        <v>كهرباء</v>
      </c>
      <c r="L241" s="76" t="str">
        <f>IF(C241="استحداث بند جديد", IF(K241&lt;&gt;"","CMH_01-"&amp;IFERROR(VLOOKUP(K241,مراجع!$A$3:$B$14,2,FALSE),"?")&amp;"-NEW-"&amp;TEXT(A241,"000"),""), IF(D241&lt;&gt;"", IFERROR(INDEX('بنود العقد'!I$3:I$388,D241), ""), ""))</f>
        <v>CMH_01-EE-309</v>
      </c>
      <c r="M241" s="19"/>
    </row>
    <row r="242" spans="1:13" s="76" customFormat="1" ht="28.2" customHeight="1">
      <c r="A242" s="12">
        <v>240</v>
      </c>
      <c r="B242" s="6">
        <v>1</v>
      </c>
      <c r="C242" s="6" t="s">
        <v>250</v>
      </c>
      <c r="D242" s="6">
        <v>310</v>
      </c>
      <c r="E242" s="22" t="str">
        <f>IF(C242="استحداث بند جديد", "", IF(D242&lt;&gt;"", IFERROR(INDEX('بنود العقد'!B$3:B$388,D242), "⚠"), ""))</f>
        <v>كاشف إنذار حراري من النوع المعنون طبقا للمخططات  ومواصفات المشروع</v>
      </c>
      <c r="F242" s="23" t="str">
        <f>IF(C242="استحداث بند جديد", "", IF(D242&lt;&gt;"", IFERROR(INDEX('بنود العقد'!D$3:D$388,D242), ""), ""))</f>
        <v>عدد</v>
      </c>
      <c r="G242" s="24">
        <f>IF(C242="استحداث بند جديد", "", IF(D242&lt;&gt;"", IFERROR(INDEX('بنود العقد'!E$3:E$388,D242), 0), ""))</f>
        <v>300</v>
      </c>
      <c r="H242" s="7">
        <v>-12</v>
      </c>
      <c r="I242" s="8">
        <v>120</v>
      </c>
      <c r="J242" s="10">
        <f t="shared" si="1"/>
        <v>-3600</v>
      </c>
      <c r="K242" s="76" t="str">
        <f>IF(C242="استحداث بند جديد", "", IF(D242&lt;&gt;"", IFERROR(INDEX('بنود العقد'!C$3:C$388,D242), ""), ""))</f>
        <v>كهرباء</v>
      </c>
      <c r="L242" s="76" t="str">
        <f>IF(C242="استحداث بند جديد", IF(K242&lt;&gt;"","CMH_01-"&amp;IFERROR(VLOOKUP(K242,مراجع!$A$3:$B$14,2,FALSE),"?")&amp;"-NEW-"&amp;TEXT(A242,"000"),""), IF(D242&lt;&gt;"", IFERROR(INDEX('بنود العقد'!I$3:I$388,D242), ""), ""))</f>
        <v>CMH_01-EE-310</v>
      </c>
      <c r="M242" s="19"/>
    </row>
    <row r="243" spans="1:13" s="76" customFormat="1" ht="28.2" customHeight="1">
      <c r="A243" s="12">
        <v>241</v>
      </c>
      <c r="B243" s="6">
        <v>1</v>
      </c>
      <c r="C243" s="6" t="s">
        <v>250</v>
      </c>
      <c r="D243" s="6">
        <v>311</v>
      </c>
      <c r="E243" s="22" t="str">
        <f>IF(C243="استحداث بند جديد", "", IF(D243&lt;&gt;"", IFERROR(INDEX('بنود العقد'!B$3:B$388,D243), "⚠"), ""))</f>
        <v xml:space="preserve"> وحدة إنذار حريق يدوية من النوع المعنون طبقا للمخططات  ومواصفات المشروع</v>
      </c>
      <c r="F243" s="23" t="str">
        <f>IF(C243="استحداث بند جديد", "", IF(D243&lt;&gt;"", IFERROR(INDEX('بنود العقد'!D$3:D$388,D243), ""), ""))</f>
        <v>عدد</v>
      </c>
      <c r="G243" s="24">
        <f>IF(C243="استحداث بند جديد", "", IF(D243&lt;&gt;"", IFERROR(INDEX('بنود العقد'!E$3:E$388,D243), 0), ""))</f>
        <v>384</v>
      </c>
      <c r="H243" s="7">
        <v>-10</v>
      </c>
      <c r="I243" s="8">
        <v>120</v>
      </c>
      <c r="J243" s="10">
        <f t="shared" si="1"/>
        <v>-3840</v>
      </c>
      <c r="K243" s="76" t="str">
        <f>IF(C243="استحداث بند جديد", "", IF(D243&lt;&gt;"", IFERROR(INDEX('بنود العقد'!C$3:C$388,D243), ""), ""))</f>
        <v>كهرباء</v>
      </c>
      <c r="L243" s="76" t="str">
        <f>IF(C243="استحداث بند جديد", IF(K243&lt;&gt;"","CMH_01-"&amp;IFERROR(VLOOKUP(K243,مراجع!$A$3:$B$14,2,FALSE),"?")&amp;"-NEW-"&amp;TEXT(A243,"000"),""), IF(D243&lt;&gt;"", IFERROR(INDEX('بنود العقد'!I$3:I$388,D243), ""), ""))</f>
        <v>CMH_01-EE-311</v>
      </c>
      <c r="M243" s="19"/>
    </row>
    <row r="244" spans="1:13" s="76" customFormat="1" ht="28.2" customHeight="1">
      <c r="A244" s="12">
        <v>242</v>
      </c>
      <c r="B244" s="6">
        <v>1</v>
      </c>
      <c r="C244" s="6" t="s">
        <v>250</v>
      </c>
      <c r="D244" s="6">
        <v>312</v>
      </c>
      <c r="E244" s="22" t="str">
        <f>IF(C244="استحداث بند جديد", "", IF(D244&lt;&gt;"", IFERROR(INDEX('بنود العقد'!B$3:B$388,D244), "⚠"), ""))</f>
        <v>وحدة عزل )fault isolator( من النوع المعنون طبقا للمخططات  ومواصفات المشروع</v>
      </c>
      <c r="F244" s="23" t="str">
        <f>IF(C244="استحداث بند جديد", "", IF(D244&lt;&gt;"", IFERROR(INDEX('بنود العقد'!D$3:D$388,D244), ""), ""))</f>
        <v>عدد</v>
      </c>
      <c r="G244" s="24">
        <f>IF(C244="استحداث بند جديد", "", IF(D244&lt;&gt;"", IFERROR(INDEX('بنود العقد'!E$3:E$388,D244), 0), ""))</f>
        <v>108</v>
      </c>
      <c r="H244" s="7">
        <v>-46</v>
      </c>
      <c r="I244" s="8">
        <v>120</v>
      </c>
      <c r="J244" s="10">
        <f t="shared" si="1"/>
        <v>-4968</v>
      </c>
      <c r="K244" s="76" t="str">
        <f>IF(C244="استحداث بند جديد", "", IF(D244&lt;&gt;"", IFERROR(INDEX('بنود العقد'!C$3:C$388,D244), ""), ""))</f>
        <v>كهرباء</v>
      </c>
      <c r="L244" s="76" t="str">
        <f>IF(C244="استحداث بند جديد", IF(K244&lt;&gt;"","CMH_01-"&amp;IFERROR(VLOOKUP(K244,مراجع!$A$3:$B$14,2,FALSE),"?")&amp;"-NEW-"&amp;TEXT(A244,"000"),""), IF(D244&lt;&gt;"", IFERROR(INDEX('بنود العقد'!I$3:I$388,D244), ""), ""))</f>
        <v>CMH_01-EE-312</v>
      </c>
      <c r="M244" s="19"/>
    </row>
    <row r="245" spans="1:13" s="76" customFormat="1" ht="28.2" customHeight="1">
      <c r="A245" s="12">
        <v>243</v>
      </c>
      <c r="B245" s="6">
        <v>1</v>
      </c>
      <c r="C245" s="6" t="s">
        <v>250</v>
      </c>
      <c r="D245" s="6">
        <v>315</v>
      </c>
      <c r="E245" s="22" t="str">
        <f>IF(C245="استحداث بند جديد", "", IF(D245&lt;&gt;"", IFERROR(INDEX('بنود العقد'!B$3:B$388,D245), "⚠"), ""))</f>
        <v>وحدة هاتف رجل الاطفاء حريق داخلى )fireman telephone Jack ( طبقا للمخططات  ومواصفات المشروع</v>
      </c>
      <c r="F245" s="23" t="str">
        <f>IF(C245="استحداث بند جديد", "", IF(D245&lt;&gt;"", IFERROR(INDEX('بنود العقد'!D$3:D$388,D245), ""), ""))</f>
        <v>عدد</v>
      </c>
      <c r="G245" s="24">
        <f>IF(C245="استحداث بند جديد", "", IF(D245&lt;&gt;"", IFERROR(INDEX('بنود العقد'!E$3:E$388,D245), 0), ""))</f>
        <v>960</v>
      </c>
      <c r="H245" s="7">
        <v>-5</v>
      </c>
      <c r="I245" s="8">
        <v>120</v>
      </c>
      <c r="J245" s="10">
        <f t="shared" si="1"/>
        <v>-4800</v>
      </c>
      <c r="K245" s="76" t="str">
        <f>IF(C245="استحداث بند جديد", "", IF(D245&lt;&gt;"", IFERROR(INDEX('بنود العقد'!C$3:C$388,D245), ""), ""))</f>
        <v>كهرباء</v>
      </c>
      <c r="L245" s="76" t="str">
        <f>IF(C245="استحداث بند جديد", IF(K245&lt;&gt;"","CMH_01-"&amp;IFERROR(VLOOKUP(K245,مراجع!$A$3:$B$14,2,FALSE),"?")&amp;"-NEW-"&amp;TEXT(A245,"000"),""), IF(D245&lt;&gt;"", IFERROR(INDEX('بنود العقد'!I$3:I$388,D245), ""), ""))</f>
        <v>CMH_01-EE-315</v>
      </c>
      <c r="M245" s="19"/>
    </row>
    <row r="246" spans="1:13" s="76" customFormat="1" ht="28.2" customHeight="1">
      <c r="A246" s="12">
        <v>244</v>
      </c>
      <c r="B246" s="6">
        <v>1</v>
      </c>
      <c r="C246" s="6" t="s">
        <v>250</v>
      </c>
      <c r="D246" s="6">
        <v>316</v>
      </c>
      <c r="E246" s="22" t="str">
        <f>IF(C246="استحداث بند جديد", "", IF(D246&lt;&gt;"", IFERROR(INDEX('بنود العقد'!B$3:B$388,D246), "⚠"), ""))</f>
        <v>وحدات لاسلكية لتوفير خدمة شبكة المعلومات )Wireless Access Points(</v>
      </c>
      <c r="F246" s="23" t="str">
        <f>IF(C246="استحداث بند جديد", "", IF(D246&lt;&gt;"", IFERROR(INDEX('بنود العقد'!D$3:D$388,D246), ""), ""))</f>
        <v>عدد</v>
      </c>
      <c r="G246" s="24">
        <f>IF(C246="استحداث بند جديد", "", IF(D246&lt;&gt;"", IFERROR(INDEX('بنود العقد'!E$3:E$388,D246), 0), ""))</f>
        <v>1080</v>
      </c>
      <c r="H246" s="7">
        <v>-4</v>
      </c>
      <c r="I246" s="8">
        <v>120</v>
      </c>
      <c r="J246" s="10">
        <f t="shared" si="1"/>
        <v>-4320</v>
      </c>
      <c r="K246" s="76" t="str">
        <f>IF(C246="استحداث بند جديد", "", IF(D246&lt;&gt;"", IFERROR(INDEX('بنود العقد'!C$3:C$388,D246), ""), ""))</f>
        <v>كهرباء</v>
      </c>
      <c r="L246" s="76" t="str">
        <f>IF(C246="استحداث بند جديد", IF(K246&lt;&gt;"","CMH_01-"&amp;IFERROR(VLOOKUP(K246,مراجع!$A$3:$B$14,2,FALSE),"?")&amp;"-NEW-"&amp;TEXT(A246,"000"),""), IF(D246&lt;&gt;"", IFERROR(INDEX('بنود العقد'!I$3:I$388,D246), ""), ""))</f>
        <v>CMH_01-EE-316</v>
      </c>
      <c r="M246" s="19"/>
    </row>
    <row r="247" spans="1:13" s="76" customFormat="1" ht="28.2" customHeight="1">
      <c r="A247" s="12">
        <v>245</v>
      </c>
      <c r="B247" s="6">
        <v>1</v>
      </c>
      <c r="C247" s="6" t="s">
        <v>250</v>
      </c>
      <c r="D247" s="6">
        <v>317</v>
      </c>
      <c r="E247" s="22" t="str">
        <f>IF(C247="استحداث بند جديد", "", IF(D247&lt;&gt;"", IFERROR(INDEX('بنود العقد'!B$3:B$388,D247), "⚠"), ""))</f>
        <v>عن طريق مقاول متخصص ذو خبرة كبيرة في هذا المجال ويقدم للاعتماد من إدارة الـ IT بالوزارة و يربط النظام مع الانظمة المعنية بالتحكم و الموازنة و يشمل البند جميع الوصلات و الكابلات و غيرها من المتطلبات الخاصة بنهو النظام كاملا توريد وتركيب واختبارنقاط كاميرا مراقبة داخلية سقفية و جميع ما يلزم من توصيلات و تركيبات و خلافة  لنهو النظام .</v>
      </c>
      <c r="F247" s="23" t="str">
        <f>IF(C247="استحداث بند جديد", "", IF(D247&lt;&gt;"", IFERROR(INDEX('بنود العقد'!D$3:D$388,D247), ""), ""))</f>
        <v>عدد</v>
      </c>
      <c r="G247" s="24">
        <f>IF(C247="استحداث بند جديد", "", IF(D247&lt;&gt;"", IFERROR(INDEX('بنود العقد'!E$3:E$388,D247), 0), ""))</f>
        <v>2640</v>
      </c>
      <c r="H247" s="7">
        <v>-2</v>
      </c>
      <c r="I247" s="8">
        <v>120</v>
      </c>
      <c r="J247" s="10">
        <f t="shared" si="1"/>
        <v>-5280</v>
      </c>
      <c r="K247" s="76" t="str">
        <f>IF(C247="استحداث بند جديد", "", IF(D247&lt;&gt;"", IFERROR(INDEX('بنود العقد'!C$3:C$388,D247), ""), ""))</f>
        <v>كهرباء</v>
      </c>
      <c r="L247" s="76" t="str">
        <f>IF(C247="استحداث بند جديد", IF(K247&lt;&gt;"","CMH_01-"&amp;IFERROR(VLOOKUP(K247,مراجع!$A$3:$B$14,2,FALSE),"?")&amp;"-NEW-"&amp;TEXT(A247,"000"),""), IF(D247&lt;&gt;"", IFERROR(INDEX('بنود العقد'!I$3:I$388,D247), ""), ""))</f>
        <v>CMH_01-EE-317</v>
      </c>
      <c r="M247" s="19"/>
    </row>
    <row r="248" spans="1:13" s="76" customFormat="1" ht="28.2" customHeight="1">
      <c r="A248" s="12">
        <v>246</v>
      </c>
      <c r="B248" s="6">
        <v>1</v>
      </c>
      <c r="C248" s="6" t="s">
        <v>250</v>
      </c>
      <c r="D248" s="6">
        <v>318</v>
      </c>
      <c r="E248" s="22" t="str">
        <f>IF(C248="استحداث بند جديد", "", IF(D248&lt;&gt;"", IFERROR(INDEX('بنود العقد'!B$3:B$388,D248), "⚠"), ""))</f>
        <v>توريد وتركيب واختبار نظام التحكم فى الدخول بروتوكول IP  مع البرامج الخاصة بنظام التحكم بتقنية dual RFID integration ، مع المواسير والكابلات وكل الملحقات لضمان عمل النظام على الوجه الاكمل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لوحة التحكم الرئيسية فى الابواب )IASC( ذات دارة خرج  )poE - ( IP</v>
      </c>
      <c r="F248" s="23" t="str">
        <f>IF(C248="استحداث بند جديد", "", IF(D248&lt;&gt;"", IFERROR(INDEX('بنود العقد'!D$3:D$388,D248), ""), ""))</f>
        <v>عدد</v>
      </c>
      <c r="G248" s="24">
        <f>IF(C248="استحداث بند جديد", "", IF(D248&lt;&gt;"", IFERROR(INDEX('بنود العقد'!E$3:E$388,D248), 0), ""))</f>
        <v>2904</v>
      </c>
      <c r="H248" s="7">
        <v>-120</v>
      </c>
      <c r="I248" s="8">
        <v>120</v>
      </c>
      <c r="J248" s="10">
        <f t="shared" si="1"/>
        <v>-348480</v>
      </c>
      <c r="K248" s="76" t="str">
        <f>IF(C248="استحداث بند جديد", "", IF(D248&lt;&gt;"", IFERROR(INDEX('بنود العقد'!C$3:C$388,D248), ""), ""))</f>
        <v>كهرباء</v>
      </c>
      <c r="L248" s="76" t="str">
        <f>IF(C248="استحداث بند جديد", IF(K248&lt;&gt;"","CMH_01-"&amp;IFERROR(VLOOKUP(K248,مراجع!$A$3:$B$14,2,FALSE),"?")&amp;"-NEW-"&amp;TEXT(A248,"000"),""), IF(D248&lt;&gt;"", IFERROR(INDEX('بنود العقد'!I$3:I$388,D248), ""), ""))</f>
        <v>CMH_01-EE-318</v>
      </c>
      <c r="M248" s="19"/>
    </row>
    <row r="249" spans="1:13" s="76" customFormat="1" ht="28.2" customHeight="1">
      <c r="A249" s="12">
        <v>247</v>
      </c>
      <c r="B249" s="6">
        <v>1</v>
      </c>
      <c r="C249" s="6" t="s">
        <v>250</v>
      </c>
      <c r="D249" s="6">
        <v>319</v>
      </c>
      <c r="E249" s="22" t="str">
        <f>IF(C249="استحداث بند جديد", "", IF(D249&lt;&gt;"", IFERROR(INDEX('بنود العقد'!B$3:B$388,D249), "⚠"), ""))</f>
        <v>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قارىء من النوع التقاربى      ( reader card Proximity )</v>
      </c>
      <c r="F249" s="23" t="str">
        <f>IF(C249="استحداث بند جديد", "", IF(D249&lt;&gt;"", IFERROR(INDEX('بنود العقد'!D$3:D$388,D249), ""), ""))</f>
        <v>عدد</v>
      </c>
      <c r="G249" s="24">
        <f>IF(C249="استحداث بند جديد", "", IF(D249&lt;&gt;"", IFERROR(INDEX('بنود العقد'!E$3:E$388,D249), 0), ""))</f>
        <v>990</v>
      </c>
      <c r="H249" s="7">
        <v>-182</v>
      </c>
      <c r="I249" s="8">
        <v>120</v>
      </c>
      <c r="J249" s="10">
        <f t="shared" si="1"/>
        <v>-180180</v>
      </c>
      <c r="K249" s="76" t="str">
        <f>IF(C249="استحداث بند جديد", "", IF(D249&lt;&gt;"", IFERROR(INDEX('بنود العقد'!C$3:C$388,D249), ""), ""))</f>
        <v>كهرباء</v>
      </c>
      <c r="L249" s="76" t="str">
        <f>IF(C249="استحداث بند جديد", IF(K249&lt;&gt;"","CMH_01-"&amp;IFERROR(VLOOKUP(K249,مراجع!$A$3:$B$14,2,FALSE),"?")&amp;"-NEW-"&amp;TEXT(A249,"000"),""), IF(D249&lt;&gt;"", IFERROR(INDEX('بنود العقد'!I$3:I$388,D249), ""), ""))</f>
        <v>CMH_01-EE-319</v>
      </c>
      <c r="M249" s="19"/>
    </row>
    <row r="250" spans="1:13" s="76" customFormat="1" ht="28.2" customHeight="1">
      <c r="A250" s="12">
        <v>248</v>
      </c>
      <c r="B250" s="6">
        <v>1</v>
      </c>
      <c r="C250" s="6" t="s">
        <v>250</v>
      </c>
      <c r="D250" s="6">
        <v>320</v>
      </c>
      <c r="E250" s="22" t="str">
        <f>IF(C250="استحداث بند جديد", "", IF(D250&lt;&gt;"", IFERROR(INDEX('بنود العقد'!B$3:B$388,D250), "⚠"),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بطاقات تعريف ذكية</v>
      </c>
      <c r="F250" s="23" t="str">
        <f>IF(C250="استحداث بند جديد", "", IF(D250&lt;&gt;"", IFERROR(INDEX('بنود العقد'!D$3:D$388,D250), ""), ""))</f>
        <v>عدد</v>
      </c>
      <c r="G250" s="24">
        <f>IF(C250="استحداث بند جديد", "", IF(D250&lt;&gt;"", IFERROR(INDEX('بنود العقد'!E$3:E$388,D250), 0), ""))</f>
        <v>72</v>
      </c>
      <c r="H250" s="7">
        <v>-500</v>
      </c>
      <c r="I250" s="8">
        <v>120</v>
      </c>
      <c r="J250" s="10">
        <f t="shared" si="1"/>
        <v>-36000</v>
      </c>
      <c r="K250" s="76" t="str">
        <f>IF(C250="استحداث بند جديد", "", IF(D250&lt;&gt;"", IFERROR(INDEX('بنود العقد'!C$3:C$388,D250), ""), ""))</f>
        <v>كهرباء</v>
      </c>
      <c r="L250" s="76" t="str">
        <f>IF(C250="استحداث بند جديد", IF(K250&lt;&gt;"","CMH_01-"&amp;IFERROR(VLOOKUP(K250,مراجع!$A$3:$B$14,2,FALSE),"?")&amp;"-NEW-"&amp;TEXT(A250,"000"),""), IF(D250&lt;&gt;"", IFERROR(INDEX('بنود العقد'!I$3:I$388,D250), ""), ""))</f>
        <v>CMH_01-EE-320</v>
      </c>
      <c r="M250" s="19"/>
    </row>
    <row r="251" spans="1:13" s="76" customFormat="1" ht="28.2" customHeight="1">
      <c r="A251" s="12">
        <v>249</v>
      </c>
      <c r="B251" s="6">
        <v>1</v>
      </c>
      <c r="C251" s="6" t="s">
        <v>250</v>
      </c>
      <c r="D251" s="6">
        <v>321</v>
      </c>
      <c r="E251" s="22" t="str">
        <f>IF(C251="استحداث بند جديد", "", IF(D251&lt;&gt;"", IFERROR(INDEX('بنود العقد'!B$3:B$388,D251), "⚠"),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قفل كهربائى       locks( door magnetic )Electro</v>
      </c>
      <c r="F251" s="23" t="str">
        <f>IF(C251="استحداث بند جديد", "", IF(D251&lt;&gt;"", IFERROR(INDEX('بنود العقد'!D$3:D$388,D251), ""), ""))</f>
        <v>عدد</v>
      </c>
      <c r="G251" s="24">
        <f>IF(C251="استحداث بند جديد", "", IF(D251&lt;&gt;"", IFERROR(INDEX('بنود العقد'!E$3:E$388,D251), 0), ""))</f>
        <v>948</v>
      </c>
      <c r="H251" s="7">
        <v>-116</v>
      </c>
      <c r="I251" s="8">
        <v>120</v>
      </c>
      <c r="J251" s="10">
        <f t="shared" si="1"/>
        <v>-109968</v>
      </c>
      <c r="K251" s="76" t="str">
        <f>IF(C251="استحداث بند جديد", "", IF(D251&lt;&gt;"", IFERROR(INDEX('بنود العقد'!C$3:C$388,D251), ""), ""))</f>
        <v>كهرباء</v>
      </c>
      <c r="L251" s="76" t="str">
        <f>IF(C251="استحداث بند جديد", IF(K251&lt;&gt;"","CMH_01-"&amp;IFERROR(VLOOKUP(K251,مراجع!$A$3:$B$14,2,FALSE),"?")&amp;"-NEW-"&amp;TEXT(A251,"000"),""), IF(D251&lt;&gt;"", IFERROR(INDEX('بنود العقد'!I$3:I$388,D251), ""), ""))</f>
        <v>CMH_01-EE-321</v>
      </c>
      <c r="M251" s="19"/>
    </row>
    <row r="252" spans="1:13" s="76" customFormat="1" ht="28.2" customHeight="1">
      <c r="A252" s="12">
        <v>250</v>
      </c>
      <c r="B252" s="6">
        <v>1</v>
      </c>
      <c r="C252" s="6" t="s">
        <v>250</v>
      </c>
      <c r="D252" s="6">
        <v>322</v>
      </c>
      <c r="E252" s="22" t="str">
        <f>IF(C252="استحداث بند جديد", "", IF(D252&lt;&gt;"", IFERROR(INDEX('بنود العقد'!B$3:B$388,D252), "⚠"),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قفل كهربائى لبابين      locks( door magnetic )Electro</v>
      </c>
      <c r="F252" s="23" t="str">
        <f>IF(C252="استحداث بند جديد", "", IF(D252&lt;&gt;"", IFERROR(INDEX('بنود العقد'!D$3:D$388,D252), ""), ""))</f>
        <v>عدد</v>
      </c>
      <c r="G252" s="24">
        <f>IF(C252="استحداث بند جديد", "", IF(D252&lt;&gt;"", IFERROR(INDEX('بنود العقد'!E$3:E$388,D252), 0), ""))</f>
        <v>1380</v>
      </c>
      <c r="H252" s="7">
        <v>-95</v>
      </c>
      <c r="I252" s="8">
        <v>120</v>
      </c>
      <c r="J252" s="10">
        <f t="shared" si="1"/>
        <v>-131100</v>
      </c>
      <c r="K252" s="76" t="str">
        <f>IF(C252="استحداث بند جديد", "", IF(D252&lt;&gt;"", IFERROR(INDEX('بنود العقد'!C$3:C$388,D252), ""), ""))</f>
        <v>كهرباء</v>
      </c>
      <c r="L252" s="76" t="str">
        <f>IF(C252="استحداث بند جديد", IF(K252&lt;&gt;"","CMH_01-"&amp;IFERROR(VLOOKUP(K252,مراجع!$A$3:$B$14,2,FALSE),"?")&amp;"-NEW-"&amp;TEXT(A252,"000"),""), IF(D252&lt;&gt;"", IFERROR(INDEX('بنود العقد'!I$3:I$388,D252), ""), ""))</f>
        <v>CMH_01-EE-322</v>
      </c>
      <c r="M252" s="19"/>
    </row>
    <row r="253" spans="1:13" s="76" customFormat="1" ht="28.2" customHeight="1">
      <c r="A253" s="12">
        <v>251</v>
      </c>
      <c r="B253" s="6">
        <v>1</v>
      </c>
      <c r="C253" s="6" t="s">
        <v>250</v>
      </c>
      <c r="D253" s="6">
        <v>323</v>
      </c>
      <c r="E253" s="22" t="str">
        <f>IF(C253="استحداث بند جديد", "", IF(D253&lt;&gt;"", IFERROR(INDEX('بنود العقد'!B$3:B$388,D253), "⚠"),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زر خروج من النوع button( )Push</v>
      </c>
      <c r="F253" s="23" t="str">
        <f>IF(C253="استحداث بند جديد", "", IF(D253&lt;&gt;"", IFERROR(INDEX('بنود العقد'!D$3:D$388,D253), ""), ""))</f>
        <v>عدد</v>
      </c>
      <c r="G253" s="24">
        <f>IF(C253="استحداث بند جديد", "", IF(D253&lt;&gt;"", IFERROR(INDEX('بنود العقد'!E$3:E$388,D253), 0), ""))</f>
        <v>606</v>
      </c>
      <c r="H253" s="7">
        <v>-218</v>
      </c>
      <c r="I253" s="8">
        <v>120</v>
      </c>
      <c r="J253" s="10">
        <f t="shared" si="1"/>
        <v>-132108</v>
      </c>
      <c r="K253" s="76" t="str">
        <f>IF(C253="استحداث بند جديد", "", IF(D253&lt;&gt;"", IFERROR(INDEX('بنود العقد'!C$3:C$388,D253), ""), ""))</f>
        <v>كهرباء</v>
      </c>
      <c r="L253" s="76" t="str">
        <f>IF(C253="استحداث بند جديد", IF(K253&lt;&gt;"","CMH_01-"&amp;IFERROR(VLOOKUP(K253,مراجع!$A$3:$B$14,2,FALSE),"?")&amp;"-NEW-"&amp;TEXT(A253,"000"),""), IF(D253&lt;&gt;"", IFERROR(INDEX('بنود العقد'!I$3:I$388,D253), ""), ""))</f>
        <v>CMH_01-EE-323</v>
      </c>
      <c r="M253" s="19"/>
    </row>
    <row r="254" spans="1:13" s="76" customFormat="1" ht="28.2" customHeight="1">
      <c r="A254" s="12">
        <v>252</v>
      </c>
      <c r="B254" s="6">
        <v>1</v>
      </c>
      <c r="C254" s="6" t="s">
        <v>250</v>
      </c>
      <c r="D254" s="6">
        <v>324</v>
      </c>
      <c r="E254" s="22" t="str">
        <f>IF(C254="استحداث بند جديد", "", IF(D254&lt;&gt;"", IFERROR(INDEX('بنود العقد'!B$3:B$388,D254), "⚠"), ""))</f>
        <v xml:space="preserve">توريد وتركيب وإختبار نظام النداء الصوتي العام يتضمن كافة الكابالت و المواسير و العلب و النهايات مع كامل اكسسوارات التركيب الالزمة وتشغيل تجهيزات الصوت و تركيب المعدات الرئيسية بغرفة التحكم حسب المخططات و المواصفات وتعليمات الشركة المصنعة مشتمال على كل ما يلزم التمام العمل
و ربطه مع نظام الحريق و ادارة المبنى و يتكون من االتي -:
سماعة سقفية 6 وات
</v>
      </c>
      <c r="F254" s="23" t="str">
        <f>IF(C254="استحداث بند جديد", "", IF(D254&lt;&gt;"", IFERROR(INDEX('بنود العقد'!D$3:D$388,D254), ""), ""))</f>
        <v>عدد</v>
      </c>
      <c r="G254" s="24">
        <f>IF(C254="استحداث بند جديد", "", IF(D254&lt;&gt;"", IFERROR(INDEX('بنود العقد'!E$3:E$388,D254), 0), ""))</f>
        <v>420</v>
      </c>
      <c r="H254" s="7">
        <v>-40</v>
      </c>
      <c r="I254" s="8">
        <v>120</v>
      </c>
      <c r="J254" s="10">
        <f t="shared" si="1"/>
        <v>-16800</v>
      </c>
      <c r="K254" s="76" t="str">
        <f>IF(C254="استحداث بند جديد", "", IF(D254&lt;&gt;"", IFERROR(INDEX('بنود العقد'!C$3:C$388,D254), ""), ""))</f>
        <v>كهرباء</v>
      </c>
      <c r="L254" s="76" t="str">
        <f>IF(C254="استحداث بند جديد", IF(K254&lt;&gt;"","CMH_01-"&amp;IFERROR(VLOOKUP(K254,مراجع!$A$3:$B$14,2,FALSE),"?")&amp;"-NEW-"&amp;TEXT(A254,"000"),""), IF(D254&lt;&gt;"", IFERROR(INDEX('بنود العقد'!I$3:I$388,D254), ""), ""))</f>
        <v>CMH_01-EE-324</v>
      </c>
      <c r="M254" s="19"/>
    </row>
    <row r="255" spans="1:13" s="76" customFormat="1" ht="28.2" customHeight="1">
      <c r="A255" s="12">
        <v>253</v>
      </c>
      <c r="B255" s="6">
        <v>1</v>
      </c>
      <c r="C255" s="6" t="s">
        <v>250</v>
      </c>
      <c r="D255" s="6">
        <v>326</v>
      </c>
      <c r="E255" s="22" t="str">
        <f>IF(C255="استحداث بند جديد", "", IF(D255&lt;&gt;"", IFERROR(INDEX('بنود العقد'!B$3:B$388,D255), "⚠"), ""))</f>
        <v>هيز وتركيب وإختبار لنظام الصوت و الصورة بغرفة اإلجتماعات conferance( )video ويتضمن كافة الكابالت و المواسير و العلب و النهايات مع كامل اكسسوارات التركيب الالزمة شامال و الملحقات
الالزمة ا لتعليمات ومواصفات إدارة الـ IT ، وعلى أن يحتوي لتجهيزات التالية:
تمديدات لكاميرا (FHD) IP سقفية عدد 2
سماعات سففية عدد 4
وحدة نداء (ميكرفون)
محطة عمل</v>
      </c>
      <c r="F255" s="23" t="str">
        <f>IF(C255="استحداث بند جديد", "", IF(D255&lt;&gt;"", IFERROR(INDEX('بنود العقد'!D$3:D$388,D255), ""), ""))</f>
        <v>عدد</v>
      </c>
      <c r="G255" s="24">
        <f>IF(C255="استحداث بند جديد", "", IF(D255&lt;&gt;"", IFERROR(INDEX('بنود العقد'!E$3:E$388,D255), 0), ""))</f>
        <v>14400</v>
      </c>
      <c r="H255" s="7">
        <v>-15</v>
      </c>
      <c r="I255" s="8">
        <v>120</v>
      </c>
      <c r="J255" s="10">
        <f t="shared" si="1"/>
        <v>-216000</v>
      </c>
      <c r="K255" s="76" t="str">
        <f>IF(C255="استحداث بند جديد", "", IF(D255&lt;&gt;"", IFERROR(INDEX('بنود العقد'!C$3:C$388,D255), ""), ""))</f>
        <v>كهرباء</v>
      </c>
      <c r="L255" s="76" t="str">
        <f>IF(C255="استحداث بند جديد", IF(K255&lt;&gt;"","CMH_01-"&amp;IFERROR(VLOOKUP(K255,مراجع!$A$3:$B$14,2,FALSE),"?")&amp;"-NEW-"&amp;TEXT(A255,"000"),""), IF(D255&lt;&gt;"", IFERROR(INDEX('بنود العقد'!I$3:I$388,D255), ""), ""))</f>
        <v>CMH_01-EE-326</v>
      </c>
      <c r="M255" s="19"/>
    </row>
    <row r="256" spans="1:13" s="76" customFormat="1" ht="28.2" customHeight="1">
      <c r="A256" s="12">
        <v>254</v>
      </c>
      <c r="B256" s="6">
        <v>1</v>
      </c>
      <c r="C256" s="6" t="s">
        <v>175</v>
      </c>
      <c r="D256" s="6">
        <v>327</v>
      </c>
      <c r="E256" s="22" t="str">
        <f>IF(C256="استحداث بند جديد", "", IF(D256&lt;&gt;"", IFERROR(INDEX('بنود العقد'!B$3:B$388,D256), "⚠"), ""))</f>
        <v xml:space="preserve">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فردي حائطي مزود بعدد واحد مأخذ RJ-45
</v>
      </c>
      <c r="F256" s="23" t="str">
        <f>IF(C256="استحداث بند جديد", "", IF(D256&lt;&gt;"", IFERROR(INDEX('بنود العقد'!D$3:D$388,D256), ""), ""))</f>
        <v>عدد</v>
      </c>
      <c r="G256" s="24">
        <f>IF(C256="استحداث بند جديد", "", IF(D256&lt;&gt;"", IFERROR(INDEX('بنود العقد'!E$3:E$388,D256), 0), ""))</f>
        <v>432</v>
      </c>
      <c r="H256" s="7">
        <v>17</v>
      </c>
      <c r="I256" s="8">
        <v>120</v>
      </c>
      <c r="J256" s="10">
        <f t="shared" si="1"/>
        <v>7344</v>
      </c>
      <c r="K256" s="76" t="str">
        <f>IF(C256="استحداث بند جديد", "", IF(D256&lt;&gt;"", IFERROR(INDEX('بنود العقد'!C$3:C$388,D256), ""), ""))</f>
        <v>كهرباء</v>
      </c>
      <c r="L256" s="76" t="str">
        <f>IF(C256="استحداث بند جديد", IF(K256&lt;&gt;"","CMH_01-"&amp;IFERROR(VLOOKUP(K256,مراجع!$A$3:$B$14,2,FALSE),"?")&amp;"-NEW-"&amp;TEXT(A256,"000"),""), IF(D256&lt;&gt;"", IFERROR(INDEX('بنود العقد'!I$3:I$388,D256), ""), ""))</f>
        <v>CMH_01-EE-327</v>
      </c>
      <c r="M256" s="19"/>
    </row>
    <row r="257" spans="1:13" s="76" customFormat="1" ht="28.2" customHeight="1">
      <c r="A257" s="12">
        <v>255</v>
      </c>
      <c r="B257" s="6">
        <v>1</v>
      </c>
      <c r="C257" s="6" t="s">
        <v>250</v>
      </c>
      <c r="D257" s="6">
        <v>329</v>
      </c>
      <c r="E257" s="22" t="str">
        <f>IF(C257="استحداث بند جديد", "", IF(D257&lt;&gt;"", IFERROR(INDEX('بنود العقد'!B$3:B$388,D257), "⚠"), ""))</f>
        <v xml:space="preserve">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الانواع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فردي سقفى مزود بعدد واحد مأخذ RJ-45</v>
      </c>
      <c r="F257" s="23" t="str">
        <f>IF(C257="استحداث بند جديد", "", IF(D257&lt;&gt;"", IFERROR(INDEX('بنود العقد'!D$3:D$388,D257), ""), ""))</f>
        <v>عدد</v>
      </c>
      <c r="G257" s="24">
        <f>IF(C257="استحداث بند جديد", "", IF(D257&lt;&gt;"", IFERROR(INDEX('بنود العقد'!E$3:E$388,D257), 0), ""))</f>
        <v>420</v>
      </c>
      <c r="H257" s="7">
        <v>-1</v>
      </c>
      <c r="I257" s="8">
        <v>120</v>
      </c>
      <c r="J257" s="10">
        <f t="shared" si="1"/>
        <v>-420</v>
      </c>
      <c r="K257" s="76" t="str">
        <f>IF(C257="استحداث بند جديد", "", IF(D257&lt;&gt;"", IFERROR(INDEX('بنود العقد'!C$3:C$388,D257), ""), ""))</f>
        <v>كهرباء</v>
      </c>
      <c r="L257" s="76" t="str">
        <f>IF(C257="استحداث بند جديد", IF(K257&lt;&gt;"","CMH_01-"&amp;IFERROR(VLOOKUP(K257,مراجع!$A$3:$B$14,2,FALSE),"?")&amp;"-NEW-"&amp;TEXT(A257,"000"),""), IF(D257&lt;&gt;"", IFERROR(INDEX('بنود العقد'!I$3:I$388,D257), ""), ""))</f>
        <v>CMH_01-EE-329</v>
      </c>
      <c r="M257" s="19"/>
    </row>
    <row r="258" spans="1:13" s="76" customFormat="1" ht="28.2" customHeight="1">
      <c r="A258" s="12">
        <v>256</v>
      </c>
      <c r="B258" s="6">
        <v>1</v>
      </c>
      <c r="C258" s="6" t="s">
        <v>175</v>
      </c>
      <c r="D258" s="6">
        <v>332</v>
      </c>
      <c r="E258" s="22" t="str">
        <f>IF(C258="استحداث بند جديد", "", IF(D258&lt;&gt;"", IFERROR(INDEX('بنود العقد'!B$3:B$388,D258), "⚠"), ""))</f>
        <v>لوحات توزيع كابالت نحاسية Panel Patch a 6 CAT مع الوصالت لعدد 24 مخرج</v>
      </c>
      <c r="F258" s="23" t="str">
        <f>IF(C258="استحداث بند جديد", "", IF(D258&lt;&gt;"", IFERROR(INDEX('بنود العقد'!D$3:D$388,D258), ""), ""))</f>
        <v>عدد</v>
      </c>
      <c r="G258" s="24">
        <f>IF(C258="استحداث بند جديد", "", IF(D258&lt;&gt;"", IFERROR(INDEX('بنود العقد'!E$3:E$388,D258), 0), ""))</f>
        <v>2400</v>
      </c>
      <c r="H258" s="7">
        <v>29</v>
      </c>
      <c r="I258" s="8">
        <v>120</v>
      </c>
      <c r="J258" s="10">
        <f t="shared" si="1"/>
        <v>69600</v>
      </c>
      <c r="K258" s="76" t="str">
        <f>IF(C258="استحداث بند جديد", "", IF(D258&lt;&gt;"", IFERROR(INDEX('بنود العقد'!C$3:C$388,D258), ""), ""))</f>
        <v>كهرباء</v>
      </c>
      <c r="L258" s="76" t="str">
        <f>IF(C258="استحداث بند جديد", IF(K258&lt;&gt;"","CMH_01-"&amp;IFERROR(VLOOKUP(K258,مراجع!$A$3:$B$14,2,FALSE),"?")&amp;"-NEW-"&amp;TEXT(A258,"000"),""), IF(D258&lt;&gt;"", IFERROR(INDEX('بنود العقد'!I$3:I$388,D258), ""), ""))</f>
        <v>CMH_01-EE-332</v>
      </c>
      <c r="M258" s="19"/>
    </row>
    <row r="259" spans="1:13" s="76" customFormat="1" ht="28.2" customHeight="1">
      <c r="A259" s="12">
        <v>257</v>
      </c>
      <c r="B259" s="6">
        <v>1</v>
      </c>
      <c r="C259" s="6" t="s">
        <v>175</v>
      </c>
      <c r="D259" s="6">
        <v>333</v>
      </c>
      <c r="E259" s="22" t="str">
        <f>IF(C259="استحداث بند جديد", "", IF(D259&lt;&gt;"", IFERROR(INDEX('بنود العقد'!B$3:B$388,D259), "⚠"), ""))</f>
        <v xml:space="preserve">توريد وتركيب وتوصيل جميع تمديدات كابالت األلياف الضوئية ( الفايبر) من نوع 12core - multimode من الموزعات الفرعية بكبائن األدوارإلى الموزع الرئيسى بغرفة الداتا الرئيسية وذلك حسب المواصفات القياسية والبند يشمل كافة وسائل وإكسسوارات التركيب والتثبيت و على المقاول تقديم
الحسابات لالعتمادها من قبل المهندس المشرف
</v>
      </c>
      <c r="F259" s="23" t="str">
        <f>IF(C259="استحداث بند جديد", "", IF(D259&lt;&gt;"", IFERROR(INDEX('بنود العقد'!D$3:D$388,D259), ""), ""))</f>
        <v>عدد</v>
      </c>
      <c r="G259" s="24">
        <f>IF(C259="استحداث بند جديد", "", IF(D259&lt;&gt;"", IFERROR(INDEX('بنود العقد'!E$3:E$388,D259), 0), ""))</f>
        <v>14400</v>
      </c>
      <c r="H259" s="7">
        <v>6</v>
      </c>
      <c r="I259" s="8">
        <v>120</v>
      </c>
      <c r="J259" s="10">
        <f t="shared" si="1"/>
        <v>86400</v>
      </c>
      <c r="K259" s="76" t="str">
        <f>IF(C259="استحداث بند جديد", "", IF(D259&lt;&gt;"", IFERROR(INDEX('بنود العقد'!C$3:C$388,D259), ""), ""))</f>
        <v>كهرباء</v>
      </c>
      <c r="L259" s="76" t="str">
        <f>IF(C259="استحداث بند جديد", IF(K259&lt;&gt;"","CMH_01-"&amp;IFERROR(VLOOKUP(K259,مراجع!$A$3:$B$14,2,FALSE),"?")&amp;"-NEW-"&amp;TEXT(A259,"000"),""), IF(D259&lt;&gt;"", IFERROR(INDEX('بنود العقد'!I$3:I$388,D259), ""), ""))</f>
        <v>CMH_01-EE-333</v>
      </c>
      <c r="M259" s="19"/>
    </row>
    <row r="260" spans="1:13" s="76" customFormat="1" ht="28.2" customHeight="1">
      <c r="A260" s="12">
        <v>258</v>
      </c>
      <c r="B260" s="6">
        <v>1</v>
      </c>
      <c r="C260" s="6" t="s">
        <v>175</v>
      </c>
      <c r="D260" s="6">
        <v>334</v>
      </c>
      <c r="E260" s="22" t="str">
        <f>IF(C260="استحداث بند جديد", "", IF(D260&lt;&gt;"", IFERROR(INDEX('بنود العقد'!B$3:B$388,D260), "⚠"), ""))</f>
        <v xml:space="preserve">فك و تقطيع وتنزيل و ترحيل مواسير شبكة الصرف و التغذية القائمة و البند يشمل فك القطع والترحيل خارج الموقع وتسليم جميع مكونات شبكة الصرف و التغذية للجهة مالكة المشروع </v>
      </c>
      <c r="F260" s="23" t="str">
        <f>IF(C260="استحداث بند جديد", "", IF(D260&lt;&gt;"", IFERROR(INDEX('بنود العقد'!D$3:D$388,D260), ""), ""))</f>
        <v>م.ط</v>
      </c>
      <c r="G260" s="24">
        <f>IF(C260="استحداث بند جديد", "", IF(D260&lt;&gt;"", IFERROR(INDEX('بنود العقد'!E$3:E$388,D260), 0), ""))</f>
        <v>16.523</v>
      </c>
      <c r="H260" s="7">
        <v>4128.2</v>
      </c>
      <c r="I260" s="8">
        <v>120</v>
      </c>
      <c r="J260" s="10">
        <f t="shared" si="0"/>
        <v>68210.248599999992</v>
      </c>
      <c r="K260" s="76" t="str">
        <f>IF(C260="استحداث بند جديد", "", IF(D260&lt;&gt;"", IFERROR(INDEX('بنود العقد'!C$3:C$388,D260), ""), ""))</f>
        <v>معماري</v>
      </c>
      <c r="L260" s="76" t="str">
        <f>IF(C260="استحداث بند جديد", IF(K260&lt;&gt;"","CMH_01-"&amp;IFERROR(VLOOKUP(K260,مراجع!$A$3:$B$14,2,FALSE),"?")&amp;"-NEW-"&amp;TEXT(A260,"000"),""), IF(D260&lt;&gt;"", IFERROR(INDEX('بنود العقد'!I$3:I$388,D260), ""), ""))</f>
        <v>CMH_01-A-334</v>
      </c>
      <c r="M260" s="19"/>
    </row>
    <row r="261" spans="1:13" ht="28.2" customHeight="1">
      <c r="A261" s="12">
        <v>259</v>
      </c>
      <c r="B261" s="6">
        <v>1</v>
      </c>
      <c r="C261" s="6" t="s">
        <v>175</v>
      </c>
      <c r="D261" s="6">
        <v>335</v>
      </c>
      <c r="E261" s="22" t="str">
        <f>IF(C261="استحداث بند جديد", "", IF(D261&lt;&gt;"", IFERROR(INDEX('بنود العقد'!B$3:B$388,D261), "⚠"), ""))</f>
        <v xml:space="preserve"> توريد و تركيب خرسانة مسلحة ، لا يقل إجهاد كسرها عن 35 ميجا باسكال لزوم خرسانات  الأسقف ، بأسمنت من النوع (أ)، طبقاً للمخططات . ويشمل السعر القوالب  وحديد التسليح  و الربط مع الكمرات الحالية بالتكسير و المضافات الخرسانية و الخلط والنقل والصب والمعالجة والاختبار حسب المخططات لإنهاء الأعمال حسب اصول الصنع وتوجيهات المهندس المشرف </v>
      </c>
      <c r="F261" s="23" t="str">
        <f>IF(C261="استحداث بند جديد", "", IF(D261&lt;&gt;"", IFERROR(INDEX('بنود العقد'!D$3:D$388,D261), ""), ""))</f>
        <v>م³</v>
      </c>
      <c r="G261" s="24">
        <f>IF(C261="استحداث بند جديد", "", IF(D261&lt;&gt;"", IFERROR(INDEX('بنود العقد'!E$3:E$388,D261), 0), ""))</f>
        <v>1600</v>
      </c>
      <c r="H261" s="7">
        <v>20.46</v>
      </c>
      <c r="I261" s="8">
        <v>120</v>
      </c>
      <c r="J261" s="10">
        <f t="shared" si="0"/>
        <v>32736</v>
      </c>
      <c r="K261" s="74" t="str">
        <f>IF(C261="استحداث بند جديد", "", IF(D261&lt;&gt;"", IFERROR(INDEX('بنود العقد'!C$3:C$388,D261), ""), ""))</f>
        <v>مدني</v>
      </c>
      <c r="L261" s="74" t="str">
        <f>IF(C261="استحداث بند جديد", IF(K261&lt;&gt;"","CMH_01-"&amp;IFERROR(VLOOKUP(K261,مراجع!$A$3:$B$14,2,FALSE),"?")&amp;"-NEW-"&amp;TEXT(A261,"000"),""), IF(D261&lt;&gt;"", IFERROR(INDEX('بنود العقد'!I$3:I$388,D261), ""), ""))</f>
        <v>CMH_01-C-335</v>
      </c>
      <c r="M261" s="19"/>
    </row>
    <row r="262" spans="1:13" ht="28.2" customHeight="1">
      <c r="A262" s="12">
        <v>260</v>
      </c>
      <c r="B262" s="6">
        <v>1</v>
      </c>
      <c r="C262" s="6" t="s">
        <v>175</v>
      </c>
      <c r="D262" s="6">
        <v>336</v>
      </c>
      <c r="E262" s="22" t="str">
        <f>IF(C262="استحداث بند جديد", "", IF(D262&lt;&gt;"", IFERROR(INDEX('بنود العقد'!B$3:B$388,D262), "⚠"), ""))</f>
        <v xml:space="preserve">ازالة واعادة انشاء مبنى غرفة الحراسة   أعمال الإزالة و الحفر والردم </v>
      </c>
      <c r="F262" s="23" t="str">
        <f>IF(C262="استحداث بند جديد", "", IF(D262&lt;&gt;"", IFERROR(INDEX('بنود العقد'!D$3:D$388,D262), ""), ""))</f>
        <v>م²</v>
      </c>
      <c r="G262" s="24">
        <f>IF(C262="استحداث بند جديد", "", IF(D262&lt;&gt;"", IFERROR(INDEX('بنود العقد'!E$3:E$388,D262), 0), ""))</f>
        <v>6702</v>
      </c>
      <c r="H262" s="7">
        <v>11.29</v>
      </c>
      <c r="I262" s="8">
        <v>120</v>
      </c>
      <c r="J262" s="10">
        <f t="shared" si="0"/>
        <v>75665.579999999987</v>
      </c>
      <c r="K262" s="74" t="str">
        <f>IF(C262="استحداث بند جديد", "", IF(D262&lt;&gt;"", IFERROR(INDEX('بنود العقد'!C$3:C$388,D262), ""), ""))</f>
        <v>مدني</v>
      </c>
      <c r="L262" s="74" t="str">
        <f>IF(C262="استحداث بند جديد", IF(K262&lt;&gt;"","CMH_01-"&amp;IFERROR(VLOOKUP(K262,مراجع!$A$3:$B$14,2,FALSE),"?")&amp;"-NEW-"&amp;TEXT(A262,"000"),""), IF(D262&lt;&gt;"", IFERROR(INDEX('بنود العقد'!I$3:I$388,D262), ""), ""))</f>
        <v>CMH_01-C-336</v>
      </c>
      <c r="M262" s="19"/>
    </row>
    <row r="263" spans="1:13" ht="28.2" customHeight="1">
      <c r="A263" s="12">
        <v>261</v>
      </c>
      <c r="B263" s="6">
        <v>1</v>
      </c>
      <c r="C263" s="6" t="s">
        <v>175</v>
      </c>
      <c r="D263" s="6">
        <v>337</v>
      </c>
      <c r="E263" s="22" t="str">
        <f>IF(C263="استحداث بند جديد", "", IF(D263&lt;&gt;"", IFERROR(INDEX('بنود العقد'!B$3:B$388,D263), "⚠"), ""))</f>
        <v xml:space="preserve">أعمال الهيكل الخرساني و المباني والتشطيبات المعمارية لغرفة الحارس </v>
      </c>
      <c r="F263" s="23" t="str">
        <f>IF(C263="استحداث بند جديد", "", IF(D263&lt;&gt;"", IFERROR(INDEX('بنود العقد'!D$3:D$388,D263), ""), ""))</f>
        <v>م²</v>
      </c>
      <c r="G263" s="24">
        <f>IF(C263="استحداث بند جديد", "", IF(D263&lt;&gt;"", IFERROR(INDEX('بنود العقد'!E$3:E$388,D263), 0), ""))</f>
        <v>5173</v>
      </c>
      <c r="H263" s="7">
        <v>11.29</v>
      </c>
      <c r="I263" s="8">
        <v>120</v>
      </c>
      <c r="J263" s="10">
        <f t="shared" si="0"/>
        <v>58403.17</v>
      </c>
      <c r="K263" s="74" t="str">
        <f>IF(C263="استحداث بند جديد", "", IF(D263&lt;&gt;"", IFERROR(INDEX('بنود العقد'!C$3:C$388,D263), ""), ""))</f>
        <v>مدني</v>
      </c>
      <c r="L263" s="74" t="str">
        <f>IF(C263="استحداث بند جديد", IF(K263&lt;&gt;"","CMH_01-"&amp;IFERROR(VLOOKUP(K263,مراجع!$A$3:$B$14,2,FALSE),"?")&amp;"-NEW-"&amp;TEXT(A263,"000"),""), IF(D263&lt;&gt;"", IFERROR(INDEX('بنود العقد'!I$3:I$388,D263), ""), ""))</f>
        <v>CMH_01-C-337</v>
      </c>
      <c r="M263" s="19"/>
    </row>
    <row r="264" spans="1:13" ht="28.2" customHeight="1">
      <c r="A264" s="12">
        <v>262</v>
      </c>
      <c r="B264" s="6">
        <v>1</v>
      </c>
      <c r="C264" s="6" t="s">
        <v>175</v>
      </c>
      <c r="D264" s="6">
        <v>338</v>
      </c>
      <c r="E264" s="22" t="str">
        <f>IF(C264="استحداث بند جديد", "", IF(D264&lt;&gt;"", IFERROR(INDEX('بنود العقد'!B$3:B$388,D264), "⚠"), ""))</f>
        <v xml:space="preserve">الأعمال الميكانيكية لغرفة الحارس  </v>
      </c>
      <c r="F264" s="23" t="str">
        <f>IF(C264="استحداث بند جديد", "", IF(D264&lt;&gt;"", IFERROR(INDEX('بنود العقد'!D$3:D$388,D264), ""), ""))</f>
        <v>عدد</v>
      </c>
      <c r="G264" s="24">
        <f>IF(C264="استحداث بند جديد", "", IF(D264&lt;&gt;"", IFERROR(INDEX('بنود العقد'!E$3:E$388,D264), 0), ""))</f>
        <v>6392</v>
      </c>
      <c r="H264" s="7">
        <v>1</v>
      </c>
      <c r="I264" s="8">
        <v>120</v>
      </c>
      <c r="J264" s="10">
        <f t="shared" si="0"/>
        <v>6392</v>
      </c>
      <c r="K264" s="74" t="str">
        <f>IF(C264="استحداث بند جديد", "", IF(D264&lt;&gt;"", IFERROR(INDEX('بنود العقد'!C$3:C$388,D264), ""), ""))</f>
        <v>ميكانيكا</v>
      </c>
      <c r="L264" s="74" t="str">
        <f>IF(C264="استحداث بند جديد", IF(K264&lt;&gt;"","CMH_01-"&amp;IFERROR(VLOOKUP(K264,مراجع!$A$3:$B$14,2,FALSE),"?")&amp;"-NEW-"&amp;TEXT(A264,"000"),""), IF(D264&lt;&gt;"", IFERROR(INDEX('بنود العقد'!I$3:I$388,D264), ""), ""))</f>
        <v>CMH_01-ME-338</v>
      </c>
      <c r="M264" s="19"/>
    </row>
    <row r="265" spans="1:13" ht="28.2" customHeight="1">
      <c r="A265" s="12">
        <v>263</v>
      </c>
      <c r="B265" s="6">
        <v>1</v>
      </c>
      <c r="C265" s="6" t="s">
        <v>175</v>
      </c>
      <c r="D265" s="6">
        <v>339</v>
      </c>
      <c r="E265" s="22" t="str">
        <f>IF(C265="استحداث بند جديد", "", IF(D265&lt;&gt;"", IFERROR(INDEX('بنود العقد'!B$3:B$388,D265), "⚠"), ""))</f>
        <v xml:space="preserve">الأعمال الكهربائية لغرفة الحارس </v>
      </c>
      <c r="F265" s="23" t="str">
        <f>IF(C265="استحداث بند جديد", "", IF(D265&lt;&gt;"", IFERROR(INDEX('بنود العقد'!D$3:D$388,D265), ""), ""))</f>
        <v>م²</v>
      </c>
      <c r="G265" s="24">
        <f>IF(C265="استحداث بند جديد", "", IF(D265&lt;&gt;"", IFERROR(INDEX('بنود العقد'!E$3:E$388,D265), 0), ""))</f>
        <v>1275.5</v>
      </c>
      <c r="H265" s="7">
        <v>11.29</v>
      </c>
      <c r="I265" s="8">
        <v>120</v>
      </c>
      <c r="J265" s="10">
        <f t="shared" si="0"/>
        <v>14400.394999999999</v>
      </c>
      <c r="K265" s="74" t="str">
        <f>IF(C265="استحداث بند جديد", "", IF(D265&lt;&gt;"", IFERROR(INDEX('بنود العقد'!C$3:C$388,D265), ""), ""))</f>
        <v>كهرباء</v>
      </c>
      <c r="L265" s="74" t="str">
        <f>IF(C265="استحداث بند جديد", IF(K265&lt;&gt;"","CMH_01-"&amp;IFERROR(VLOOKUP(K265,مراجع!$A$3:$B$14,2,FALSE),"?")&amp;"-NEW-"&amp;TEXT(A265,"000"),""), IF(D265&lt;&gt;"", IFERROR(INDEX('بنود العقد'!I$3:I$388,D265), ""), ""))</f>
        <v>CMH_01-EE-339</v>
      </c>
      <c r="M265" s="19"/>
    </row>
    <row r="266" spans="1:13" ht="28.2" customHeight="1">
      <c r="A266" s="12">
        <v>264</v>
      </c>
      <c r="B266" s="6">
        <v>1</v>
      </c>
      <c r="C266" s="6" t="s">
        <v>175</v>
      </c>
      <c r="D266" s="6">
        <v>340</v>
      </c>
      <c r="E266" s="22" t="str">
        <f>IF(C266="استحداث بند جديد", "", IF(D266&lt;&gt;"", IFERROR(INDEX('بنود العقد'!B$3:B$388,D266), "⚠"), ""))</f>
        <v>ازالة وتكسير وترحيل ارضيات الخرسانة</v>
      </c>
      <c r="F266" s="23" t="str">
        <f>IF(C266="استحداث بند جديد", "", IF(D266&lt;&gt;"", IFERROR(INDEX('بنود العقد'!D$3:D$388,D266), ""), ""))</f>
        <v>م²</v>
      </c>
      <c r="G266" s="24">
        <f>IF(C266="استحداث بند جديد", "", IF(D266&lt;&gt;"", IFERROR(INDEX('بنود العقد'!E$3:E$388,D266), 0), ""))</f>
        <v>69.42</v>
      </c>
      <c r="H266" s="7">
        <v>3620</v>
      </c>
      <c r="I266" s="8">
        <v>120</v>
      </c>
      <c r="J266" s="10">
        <f t="shared" si="0"/>
        <v>251300.4</v>
      </c>
      <c r="K266" s="74" t="str">
        <f>IF(C266="استحداث بند جديد", "", IF(D266&lt;&gt;"", IFERROR(INDEX('بنود العقد'!C$3:C$388,D266), ""), ""))</f>
        <v>مدني</v>
      </c>
      <c r="L266" s="74" t="str">
        <f>IF(C266="استحداث بند جديد", IF(K266&lt;&gt;"","CMH_01-"&amp;IFERROR(VLOOKUP(K266,مراجع!$A$3:$B$14,2,FALSE),"?")&amp;"-NEW-"&amp;TEXT(A266,"000"),""), IF(D266&lt;&gt;"", IFERROR(INDEX('بنود العقد'!I$3:I$388,D266), ""), ""))</f>
        <v>CMH_01-C-340</v>
      </c>
      <c r="M266" s="19"/>
    </row>
    <row r="267" spans="1:13" ht="28.2" customHeight="1">
      <c r="A267" s="12">
        <v>265</v>
      </c>
      <c r="B267" s="6">
        <v>1</v>
      </c>
      <c r="C267" s="6" t="s">
        <v>175</v>
      </c>
      <c r="D267" s="6">
        <v>341</v>
      </c>
      <c r="E267" s="22" t="str">
        <f>IF(C267="استحداث بند جديد", "", IF(D267&lt;&gt;"", IFERROR(INDEX('بنود العقد'!B$3:B$388,D267), "⚠"), ""))</f>
        <v xml:space="preserve">فك و تقطيع وتنزيل و ترحيل مواسير شبكة مكافحة الحريق القائمة و البند يشمل فك الرشاشات والترحيل خارج الموقع وتسليم جميع مكونات شبكة الحريق للجهة مالكة المشروع </v>
      </c>
      <c r="F267" s="23" t="str">
        <f>IF(C267="استحداث بند جديد", "", IF(D267&lt;&gt;"", IFERROR(INDEX('بنود العقد'!D$3:D$388,D267), ""), ""))</f>
        <v>م.ط</v>
      </c>
      <c r="G267" s="24">
        <f>IF(C267="استحداث بند جديد", "", IF(D267&lt;&gt;"", IFERROR(INDEX('بنود العقد'!E$3:E$388,D267), 0), ""))</f>
        <v>20.88</v>
      </c>
      <c r="H267" s="7">
        <v>15892.83</v>
      </c>
      <c r="I267" s="8">
        <v>120</v>
      </c>
      <c r="J267" s="10">
        <f t="shared" si="0"/>
        <v>331842.2904</v>
      </c>
      <c r="K267" s="74" t="str">
        <f>IF(C267="استحداث بند جديد", "", IF(D267&lt;&gt;"", IFERROR(INDEX('بنود العقد'!C$3:C$388,D267), ""), ""))</f>
        <v>ميكانيكا</v>
      </c>
      <c r="L267" s="74" t="str">
        <f>IF(C267="استحداث بند جديد", IF(K267&lt;&gt;"","CMH_01-"&amp;IFERROR(VLOOKUP(K267,مراجع!$A$3:$B$14,2,FALSE),"?")&amp;"-NEW-"&amp;TEXT(A267,"000"),""), IF(D267&lt;&gt;"", IFERROR(INDEX('بنود العقد'!I$3:I$388,D267), ""), ""))</f>
        <v>CMH_01-ME-341</v>
      </c>
      <c r="M267" s="19"/>
    </row>
    <row r="268" spans="1:13" ht="28.2" customHeight="1">
      <c r="A268" s="12">
        <v>266</v>
      </c>
      <c r="B268" s="6">
        <v>1</v>
      </c>
      <c r="C268" s="6" t="s">
        <v>175</v>
      </c>
      <c r="D268" s="6">
        <v>342</v>
      </c>
      <c r="E268" s="22" t="str">
        <f>IF(C268="استحداث بند جديد", "", IF(D268&lt;&gt;"", IFERROR(INDEX('بنود العقد'!B$3:B$388,D268), "⚠"), ""))</f>
        <v xml:space="preserve">فك وفحص و إختبار وحدات VAV القائمة بالمبنى و البند يشمل  الترحيل لمستودعات الجهة مالكة المشروع بمدينة الرياض </v>
      </c>
      <c r="F268" s="23" t="str">
        <f>IF(C268="استحداث بند جديد", "", IF(D268&lt;&gt;"", IFERROR(INDEX('بنود العقد'!D$3:D$388,D268), ""), ""))</f>
        <v>عدد</v>
      </c>
      <c r="G268" s="24">
        <f>IF(C268="استحداث بند جديد", "", IF(D268&lt;&gt;"", IFERROR(INDEX('بنود العقد'!E$3:E$388,D268), 0), ""))</f>
        <v>450</v>
      </c>
      <c r="H268" s="7">
        <v>275</v>
      </c>
      <c r="I268" s="8">
        <v>120</v>
      </c>
      <c r="J268" s="10">
        <f t="shared" si="0"/>
        <v>123750</v>
      </c>
      <c r="K268" s="74" t="str">
        <f>IF(C268="استحداث بند جديد", "", IF(D268&lt;&gt;"", IFERROR(INDEX('بنود العقد'!C$3:C$388,D268), ""), ""))</f>
        <v>تكييف</v>
      </c>
      <c r="L268" s="74" t="str">
        <f>IF(C268="استحداث بند جديد", IF(K268&lt;&gt;"","CMH_01-"&amp;IFERROR(VLOOKUP(K268,مراجع!$A$3:$B$14,2,FALSE),"?")&amp;"-NEW-"&amp;TEXT(A268,"000"),""), IF(D268&lt;&gt;"", IFERROR(INDEX('بنود العقد'!I$3:I$388,D268), ""), ""))</f>
        <v>CMH_01-HV-342</v>
      </c>
      <c r="M268" s="19"/>
    </row>
    <row r="269" spans="1:13" ht="28.2" customHeight="1">
      <c r="A269" s="12">
        <v>267</v>
      </c>
      <c r="B269" s="6">
        <v>1</v>
      </c>
      <c r="C269" s="6" t="s">
        <v>175</v>
      </c>
      <c r="D269" s="6">
        <v>343</v>
      </c>
      <c r="E269" s="22" t="str">
        <f>IF(C269="استحداث بند جديد", "", IF(D269&lt;&gt;"", IFERROR(INDEX('بنود العقد'!B$3:B$388,D269), "⚠"), ""))</f>
        <v xml:space="preserve">فك و إزالة  مجاري الهواء من الصفائح المعدنية المجلفنة شامل الاكواع و التفريعات و التحويله و العامة وحاملة التعليق و الترحيل إلى مستودعات الجهة مالكة المشروع بمدينة الرياض  </v>
      </c>
      <c r="F269" s="23" t="str">
        <f>IF(C269="استحداث بند جديد", "", IF(D269&lt;&gt;"", IFERROR(INDEX('بنود العقد'!D$3:D$388,D269), ""), ""))</f>
        <v>م.ط</v>
      </c>
      <c r="G269" s="24">
        <f>IF(C269="استحداث بند جديد", "", IF(D269&lt;&gt;"", IFERROR(INDEX('بنود العقد'!E$3:E$388,D269), 0), ""))</f>
        <v>106</v>
      </c>
      <c r="H269" s="7">
        <v>11114.42</v>
      </c>
      <c r="I269" s="8">
        <v>120</v>
      </c>
      <c r="J269" s="10">
        <f t="shared" si="0"/>
        <v>1178128.52</v>
      </c>
      <c r="K269" s="74" t="str">
        <f>IF(C269="استحداث بند جديد", "", IF(D269&lt;&gt;"", IFERROR(INDEX('بنود العقد'!C$3:C$388,D269), ""), ""))</f>
        <v>صحي</v>
      </c>
      <c r="L269" s="74" t="str">
        <f>IF(C269="استحداث بند جديد", IF(K269&lt;&gt;"","CMH_01-"&amp;IFERROR(VLOOKUP(K269,مراجع!$A$3:$B$14,2,FALSE),"?")&amp;"-NEW-"&amp;TEXT(A269,"000"),""), IF(D269&lt;&gt;"", IFERROR(INDEX('بنود العقد'!I$3:I$388,D269), ""), ""))</f>
        <v>CMH_01-PL-343</v>
      </c>
      <c r="M269" s="19"/>
    </row>
    <row r="270" spans="1:13" ht="28.2" customHeight="1">
      <c r="A270" s="12">
        <v>268</v>
      </c>
      <c r="B270" s="6">
        <v>1</v>
      </c>
      <c r="C270" s="6" t="s">
        <v>175</v>
      </c>
      <c r="D270" s="6">
        <v>344</v>
      </c>
      <c r="E270" s="22" t="str">
        <f>IF(C270="استحداث بند جديد", "", IF(D270&lt;&gt;"", IFERROR(INDEX('بنود العقد'!B$3:B$388,D270), "⚠"), ""))</f>
        <v xml:space="preserve">تصنيع و توريد و تركيب شباك دبل أكشن (Tilt &amp;turn)مقاس
 (1.0متر *3.0متر ) ثابت مع مفصلات </v>
      </c>
      <c r="F270" s="23" t="str">
        <f>IF(C270="استحداث بند جديد", "", IF(D270&lt;&gt;"", IFERROR(INDEX('بنود العقد'!D$3:D$388,D270), ""), ""))</f>
        <v>م²</v>
      </c>
      <c r="G270" s="24">
        <f>IF(C270="استحداث بند جديد", "", IF(D270&lt;&gt;"", IFERROR(INDEX('بنود العقد'!E$3:E$388,D270), 0), ""))</f>
        <v>1665</v>
      </c>
      <c r="H270" s="7">
        <v>60</v>
      </c>
      <c r="I270" s="8">
        <v>120</v>
      </c>
      <c r="J270" s="10">
        <f t="shared" si="0"/>
        <v>99900</v>
      </c>
      <c r="K270" s="74" t="str">
        <f>IF(C270="استحداث بند جديد", "", IF(D270&lt;&gt;"", IFERROR(INDEX('بنود العقد'!C$3:C$388,D270), ""), ""))</f>
        <v>معماري</v>
      </c>
      <c r="L270" s="74" t="str">
        <f>IF(C270="استحداث بند جديد", IF(K270&lt;&gt;"","CMH_01-"&amp;IFERROR(VLOOKUP(K270,مراجع!$A$3:$B$14,2,FALSE),"?")&amp;"-NEW-"&amp;TEXT(A270,"000"),""), IF(D270&lt;&gt;"", IFERROR(INDEX('بنود العقد'!I$3:I$388,D270), ""), ""))</f>
        <v>CMH_01-A-344</v>
      </c>
      <c r="M270" s="19"/>
    </row>
    <row r="271" spans="1:13" ht="28.2" customHeight="1">
      <c r="A271" s="12">
        <v>269</v>
      </c>
      <c r="B271" s="6">
        <v>1</v>
      </c>
      <c r="C271" s="6" t="s">
        <v>175</v>
      </c>
      <c r="D271" s="6">
        <v>345</v>
      </c>
      <c r="E271" s="22" t="str">
        <f>IF(C271="استحداث بند جديد", "", IF(D271&lt;&gt;"", IFERROR(INDEX('بنود العقد'!B$3:B$388,D271), "⚠"), ""))</f>
        <v xml:space="preserve">تصنيع و توريد و تركيب شباك دبل أكشن (Tilt &amp;turn)مقاس
 1.0 متر * 4.40متر ) ثابت مع مفصلات </v>
      </c>
      <c r="F271" s="23" t="str">
        <f>IF(C271="استحداث بند جديد", "", IF(D271&lt;&gt;"", IFERROR(INDEX('بنود العقد'!D$3:D$388,D271), ""), ""))</f>
        <v>م²</v>
      </c>
      <c r="G271" s="24">
        <f>IF(C271="استحداث بند جديد", "", IF(D271&lt;&gt;"", IFERROR(INDEX('بنود العقد'!E$3:E$388,D271), 0), ""))</f>
        <v>1665</v>
      </c>
      <c r="H271" s="7">
        <v>13.2</v>
      </c>
      <c r="I271" s="8">
        <v>120</v>
      </c>
      <c r="J271" s="10">
        <f t="shared" si="0"/>
        <v>21978</v>
      </c>
      <c r="K271" s="74" t="str">
        <f>IF(C271="استحداث بند جديد", "", IF(D271&lt;&gt;"", IFERROR(INDEX('بنود العقد'!C$3:C$388,D271), ""), ""))</f>
        <v>معماري</v>
      </c>
      <c r="L271" s="74" t="str">
        <f>IF(C271="استحداث بند جديد", IF(K271&lt;&gt;"","CMH_01-"&amp;IFERROR(VLOOKUP(K271,مراجع!$A$3:$B$14,2,FALSE),"?")&amp;"-NEW-"&amp;TEXT(A271,"000"),""), IF(D271&lt;&gt;"", IFERROR(INDEX('بنود العقد'!I$3:I$388,D271), ""), ""))</f>
        <v>CMH_01-A-345</v>
      </c>
      <c r="M271" s="19"/>
    </row>
    <row r="272" spans="1:13" ht="28.2" customHeight="1">
      <c r="A272" s="12">
        <v>270</v>
      </c>
      <c r="B272" s="6">
        <v>1</v>
      </c>
      <c r="C272" s="6" t="s">
        <v>175</v>
      </c>
      <c r="D272" s="6">
        <v>346</v>
      </c>
      <c r="E272" s="22" t="str">
        <f>IF(C272="استحداث بند جديد", "", IF(D272&lt;&gt;"", IFERROR(INDEX('بنود العقد'!B$3:B$388,D272), "⚠"), ""))</f>
        <v xml:space="preserve">
توريد وتركيب مرحاض افرنجي مثبت على الحائط  مع محبس دفق (Flush valve)  مع زر دفق من الكروم ، مع غطاء للمرحاض مقاوم للبكتريا من نوع soft closing</v>
      </c>
      <c r="F272" s="23" t="str">
        <f>IF(C272="استحداث بند جديد", "", IF(D272&lt;&gt;"", IFERROR(INDEX('بنود العقد'!D$3:D$388,D272), ""), ""))</f>
        <v>عدد</v>
      </c>
      <c r="G272" s="24">
        <f>IF(C272="استحداث بند جديد", "", IF(D272&lt;&gt;"", IFERROR(INDEX('بنود العقد'!E$3:E$388,D272), 0), ""))</f>
        <v>2408.39</v>
      </c>
      <c r="H272" s="7">
        <v>83</v>
      </c>
      <c r="I272" s="8">
        <v>120</v>
      </c>
      <c r="J272" s="10">
        <f t="shared" si="0"/>
        <v>199896.37</v>
      </c>
      <c r="K272" s="74" t="str">
        <f>IF(C272="استحداث بند جديد", "", IF(D272&lt;&gt;"", IFERROR(INDEX('بنود العقد'!C$3:C$388,D272), ""), ""))</f>
        <v>صحي</v>
      </c>
      <c r="L272" s="74" t="str">
        <f>IF(C272="استحداث بند جديد", IF(K272&lt;&gt;"","CMH_01-"&amp;IFERROR(VLOOKUP(K272,مراجع!$A$3:$B$14,2,FALSE),"?")&amp;"-NEW-"&amp;TEXT(A272,"000"),""), IF(D272&lt;&gt;"", IFERROR(INDEX('بنود العقد'!I$3:I$388,D272), ""), ""))</f>
        <v>CMH_01-PL-346</v>
      </c>
      <c r="M272" s="19"/>
    </row>
    <row r="273" spans="1:13" ht="28.2" customHeight="1">
      <c r="A273" s="12">
        <v>271</v>
      </c>
      <c r="B273" s="6">
        <v>1</v>
      </c>
      <c r="C273" s="6" t="s">
        <v>175</v>
      </c>
      <c r="D273" s="6">
        <v>347</v>
      </c>
      <c r="E273" s="22" t="str">
        <f>IF(C273="استحداث بند جديد", "", IF(D273&lt;&gt;"", IFERROR(INDEX('بنود العقد'!B$3:B$388,D273), "⚠"), ""))</f>
        <v xml:space="preserve">
توريد وتركيب مرحاض افرنجي مثبت على الحائط  مع محبس دفق (Flush valve) مزود بحساس مع زر دفق من الكروم، مع غطاء للمرحاض مقاوم للبكتريا من نوع soft closing</v>
      </c>
      <c r="F273" s="23" t="str">
        <f>IF(C273="استحداث بند جديد", "", IF(D273&lt;&gt;"", IFERROR(INDEX('بنود العقد'!D$3:D$388,D273), ""), ""))</f>
        <v>عدد</v>
      </c>
      <c r="G273" s="24">
        <f>IF(C273="استحداث بند جديد", "", IF(D273&lt;&gt;"", IFERROR(INDEX('بنود العقد'!E$3:E$388,D273), 0), ""))</f>
        <v>4186.79</v>
      </c>
      <c r="H273" s="7">
        <v>25</v>
      </c>
      <c r="I273" s="8">
        <v>120</v>
      </c>
      <c r="J273" s="10">
        <f t="shared" si="0"/>
        <v>104669.75</v>
      </c>
      <c r="K273" s="74" t="str">
        <f>IF(C273="استحداث بند جديد", "", IF(D273&lt;&gt;"", IFERROR(INDEX('بنود العقد'!C$3:C$388,D273), ""), ""))</f>
        <v>صحي</v>
      </c>
      <c r="L273" s="74" t="str">
        <f>IF(C273="استحداث بند جديد", IF(K273&lt;&gt;"","CMH_01-"&amp;IFERROR(VLOOKUP(K273,مراجع!$A$3:$B$14,2,FALSE),"?")&amp;"-NEW-"&amp;TEXT(A273,"000"),""), IF(D273&lt;&gt;"", IFERROR(INDEX('بنود العقد'!I$3:I$388,D273), ""), ""))</f>
        <v>CMH_01-PL-347</v>
      </c>
      <c r="M273" s="19"/>
    </row>
    <row r="274" spans="1:13" ht="28.2" customHeight="1">
      <c r="A274" s="12">
        <v>272</v>
      </c>
      <c r="B274" s="6">
        <v>1</v>
      </c>
      <c r="C274" s="6" t="s">
        <v>175</v>
      </c>
      <c r="D274" s="6">
        <v>348</v>
      </c>
      <c r="E274" s="22" t="str">
        <f>IF(C274="استحداث بند جديد", "", IF(D274&lt;&gt;"", IFERROR(INDEX('بنود العقد'!B$3:B$388,D274), "⚠"), ""))</f>
        <v>توريد وتركيب برادات مياة حسب العينة المعتمدة ويتم التركيب طبقاً للمخططات والمواصفات الفنية وبحسب توجيهات واعتماد المهندس المشرف.</v>
      </c>
      <c r="F274" s="23" t="str">
        <f>IF(C274="استحداث بند جديد", "", IF(D274&lt;&gt;"", IFERROR(INDEX('بنود العقد'!D$3:D$388,D274), ""), ""))</f>
        <v>عدد</v>
      </c>
      <c r="G274" s="24">
        <f>IF(C274="استحداث بند جديد", "", IF(D274&lt;&gt;"", IFERROR(INDEX('بنود العقد'!E$3:E$388,D274), 0), ""))</f>
        <v>12600</v>
      </c>
      <c r="H274" s="7">
        <v>23</v>
      </c>
      <c r="I274" s="8">
        <v>120</v>
      </c>
      <c r="J274" s="10">
        <f t="shared" si="0"/>
        <v>289800</v>
      </c>
      <c r="K274" s="74" t="str">
        <f>IF(C274="استحداث بند جديد", "", IF(D274&lt;&gt;"", IFERROR(INDEX('بنود العقد'!C$3:C$388,D274), ""), ""))</f>
        <v>ميكانيكا</v>
      </c>
      <c r="L274" s="74" t="str">
        <f>IF(C274="استحداث بند جديد", IF(K274&lt;&gt;"","CMH_01-"&amp;IFERROR(VLOOKUP(K274,مراجع!$A$3:$B$14,2,FALSE),"?")&amp;"-NEW-"&amp;TEXT(A274,"000"),""), IF(D274&lt;&gt;"", IFERROR(INDEX('بنود العقد'!I$3:I$388,D274), ""), ""))</f>
        <v>CMH_01-ME-348</v>
      </c>
      <c r="M274" s="19"/>
    </row>
    <row r="275" spans="1:13" ht="28.2" customHeight="1">
      <c r="A275" s="12">
        <v>273</v>
      </c>
      <c r="B275" s="6">
        <v>1</v>
      </c>
      <c r="C275" s="6" t="s">
        <v>175</v>
      </c>
      <c r="D275" s="6">
        <v>349</v>
      </c>
      <c r="E275" s="22" t="str">
        <f>IF(C275="استحداث بند جديد", "", IF(D275&lt;&gt;"", IFERROR(INDEX('بنود العقد'!B$3:B$388,D275), "⚠"), ""))</f>
        <v xml:space="preserve"> توريد و تركيب مراوح سحب الهواء (AXIAL INLINE FAN)  تشمل عمليات التوريد و التركيب و الاختبار و التثبيت  سعة 100 قدم مكعب بالدقيقة بالدور الثالث والرابع والخامس</v>
      </c>
      <c r="F275" s="23" t="str">
        <f>IF(C275="استحداث بند جديد", "", IF(D275&lt;&gt;"", IFERROR(INDEX('بنود العقد'!D$3:D$388,D275), ""), ""))</f>
        <v>عدد</v>
      </c>
      <c r="G275" s="24">
        <f>IF(C275="استحداث بند جديد", "", IF(D275&lt;&gt;"", IFERROR(INDEX('بنود العقد'!E$3:E$388,D275), 0), ""))</f>
        <v>1160.4000000000001</v>
      </c>
      <c r="H275" s="7">
        <v>9</v>
      </c>
      <c r="I275" s="8">
        <v>120</v>
      </c>
      <c r="J275" s="10">
        <f t="shared" si="0"/>
        <v>10443.6</v>
      </c>
      <c r="K275" s="74" t="str">
        <f>IF(C275="استحداث بند جديد", "", IF(D275&lt;&gt;"", IFERROR(INDEX('بنود العقد'!C$3:C$388,D275), ""), ""))</f>
        <v>تكييف</v>
      </c>
      <c r="L275" s="74" t="str">
        <f>IF(C275="استحداث بند جديد", IF(K275&lt;&gt;"","CMH_01-"&amp;IFERROR(VLOOKUP(K275,مراجع!$A$3:$B$14,2,FALSE),"?")&amp;"-NEW-"&amp;TEXT(A275,"000"),""), IF(D275&lt;&gt;"", IFERROR(INDEX('بنود العقد'!I$3:I$388,D275), ""), ""))</f>
        <v>CMH_01-HV-349</v>
      </c>
      <c r="M275" s="19"/>
    </row>
    <row r="276" spans="1:13" ht="28.2" customHeight="1">
      <c r="A276" s="12">
        <v>274</v>
      </c>
      <c r="B276" s="6">
        <v>1</v>
      </c>
      <c r="C276" s="6" t="s">
        <v>175</v>
      </c>
      <c r="D276" s="6">
        <v>350</v>
      </c>
      <c r="E276" s="22" t="str">
        <f>IF(C276="استحداث بند جديد", "", IF(D276&lt;&gt;"", IFERROR(INDEX('بنود العقد'!B$3:B$388,D276), "⚠"), ""))</f>
        <v xml:space="preserve">توريد وتركيب  
سماعة معلقة 6 وات لون اسود مع الكابلات والتمديدات  حسب المخططات   والبند يشمل جميع التمديدات المواسير للسماعات قطر 3/4  بوصة من الEMT  وسحب الاسلاك  الخاصة بنظام الصوت. </v>
      </c>
      <c r="F276" s="23" t="str">
        <f>IF(C276="استحداث بند جديد", "", IF(D276&lt;&gt;"", IFERROR(INDEX('بنود العقد'!D$3:D$388,D276), ""), ""))</f>
        <v>عدد</v>
      </c>
      <c r="G276" s="24">
        <f>IF(C276="استحداث بند جديد", "", IF(D276&lt;&gt;"", IFERROR(INDEX('بنود العقد'!E$3:E$388,D276), 0), ""))</f>
        <v>1380</v>
      </c>
      <c r="H276" s="7">
        <v>133</v>
      </c>
      <c r="I276" s="8">
        <v>120</v>
      </c>
      <c r="J276" s="10">
        <f t="shared" si="0"/>
        <v>183540</v>
      </c>
      <c r="K276" s="74" t="str">
        <f>IF(C276="استحداث بند جديد", "", IF(D276&lt;&gt;"", IFERROR(INDEX('بنود العقد'!C$3:C$388,D276), ""), ""))</f>
        <v>كهرباء</v>
      </c>
      <c r="L276" s="74" t="str">
        <f>IF(C276="استحداث بند جديد", IF(K276&lt;&gt;"","CMH_01-"&amp;IFERROR(VLOOKUP(K276,مراجع!$A$3:$B$14,2,FALSE),"?")&amp;"-NEW-"&amp;TEXT(A276,"000"),""), IF(D276&lt;&gt;"", IFERROR(INDEX('بنود العقد'!I$3:I$388,D276), ""), ""))</f>
        <v>CMH_01-EE-350</v>
      </c>
      <c r="M276" s="19"/>
    </row>
    <row r="277" spans="1:13" ht="28.2" customHeight="1">
      <c r="A277" s="12">
        <v>275</v>
      </c>
      <c r="B277" s="6">
        <v>1</v>
      </c>
      <c r="C277" s="6" t="s">
        <v>175</v>
      </c>
      <c r="D277" s="6">
        <v>351</v>
      </c>
      <c r="E277" s="22" t="str">
        <f>IF(C277="استحداث بند جديد", "", IF(D277&lt;&gt;"", IFERROR(INDEX('بنود العقد'!B$3:B$388,D277), "⚠"), ""))</f>
        <v>توريد وتركيب وفرد دهان ايبوكسي لزوم الدربزينات بالفناء الوسطي و البهو الداخلي بين الادوار و المدخل ويتم التركيب طبقاً للمخططات والمواصفات الفنية و المواد المعتمدة  .</v>
      </c>
      <c r="F277" s="23" t="str">
        <f>IF(C277="استحداث بند جديد", "", IF(D277&lt;&gt;"", IFERROR(INDEX('بنود العقد'!D$3:D$388,D277), ""), ""))</f>
        <v>م.ط</v>
      </c>
      <c r="G277" s="24">
        <f>IF(C277="استحداث بند جديد", "", IF(D277&lt;&gt;"", IFERROR(INDEX('بنود العقد'!E$3:E$388,D277), 0), ""))</f>
        <v>45</v>
      </c>
      <c r="H277" s="7">
        <v>835.52</v>
      </c>
      <c r="I277" s="8">
        <v>120</v>
      </c>
      <c r="J277" s="10">
        <f t="shared" si="0"/>
        <v>37598.400000000001</v>
      </c>
      <c r="K277" s="74" t="str">
        <f>IF(C277="استحداث بند جديد", "", IF(D277&lt;&gt;"", IFERROR(INDEX('بنود العقد'!C$3:C$388,D277), ""), ""))</f>
        <v>معماري</v>
      </c>
      <c r="L277" s="74" t="str">
        <f>IF(C277="استحداث بند جديد", IF(K277&lt;&gt;"","CMH_01-"&amp;IFERROR(VLOOKUP(K277,مراجع!$A$3:$B$14,2,FALSE),"?")&amp;"-NEW-"&amp;TEXT(A277,"000"),""), IF(D277&lt;&gt;"", IFERROR(INDEX('بنود العقد'!I$3:I$388,D277), ""), ""))</f>
        <v>CMH_01-A-351</v>
      </c>
      <c r="M277" s="19"/>
    </row>
    <row r="278" spans="1:13" ht="28.2" customHeight="1">
      <c r="A278" s="12">
        <v>276</v>
      </c>
      <c r="B278" s="6">
        <v>1</v>
      </c>
      <c r="C278" s="6" t="s">
        <v>175</v>
      </c>
      <c r="D278" s="6">
        <v>352</v>
      </c>
      <c r="E278" s="22" t="str">
        <f>IF(C278="استحداث بند جديد", "", IF(D278&lt;&gt;"", IFERROR(INDEX('بنود العقد'!B$3:B$388,D278), "⚠"), ""))</f>
        <v>توريد وتركيب ابواب خشبيةWD02 حسب العينة المعتمدة ويتم التركيب طبقاً للمخططات والمواصفات الفنية وبحسب توجيهات واعتماد المهندس المشرف.</v>
      </c>
      <c r="F278" s="23" t="str">
        <f>IF(C278="استحداث بند جديد", "", IF(D278&lt;&gt;"", IFERROR(INDEX('بنود العقد'!D$3:D$388,D278), ""), ""))</f>
        <v>عدد</v>
      </c>
      <c r="G278" s="24">
        <f>IF(C278="استحداث بند جديد", "", IF(D278&lt;&gt;"", IFERROR(INDEX('بنود العقد'!E$3:E$388,D278), 0), ""))</f>
        <v>16800</v>
      </c>
      <c r="H278" s="7">
        <v>14</v>
      </c>
      <c r="I278" s="8">
        <v>120</v>
      </c>
      <c r="J278" s="10">
        <f t="shared" si="0"/>
        <v>235200</v>
      </c>
      <c r="K278" s="74" t="str">
        <f>IF(C278="استحداث بند جديد", "", IF(D278&lt;&gt;"", IFERROR(INDEX('بنود العقد'!C$3:C$388,D278), ""), ""))</f>
        <v>معماري</v>
      </c>
      <c r="L278" s="74" t="str">
        <f>IF(C278="استحداث بند جديد", IF(K278&lt;&gt;"","CMH_01-"&amp;IFERROR(VLOOKUP(K278,مراجع!$A$3:$B$14,2,FALSE),"?")&amp;"-NEW-"&amp;TEXT(A278,"000"),""), IF(D278&lt;&gt;"", IFERROR(INDEX('بنود العقد'!I$3:I$388,D278), ""), ""))</f>
        <v>CMH_01-A-352</v>
      </c>
      <c r="M278" s="19"/>
    </row>
    <row r="279" spans="1:13" ht="28.2" customHeight="1">
      <c r="A279" s="12">
        <v>277</v>
      </c>
      <c r="B279" s="6">
        <v>1</v>
      </c>
      <c r="C279" s="6" t="s">
        <v>175</v>
      </c>
      <c r="D279" s="6">
        <v>353</v>
      </c>
      <c r="E279" s="22" t="str">
        <f>IF(C279="استحداث بند جديد", "", IF(D279&lt;&gt;"", IFERROR(INDEX('بنود العقد'!B$3:B$388,D279),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والمنحنيات والتفريعات والدعامات ، كما هو مبين في المخططات لتركيب مايلي من الأقطار الداخلية مع ربطه بالشبكة الحالية لاقرب نقطة و على المقاول تقديم المخططات التنفيذية و الحسابات الهيدروليكية و اعتمادها قبل البدأ بتنفيذ الاعمال من المهندس المشرف للاقطار  الداخلية :
قطر 75 مم</v>
      </c>
      <c r="F279" s="23" t="str">
        <f>IF(C279="استحداث بند جديد", "", IF(D279&lt;&gt;"", IFERROR(INDEX('بنود العقد'!D$3:D$388,D279), ""), ""))</f>
        <v>م.ط</v>
      </c>
      <c r="G279" s="24">
        <f>IF(C279="استحداث بند جديد", "", IF(D279&lt;&gt;"", IFERROR(INDEX('بنود العقد'!E$3:E$388,D279), 0), ""))</f>
        <v>298</v>
      </c>
      <c r="H279" s="7">
        <v>128</v>
      </c>
      <c r="I279" s="8">
        <v>120</v>
      </c>
      <c r="J279" s="10">
        <f t="shared" si="0"/>
        <v>38144</v>
      </c>
      <c r="K279" s="74" t="str">
        <f>IF(C279="استحداث بند جديد", "", IF(D279&lt;&gt;"", IFERROR(INDEX('بنود العقد'!C$3:C$388,D279), ""), ""))</f>
        <v>ميكانيكا</v>
      </c>
      <c r="L279" s="74" t="str">
        <f>IF(C279="استحداث بند جديد", IF(K279&lt;&gt;"","CMH_01-"&amp;IFERROR(VLOOKUP(K279,مراجع!$A$3:$B$14,2,FALSE),"?")&amp;"-NEW-"&amp;TEXT(A279,"000"),""), IF(D279&lt;&gt;"", IFERROR(INDEX('بنود العقد'!I$3:I$388,D279), ""), ""))</f>
        <v>CMH_01-ME-353</v>
      </c>
      <c r="M279" s="19"/>
    </row>
    <row r="280" spans="1:13" s="74" customFormat="1" ht="28.2" customHeight="1">
      <c r="A280" s="12">
        <v>278</v>
      </c>
      <c r="B280" s="6">
        <v>1</v>
      </c>
      <c r="C280" s="6" t="s">
        <v>175</v>
      </c>
      <c r="D280" s="6">
        <v>354</v>
      </c>
      <c r="E280" s="22" t="str">
        <f>IF(C280="استحداث بند جديد", "", IF(D280&lt;&gt;"", IFERROR(INDEX('بنود العقد'!B$3:B$388,D280),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والمنحنيات والتفريعات والدعامات ، كما هو مبين في المخططات لتركيب مايلي من الأقطار الداخلية مع ربطه بالشبكة الحالية لاقرب نقطة و على المقاول تقديم المخططات التنفيذية و الحسابات الهيدروليكية و اعتمادها قبل البدأ بتنفيذ الاعمال من المهندس المشرف للاقطار  الداخلية :
قطر 63 مم</v>
      </c>
      <c r="F280" s="23" t="str">
        <f>IF(C280="استحداث بند جديد", "", IF(D280&lt;&gt;"", IFERROR(INDEX('بنود العقد'!D$3:D$388,D280), ""), ""))</f>
        <v>م.ط</v>
      </c>
      <c r="G280" s="24">
        <f>IF(C280="استحداث بند جديد", "", IF(D280&lt;&gt;"", IFERROR(INDEX('بنود العقد'!E$3:E$388,D280), 0), ""))</f>
        <v>179</v>
      </c>
      <c r="H280" s="7">
        <v>40</v>
      </c>
      <c r="I280" s="8">
        <v>120</v>
      </c>
      <c r="J280" s="10">
        <f t="shared" si="0"/>
        <v>7160</v>
      </c>
      <c r="K280" s="74" t="str">
        <f>IF(C280="استحداث بند جديد", "", IF(D280&lt;&gt;"", IFERROR(INDEX('بنود العقد'!C$3:C$388,D280), ""), ""))</f>
        <v>ميكانيكا</v>
      </c>
      <c r="L280" s="74" t="str">
        <f>IF(C280="استحداث بند جديد", IF(K280&lt;&gt;"","CMH_01-"&amp;IFERROR(VLOOKUP(K280,مراجع!$A$3:$B$14,2,FALSE),"?")&amp;"-NEW-"&amp;TEXT(A280,"000"),""), IF(D280&lt;&gt;"", IFERROR(INDEX('بنود العقد'!I$3:I$388,D280), ""), ""))</f>
        <v>CMH_01-ME-354</v>
      </c>
      <c r="M280" s="19"/>
    </row>
    <row r="281" spans="1:13" s="74" customFormat="1" ht="28.2" customHeight="1">
      <c r="A281" s="12">
        <v>279</v>
      </c>
      <c r="B281" s="6">
        <v>1</v>
      </c>
      <c r="C281" s="6" t="s">
        <v>175</v>
      </c>
      <c r="D281" s="6">
        <v>355</v>
      </c>
      <c r="E281" s="22" t="str">
        <f>IF(C281="استحداث بند جديد", "", IF(D281&lt;&gt;"", IFERROR(INDEX('بنود العقد'!B$3:B$388,D281), "⚠"), ""))</f>
        <v>توريد وتركيب محبس بوابة (GATE VALVE) يركب علي شبكة المواسير داخل المبني ، والبند يشمل جميع القطع والتوصيلات اللازمة للتركيب وذلك للأقطار التالية:
قطر 3 بوصة</v>
      </c>
      <c r="F281" s="23" t="str">
        <f>IF(C281="استحداث بند جديد", "", IF(D281&lt;&gt;"", IFERROR(INDEX('بنود العقد'!D$3:D$388,D281), ""), ""))</f>
        <v>عدد</v>
      </c>
      <c r="G281" s="24">
        <f>IF(C281="استحداث بند جديد", "", IF(D281&lt;&gt;"", IFERROR(INDEX('بنود العقد'!E$3:E$388,D281), 0), ""))</f>
        <v>2180</v>
      </c>
      <c r="H281" s="7">
        <v>4</v>
      </c>
      <c r="I281" s="8">
        <v>120</v>
      </c>
      <c r="J281" s="10">
        <f t="shared" si="0"/>
        <v>8720</v>
      </c>
      <c r="K281" s="74" t="str">
        <f>IF(C281="استحداث بند جديد", "", IF(D281&lt;&gt;"", IFERROR(INDEX('بنود العقد'!C$3:C$388,D281), ""), ""))</f>
        <v>ميكانيكا</v>
      </c>
      <c r="L281" s="74" t="str">
        <f>IF(C281="استحداث بند جديد", IF(K281&lt;&gt;"","CMH_01-"&amp;IFERROR(VLOOKUP(K281,مراجع!$A$3:$B$14,2,FALSE),"?")&amp;"-NEW-"&amp;TEXT(A281,"000"),""), IF(D281&lt;&gt;"", IFERROR(INDEX('بنود العقد'!I$3:I$388,D281), ""), ""))</f>
        <v>CMH_01-ME-355</v>
      </c>
      <c r="M281" s="19"/>
    </row>
    <row r="282" spans="1:13" s="74" customFormat="1" ht="28.2" customHeight="1">
      <c r="A282" s="12">
        <v>280</v>
      </c>
      <c r="B282" s="6">
        <v>1</v>
      </c>
      <c r="C282" s="6" t="s">
        <v>175</v>
      </c>
      <c r="D282" s="6">
        <v>356</v>
      </c>
      <c r="E282" s="22" t="str">
        <f>IF(C282="استحداث بند جديد", "", IF(D282&lt;&gt;"", IFERROR(INDEX('بنود العقد'!B$3:B$388,D282), "⚠"), ""))</f>
        <v>توريد وتركيب محبس بوابة (GATE VALVE) يركب علي شبكة المواسير داخل المبني ، والبند يشمل جميع القطع والتوصيلات اللازمة للتركيب وذلك للأقطار التالية:
قطر 2.5 بوصة</v>
      </c>
      <c r="F282" s="23" t="str">
        <f>IF(C282="استحداث بند جديد", "", IF(D282&lt;&gt;"", IFERROR(INDEX('بنود العقد'!D$3:D$388,D282), ""), ""))</f>
        <v>عدد</v>
      </c>
      <c r="G282" s="24">
        <f>IF(C282="استحداث بند جديد", "", IF(D282&lt;&gt;"", IFERROR(INDEX('بنود العقد'!E$3:E$388,D282), 0), ""))</f>
        <v>1663</v>
      </c>
      <c r="H282" s="7">
        <v>27</v>
      </c>
      <c r="I282" s="8">
        <v>120</v>
      </c>
      <c r="J282" s="10">
        <f t="shared" si="0"/>
        <v>44901</v>
      </c>
      <c r="K282" s="74" t="str">
        <f>IF(C282="استحداث بند جديد", "", IF(D282&lt;&gt;"", IFERROR(INDEX('بنود العقد'!C$3:C$388,D282), ""), ""))</f>
        <v>ميكانيكا</v>
      </c>
      <c r="L282" s="74" t="str">
        <f>IF(C282="استحداث بند جديد", IF(K282&lt;&gt;"","CMH_01-"&amp;IFERROR(VLOOKUP(K282,مراجع!$A$3:$B$14,2,FALSE),"?")&amp;"-NEW-"&amp;TEXT(A282,"000"),""), IF(D282&lt;&gt;"", IFERROR(INDEX('بنود العقد'!I$3:I$388,D282), ""), ""))</f>
        <v>CMH_01-ME-356</v>
      </c>
      <c r="M282" s="19"/>
    </row>
    <row r="283" spans="1:13" s="74" customFormat="1" ht="28.2" customHeight="1">
      <c r="A283" s="12">
        <v>281</v>
      </c>
      <c r="B283" s="6">
        <v>1</v>
      </c>
      <c r="C283" s="6" t="s">
        <v>175</v>
      </c>
      <c r="D283" s="6">
        <v>357</v>
      </c>
      <c r="E283" s="22" t="str">
        <f>IF(C283="استحداث بند جديد", "", IF(D283&lt;&gt;"", IFERROR(INDEX('بنود العقد'!B$3:B$388,D283), "⚠"), ""))</f>
        <v>توريد وتركيب محبس بوابة (GATE VALVE) يركب علي شبكة المواسير داخل المبني ، والبند يشمل جميع القطع والتوصيلات اللازمة للتركيب وذلك للأقطار التالية:
قطر 1.25 بوصة</v>
      </c>
      <c r="F283" s="23" t="str">
        <f>IF(C283="استحداث بند جديد", "", IF(D283&lt;&gt;"", IFERROR(INDEX('بنود العقد'!D$3:D$388,D283), ""), ""))</f>
        <v>عدد</v>
      </c>
      <c r="G283" s="24">
        <f>IF(C283="استحداث بند جديد", "", IF(D283&lt;&gt;"", IFERROR(INDEX('بنود العقد'!E$3:E$388,D283), 0), ""))</f>
        <v>621</v>
      </c>
      <c r="H283" s="7">
        <v>29</v>
      </c>
      <c r="I283" s="8">
        <v>120</v>
      </c>
      <c r="J283" s="10">
        <f t="shared" si="0"/>
        <v>18009</v>
      </c>
      <c r="K283" s="74" t="str">
        <f>IF(C283="استحداث بند جديد", "", IF(D283&lt;&gt;"", IFERROR(INDEX('بنود العقد'!C$3:C$388,D283), ""), ""))</f>
        <v>ميكانيكا</v>
      </c>
      <c r="L283" s="74" t="str">
        <f>IF(C283="استحداث بند جديد", IF(K283&lt;&gt;"","CMH_01-"&amp;IFERROR(VLOOKUP(K283,مراجع!$A$3:$B$14,2,FALSE),"?")&amp;"-NEW-"&amp;TEXT(A283,"000"),""), IF(D283&lt;&gt;"", IFERROR(INDEX('بنود العقد'!I$3:I$388,D283), ""), ""))</f>
        <v>CMH_01-ME-357</v>
      </c>
      <c r="M283" s="19"/>
    </row>
    <row r="284" spans="1:13" s="74" customFormat="1" ht="28.2" customHeight="1">
      <c r="A284" s="12">
        <v>282</v>
      </c>
      <c r="B284" s="6">
        <v>1</v>
      </c>
      <c r="C284" s="6" t="s">
        <v>175</v>
      </c>
      <c r="D284" s="6">
        <v>358</v>
      </c>
      <c r="E284" s="22" t="str">
        <f>IF(C284="استحداث بند جديد", "", IF(D284&lt;&gt;"", IFERROR(INDEX('بنود العقد'!B$3:B$388,D284), "⚠"), ""))</f>
        <v>توريد وتركيب محبس تخفيض ضغط (PRV) يركب علي شبكة المواسير داخل المبني ، والبند يشمل جميع القطع والتوصيلات اللازمة للتركيب وذلك للأقطار التالية:
قطر 2 بوصة</v>
      </c>
      <c r="F284" s="23" t="str">
        <f>IF(C284="استحداث بند جديد", "", IF(D284&lt;&gt;"", IFERROR(INDEX('بنود العقد'!D$3:D$388,D284), ""), ""))</f>
        <v>عدد</v>
      </c>
      <c r="G284" s="24">
        <f>IF(C284="استحداث بند جديد", "", IF(D284&lt;&gt;"", IFERROR(INDEX('بنود العقد'!E$3:E$388,D284), 0), ""))</f>
        <v>1772</v>
      </c>
      <c r="H284" s="7">
        <v>29</v>
      </c>
      <c r="I284" s="8">
        <v>120</v>
      </c>
      <c r="J284" s="10">
        <f t="shared" si="0"/>
        <v>51388</v>
      </c>
      <c r="K284" s="74" t="str">
        <f>IF(C284="استحداث بند جديد", "", IF(D284&lt;&gt;"", IFERROR(INDEX('بنود العقد'!C$3:C$388,D284), ""), ""))</f>
        <v>ميكانيكا</v>
      </c>
      <c r="L284" s="74" t="str">
        <f>IF(C284="استحداث بند جديد", IF(K284&lt;&gt;"","CMH_01-"&amp;IFERROR(VLOOKUP(K284,مراجع!$A$3:$B$14,2,FALSE),"?")&amp;"-NEW-"&amp;TEXT(A284,"000"),""), IF(D284&lt;&gt;"", IFERROR(INDEX('بنود العقد'!I$3:I$388,D284), ""), ""))</f>
        <v>CMH_01-ME-358</v>
      </c>
      <c r="M284" s="19"/>
    </row>
    <row r="285" spans="1:13" s="74" customFormat="1" ht="28.2" customHeight="1">
      <c r="A285" s="12">
        <v>283</v>
      </c>
      <c r="B285" s="6">
        <v>1</v>
      </c>
      <c r="C285" s="6" t="s">
        <v>175</v>
      </c>
      <c r="D285" s="6">
        <v>359</v>
      </c>
      <c r="E285" s="22" t="str">
        <f>IF(C285="استحداث بند جديد", "", IF(D285&lt;&gt;"", IFERROR(INDEX('بنود العقد'!B$3:B$388,D285), "⚠"), ""))</f>
        <v>توريد وتركيب محبس تخفيض ضغط (PRV) يركب علي شبكة المواسير داخل المبني ، والبند يشمل جميع القطع والتوصيلات اللازمة للتركيب وذلك للأقطار التالية:
قطر 1.25 بوصة</v>
      </c>
      <c r="F285" s="23" t="str">
        <f>IF(C285="استحداث بند جديد", "", IF(D285&lt;&gt;"", IFERROR(INDEX('بنود العقد'!D$3:D$388,D285), ""), ""))</f>
        <v>عدد</v>
      </c>
      <c r="G285" s="24">
        <f>IF(C285="استحداث بند جديد", "", IF(D285&lt;&gt;"", IFERROR(INDEX('بنود العقد'!E$3:E$388,D285), 0), ""))</f>
        <v>772</v>
      </c>
      <c r="H285" s="7">
        <v>29</v>
      </c>
      <c r="I285" s="8">
        <v>120</v>
      </c>
      <c r="J285" s="10">
        <f t="shared" si="0"/>
        <v>22388</v>
      </c>
      <c r="K285" s="74" t="str">
        <f>IF(C285="استحداث بند جديد", "", IF(D285&lt;&gt;"", IFERROR(INDEX('بنود العقد'!C$3:C$388,D285), ""), ""))</f>
        <v>ميكانيكا</v>
      </c>
      <c r="L285" s="74" t="str">
        <f>IF(C285="استحداث بند جديد", IF(K285&lt;&gt;"","CMH_01-"&amp;IFERROR(VLOOKUP(K285,مراجع!$A$3:$B$14,2,FALSE),"?")&amp;"-NEW-"&amp;TEXT(A285,"000"),""), IF(D285&lt;&gt;"", IFERROR(INDEX('بنود العقد'!I$3:I$388,D285), ""), ""))</f>
        <v>CMH_01-ME-359</v>
      </c>
      <c r="M285" s="19"/>
    </row>
    <row r="286" spans="1:13" s="74" customFormat="1" ht="28.2" customHeight="1">
      <c r="A286" s="12">
        <v>284</v>
      </c>
      <c r="B286" s="6">
        <v>1</v>
      </c>
      <c r="C286" s="6" t="s">
        <v>175</v>
      </c>
      <c r="D286" s="6">
        <v>360</v>
      </c>
      <c r="E286" s="22" t="str">
        <f>IF(C286="استحداث بند جديد", "", IF(D286&lt;&gt;"", IFERROR(INDEX('بنود العقد'!B$3:B$388,D286), "⚠"), ""))</f>
        <v>توريد وتركيب محبس تنفيس الهواء (AUTOMATIC AIR VENT) يركب علي شبكة المواسير داخل المبني ، والبند يشمل جميع القطع والتوصيلات اللازمة للتركيب وذلك للأقطار التالية:
قطر 1 بوصة</v>
      </c>
      <c r="F286" s="23" t="str">
        <f>IF(C286="استحداث بند جديد", "", IF(D286&lt;&gt;"", IFERROR(INDEX('بنود العقد'!D$3:D$388,D286), ""), ""))</f>
        <v>عدد</v>
      </c>
      <c r="G286" s="24">
        <f>IF(C286="استحداث بند جديد", "", IF(D286&lt;&gt;"", IFERROR(INDEX('بنود العقد'!E$3:E$388,D286), 0), ""))</f>
        <v>90</v>
      </c>
      <c r="H286" s="7">
        <v>4</v>
      </c>
      <c r="I286" s="8">
        <v>120</v>
      </c>
      <c r="J286" s="10">
        <f t="shared" si="0"/>
        <v>360</v>
      </c>
      <c r="K286" s="74" t="str">
        <f>IF(C286="استحداث بند جديد", "", IF(D286&lt;&gt;"", IFERROR(INDEX('بنود العقد'!C$3:C$388,D286), ""), ""))</f>
        <v>ميكانيكا</v>
      </c>
      <c r="L286" s="74" t="str">
        <f>IF(C286="استحداث بند جديد", IF(K286&lt;&gt;"","CMH_01-"&amp;IFERROR(VLOOKUP(K286,مراجع!$A$3:$B$14,2,FALSE),"?")&amp;"-NEW-"&amp;TEXT(A286,"000"),""), IF(D286&lt;&gt;"", IFERROR(INDEX('بنود العقد'!I$3:I$388,D286), ""), ""))</f>
        <v>CMH_01-ME-360</v>
      </c>
      <c r="M286" s="19"/>
    </row>
    <row r="287" spans="1:13" s="74" customFormat="1" ht="28.2" customHeight="1">
      <c r="A287" s="12">
        <v>285</v>
      </c>
      <c r="B287" s="6">
        <v>1</v>
      </c>
      <c r="C287" s="6" t="s">
        <v>175</v>
      </c>
      <c r="D287" s="6">
        <v>361</v>
      </c>
      <c r="E287" s="22" t="str">
        <f>IF(C287="استحداث بند جديد", "", IF(D287&lt;&gt;"", IFERROR(INDEX('بنود العقد'!B$3:B$388,D287), "⚠"), ""))</f>
        <v>01-MT 02&amp; MT رخام مون ستون غراي رمادي فاتح و رمادي غامق 
مقاس  1200× 300 مم لمنطقة القهوة و المدخل سماكة 16مم .</v>
      </c>
      <c r="F287" s="23" t="str">
        <f>IF(C287="استحداث بند جديد", "", IF(D287&lt;&gt;"", IFERROR(INDEX('بنود العقد'!D$3:D$388,D287), ""), ""))</f>
        <v>م²</v>
      </c>
      <c r="G287" s="24">
        <f>IF(C287="استحداث بند جديد", "", IF(D287&lt;&gt;"", IFERROR(INDEX('بنود العقد'!E$3:E$388,D287), 0), ""))</f>
        <v>454</v>
      </c>
      <c r="H287" s="7">
        <v>510</v>
      </c>
      <c r="I287" s="8">
        <v>120</v>
      </c>
      <c r="J287" s="10">
        <f t="shared" si="0"/>
        <v>231540</v>
      </c>
      <c r="K287" s="74" t="str">
        <f>IF(C287="استحداث بند جديد", "", IF(D287&lt;&gt;"", IFERROR(INDEX('بنود العقد'!C$3:C$388,D287), ""), ""))</f>
        <v>معماري</v>
      </c>
      <c r="L287" s="74" t="str">
        <f>IF(C287="استحداث بند جديد", IF(K287&lt;&gt;"","CMH_01-"&amp;IFERROR(VLOOKUP(K287,مراجع!$A$3:$B$14,2,FALSE),"?")&amp;"-NEW-"&amp;TEXT(A287,"000"),""), IF(D287&lt;&gt;"", IFERROR(INDEX('بنود العقد'!I$3:I$388,D287), ""), ""))</f>
        <v>CMH_01-A-361</v>
      </c>
      <c r="M287" s="19"/>
    </row>
    <row r="288" spans="1:13" s="74" customFormat="1" ht="28.2" customHeight="1">
      <c r="A288" s="12">
        <v>286</v>
      </c>
      <c r="B288" s="6">
        <v>1</v>
      </c>
      <c r="C288" s="6" t="s">
        <v>175</v>
      </c>
      <c r="D288" s="6">
        <v>362</v>
      </c>
      <c r="E288" s="22" t="str">
        <f>IF(C288="استحداث بند جديد", "", IF(D288&lt;&gt;"", IFERROR(INDEX('بنود العقد'!B$3:B$388,D288), "⚠"), ""))</f>
        <v>01-MT 02&amp; MT رخام مون ستون غراي رمادي فاتح و رمادي غامق 
مقاس  1200× 300 مم لمنطقة القهوة و المدخل سماكة 30مم .</v>
      </c>
      <c r="F288" s="23" t="str">
        <f>IF(C288="استحداث بند جديد", "", IF(D288&lt;&gt;"", IFERROR(INDEX('بنود العقد'!D$3:D$388,D288), ""), ""))</f>
        <v>م²</v>
      </c>
      <c r="G288" s="24">
        <f>IF(C288="استحداث بند جديد", "", IF(D288&lt;&gt;"", IFERROR(INDEX('بنود العقد'!E$3:E$388,D288), 0), ""))</f>
        <v>609</v>
      </c>
      <c r="H288" s="7">
        <v>1400</v>
      </c>
      <c r="I288" s="8">
        <v>120</v>
      </c>
      <c r="J288" s="10">
        <f t="shared" si="0"/>
        <v>852600</v>
      </c>
      <c r="K288" s="74" t="str">
        <f>IF(C288="استحداث بند جديد", "", IF(D288&lt;&gt;"", IFERROR(INDEX('بنود العقد'!C$3:C$388,D288), ""), ""))</f>
        <v>معماري</v>
      </c>
      <c r="L288" s="74" t="str">
        <f>IF(C288="استحداث بند جديد", IF(K288&lt;&gt;"","CMH_01-"&amp;IFERROR(VLOOKUP(K288,مراجع!$A$3:$B$14,2,FALSE),"?")&amp;"-NEW-"&amp;TEXT(A288,"000"),""), IF(D288&lt;&gt;"", IFERROR(INDEX('بنود العقد'!I$3:I$388,D288), ""), ""))</f>
        <v>CMH_01-A-362</v>
      </c>
      <c r="M288" s="19"/>
    </row>
    <row r="289" spans="1:13" s="74" customFormat="1" ht="28.2" customHeight="1">
      <c r="A289" s="12">
        <v>287</v>
      </c>
      <c r="B289" s="6">
        <v>1</v>
      </c>
      <c r="C289" s="6" t="s">
        <v>175</v>
      </c>
      <c r="D289" s="6">
        <v>363</v>
      </c>
      <c r="E289" s="22" t="str">
        <f>IF(C289="استحداث بند جديد", "", IF(D289&lt;&gt;"", IFERROR(INDEX('بنود العقد'!B$3:B$388,D289), "⚠"), ""))</f>
        <v>رخام مون ستون غراي رمادي فاتح  الواح مقاس 1000× 1000 مم بحسب اعتماد المهندس المشرف للممرات  سماكة 30مم</v>
      </c>
      <c r="F289" s="23" t="str">
        <f>IF(C289="استحداث بند جديد", "", IF(D289&lt;&gt;"", IFERROR(INDEX('بنود العقد'!D$3:D$388,D289), ""), ""))</f>
        <v>م²</v>
      </c>
      <c r="G289" s="24">
        <f>IF(C289="استحداث بند جديد", "", IF(D289&lt;&gt;"", IFERROR(INDEX('بنود العقد'!E$3:E$388,D289), 0), ""))</f>
        <v>703</v>
      </c>
      <c r="H289" s="7">
        <v>100</v>
      </c>
      <c r="I289" s="8">
        <v>120</v>
      </c>
      <c r="J289" s="10">
        <f t="shared" si="0"/>
        <v>70300</v>
      </c>
      <c r="K289" s="74" t="str">
        <f>IF(C289="استحداث بند جديد", "", IF(D289&lt;&gt;"", IFERROR(INDEX('بنود العقد'!C$3:C$388,D289), ""), ""))</f>
        <v>معماري</v>
      </c>
      <c r="L289" s="74" t="str">
        <f>IF(C289="استحداث بند جديد", IF(K289&lt;&gt;"","CMH_01-"&amp;IFERROR(VLOOKUP(K289,مراجع!$A$3:$B$14,2,FALSE),"?")&amp;"-NEW-"&amp;TEXT(A289,"000"),""), IF(D289&lt;&gt;"", IFERROR(INDEX('بنود العقد'!I$3:I$388,D289), ""), ""))</f>
        <v>CMH_01-A-363</v>
      </c>
      <c r="M289" s="19"/>
    </row>
    <row r="290" spans="1:13" ht="28.2" customHeight="1">
      <c r="A290" s="12">
        <v>288</v>
      </c>
      <c r="B290" s="6">
        <v>1</v>
      </c>
      <c r="C290" s="6" t="s">
        <v>175</v>
      </c>
      <c r="D290" s="6">
        <v>364</v>
      </c>
      <c r="E290" s="22" t="str">
        <f>IF(C290="استحداث بند جديد", "", IF(D290&lt;&gt;"", IFERROR(INDEX('بنود العقد'!B$3:B$388,D290), "⚠"), ""))</f>
        <v>رخام رمادي بيترا غراي للدور السادس ألواح مقاس 1000× 1000 مم بحسب اعتماد المهندس سماكة 30مم</v>
      </c>
      <c r="F290" s="23" t="str">
        <f>IF(C290="استحداث بند جديد", "", IF(D290&lt;&gt;"", IFERROR(INDEX('بنود العقد'!D$3:D$388,D290), ""), ""))</f>
        <v>م²</v>
      </c>
      <c r="G290" s="24">
        <f>IF(C290="استحداث بند جديد", "", IF(D290&lt;&gt;"", IFERROR(INDEX('بنود العقد'!E$3:E$388,D290), 0), ""))</f>
        <v>717</v>
      </c>
      <c r="H290" s="7">
        <v>802</v>
      </c>
      <c r="I290" s="8">
        <v>120</v>
      </c>
      <c r="J290" s="10">
        <f t="shared" si="0"/>
        <v>575034</v>
      </c>
      <c r="K290" s="74" t="str">
        <f>IF(C290="استحداث بند جديد", "", IF(D290&lt;&gt;"", IFERROR(INDEX('بنود العقد'!C$3:C$388,D290), ""), ""))</f>
        <v>معماري</v>
      </c>
      <c r="L290" s="74" t="str">
        <f>IF(C290="استحداث بند جديد", IF(K290&lt;&gt;"","CMH_01-"&amp;IFERROR(VLOOKUP(K290,مراجع!$A$3:$B$14,2,FALSE),"?")&amp;"-NEW-"&amp;TEXT(A290,"000"),""), IF(D290&lt;&gt;"", IFERROR(INDEX('بنود العقد'!I$3:I$388,D290), ""), ""))</f>
        <v>CMH_01-A-364</v>
      </c>
      <c r="M290" s="19"/>
    </row>
    <row r="291" spans="1:13" ht="28.2" customHeight="1">
      <c r="A291" s="12">
        <v>289</v>
      </c>
      <c r="B291" s="6">
        <v>1</v>
      </c>
      <c r="C291" s="6" t="s">
        <v>175</v>
      </c>
      <c r="D291" s="6">
        <v>365</v>
      </c>
      <c r="E291" s="22" t="str">
        <f>IF(C291="استحداث بند جديد", "", IF(D291&lt;&gt;"", IFERROR(INDEX('بنود العقد'!B$3:B$388,D291), "⚠"), ""))</f>
        <v>رخام مون ستون غراي فاتح للدرج في الفناء الوسطي ب عرض 30 سم وارتفاع 15 سم وطول 800 سم.</v>
      </c>
      <c r="F291" s="23" t="str">
        <f>IF(C291="استحداث بند جديد", "", IF(D291&lt;&gt;"", IFERROR(INDEX('بنود العقد'!D$3:D$388,D291), ""), ""))</f>
        <v>م²</v>
      </c>
      <c r="G291" s="24">
        <f>IF(C291="استحداث بند جديد", "", IF(D291&lt;&gt;"", IFERROR(INDEX('بنود العقد'!E$3:E$388,D291), 0), ""))</f>
        <v>2475</v>
      </c>
      <c r="H291" s="7">
        <v>16</v>
      </c>
      <c r="I291" s="8">
        <v>120</v>
      </c>
      <c r="J291" s="10">
        <f t="shared" si="0"/>
        <v>39600</v>
      </c>
      <c r="K291" s="74" t="str">
        <f>IF(C291="استحداث بند جديد", "", IF(D291&lt;&gt;"", IFERROR(INDEX('بنود العقد'!C$3:C$388,D291), ""), ""))</f>
        <v>معماري</v>
      </c>
      <c r="L291" s="74" t="str">
        <f>IF(C291="استحداث بند جديد", IF(K291&lt;&gt;"","CMH_01-"&amp;IFERROR(VLOOKUP(K291,مراجع!$A$3:$B$14,2,FALSE),"?")&amp;"-NEW-"&amp;TEXT(A291,"000"),""), IF(D291&lt;&gt;"", IFERROR(INDEX('بنود العقد'!I$3:I$388,D291), ""), ""))</f>
        <v>CMH_01-A-365</v>
      </c>
      <c r="M291" s="19"/>
    </row>
    <row r="292" spans="1:13" s="74" customFormat="1" ht="28.2" customHeight="1">
      <c r="A292" s="12">
        <v>290</v>
      </c>
      <c r="B292" s="6">
        <v>1</v>
      </c>
      <c r="C292" s="6" t="s">
        <v>175</v>
      </c>
      <c r="D292" s="6">
        <v>366</v>
      </c>
      <c r="E292" s="22" t="str">
        <f>IF(C292="استحداث بند جديد", "", IF(D292&lt;&gt;"", IFERROR(INDEX('بنود العقد'!B$3:B$388,D292), "⚠"), ""))</f>
        <v>رخام مقله  ألواح مقاس 600× 600 مم بحسب اعتماد المهندس سماكة 20مم</v>
      </c>
      <c r="F292" s="23" t="str">
        <f>IF(C292="استحداث بند جديد", "", IF(D292&lt;&gt;"", IFERROR(INDEX('بنود العقد'!D$3:D$388,D292), ""), ""))</f>
        <v>م²</v>
      </c>
      <c r="G292" s="24">
        <f>IF(C292="استحداث بند جديد", "", IF(D292&lt;&gt;"", IFERROR(INDEX('بنود العقد'!E$3:E$388,D292), 0), ""))</f>
        <v>180</v>
      </c>
      <c r="H292" s="7">
        <v>120</v>
      </c>
      <c r="I292" s="8">
        <v>120</v>
      </c>
      <c r="J292" s="10">
        <f t="shared" si="0"/>
        <v>21600</v>
      </c>
      <c r="K292" s="74" t="str">
        <f>IF(C292="استحداث بند جديد", "", IF(D292&lt;&gt;"", IFERROR(INDEX('بنود العقد'!C$3:C$388,D292), ""), ""))</f>
        <v>معماري</v>
      </c>
      <c r="L292" s="74" t="str">
        <f>IF(C292="استحداث بند جديد", IF(K292&lt;&gt;"","CMH_01-"&amp;IFERROR(VLOOKUP(K292,مراجع!$A$3:$B$14,2,FALSE),"?")&amp;"-NEW-"&amp;TEXT(A292,"000"),""), IF(D292&lt;&gt;"", IFERROR(INDEX('بنود العقد'!I$3:I$388,D292), ""), ""))</f>
        <v>CMH_01-A-366</v>
      </c>
      <c r="M292" s="19"/>
    </row>
    <row r="293" spans="1:13" s="74" customFormat="1" ht="28.2" customHeight="1">
      <c r="A293" s="12">
        <v>291</v>
      </c>
      <c r="B293" s="6">
        <v>1</v>
      </c>
      <c r="C293" s="6" t="s">
        <v>175</v>
      </c>
      <c r="D293" s="6">
        <v>367</v>
      </c>
      <c r="E293" s="22" t="str">
        <f>IF(C293="استحداث بند جديد", "", IF(D293&lt;&gt;"", IFERROR(INDEX('بنود العقد'!B$3:B$388,D293), "⚠"), ""))</f>
        <v xml:space="preserve"> توريد و تركيب حوض خدمة  (JANITOR SINK) والبند يشمل كوع الصرف والخلاط وجميع ما يلزم للتركيب والتثبيت</v>
      </c>
      <c r="F293" s="23" t="str">
        <f>IF(C293="استحداث بند جديد", "", IF(D293&lt;&gt;"", IFERROR(INDEX('بنود العقد'!D$3:D$388,D293), ""), ""))</f>
        <v>عدد</v>
      </c>
      <c r="G293" s="24">
        <f>IF(C293="استحداث بند جديد", "", IF(D293&lt;&gt;"", IFERROR(INDEX('بنود العقد'!E$3:E$388,D293), 0), ""))</f>
        <v>2445</v>
      </c>
      <c r="H293" s="7">
        <v>29</v>
      </c>
      <c r="I293" s="8">
        <v>120</v>
      </c>
      <c r="J293" s="10">
        <f t="shared" si="0"/>
        <v>70905</v>
      </c>
      <c r="K293" s="74" t="str">
        <f>IF(C293="استحداث بند جديد", "", IF(D293&lt;&gt;"", IFERROR(INDEX('بنود العقد'!C$3:C$388,D293), ""), ""))</f>
        <v>ميكانيكا</v>
      </c>
      <c r="L293" s="74" t="str">
        <f>IF(C293="استحداث بند جديد", IF(K293&lt;&gt;"","CMH_01-"&amp;IFERROR(VLOOKUP(K293,مراجع!$A$3:$B$14,2,FALSE),"?")&amp;"-NEW-"&amp;TEXT(A293,"000"),""), IF(D293&lt;&gt;"", IFERROR(INDEX('بنود العقد'!I$3:I$388,D293), ""), ""))</f>
        <v>CMH_01-ME-367</v>
      </c>
      <c r="M293" s="19"/>
    </row>
    <row r="294" spans="1:13" s="74" customFormat="1" ht="28.2" customHeight="1">
      <c r="A294" s="12">
        <v>292</v>
      </c>
      <c r="B294" s="6">
        <v>1</v>
      </c>
      <c r="C294" s="6" t="s">
        <v>175</v>
      </c>
      <c r="D294" s="6">
        <v>368</v>
      </c>
      <c r="E294" s="22" t="str">
        <f>IF(C294="استحداث بند جديد", "", IF(D294&lt;&gt;"", IFERROR(INDEX('بنود العقد'!B$3:B$388,D294), "⚠"), ""))</f>
        <v>توريد وتركيب واختبار محبس LANDING VALVE مزود بمخفض ضغط داخلي قطر 2.5 بوصة</v>
      </c>
      <c r="F294" s="23" t="str">
        <f>IF(C294="استحداث بند جديد", "", IF(D294&lt;&gt;"", IFERROR(INDEX('بنود العقد'!D$3:D$388,D294), ""), ""))</f>
        <v>عدد</v>
      </c>
      <c r="G294" s="24">
        <f>IF(C294="استحداث بند جديد", "", IF(D294&lt;&gt;"", IFERROR(INDEX('بنود العقد'!E$3:E$388,D294), 0), ""))</f>
        <v>1380</v>
      </c>
      <c r="H294" s="7">
        <v>27</v>
      </c>
      <c r="I294" s="8">
        <v>120</v>
      </c>
      <c r="J294" s="10">
        <f t="shared" si="0"/>
        <v>37260</v>
      </c>
      <c r="K294" s="74" t="str">
        <f>IF(C294="استحداث بند جديد", "", IF(D294&lt;&gt;"", IFERROR(INDEX('بنود العقد'!C$3:C$388,D294), ""), ""))</f>
        <v>ميكانيكا</v>
      </c>
      <c r="L294" s="74" t="str">
        <f>IF(C294="استحداث بند جديد", IF(K294&lt;&gt;"","CMH_01-"&amp;IFERROR(VLOOKUP(K294,مراجع!$A$3:$B$14,2,FALSE),"?")&amp;"-NEW-"&amp;TEXT(A294,"000"),""), IF(D294&lt;&gt;"", IFERROR(INDEX('بنود العقد'!I$3:I$388,D294), ""), ""))</f>
        <v>CMH_01-ME-368</v>
      </c>
      <c r="M294" s="19"/>
    </row>
    <row r="295" spans="1:13" s="74" customFormat="1" ht="28.2" customHeight="1">
      <c r="A295" s="12">
        <v>293</v>
      </c>
      <c r="B295" s="6">
        <v>1</v>
      </c>
      <c r="C295" s="6" t="s">
        <v>175</v>
      </c>
      <c r="D295" s="6">
        <v>369</v>
      </c>
      <c r="E295" s="22" t="str">
        <f>IF(C295="استحداث بند جديد", "", IF(D295&lt;&gt;"", IFERROR(INDEX('بنود العقد'!B$3:B$388,D295), "⚠"), ""))</f>
        <v xml:space="preserve">توريد وتركيب صندوق غاطس يوضع بداخله محبس 
LANDING VALVE </v>
      </c>
      <c r="F295" s="23" t="str">
        <f>IF(C295="استحداث بند جديد", "", IF(D295&lt;&gt;"", IFERROR(INDEX('بنود العقد'!D$3:D$388,D295), ""), ""))</f>
        <v>عدد</v>
      </c>
      <c r="G295" s="24">
        <f>IF(C295="استحداث بند جديد", "", IF(D295&lt;&gt;"", IFERROR(INDEX('بنود العقد'!E$3:E$388,D295), 0), ""))</f>
        <v>1176</v>
      </c>
      <c r="H295" s="7">
        <v>27</v>
      </c>
      <c r="I295" s="8">
        <v>120</v>
      </c>
      <c r="J295" s="10">
        <f t="shared" si="0"/>
        <v>31752</v>
      </c>
      <c r="K295" s="74" t="str">
        <f>IF(C295="استحداث بند جديد", "", IF(D295&lt;&gt;"", IFERROR(INDEX('بنود العقد'!C$3:C$388,D295), ""), ""))</f>
        <v>ميكانيكا</v>
      </c>
      <c r="L295" s="74" t="str">
        <f>IF(C295="استحداث بند جديد", IF(K295&lt;&gt;"","CMH_01-"&amp;IFERROR(VLOOKUP(K295,مراجع!$A$3:$B$14,2,FALSE),"?")&amp;"-NEW-"&amp;TEXT(A295,"000"),""), IF(D295&lt;&gt;"", IFERROR(INDEX('بنود العقد'!I$3:I$388,D295), ""), ""))</f>
        <v>CMH_01-ME-369</v>
      </c>
      <c r="M295" s="19"/>
    </row>
    <row r="296" spans="1:13" s="76" customFormat="1" ht="28.2" customHeight="1">
      <c r="A296" s="12">
        <v>294</v>
      </c>
      <c r="B296" s="6">
        <v>5</v>
      </c>
      <c r="C296" s="6" t="s">
        <v>175</v>
      </c>
      <c r="D296" s="6">
        <v>1</v>
      </c>
      <c r="E296" s="22" t="str">
        <f>IF(C296="استحداث بند جديد", "", IF(D296&lt;&gt;"", IFERROR(INDEX('بنود العقد'!B$3:B$388,D296),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الجدران وتشمل  جميع أنواع جدران الطوب  والقواطع الجبسية و الخشبية و الزجاجية  بحسب المخططات المعتمدة وتعليمات المهندس المشرف.</v>
      </c>
      <c r="F296" s="23" t="str">
        <f>IF(C296="استحداث بند جديد", "", IF(D296&lt;&gt;"", IFERROR(INDEX('بنود العقد'!D$3:D$388,D296), ""), ""))</f>
        <v>م2</v>
      </c>
      <c r="G296" s="24">
        <f>IF(C296="استحداث بند جديد", "", IF(D296&lt;&gt;"", IFERROR(INDEX('بنود العقد'!E$3:E$388,D296), 0), ""))</f>
        <v>18</v>
      </c>
      <c r="H296" s="7">
        <v>1018.4</v>
      </c>
      <c r="I296" s="8">
        <v>0</v>
      </c>
      <c r="J296" s="10">
        <f t="shared" si="0"/>
        <v>18331.2</v>
      </c>
      <c r="K296" s="76" t="str">
        <f>IF(C296="استحداث بند جديد", "", IF(D296&lt;&gt;"", IFERROR(INDEX('بنود العقد'!C$3:C$388,D296), ""), ""))</f>
        <v>معماري</v>
      </c>
      <c r="L296" s="76" t="str">
        <f>IF(C296="استحداث بند جديد", IF(K296&lt;&gt;"","CMH_01-"&amp;IFERROR(VLOOKUP(K296,مراجع!$A$3:$B$14,2,FALSE),"?")&amp;"-NEW-"&amp;TEXT(A296,"000"),""), IF(D296&lt;&gt;"", IFERROR(INDEX('بنود العقد'!I$3:I$388,D296), ""), ""))</f>
        <v>CMH_01-A-001</v>
      </c>
      <c r="M296" s="19"/>
    </row>
    <row r="297" spans="1:13" s="76" customFormat="1" ht="28.2" customHeight="1">
      <c r="A297" s="12">
        <v>295</v>
      </c>
      <c r="B297" s="6">
        <v>5</v>
      </c>
      <c r="C297" s="6" t="s">
        <v>250</v>
      </c>
      <c r="D297" s="6">
        <v>2</v>
      </c>
      <c r="E297" s="22" t="str">
        <f>IF(C297="استحداث بند جديد", "", IF(D297&lt;&gt;"", IFERROR(INDEX('بنود العقد'!B$3:B$388,D297),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number)-AR-هدم وإزالة تشطيبات رخام أو بلاط بورسلان أو سيراميك  للأرضيات والجدران الحالية  بحسب المخططات المعتمدة وتعليمات المهندس المشرف.</v>
      </c>
      <c r="F297" s="23" t="str">
        <f>IF(C297="استحداث بند جديد", "", IF(D297&lt;&gt;"", IFERROR(INDEX('بنود العقد'!D$3:D$388,D297), ""), ""))</f>
        <v>م2</v>
      </c>
      <c r="G297" s="24">
        <f>IF(C297="استحداث بند جديد", "", IF(D297&lt;&gt;"", IFERROR(INDEX('بنود العقد'!E$3:E$388,D297), 0), ""))</f>
        <v>14.5</v>
      </c>
      <c r="H297" s="7">
        <v>-670.36</v>
      </c>
      <c r="I297" s="8">
        <v>0</v>
      </c>
      <c r="J297" s="10">
        <f t="shared" si="0"/>
        <v>-9720.2199999999993</v>
      </c>
      <c r="K297" s="76" t="str">
        <f>IF(C297="استحداث بند جديد", "", IF(D297&lt;&gt;"", IFERROR(INDEX('بنود العقد'!C$3:C$388,D297), ""), ""))</f>
        <v>معماري</v>
      </c>
      <c r="L297" s="76" t="str">
        <f>IF(C297="استحداث بند جديد", IF(K297&lt;&gt;"","CMH_01-"&amp;IFERROR(VLOOKUP(K297,مراجع!$A$3:$B$14,2,FALSE),"?")&amp;"-NEW-"&amp;TEXT(A297,"000"),""), IF(D297&lt;&gt;"", IFERROR(INDEX('بنود العقد'!I$3:I$388,D297), ""), ""))</f>
        <v>CMH_01-A-002</v>
      </c>
      <c r="M297" s="19"/>
    </row>
    <row r="298" spans="1:13" s="76" customFormat="1" ht="28.2" customHeight="1">
      <c r="A298" s="12">
        <v>296</v>
      </c>
      <c r="B298" s="6">
        <v>5</v>
      </c>
      <c r="C298" s="6" t="s">
        <v>175</v>
      </c>
      <c r="D298" s="6">
        <v>3</v>
      </c>
      <c r="E298" s="22" t="str">
        <f>IF(C298="استحداث بند جديد", "", IF(D298&lt;&gt;"", IFERROR(INDEX('بنود العقد'!B$3:B$388,D298), "⚠"), ""))</f>
        <v>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تشطيبات الأسقف المستعارة الحالية بما تشمل أسقف جبسية وبلاطات صناعية وأسقف معدنية  بحسب المخططات المعتمدة وتعليمات المهندس المشرف.</v>
      </c>
      <c r="F298" s="23" t="str">
        <f>IF(C298="استحداث بند جديد", "", IF(D298&lt;&gt;"", IFERROR(INDEX('بنود العقد'!D$3:D$388,D298), ""), ""))</f>
        <v>م2</v>
      </c>
      <c r="G298" s="24">
        <f>IF(C298="استحداث بند جديد", "", IF(D298&lt;&gt;"", IFERROR(INDEX('بنود العقد'!E$3:E$388,D298), 0), ""))</f>
        <v>8.5</v>
      </c>
      <c r="H298" s="7">
        <v>1028.3</v>
      </c>
      <c r="I298" s="8">
        <v>0</v>
      </c>
      <c r="J298" s="10">
        <f t="shared" si="0"/>
        <v>8740.5499999999993</v>
      </c>
      <c r="K298" s="76" t="str">
        <f>IF(C298="استحداث بند جديد", "", IF(D298&lt;&gt;"", IFERROR(INDEX('بنود العقد'!C$3:C$388,D298), ""), ""))</f>
        <v>معماري</v>
      </c>
      <c r="L298" s="76" t="str">
        <f>IF(C298="استحداث بند جديد", IF(K298&lt;&gt;"","CMH_01-"&amp;IFERROR(VLOOKUP(K298,مراجع!$A$3:$B$14,2,FALSE),"?")&amp;"-NEW-"&amp;TEXT(A298,"000"),""), IF(D298&lt;&gt;"", IFERROR(INDEX('بنود العقد'!I$3:I$388,D298), ""), ""))</f>
        <v>CMH_01-A-003</v>
      </c>
      <c r="M298" s="19"/>
    </row>
    <row r="299" spans="1:13" s="76" customFormat="1" ht="28.2" customHeight="1">
      <c r="A299" s="12">
        <v>297</v>
      </c>
      <c r="B299" s="6">
        <v>5</v>
      </c>
      <c r="C299" s="6" t="s">
        <v>175</v>
      </c>
      <c r="D299" s="6">
        <v>5</v>
      </c>
      <c r="E299" s="22" t="str">
        <f>IF(C299="استحداث بند جديد", "", IF(D299&lt;&gt;"", IFERROR(INDEX('بنود العقد'!B$3:B$388,D299), "⚠"), ""))</f>
        <v>صبة أسمنتية كطبقة حماية للعزل في الأماكن الرطبة. ويشمل السعر وأي مواد أو أعمال يتطلبها تنفيذ العمل حسب المواصفات والمخططات وتعليمات المهندس المشرف.</v>
      </c>
      <c r="F299" s="23" t="str">
        <f>IF(C299="استحداث بند جديد", "", IF(D299&lt;&gt;"", IFERROR(INDEX('بنود العقد'!D$3:D$388,D299), ""), ""))</f>
        <v>م3</v>
      </c>
      <c r="G299" s="24">
        <f>IF(C299="استحداث بند جديد", "", IF(D299&lt;&gt;"", IFERROR(INDEX('بنود العقد'!E$3:E$388,D299), 0), ""))</f>
        <v>366</v>
      </c>
      <c r="H299" s="7">
        <v>211.01</v>
      </c>
      <c r="I299" s="8">
        <v>0</v>
      </c>
      <c r="J299" s="10">
        <f t="shared" si="0"/>
        <v>77229.66</v>
      </c>
      <c r="K299" s="76" t="str">
        <f>IF(C299="استحداث بند جديد", "", IF(D299&lt;&gt;"", IFERROR(INDEX('بنود العقد'!C$3:C$388,D299), ""), ""))</f>
        <v>مدني</v>
      </c>
      <c r="L299" s="76" t="str">
        <f>IF(C299="استحداث بند جديد", IF(K299&lt;&gt;"","CMH_01-"&amp;IFERROR(VLOOKUP(K299,مراجع!$A$3:$B$14,2,FALSE),"?")&amp;"-NEW-"&amp;TEXT(A299,"000"),""), IF(D299&lt;&gt;"", IFERROR(INDEX('بنود العقد'!I$3:I$388,D299), ""), ""))</f>
        <v>CMH_01-C-005</v>
      </c>
      <c r="M299" s="19"/>
    </row>
    <row r="300" spans="1:13" s="76" customFormat="1" ht="28.2" customHeight="1">
      <c r="A300" s="12">
        <v>298</v>
      </c>
      <c r="B300" s="6">
        <v>5</v>
      </c>
      <c r="C300" s="6" t="s">
        <v>175</v>
      </c>
      <c r="D300" s="6">
        <v>6</v>
      </c>
      <c r="E300" s="22" t="str">
        <f>IF(C300="استحداث بند جديد", "", IF(D300&lt;&gt;"", IFERROR(INDEX('بنود العقد'!B$3:B$388,D300),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v>
      </c>
      <c r="F300" s="23" t="str">
        <f>IF(C300="استحداث بند جديد", "", IF(D300&lt;&gt;"", IFERROR(INDEX('بنود العقد'!D$3:D$388,D300), ""), ""))</f>
        <v>م2</v>
      </c>
      <c r="G300" s="24">
        <f>IF(C300="استحداث بند جديد", "", IF(D300&lt;&gt;"", IFERROR(INDEX('بنود العقد'!E$3:E$388,D300), 0), ""))</f>
        <v>150</v>
      </c>
      <c r="H300" s="7">
        <v>1055.95</v>
      </c>
      <c r="I300" s="8">
        <v>0</v>
      </c>
      <c r="J300" s="10">
        <f t="shared" si="0"/>
        <v>158392.5</v>
      </c>
      <c r="K300" s="76" t="str">
        <f>IF(C300="استحداث بند جديد", "", IF(D300&lt;&gt;"", IFERROR(INDEX('بنود العقد'!C$3:C$388,D300), ""), ""))</f>
        <v>معماري</v>
      </c>
      <c r="L300" s="76" t="str">
        <f>IF(C300="استحداث بند جديد", IF(K300&lt;&gt;"","CMH_01-"&amp;IFERROR(VLOOKUP(K300,مراجع!$A$3:$B$14,2,FALSE),"?")&amp;"-NEW-"&amp;TEXT(A300,"000"),""), IF(D300&lt;&gt;"", IFERROR(INDEX('بنود العقد'!I$3:I$388,D300), ""), ""))</f>
        <v>CMH_01-A-006</v>
      </c>
      <c r="M300" s="19"/>
    </row>
    <row r="301" spans="1:13" s="76" customFormat="1" ht="28.2" customHeight="1">
      <c r="A301" s="12">
        <v>299</v>
      </c>
      <c r="B301" s="6">
        <v>5</v>
      </c>
      <c r="C301" s="6" t="s">
        <v>175</v>
      </c>
      <c r="D301" s="6">
        <v>7</v>
      </c>
      <c r="E301" s="22" t="str">
        <f>IF(C301="استحداث بند جديد", "", IF(D301&lt;&gt;"", IFERROR(INDEX('بنود العقد'!B$3:B$388,D301), "⚠"), ""))</f>
        <v>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القسمRef drawing: 07-MRA-DD-(as per floor number) وتعليمات المهندس المشرف 04200-Ar-100</v>
      </c>
      <c r="F301" s="23" t="str">
        <f>IF(C301="استحداث بند جديد", "", IF(D301&lt;&gt;"", IFERROR(INDEX('بنود العقد'!D$3:D$388,D301), ""), ""))</f>
        <v>م2</v>
      </c>
      <c r="G301" s="24">
        <f>IF(C301="استحداث بند جديد", "", IF(D301&lt;&gt;"", IFERROR(INDEX('بنود العقد'!E$3:E$388,D301), 0), ""))</f>
        <v>150</v>
      </c>
      <c r="H301" s="7">
        <v>5.75</v>
      </c>
      <c r="I301" s="8">
        <v>0</v>
      </c>
      <c r="J301" s="10">
        <f t="shared" si="0"/>
        <v>862.5</v>
      </c>
      <c r="K301" s="76" t="str">
        <f>IF(C301="استحداث بند جديد", "", IF(D301&lt;&gt;"", IFERROR(INDEX('بنود العقد'!C$3:C$388,D301), ""), ""))</f>
        <v>معماري</v>
      </c>
      <c r="L301" s="76" t="str">
        <f>IF(C301="استحداث بند جديد", IF(K301&lt;&gt;"","CMH_01-"&amp;IFERROR(VLOOKUP(K301,مراجع!$A$3:$B$14,2,FALSE),"?")&amp;"-NEW-"&amp;TEXT(A301,"000"),""), IF(D301&lt;&gt;"", IFERROR(INDEX('بنود العقد'!I$3:I$388,D301), ""), ""))</f>
        <v>CMH_01-A-007</v>
      </c>
      <c r="M301" s="19"/>
    </row>
    <row r="302" spans="1:13" s="76" customFormat="1" ht="28.2" customHeight="1">
      <c r="A302" s="12">
        <v>300</v>
      </c>
      <c r="B302" s="6">
        <v>5</v>
      </c>
      <c r="C302" s="6" t="s">
        <v>250</v>
      </c>
      <c r="D302" s="6">
        <v>10</v>
      </c>
      <c r="E302" s="22" t="str">
        <f>IF(C302="استحداث بند جديد", "", IF(D302&lt;&gt;"", IFERROR(INDEX('بنود العقد'!B$3:B$388,D302), "⚠"), ""))</f>
        <v>إعادة دهان هاندرايل من الحديد  بالايبوكسي ويشمل ازالة الدهان القديم  بالترميل )Sand Plasting( حسب  المواصفات والاصول الفنيه وتعليمات المهندس المشرف.</v>
      </c>
      <c r="F302" s="23" t="str">
        <f>IF(C302="استحداث بند جديد", "", IF(D302&lt;&gt;"", IFERROR(INDEX('بنود العقد'!D$3:D$388,D302), ""), ""))</f>
        <v>م.ط</v>
      </c>
      <c r="G302" s="24">
        <f>IF(C302="استحداث بند جديد", "", IF(D302&lt;&gt;"", IFERROR(INDEX('بنود العقد'!E$3:E$388,D302), 0), ""))</f>
        <v>42</v>
      </c>
      <c r="H302" s="7">
        <v>-608.96</v>
      </c>
      <c r="I302" s="8">
        <v>0</v>
      </c>
      <c r="J302" s="10">
        <f t="shared" si="0"/>
        <v>-25576.32</v>
      </c>
      <c r="K302" s="76" t="str">
        <f>IF(C302="استحداث بند جديد", "", IF(D302&lt;&gt;"", IFERROR(INDEX('بنود العقد'!C$3:C$388,D302), ""), ""))</f>
        <v>معماري</v>
      </c>
      <c r="L302" s="76" t="str">
        <f>IF(C302="استحداث بند جديد", IF(K302&lt;&gt;"","CMH_01-"&amp;IFERROR(VLOOKUP(K302,مراجع!$A$3:$B$14,2,FALSE),"?")&amp;"-NEW-"&amp;TEXT(A302,"000"),""), IF(D302&lt;&gt;"", IFERROR(INDEX('بنود العقد'!I$3:I$388,D302), ""), ""))</f>
        <v>CMH_01-A-010</v>
      </c>
      <c r="M302" s="19"/>
    </row>
    <row r="303" spans="1:13" s="76" customFormat="1" ht="28.2" customHeight="1">
      <c r="A303" s="12">
        <v>301</v>
      </c>
      <c r="B303" s="6">
        <v>5</v>
      </c>
      <c r="C303" s="6" t="s">
        <v>250</v>
      </c>
      <c r="D303" s="6">
        <v>11</v>
      </c>
      <c r="E303" s="22" t="str">
        <f>IF(C303="استحداث بند جديد", "", IF(D303&lt;&gt;"", IFERROR(INDEX('بنود العقد'!B$3:B$388,D303), "⚠"), ""))</f>
        <v>تجديد وترميم ودهان وتلميع البوابات الحديدية الرئيسية في المدخل الغربي )مدخل الوزير( والبوابة الرئيسية في المدخل الشمالي )مدخل الموظفين( وتشمل الأعمال ما يلي:تجديد وترميم أبواب الحديد، سنفرة الأبواب، عمل طبقة تأسيس ناري للأبواب، تعشيقة الأبواب مع تلميع الزخرفة، دهان وتلميع الأجزاء نهاية الزخرفة بمواد أيبوكسي + دهان ماء الذهب المركز للأطراف الخارجية + تلميع خارجي بمادة البوليريثان، المحافظة على نظافة المكان وإزالة المخلفات. حسب الاصول الفنيه وتعليمات المهندس المشرف</v>
      </c>
      <c r="F303" s="23" t="str">
        <f>IF(C303="استحداث بند جديد", "", IF(D303&lt;&gt;"", IFERROR(INDEX('بنود العقد'!D$3:D$388,D303), ""), ""))</f>
        <v>م.ط</v>
      </c>
      <c r="G303" s="24">
        <f>IF(C303="استحداث بند جديد", "", IF(D303&lt;&gt;"", IFERROR(INDEX('بنود العقد'!E$3:E$388,D303), 0), ""))</f>
        <v>12000</v>
      </c>
      <c r="H303" s="7">
        <v>-2</v>
      </c>
      <c r="I303" s="8">
        <v>0</v>
      </c>
      <c r="J303" s="10">
        <f t="shared" ref="J303:J366" si="2">IF(C303="تمديد مدة", 0, IF(AND(H303&lt;&gt;"",G303&lt;&gt;""), H303*G303, ""))</f>
        <v>-24000</v>
      </c>
      <c r="K303" s="76" t="str">
        <f>IF(C303="استحداث بند جديد", "", IF(D303&lt;&gt;"", IFERROR(INDEX('بنود العقد'!C$3:C$388,D303), ""), ""))</f>
        <v>معماري</v>
      </c>
      <c r="L303" s="76" t="str">
        <f>IF(C303="استحداث بند جديد", IF(K303&lt;&gt;"","CMH_01-"&amp;IFERROR(VLOOKUP(K303,مراجع!$A$3:$B$14,2,FALSE),"?")&amp;"-NEW-"&amp;TEXT(A303,"000"),""), IF(D303&lt;&gt;"", IFERROR(INDEX('بنود العقد'!I$3:I$388,D303), ""), ""))</f>
        <v>CMH_01-A-011</v>
      </c>
      <c r="M303" s="19"/>
    </row>
    <row r="304" spans="1:13" s="76" customFormat="1" ht="28.2" customHeight="1">
      <c r="A304" s="12">
        <v>302</v>
      </c>
      <c r="B304" s="6">
        <v>5</v>
      </c>
      <c r="C304" s="6" t="s">
        <v>250</v>
      </c>
      <c r="D304" s="6">
        <v>12</v>
      </c>
      <c r="E304" s="22" t="str">
        <f>IF(C304="استحداث بند جديد", "", IF(D304&lt;&gt;"", IFERROR(INDEX('بنود العقد'!B$3:B$388,D304), "⚠"), ""))</f>
        <v>توريد وتركيب اسقف شبكة حديد مش )طلاء بودرة بالفرن لون اسود( سماكة 2 ملم مع تيوب حديد ابعاد 4*8 سم وسماكة 3ملم  ، مثبتة بنظام تعليق متصلة بالسقف الخرساني حسب الرسومات والمناظير وتعليمات المهندس المشرف.Ref drawing: 07-MRA-DD-G.F-AR-200</v>
      </c>
      <c r="F304" s="23" t="str">
        <f>IF(C304="استحداث بند جديد", "", IF(D304&lt;&gt;"", IFERROR(INDEX('بنود العقد'!D$3:D$388,D304), ""), ""))</f>
        <v>م2</v>
      </c>
      <c r="G304" s="24">
        <f>IF(C304="استحداث بند جديد", "", IF(D304&lt;&gt;"", IFERROR(INDEX('بنود العقد'!E$3:E$388,D304), 0), ""))</f>
        <v>360</v>
      </c>
      <c r="H304" s="7">
        <v>-12.19</v>
      </c>
      <c r="I304" s="8">
        <v>0</v>
      </c>
      <c r="J304" s="10">
        <f t="shared" si="2"/>
        <v>-4388.3999999999996</v>
      </c>
      <c r="K304" s="76" t="str">
        <f>IF(C304="استحداث بند جديد", "", IF(D304&lt;&gt;"", IFERROR(INDEX('بنود العقد'!C$3:C$388,D304), ""), ""))</f>
        <v>معماري</v>
      </c>
      <c r="L304" s="76" t="str">
        <f>IF(C304="استحداث بند جديد", IF(K304&lt;&gt;"","CMH_01-"&amp;IFERROR(VLOOKUP(K304,مراجع!$A$3:$B$14,2,FALSE),"?")&amp;"-NEW-"&amp;TEXT(A304,"000"),""), IF(D304&lt;&gt;"", IFERROR(INDEX('بنود العقد'!I$3:I$388,D304), ""), ""))</f>
        <v>CMH_01-A-012</v>
      </c>
      <c r="M304" s="19"/>
    </row>
    <row r="305" spans="1:13" s="76" customFormat="1" ht="28.2" customHeight="1">
      <c r="A305" s="12">
        <v>303</v>
      </c>
      <c r="B305" s="6">
        <v>5</v>
      </c>
      <c r="C305" s="6" t="s">
        <v>250</v>
      </c>
      <c r="D305" s="6">
        <v>13</v>
      </c>
      <c r="E305" s="22" t="str">
        <f>IF(C305="استحداث بند جديد", "", IF(D305&lt;&gt;"", IFERROR(INDEX('بنود العقد'!B$3:B$388,D305), "⚠"), ""))</f>
        <v>توريد وتركيب اسقف شبكة حديد مش )طلاء بودرة بالفرن لون ابيض(سماكة 2 ملم مع تيوب حديد ابعاد 4*8 سم وسماكة 3ملم  ، مثبتة بنظام تعليق متصلة بالسقف الخرساني حسب الرسومات والمناظير وتعليمات المهندس المشرفRef drawing: 07-MRA-DD-G.F-AR-200</v>
      </c>
      <c r="F305" s="23" t="str">
        <f>IF(C305="استحداث بند جديد", "", IF(D305&lt;&gt;"", IFERROR(INDEX('بنود العقد'!D$3:D$388,D305), ""), ""))</f>
        <v>م2</v>
      </c>
      <c r="G305" s="24">
        <f>IF(C305="استحداث بند جديد", "", IF(D305&lt;&gt;"", IFERROR(INDEX('بنود العقد'!E$3:E$388,D305), 0), ""))</f>
        <v>360</v>
      </c>
      <c r="H305" s="7">
        <v>-49.31</v>
      </c>
      <c r="I305" s="8">
        <v>0</v>
      </c>
      <c r="J305" s="10">
        <f t="shared" si="2"/>
        <v>-17751.600000000002</v>
      </c>
      <c r="K305" s="76" t="str">
        <f>IF(C305="استحداث بند جديد", "", IF(D305&lt;&gt;"", IFERROR(INDEX('بنود العقد'!C$3:C$388,D305), ""), ""))</f>
        <v>معماري</v>
      </c>
      <c r="L305" s="76" t="str">
        <f>IF(C305="استحداث بند جديد", IF(K305&lt;&gt;"","CMH_01-"&amp;IFERROR(VLOOKUP(K305,مراجع!$A$3:$B$14,2,FALSE),"?")&amp;"-NEW-"&amp;TEXT(A305,"000"),""), IF(D305&lt;&gt;"", IFERROR(INDEX('بنود العقد'!I$3:I$388,D305), ""), ""))</f>
        <v>CMH_01-A-013</v>
      </c>
      <c r="M305" s="19"/>
    </row>
    <row r="306" spans="1:13" s="76" customFormat="1" ht="28.2" customHeight="1">
      <c r="A306" s="12">
        <v>304</v>
      </c>
      <c r="B306" s="6">
        <v>5</v>
      </c>
      <c r="C306" s="6" t="s">
        <v>250</v>
      </c>
      <c r="D306" s="6">
        <v>14</v>
      </c>
      <c r="E306" s="22" t="str">
        <f>IF(C306="استحداث بند جديد", "", IF(D306&lt;&gt;"", IFERROR(INDEX('بنود العقد'!B$3:B$388,D306), "⚠"), ""))</f>
        <v>توريد وتركيب تيوبات حديد ابعاد 4*4 سم وسماكة 2ملم مع أرفف فوق الكاونتر في منطقة المطبخ. )طلاء بودرة بالفرن لون اسود(مقاس: طول 4400 ملم، ارتفاع 2000 ملم و عرض 600 ملم</v>
      </c>
      <c r="F306" s="23" t="str">
        <f>IF(C306="استحداث بند جديد", "", IF(D306&lt;&gt;"", IFERROR(INDEX('بنود العقد'!D$3:D$388,D306), ""), ""))</f>
        <v>عدد</v>
      </c>
      <c r="G306" s="24">
        <f>IF(C306="استحداث بند جديد", "", IF(D306&lt;&gt;"", IFERROR(INDEX('بنود العقد'!E$3:E$388,D306), 0), ""))</f>
        <v>102</v>
      </c>
      <c r="H306" s="7">
        <v>-1</v>
      </c>
      <c r="I306" s="8">
        <v>0</v>
      </c>
      <c r="J306" s="10">
        <f t="shared" si="2"/>
        <v>-102</v>
      </c>
      <c r="K306" s="76" t="str">
        <f>IF(C306="استحداث بند جديد", "", IF(D306&lt;&gt;"", IFERROR(INDEX('بنود العقد'!C$3:C$388,D306), ""), ""))</f>
        <v>معماري</v>
      </c>
      <c r="L306" s="76" t="str">
        <f>IF(C306="استحداث بند جديد", IF(K306&lt;&gt;"","CMH_01-"&amp;IFERROR(VLOOKUP(K306,مراجع!$A$3:$B$14,2,FALSE),"?")&amp;"-NEW-"&amp;TEXT(A306,"000"),""), IF(D306&lt;&gt;"", IFERROR(INDEX('بنود العقد'!I$3:I$388,D306), ""), ""))</f>
        <v>CMH_01-A-014</v>
      </c>
      <c r="M306" s="19"/>
    </row>
    <row r="307" spans="1:13" s="76" customFormat="1" ht="28.2" customHeight="1">
      <c r="A307" s="12">
        <v>305</v>
      </c>
      <c r="B307" s="6">
        <v>5</v>
      </c>
      <c r="C307" s="6" t="s">
        <v>250</v>
      </c>
      <c r="D307" s="6">
        <v>15</v>
      </c>
      <c r="E307" s="22" t="str">
        <f>IF(C307="استحداث بند جديد", "", IF(D307&lt;&gt;"", IFERROR(INDEX('بنود العقد'!B$3:B$388,D307), "⚠"), ""))</f>
        <v>توريد وتركيب تيوبات حديد ابعاد 4*4 سم وسماكة 2ملم مع أرفف فوق الكاونتر في منطقة المطبخ. )طلاء بودرة بالفرن لون اسود(مقاس: طول 3100 ملم، ارتفاع 2000 ملم و عرض 600 ملم</v>
      </c>
      <c r="F307" s="23" t="str">
        <f>IF(C307="استحداث بند جديد", "", IF(D307&lt;&gt;"", IFERROR(INDEX('بنود العقد'!D$3:D$388,D307), ""), ""))</f>
        <v>عدد</v>
      </c>
      <c r="G307" s="24">
        <f>IF(C307="استحداث بند جديد", "", IF(D307&lt;&gt;"", IFERROR(INDEX('بنود العقد'!E$3:E$388,D307), 0), ""))</f>
        <v>84</v>
      </c>
      <c r="H307" s="7">
        <v>-1</v>
      </c>
      <c r="I307" s="8">
        <v>0</v>
      </c>
      <c r="J307" s="10">
        <f t="shared" si="2"/>
        <v>-84</v>
      </c>
      <c r="K307" s="76" t="str">
        <f>IF(C307="استحداث بند جديد", "", IF(D307&lt;&gt;"", IFERROR(INDEX('بنود العقد'!C$3:C$388,D307), ""), ""))</f>
        <v>معماري</v>
      </c>
      <c r="L307" s="76" t="str">
        <f>IF(C307="استحداث بند جديد", IF(K307&lt;&gt;"","CMH_01-"&amp;IFERROR(VLOOKUP(K307,مراجع!$A$3:$B$14,2,FALSE),"?")&amp;"-NEW-"&amp;TEXT(A307,"000"),""), IF(D307&lt;&gt;"", IFERROR(INDEX('بنود العقد'!I$3:I$388,D307), ""), ""))</f>
        <v>CMH_01-A-015</v>
      </c>
      <c r="M307" s="19"/>
    </row>
    <row r="308" spans="1:13" s="76" customFormat="1" ht="28.2" customHeight="1">
      <c r="A308" s="12">
        <v>306</v>
      </c>
      <c r="B308" s="6">
        <v>5</v>
      </c>
      <c r="C308" s="6" t="s">
        <v>250</v>
      </c>
      <c r="D308" s="6">
        <v>17</v>
      </c>
      <c r="E308" s="22" t="str">
        <f>IF(C308="استحداث بند جديد", "", IF(D308&lt;&gt;"", IFERROR(INDEX('بنود العقد'!B$3:B$388,D308), "⚠"), ""))</f>
        <v>توريد وتركيب كشك من هيكل حديدي متكون من تيوبات 10*10-مم وسماكة 6مم مع مع صاج مفرّغ بالليزرعلى شكل مثلثات مدهون بطلاء بني معتق ويشمل إضاءة مخفية حسب التصميم والرسومات  مقاس 5300x3400 مم وارتفاع 3000 مم.Ref drawing: 07-MRA-DD-G.F-AR-902</v>
      </c>
      <c r="F308" s="23" t="str">
        <f>IF(C308="استحداث بند جديد", "", IF(D308&lt;&gt;"", IFERROR(INDEX('بنود العقد'!D$3:D$388,D308), ""), ""))</f>
        <v>عدد</v>
      </c>
      <c r="G308" s="24">
        <f>IF(C308="استحداث بند جديد", "", IF(D308&lt;&gt;"", IFERROR(INDEX('بنود العقد'!E$3:E$388,D308), 0), ""))</f>
        <v>378</v>
      </c>
      <c r="H308" s="7">
        <v>-1</v>
      </c>
      <c r="I308" s="8">
        <v>0</v>
      </c>
      <c r="J308" s="10">
        <f t="shared" si="2"/>
        <v>-378</v>
      </c>
      <c r="K308" s="76" t="str">
        <f>IF(C308="استحداث بند جديد", "", IF(D308&lt;&gt;"", IFERROR(INDEX('بنود العقد'!C$3:C$388,D308), ""), ""))</f>
        <v>معماري</v>
      </c>
      <c r="L308" s="76" t="str">
        <f>IF(C308="استحداث بند جديد", IF(K308&lt;&gt;"","CMH_01-"&amp;IFERROR(VLOOKUP(K308,مراجع!$A$3:$B$14,2,FALSE),"?")&amp;"-NEW-"&amp;TEXT(A308,"000"),""), IF(D308&lt;&gt;"", IFERROR(INDEX('بنود العقد'!I$3:I$388,D308), ""), ""))</f>
        <v>CMH_01-A-017</v>
      </c>
      <c r="M308" s="19"/>
    </row>
    <row r="309" spans="1:13" s="76" customFormat="1" ht="28.2" customHeight="1">
      <c r="A309" s="12">
        <v>307</v>
      </c>
      <c r="B309" s="6">
        <v>5</v>
      </c>
      <c r="C309" s="6" t="s">
        <v>250</v>
      </c>
      <c r="D309" s="6">
        <v>18</v>
      </c>
      <c r="E309" s="22" t="str">
        <f>IF(C309="استحداث بند جديد", "", IF(D309&lt;&gt;"", IFERROR(INDEX('بنود العقد'!B$3:B$388,D309), "⚠"), ""))</f>
        <v>خزانة مفتوحة مصنوعة من تيوبات حديد 20X20 ملم وسماكة 2 ملم )طلاء بودرة بالفرن لون اسود( مع أرفف من خشب ال mdf مع قشرة السنديان حسب التصميم والرسومات وتعليمات المهندس المشرف.Ref drawing: 07-MRA-DD-G.F-AR-607.C عرضx 400mm ارتفاع x 2600mm طول 13350mm</v>
      </c>
      <c r="F309" s="23" t="str">
        <f>IF(C309="استحداث بند جديد", "", IF(D309&lt;&gt;"", IFERROR(INDEX('بنود العقد'!D$3:D$388,D309), ""), ""))</f>
        <v>عدد</v>
      </c>
      <c r="G309" s="24">
        <f>IF(C309="استحداث بند جديد", "", IF(D309&lt;&gt;"", IFERROR(INDEX('بنود العقد'!E$3:E$388,D309), 0), ""))</f>
        <v>1200</v>
      </c>
      <c r="H309" s="7">
        <v>-1</v>
      </c>
      <c r="I309" s="8">
        <v>0</v>
      </c>
      <c r="J309" s="10">
        <f t="shared" si="2"/>
        <v>-1200</v>
      </c>
      <c r="K309" s="76" t="str">
        <f>IF(C309="استحداث بند جديد", "", IF(D309&lt;&gt;"", IFERROR(INDEX('بنود العقد'!C$3:C$388,D309), ""), ""))</f>
        <v>معماري</v>
      </c>
      <c r="L309" s="76" t="str">
        <f>IF(C309="استحداث بند جديد", IF(K309&lt;&gt;"","CMH_01-"&amp;IFERROR(VLOOKUP(K309,مراجع!$A$3:$B$14,2,FALSE),"?")&amp;"-NEW-"&amp;TEXT(A309,"000"),""), IF(D309&lt;&gt;"", IFERROR(INDEX('بنود العقد'!I$3:I$388,D309), ""), ""))</f>
        <v>CMH_01-A-018</v>
      </c>
      <c r="M309" s="19"/>
    </row>
    <row r="310" spans="1:13" s="76" customFormat="1" ht="28.2" customHeight="1">
      <c r="A310" s="12">
        <v>308</v>
      </c>
      <c r="B310" s="6">
        <v>5</v>
      </c>
      <c r="C310" s="6" t="s">
        <v>250</v>
      </c>
      <c r="D310" s="6">
        <v>19</v>
      </c>
      <c r="E310" s="22" t="str">
        <f>IF(C310="استحداث بند جديد", "", IF(D310&lt;&gt;"", IFERROR(INDEX('بنود العقد'!B$3:B$388,D310), "⚠"), ""))</f>
        <v>توريد وتركيب هيكل حديدي تيوبات 20*100 مم وسماكة 2مم مثبت بالسقف والأرض مع شبكة حديد مش )طلاء بودرة بالفرن لون اسود( يشمل هيكل حديدي للمقاعد إضافة الى القماش اللازم ،  حسب الرسومات والمناظير وتعليمات المهندس المشرف.مقاس      Ref drawing: 07-MRA-DD-G.F-AR-607.B: طول 4300 ملم، ارتفاع 2400 ملم و عرض 1800 ملم</v>
      </c>
      <c r="F310" s="23" t="str">
        <f>IF(C310="استحداث بند جديد", "", IF(D310&lt;&gt;"", IFERROR(INDEX('بنود العقد'!D$3:D$388,D310), ""), ""))</f>
        <v>عدد</v>
      </c>
      <c r="G310" s="24">
        <f>IF(C310="استحداث بند جديد", "", IF(D310&lt;&gt;"", IFERROR(INDEX('بنود العقد'!E$3:E$388,D310), 0), ""))</f>
        <v>6000</v>
      </c>
      <c r="H310" s="7">
        <v>-1</v>
      </c>
      <c r="I310" s="8">
        <v>0</v>
      </c>
      <c r="J310" s="10">
        <f t="shared" si="2"/>
        <v>-6000</v>
      </c>
      <c r="K310" s="76" t="str">
        <f>IF(C310="استحداث بند جديد", "", IF(D310&lt;&gt;"", IFERROR(INDEX('بنود العقد'!C$3:C$388,D310), ""), ""))</f>
        <v>معماري</v>
      </c>
      <c r="L310" s="76" t="str">
        <f>IF(C310="استحداث بند جديد", IF(K310&lt;&gt;"","CMH_01-"&amp;IFERROR(VLOOKUP(K310,مراجع!$A$3:$B$14,2,FALSE),"?")&amp;"-NEW-"&amp;TEXT(A310,"000"),""), IF(D310&lt;&gt;"", IFERROR(INDEX('بنود العقد'!I$3:I$388,D310), ""), ""))</f>
        <v>CMH_01-A-019</v>
      </c>
      <c r="M310" s="19"/>
    </row>
    <row r="311" spans="1:13" s="76" customFormat="1" ht="28.2" customHeight="1">
      <c r="A311" s="12">
        <v>309</v>
      </c>
      <c r="B311" s="6">
        <v>5</v>
      </c>
      <c r="C311" s="6" t="s">
        <v>250</v>
      </c>
      <c r="D311" s="6">
        <v>20</v>
      </c>
      <c r="E311" s="22" t="str">
        <f>IF(C311="استحداث بند جديد", "", IF(D311&lt;&gt;"", IFERROR(INDEX('بنود العقد'!B$3:B$388,D311), "⚠"), ""))</f>
        <v>توريد وتركيب هيكل حديدي تيوبات 20*100 مم وسماكة 2مم مثبت بالسقف والأرض مع شبكة حديد مش )طلاء بودرة بالفرن لون اسود( يشمل هيكل حديدي للمقاعد إضافة الى القماش اللازم ،  حسب الرسومات والمناظير وتعليمات المهندس المشرف.Ref drawing: 07-MRA-DD-G.F-AR-607.Bمقاس: طول 3100 ملم، ارتفاع 2400 ملم و عرض 1800 ملم</v>
      </c>
      <c r="F311" s="23" t="str">
        <f>IF(C311="استحداث بند جديد", "", IF(D311&lt;&gt;"", IFERROR(INDEX('بنود العقد'!D$3:D$388,D311), ""), ""))</f>
        <v>عدد</v>
      </c>
      <c r="G311" s="24">
        <f>IF(C311="استحداث بند جديد", "", IF(D311&lt;&gt;"", IFERROR(INDEX('بنود العقد'!E$3:E$388,D311), 0), ""))</f>
        <v>5400</v>
      </c>
      <c r="H311" s="7">
        <v>-1</v>
      </c>
      <c r="I311" s="8">
        <v>0</v>
      </c>
      <c r="J311" s="10">
        <f t="shared" si="2"/>
        <v>-5400</v>
      </c>
      <c r="K311" s="76" t="str">
        <f>IF(C311="استحداث بند جديد", "", IF(D311&lt;&gt;"", IFERROR(INDEX('بنود العقد'!C$3:C$388,D311), ""), ""))</f>
        <v>معماري</v>
      </c>
      <c r="L311" s="76" t="str">
        <f>IF(C311="استحداث بند جديد", IF(K311&lt;&gt;"","CMH_01-"&amp;IFERROR(VLOOKUP(K311,مراجع!$A$3:$B$14,2,FALSE),"?")&amp;"-NEW-"&amp;TEXT(A311,"000"),""), IF(D311&lt;&gt;"", IFERROR(INDEX('بنود العقد'!I$3:I$388,D311), ""), ""))</f>
        <v>CMH_01-A-020</v>
      </c>
      <c r="M311" s="19"/>
    </row>
    <row r="312" spans="1:13" s="76" customFormat="1" ht="28.2" customHeight="1">
      <c r="A312" s="12">
        <v>310</v>
      </c>
      <c r="B312" s="6">
        <v>5</v>
      </c>
      <c r="C312" s="6" t="s">
        <v>250</v>
      </c>
      <c r="D312" s="6">
        <v>21</v>
      </c>
      <c r="E312" s="22" t="str">
        <f>IF(C312="استحداث بند جديد", "", IF(D312&lt;&gt;"", IFERROR(INDEX('بنود العقد'!B$3:B$388,D312), "⚠"), ""))</f>
        <v>توريد وتركيب شبكة حديد مش )طلاء بودرة بالفرن لون اسود(   مع تيوب حديد 50X50 ملم وسماكة 2 ملم لمنطقة القهوة والسعر يشمل طاولات الحديد في الوسط. مقاس 760X2750 ملم.Ref drawing: 07-MRA-DD-G.F-AR-607.A</v>
      </c>
      <c r="F312" s="23" t="str">
        <f>IF(C312="استحداث بند جديد", "", IF(D312&lt;&gt;"", IFERROR(INDEX('بنود العقد'!D$3:D$388,D312), ""), ""))</f>
        <v>عدد</v>
      </c>
      <c r="G312" s="24">
        <f>IF(C312="استحداث بند جديد", "", IF(D312&lt;&gt;"", IFERROR(INDEX('بنود العقد'!E$3:E$388,D312), 0), ""))</f>
        <v>5100</v>
      </c>
      <c r="H312" s="7">
        <v>-3</v>
      </c>
      <c r="I312" s="8">
        <v>0</v>
      </c>
      <c r="J312" s="10">
        <f t="shared" si="2"/>
        <v>-15300</v>
      </c>
      <c r="K312" s="76" t="str">
        <f>IF(C312="استحداث بند جديد", "", IF(D312&lt;&gt;"", IFERROR(INDEX('بنود العقد'!C$3:C$388,D312), ""), ""))</f>
        <v>معماري</v>
      </c>
      <c r="L312" s="76" t="str">
        <f>IF(C312="استحداث بند جديد", IF(K312&lt;&gt;"","CMH_01-"&amp;IFERROR(VLOOKUP(K312,مراجع!$A$3:$B$14,2,FALSE),"?")&amp;"-NEW-"&amp;TEXT(A312,"000"),""), IF(D312&lt;&gt;"", IFERROR(INDEX('بنود العقد'!I$3:I$388,D312), ""), ""))</f>
        <v>CMH_01-A-021</v>
      </c>
      <c r="M312" s="19"/>
    </row>
    <row r="313" spans="1:13" s="76" customFormat="1" ht="28.2" customHeight="1">
      <c r="A313" s="12">
        <v>311</v>
      </c>
      <c r="B313" s="6">
        <v>5</v>
      </c>
      <c r="C313" s="6" t="s">
        <v>175</v>
      </c>
      <c r="D313" s="6">
        <v>22</v>
      </c>
      <c r="E313" s="22" t="str">
        <f>IF(C313="استحداث بند جديد", "", IF(D313&lt;&gt;"", IFERROR(INDEX('بنود العقد'!B$3:B$388,D313), "⚠"), ""))</f>
        <v>توريد وتركيب وزرات خشب )Mdf( مع قشرة جوز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 .Ref drawing: 07-MRA-DD-(as per floor number)-AR-301</v>
      </c>
      <c r="F313" s="23" t="str">
        <f>IF(C313="استحداث بند جديد", "", IF(D313&lt;&gt;"", IFERROR(INDEX('بنود العقد'!D$3:D$388,D313), ""), ""))</f>
        <v>م.ط</v>
      </c>
      <c r="G313" s="24">
        <f>IF(C313="استحداث بند جديد", "", IF(D313&lt;&gt;"", IFERROR(INDEX('بنود العقد'!E$3:E$388,D313), 0), ""))</f>
        <v>42</v>
      </c>
      <c r="H313" s="7">
        <v>843.15</v>
      </c>
      <c r="I313" s="8">
        <v>0</v>
      </c>
      <c r="J313" s="10">
        <f t="shared" si="2"/>
        <v>35412.299999999996</v>
      </c>
      <c r="K313" s="76" t="str">
        <f>IF(C313="استحداث بند جديد", "", IF(D313&lt;&gt;"", IFERROR(INDEX('بنود العقد'!C$3:C$388,D313), ""), ""))</f>
        <v>معماري</v>
      </c>
      <c r="L313" s="76" t="str">
        <f>IF(C313="استحداث بند جديد", IF(K313&lt;&gt;"","CMH_01-"&amp;IFERROR(VLOOKUP(K313,مراجع!$A$3:$B$14,2,FALSE),"?")&amp;"-NEW-"&amp;TEXT(A313,"000"),""), IF(D313&lt;&gt;"", IFERROR(INDEX('بنود العقد'!I$3:I$388,D313), ""), ""))</f>
        <v>CMH_01-A-022</v>
      </c>
      <c r="M313" s="19"/>
    </row>
    <row r="314" spans="1:13" s="76" customFormat="1" ht="28.2" customHeight="1">
      <c r="A314" s="12">
        <v>312</v>
      </c>
      <c r="B314" s="6">
        <v>5</v>
      </c>
      <c r="C314" s="6" t="s">
        <v>250</v>
      </c>
      <c r="D314" s="6">
        <v>23</v>
      </c>
      <c r="E314" s="22" t="str">
        <f>IF(C314="استحداث بند جديد", "", IF(D314&lt;&gt;"", IFERROR(INDEX('بنود العقد'!B$3:B$388,D314), "⚠"), ""))</f>
        <v>توريد وتركيب وزرات خشب )Mdf( مع قشرة ،وينغي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المشرفRef drawing: 07-MRA-DD-(as per floor number)-AR-301</v>
      </c>
      <c r="F314" s="23" t="str">
        <f>IF(C314="استحداث بند جديد", "", IF(D314&lt;&gt;"", IFERROR(INDEX('بنود العقد'!D$3:D$388,D314), ""), ""))</f>
        <v>م.ط</v>
      </c>
      <c r="G314" s="24">
        <f>IF(C314="استحداث بند جديد", "", IF(D314&lt;&gt;"", IFERROR(INDEX('بنود العقد'!E$3:E$388,D314), 0), ""))</f>
        <v>42</v>
      </c>
      <c r="H314" s="7">
        <v>-135.97999999999999</v>
      </c>
      <c r="I314" s="8">
        <v>0</v>
      </c>
      <c r="J314" s="10">
        <f t="shared" si="2"/>
        <v>-5711.16</v>
      </c>
      <c r="K314" s="76" t="str">
        <f>IF(C314="استحداث بند جديد", "", IF(D314&lt;&gt;"", IFERROR(INDEX('بنود العقد'!C$3:C$388,D314), ""), ""))</f>
        <v>معماري</v>
      </c>
      <c r="L314" s="76" t="str">
        <f>IF(C314="استحداث بند جديد", IF(K314&lt;&gt;"","CMH_01-"&amp;IFERROR(VLOOKUP(K314,مراجع!$A$3:$B$14,2,FALSE),"?")&amp;"-NEW-"&amp;TEXT(A314,"000"),""), IF(D314&lt;&gt;"", IFERROR(INDEX('بنود العقد'!I$3:I$388,D314), ""), ""))</f>
        <v>CMH_01-A-023</v>
      </c>
      <c r="M314" s="19"/>
    </row>
    <row r="315" spans="1:13" s="76" customFormat="1" ht="28.2" customHeight="1">
      <c r="A315" s="12">
        <v>313</v>
      </c>
      <c r="B315" s="6">
        <v>5</v>
      </c>
      <c r="C315" s="6" t="s">
        <v>175</v>
      </c>
      <c r="D315" s="6">
        <v>24</v>
      </c>
      <c r="E315" s="22" t="str">
        <f>IF(C315="استحداث بند جديد", "", IF(D315&lt;&gt;"", IFERROR(INDEX('بنود العقد'!B$3:B$388,D315), "⚠"), ""))</f>
        <v>تصنيع وتركيب جدار خشبي ) Mdf(  مع قشرة السنديان المطلي بدهان ابيض تثبت على هيكل معدني، مع تصميم  فتحات على شكل مثلثات مضاءة من الداخل واحجام بمستويات مختلفة، حسب المناظير والرسومات وتعليمات المهندس المشرف.Code: WDP1-01,WDP1-02,WDP1-02.A</v>
      </c>
      <c r="F315" s="23" t="str">
        <f>IF(C315="استحداث بند جديد", "", IF(D315&lt;&gt;"", IFERROR(INDEX('بنود العقد'!D$3:D$388,D315), ""), ""))</f>
        <v>م2</v>
      </c>
      <c r="G315" s="24">
        <f>IF(C315="استحداث بند جديد", "", IF(D315&lt;&gt;"", IFERROR(INDEX('بنود العقد'!E$3:E$388,D315), 0), ""))</f>
        <v>714</v>
      </c>
      <c r="H315" s="7">
        <v>231.36</v>
      </c>
      <c r="I315" s="8">
        <v>0</v>
      </c>
      <c r="J315" s="10">
        <f t="shared" si="2"/>
        <v>165191.04000000001</v>
      </c>
      <c r="K315" s="76" t="str">
        <f>IF(C315="استحداث بند جديد", "", IF(D315&lt;&gt;"", IFERROR(INDEX('بنود العقد'!C$3:C$388,D315), ""), ""))</f>
        <v>معماري</v>
      </c>
      <c r="L315" s="76" t="str">
        <f>IF(C315="استحداث بند جديد", IF(K315&lt;&gt;"","CMH_01-"&amp;IFERROR(VLOOKUP(K315,مراجع!$A$3:$B$14,2,FALSE),"?")&amp;"-NEW-"&amp;TEXT(A315,"000"),""), IF(D315&lt;&gt;"", IFERROR(INDEX('بنود العقد'!I$3:I$388,D315), ""), ""))</f>
        <v>CMH_01-A-024</v>
      </c>
      <c r="M315" s="19"/>
    </row>
    <row r="316" spans="1:13" s="76" customFormat="1" ht="28.2" customHeight="1">
      <c r="A316" s="12">
        <v>314</v>
      </c>
      <c r="B316" s="6">
        <v>5</v>
      </c>
      <c r="C316" s="6" t="s">
        <v>250</v>
      </c>
      <c r="D316" s="6">
        <v>25</v>
      </c>
      <c r="E316" s="22" t="str">
        <f>IF(C316="استحداث بند جديد", "", IF(D316&lt;&gt;"", IFERROR(INDEX('بنود العقد'!B$3:B$388,D316), "⚠"), ""))</f>
        <v>تصنيع وتركيب لوح خشبي بشكل طولي من  الـ )Mdf(  مع قشرة الجوز او ما يتناسب مع العينة المتفق عليها طول 25سم وعرض 10سم وارتفاع 270 سم الى جانب الابواب الزجاجية حسب المناظير والرسومات وتعليمات المهندس المشرف.Code: WDP2-08</v>
      </c>
      <c r="F316" s="23" t="str">
        <f>IF(C316="استحداث بند جديد", "", IF(D316&lt;&gt;"", IFERROR(INDEX('بنود العقد'!D$3:D$388,D316), ""), ""))</f>
        <v>عدد</v>
      </c>
      <c r="G316" s="24">
        <f>IF(C316="استحداث بند جديد", "", IF(D316&lt;&gt;"", IFERROR(INDEX('بنود العقد'!E$3:E$388,D316), 0), ""))</f>
        <v>240</v>
      </c>
      <c r="H316" s="7">
        <v>-6</v>
      </c>
      <c r="I316" s="8">
        <v>0</v>
      </c>
      <c r="J316" s="10">
        <f t="shared" si="2"/>
        <v>-1440</v>
      </c>
      <c r="K316" s="76" t="str">
        <f>IF(C316="استحداث بند جديد", "", IF(D316&lt;&gt;"", IFERROR(INDEX('بنود العقد'!C$3:C$388,D316), ""), ""))</f>
        <v>معماري</v>
      </c>
      <c r="L316" s="76" t="str">
        <f>IF(C316="استحداث بند جديد", IF(K316&lt;&gt;"","CMH_01-"&amp;IFERROR(VLOOKUP(K316,مراجع!$A$3:$B$14,2,FALSE),"?")&amp;"-NEW-"&amp;TEXT(A316,"000"),""), IF(D316&lt;&gt;"", IFERROR(INDEX('بنود العقد'!I$3:I$388,D316), ""), ""))</f>
        <v>CMH_01-A-025</v>
      </c>
      <c r="M316" s="19"/>
    </row>
    <row r="317" spans="1:13" s="76" customFormat="1" ht="28.2" customHeight="1">
      <c r="A317" s="12">
        <v>315</v>
      </c>
      <c r="B317" s="6">
        <v>5</v>
      </c>
      <c r="C317" s="6" t="s">
        <v>175</v>
      </c>
      <c r="D317" s="6">
        <v>26</v>
      </c>
      <c r="E317" s="22" t="str">
        <f>IF(C317="استحداث بند جديد", "", IF(D317&lt;&gt;"", IFERROR(INDEX('بنود العقد'!B$3:B$388,D317),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العامود الخرساني بدهان رمادي على شكل وهيئة الأسطح الاسمنتية )matt( بتصميم مع غروف حسب الرسومات والمناظير وتعليمات المهندس المشرف.Code: WDP3-04</v>
      </c>
      <c r="F317" s="23" t="str">
        <f>IF(C317="استحداث بند جديد", "", IF(D317&lt;&gt;"", IFERROR(INDEX('بنود العقد'!D$3:D$388,D317), ""), ""))</f>
        <v>م2</v>
      </c>
      <c r="G317" s="24">
        <f>IF(C317="استحداث بند جديد", "", IF(D317&lt;&gt;"", IFERROR(INDEX('بنود العقد'!E$3:E$388,D317), 0), ""))</f>
        <v>528</v>
      </c>
      <c r="H317" s="7">
        <v>25.98</v>
      </c>
      <c r="I317" s="8">
        <v>0</v>
      </c>
      <c r="J317" s="10">
        <f t="shared" si="2"/>
        <v>13717.44</v>
      </c>
      <c r="K317" s="76" t="str">
        <f>IF(C317="استحداث بند جديد", "", IF(D317&lt;&gt;"", IFERROR(INDEX('بنود العقد'!C$3:C$388,D317), ""), ""))</f>
        <v>معماري</v>
      </c>
      <c r="L317" s="76" t="str">
        <f>IF(C317="استحداث بند جديد", IF(K317&lt;&gt;"","CMH_01-"&amp;IFERROR(VLOOKUP(K317,مراجع!$A$3:$B$14,2,FALSE),"?")&amp;"-NEW-"&amp;TEXT(A317,"000"),""), IF(D317&lt;&gt;"", IFERROR(INDEX('بنود العقد'!I$3:I$388,D317), ""), ""))</f>
        <v>CMH_01-A-026</v>
      </c>
      <c r="M317" s="19"/>
    </row>
    <row r="318" spans="1:13" s="76" customFormat="1" ht="28.2" customHeight="1">
      <c r="A318" s="12">
        <v>316</v>
      </c>
      <c r="B318" s="6">
        <v>5</v>
      </c>
      <c r="C318" s="6" t="s">
        <v>250</v>
      </c>
      <c r="D318" s="6">
        <v>27</v>
      </c>
      <c r="E318" s="22" t="str">
        <f>IF(C318="استحداث بند جديد", "", IF(D318&lt;&gt;"", IFERROR(INDEX('بنود العقد'!B$3:B$388,D318),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القواطع الجبسية بدهان رمادي بيج  )matt( ، وبتصميم مع غروف حسب الرسومات والمناظير وتعليمات المهندس المشرف.Code: WPD4-01,WDP4-01.A</v>
      </c>
      <c r="F318" s="23" t="str">
        <f>IF(C318="استحداث بند جديد", "", IF(D318&lt;&gt;"", IFERROR(INDEX('بنود العقد'!D$3:D$388,D318), ""), ""))</f>
        <v>م2</v>
      </c>
      <c r="G318" s="24">
        <f>IF(C318="استحداث بند جديد", "", IF(D318&lt;&gt;"", IFERROR(INDEX('بنود العقد'!E$3:E$388,D318), 0), ""))</f>
        <v>528</v>
      </c>
      <c r="H318" s="7">
        <v>-143.21</v>
      </c>
      <c r="I318" s="8">
        <v>0</v>
      </c>
      <c r="J318" s="10">
        <f t="shared" si="2"/>
        <v>-75614.880000000005</v>
      </c>
      <c r="K318" s="76" t="str">
        <f>IF(C318="استحداث بند جديد", "", IF(D318&lt;&gt;"", IFERROR(INDEX('بنود العقد'!C$3:C$388,D318), ""), ""))</f>
        <v>معماري</v>
      </c>
      <c r="L318" s="76" t="str">
        <f>IF(C318="استحداث بند جديد", IF(K318&lt;&gt;"","CMH_01-"&amp;IFERROR(VLOOKUP(K318,مراجع!$A$3:$B$14,2,FALSE),"?")&amp;"-NEW-"&amp;TEXT(A318,"000"),""), IF(D318&lt;&gt;"", IFERROR(INDEX('بنود العقد'!I$3:I$388,D318), ""), ""))</f>
        <v>CMH_01-A-027</v>
      </c>
      <c r="M318" s="19"/>
    </row>
    <row r="319" spans="1:13" s="76" customFormat="1" ht="28.2" customHeight="1">
      <c r="A319" s="12">
        <v>317</v>
      </c>
      <c r="B319" s="6">
        <v>5</v>
      </c>
      <c r="C319" s="6" t="s">
        <v>250</v>
      </c>
      <c r="D319" s="6">
        <v>28</v>
      </c>
      <c r="E319" s="22" t="str">
        <f>IF(C319="استحداث بند جديد", "", IF(D319&lt;&gt;"", IFERROR(INDEX('بنود العقد'!B$3:B$388,D319),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مثبتة على القواطع الجبسية مع قشرة صناعية بحسب العينة الموافق عليها وغروف حسب الرسومات والمناظير وتعليمات المهندس المشرفCode: WDP2</v>
      </c>
      <c r="F319" s="23" t="str">
        <f>IF(C319="استحداث بند جديد", "", IF(D319&lt;&gt;"", IFERROR(INDEX('بنود العقد'!D$3:D$388,D319), ""), ""))</f>
        <v>م2</v>
      </c>
      <c r="G319" s="24">
        <f>IF(C319="استحداث بند جديد", "", IF(D319&lt;&gt;"", IFERROR(INDEX('بنود العقد'!E$3:E$388,D319), 0), ""))</f>
        <v>528</v>
      </c>
      <c r="H319" s="7">
        <v>-194.61</v>
      </c>
      <c r="I319" s="8">
        <v>0</v>
      </c>
      <c r="J319" s="10">
        <f t="shared" si="2"/>
        <v>-102754.08</v>
      </c>
      <c r="K319" s="76" t="str">
        <f>IF(C319="استحداث بند جديد", "", IF(D319&lt;&gt;"", IFERROR(INDEX('بنود العقد'!C$3:C$388,D319), ""), ""))</f>
        <v>معماري</v>
      </c>
      <c r="L319" s="76" t="str">
        <f>IF(C319="استحداث بند جديد", IF(K319&lt;&gt;"","CMH_01-"&amp;IFERROR(VLOOKUP(K319,مراجع!$A$3:$B$14,2,FALSE),"?")&amp;"-NEW-"&amp;TEXT(A319,"000"),""), IF(D319&lt;&gt;"", IFERROR(INDEX('بنود العقد'!I$3:I$388,D319), ""), ""))</f>
        <v>CMH_01-A-028</v>
      </c>
      <c r="M319" s="19"/>
    </row>
    <row r="320" spans="1:13" s="76" customFormat="1" ht="28.2" customHeight="1">
      <c r="A320" s="12">
        <v>318</v>
      </c>
      <c r="B320" s="6">
        <v>5</v>
      </c>
      <c r="C320" s="6" t="s">
        <v>250</v>
      </c>
      <c r="D320" s="6">
        <v>29</v>
      </c>
      <c r="E320" s="22" t="str">
        <f>IF(C320="استحداث بند جديد", "", IF(D320&lt;&gt;"", IFERROR(INDEX('بنود العقد'!B$3:B$388,D320),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االقواطع الجبسية بدهان رمادي على شكل وهيئة الأسطح الاسمنتية ) matt( مع تصميم بفتحات حسب الرسومات والمناظير وتعليمات المهندس المشرف.Code: WDP3-01, WDP3-02, WDP3-03</v>
      </c>
      <c r="F320" s="23" t="str">
        <f>IF(C320="استحداث بند جديد", "", IF(D320&lt;&gt;"", IFERROR(INDEX('بنود العقد'!D$3:D$388,D320), ""), ""))</f>
        <v>م2</v>
      </c>
      <c r="G320" s="24">
        <f>IF(C320="استحداث بند جديد", "", IF(D320&lt;&gt;"", IFERROR(INDEX('بنود العقد'!E$3:E$388,D320), 0), ""))</f>
        <v>528</v>
      </c>
      <c r="H320" s="7">
        <v>-61.35</v>
      </c>
      <c r="I320" s="8">
        <v>0</v>
      </c>
      <c r="J320" s="10">
        <f t="shared" si="2"/>
        <v>-32392.799999999999</v>
      </c>
      <c r="K320" s="76" t="str">
        <f>IF(C320="استحداث بند جديد", "", IF(D320&lt;&gt;"", IFERROR(INDEX('بنود العقد'!C$3:C$388,D320), ""), ""))</f>
        <v>معماري</v>
      </c>
      <c r="L320" s="76" t="str">
        <f>IF(C320="استحداث بند جديد", IF(K320&lt;&gt;"","CMH_01-"&amp;IFERROR(VLOOKUP(K320,مراجع!$A$3:$B$14,2,FALSE),"?")&amp;"-NEW-"&amp;TEXT(A320,"000"),""), IF(D320&lt;&gt;"", IFERROR(INDEX('بنود العقد'!I$3:I$388,D320), ""), ""))</f>
        <v>CMH_01-A-029</v>
      </c>
      <c r="M320" s="19"/>
    </row>
    <row r="321" spans="1:13" s="76" customFormat="1" ht="28.2" customHeight="1">
      <c r="A321" s="12">
        <v>319</v>
      </c>
      <c r="B321" s="6">
        <v>5</v>
      </c>
      <c r="C321" s="6" t="s">
        <v>175</v>
      </c>
      <c r="D321" s="6">
        <v>30</v>
      </c>
      <c r="E321" s="22" t="str">
        <f>IF(C321="استحداث بند جديد", "", IF(D321&lt;&gt;"", IFERROR(INDEX('بنود العقد'!B$3:B$388,D321),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مع قشرة السنديان المطلي بدهان ابيض  مع غروف وفتحات إضاءة مخفية مغلفة من الداخل بطبقة Acrylic مغشى  حسب الرسومات والمناظير وتعليمات المهندس المشرف.Code: WDP1-03, WDP1-04, WDP1-05, WDP1-06</v>
      </c>
      <c r="F321" s="23" t="str">
        <f>IF(C321="استحداث بند جديد", "", IF(D321&lt;&gt;"", IFERROR(INDEX('بنود العقد'!D$3:D$388,D321), ""), ""))</f>
        <v>م2</v>
      </c>
      <c r="G321" s="24">
        <f>IF(C321="استحداث بند جديد", "", IF(D321&lt;&gt;"", IFERROR(INDEX('بنود العقد'!E$3:E$388,D321), 0), ""))</f>
        <v>570</v>
      </c>
      <c r="H321" s="7">
        <v>39.369999999999997</v>
      </c>
      <c r="I321" s="8">
        <v>0</v>
      </c>
      <c r="J321" s="10">
        <f t="shared" si="2"/>
        <v>22440.899999999998</v>
      </c>
      <c r="K321" s="76" t="str">
        <f>IF(C321="استحداث بند جديد", "", IF(D321&lt;&gt;"", IFERROR(INDEX('بنود العقد'!C$3:C$388,D321), ""), ""))</f>
        <v>معماري</v>
      </c>
      <c r="L321" s="76" t="str">
        <f>IF(C321="استحداث بند جديد", IF(K321&lt;&gt;"","CMH_01-"&amp;IFERROR(VLOOKUP(K321,مراجع!$A$3:$B$14,2,FALSE),"?")&amp;"-NEW-"&amp;TEXT(A321,"000"),""), IF(D321&lt;&gt;"", IFERROR(INDEX('بنود العقد'!I$3:I$388,D321), ""), ""))</f>
        <v>CMH_01-A-030</v>
      </c>
      <c r="M321" s="19"/>
    </row>
    <row r="322" spans="1:13" s="76" customFormat="1" ht="28.2" customHeight="1">
      <c r="A322" s="12">
        <v>320</v>
      </c>
      <c r="B322" s="6">
        <v>5</v>
      </c>
      <c r="C322" s="6" t="s">
        <v>250</v>
      </c>
      <c r="D322" s="6">
        <v>31</v>
      </c>
      <c r="E322" s="22" t="str">
        <f>IF(C322="استحداث بند جديد", "", IF(D322&lt;&gt;"", IFERROR(INDEX('بنود العقد'!B$3:B$388,D322),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بدهان رمادي   مع غروف وفتحات إضاءة مخفية مغلفة من الداخل بطبقة Acrylic مغشى  حسب الرسومات والمناظير وتعليمات المهندس المشرف.Code: WDP5</v>
      </c>
      <c r="F322" s="23" t="str">
        <f>IF(C322="استحداث بند جديد", "", IF(D322&lt;&gt;"", IFERROR(INDEX('بنود العقد'!D$3:D$388,D322), ""), ""))</f>
        <v>م2</v>
      </c>
      <c r="G322" s="24">
        <f>IF(C322="استحداث بند جديد", "", IF(D322&lt;&gt;"", IFERROR(INDEX('بنود العقد'!E$3:E$388,D322), 0), ""))</f>
        <v>720</v>
      </c>
      <c r="H322" s="7">
        <v>-10.86</v>
      </c>
      <c r="I322" s="8">
        <v>0</v>
      </c>
      <c r="J322" s="10">
        <f t="shared" si="2"/>
        <v>-7819.2</v>
      </c>
      <c r="K322" s="76" t="str">
        <f>IF(C322="استحداث بند جديد", "", IF(D322&lt;&gt;"", IFERROR(INDEX('بنود العقد'!C$3:C$388,D322), ""), ""))</f>
        <v>معماري</v>
      </c>
      <c r="L322" s="76" t="str">
        <f>IF(C322="استحداث بند جديد", IF(K322&lt;&gt;"","CMH_01-"&amp;IFERROR(VLOOKUP(K322,مراجع!$A$3:$B$14,2,FALSE),"?")&amp;"-NEW-"&amp;TEXT(A322,"000"),""), IF(D322&lt;&gt;"", IFERROR(INDEX('بنود العقد'!I$3:I$388,D322), ""), ""))</f>
        <v>CMH_01-A-031</v>
      </c>
      <c r="M322" s="19"/>
    </row>
    <row r="323" spans="1:13" s="76" customFormat="1" ht="28.2" customHeight="1">
      <c r="A323" s="12">
        <v>321</v>
      </c>
      <c r="B323" s="6">
        <v>5</v>
      </c>
      <c r="C323" s="6" t="s">
        <v>175</v>
      </c>
      <c r="D323" s="6">
        <v>32</v>
      </c>
      <c r="E323" s="22" t="str">
        <f>IF(C323="استحداث بند جديد", "", IF(D323&lt;&gt;"", IFERROR(INDEX('بنود العقد'!B$3:B$388,D323),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المطلي بدهان رمادي  Code: WDP6</v>
      </c>
      <c r="F323" s="23" t="str">
        <f>IF(C323="استحداث بند جديد", "", IF(D323&lt;&gt;"", IFERROR(INDEX('بنود العقد'!D$3:D$388,D323), ""), ""))</f>
        <v>م2</v>
      </c>
      <c r="G323" s="24">
        <f>IF(C323="استحداث بند جديد", "", IF(D323&lt;&gt;"", IFERROR(INDEX('بنود العقد'!E$3:E$388,D323), 0), ""))</f>
        <v>468</v>
      </c>
      <c r="H323" s="7">
        <v>2.68</v>
      </c>
      <c r="I323" s="8">
        <v>0</v>
      </c>
      <c r="J323" s="10">
        <f t="shared" si="2"/>
        <v>1254.24</v>
      </c>
      <c r="K323" s="76" t="str">
        <f>IF(C323="استحداث بند جديد", "", IF(D323&lt;&gt;"", IFERROR(INDEX('بنود العقد'!C$3:C$388,D323), ""), ""))</f>
        <v>معماري</v>
      </c>
      <c r="L323" s="76" t="str">
        <f>IF(C323="استحداث بند جديد", IF(K323&lt;&gt;"","CMH_01-"&amp;IFERROR(VLOOKUP(K323,مراجع!$A$3:$B$14,2,FALSE),"?")&amp;"-NEW-"&amp;TEXT(A323,"000"),""), IF(D323&lt;&gt;"", IFERROR(INDEX('بنود العقد'!I$3:I$388,D323), ""), ""))</f>
        <v>CMH_01-A-032</v>
      </c>
      <c r="M323" s="19"/>
    </row>
    <row r="324" spans="1:13" s="76" customFormat="1" ht="28.2" customHeight="1">
      <c r="A324" s="12">
        <v>322</v>
      </c>
      <c r="B324" s="6">
        <v>5</v>
      </c>
      <c r="C324" s="6" t="s">
        <v>175</v>
      </c>
      <c r="D324" s="6">
        <v>33</v>
      </c>
      <c r="E324" s="22" t="str">
        <f>IF(C324="استحداث بند جديد", "", IF(D324&lt;&gt;"", IFERROR(INDEX('بنود العقد'!B$3:B$388,D324),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number)-AR-600 to 07-MRA-DD (as per floor number)-AR-604كسوة من خشب الـ) Mdf(  ، مع قشرة  )walnut( لمدخل كبار الشخصيات ومكتب مدير مكتب معالي الوزير     حسب الرسومات والمناظير وتعليمات المهندس المشرف.Code: WDP7</v>
      </c>
      <c r="F324" s="23" t="str">
        <f>IF(C324="استحداث بند جديد", "", IF(D324&lt;&gt;"", IFERROR(INDEX('بنود العقد'!D$3:D$388,D324), ""), ""))</f>
        <v>م2</v>
      </c>
      <c r="G324" s="24">
        <f>IF(C324="استحداث بند جديد", "", IF(D324&lt;&gt;"", IFERROR(INDEX('بنود العقد'!E$3:E$388,D324), 0), ""))</f>
        <v>570</v>
      </c>
      <c r="H324" s="7">
        <v>129.69</v>
      </c>
      <c r="I324" s="8">
        <v>0</v>
      </c>
      <c r="J324" s="10">
        <f t="shared" si="2"/>
        <v>73923.3</v>
      </c>
      <c r="K324" s="76" t="str">
        <f>IF(C324="استحداث بند جديد", "", IF(D324&lt;&gt;"", IFERROR(INDEX('بنود العقد'!C$3:C$388,D324), ""), ""))</f>
        <v>معماري</v>
      </c>
      <c r="L324" s="76" t="str">
        <f>IF(C324="استحداث بند جديد", IF(K324&lt;&gt;"","CMH_01-"&amp;IFERROR(VLOOKUP(K324,مراجع!$A$3:$B$14,2,FALSE),"?")&amp;"-NEW-"&amp;TEXT(A324,"000"),""), IF(D324&lt;&gt;"", IFERROR(INDEX('بنود العقد'!I$3:I$388,D324), ""), ""))</f>
        <v>CMH_01-A-033</v>
      </c>
      <c r="M324" s="19"/>
    </row>
    <row r="325" spans="1:13" s="76" customFormat="1" ht="28.2" customHeight="1">
      <c r="A325" s="12">
        <v>323</v>
      </c>
      <c r="B325" s="6">
        <v>5</v>
      </c>
      <c r="C325" s="6" t="s">
        <v>175</v>
      </c>
      <c r="D325" s="6">
        <v>34</v>
      </c>
      <c r="E325" s="22" t="str">
        <f>IF(C325="استحداث بند جديد", "", IF(D325&lt;&gt;"", IFERROR(INDEX('بنود العقد'!B$3:B$388,D325),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صناعية بلون رمادي بيج لمنطقة معالي الوزير   حسب الرسومات والمناظير وتعليمات المهندس المشرف.Code: WDP8</v>
      </c>
      <c r="F325" s="23" t="str">
        <f>IF(C325="استحداث بند جديد", "", IF(D325&lt;&gt;"", IFERROR(INDEX('بنود العقد'!D$3:D$388,D325), ""), ""))</f>
        <v>م2</v>
      </c>
      <c r="G325" s="24">
        <f>IF(C325="استحداث بند جديد", "", IF(D325&lt;&gt;"", IFERROR(INDEX('بنود العقد'!E$3:E$388,D325), 0), ""))</f>
        <v>870</v>
      </c>
      <c r="H325" s="7">
        <v>508.51</v>
      </c>
      <c r="I325" s="8">
        <v>0</v>
      </c>
      <c r="J325" s="10">
        <f t="shared" si="2"/>
        <v>442403.7</v>
      </c>
      <c r="K325" s="76" t="str">
        <f>IF(C325="استحداث بند جديد", "", IF(D325&lt;&gt;"", IFERROR(INDEX('بنود العقد'!C$3:C$388,D325), ""), ""))</f>
        <v>معماري</v>
      </c>
      <c r="L325" s="76" t="str">
        <f>IF(C325="استحداث بند جديد", IF(K325&lt;&gt;"","CMH_01-"&amp;IFERROR(VLOOKUP(K325,مراجع!$A$3:$B$14,2,FALSE),"?")&amp;"-NEW-"&amp;TEXT(A325,"000"),""), IF(D325&lt;&gt;"", IFERROR(INDEX('بنود العقد'!I$3:I$388,D325), ""), ""))</f>
        <v>CMH_01-A-034</v>
      </c>
      <c r="M325" s="19"/>
    </row>
    <row r="326" spans="1:13" s="76" customFormat="1" ht="28.2" customHeight="1">
      <c r="A326" s="12">
        <v>324</v>
      </c>
      <c r="B326" s="6">
        <v>5</v>
      </c>
      <c r="C326" s="6" t="s">
        <v>175</v>
      </c>
      <c r="D326" s="6">
        <v>35</v>
      </c>
      <c r="E326" s="22" t="str">
        <f>IF(C326="استحداث بند جديد", "", IF(D326&lt;&gt;"", IFERROR(INDEX('بنود العقد'!B$3:B$388,D326),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ال )wenge( بشكل pattern مفرغة من الداخل مع ايطار خشبي ملبس بجلد لون بيج ومثبتة على الجدار الخشبي  لمنطقة معالي الوزير  حسب الرسومات والمناظير  وتعليمات المهندس المشرف.Code: P1</v>
      </c>
      <c r="F326" s="23" t="str">
        <f>IF(C326="استحداث بند جديد", "", IF(D326&lt;&gt;"", IFERROR(INDEX('بنود العقد'!D$3:D$388,D326), ""), ""))</f>
        <v>م2</v>
      </c>
      <c r="G326" s="24">
        <f>IF(C326="استحداث بند جديد", "", IF(D326&lt;&gt;"", IFERROR(INDEX('بنود العقد'!E$3:E$388,D326), 0), ""))</f>
        <v>1080</v>
      </c>
      <c r="H326" s="7">
        <v>11.64</v>
      </c>
      <c r="I326" s="8">
        <v>0</v>
      </c>
      <c r="J326" s="10">
        <f t="shared" si="2"/>
        <v>12571.2</v>
      </c>
      <c r="K326" s="76" t="str">
        <f>IF(C326="استحداث بند جديد", "", IF(D326&lt;&gt;"", IFERROR(INDEX('بنود العقد'!C$3:C$388,D326), ""), ""))</f>
        <v>معماري</v>
      </c>
      <c r="L326" s="76" t="str">
        <f>IF(C326="استحداث بند جديد", IF(K326&lt;&gt;"","CMH_01-"&amp;IFERROR(VLOOKUP(K326,مراجع!$A$3:$B$14,2,FALSE),"?")&amp;"-NEW-"&amp;TEXT(A326,"000"),""), IF(D326&lt;&gt;"", IFERROR(INDEX('بنود العقد'!I$3:I$388,D326), ""), ""))</f>
        <v>CMH_01-A-035</v>
      </c>
      <c r="M326" s="19"/>
    </row>
    <row r="327" spans="1:13" s="76" customFormat="1" ht="28.2" customHeight="1">
      <c r="A327" s="12">
        <v>325</v>
      </c>
      <c r="B327" s="6">
        <v>5</v>
      </c>
      <c r="C327" s="6" t="s">
        <v>250</v>
      </c>
      <c r="D327" s="6">
        <v>36</v>
      </c>
      <c r="E327" s="22" t="str">
        <f>IF(C327="استحداث بند جديد", "", IF(D327&lt;&gt;"", IFERROR(INDEX('بنود العقد'!B$3:B$388,D327), "⚠"), ""))</f>
        <v>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ال )wenge( بشكل pattern مفرغة من الداخل مع ايطار خشبي ومثبتة على الجدار الخشبي  لمنطقة التنفيذيين حسب الرسومات والمناظير وتعليمات المهندس المشرف.Code: P2</v>
      </c>
      <c r="F327" s="23" t="str">
        <f>IF(C327="استحداث بند جديد", "", IF(D327&lt;&gt;"", IFERROR(INDEX('بنود العقد'!D$3:D$388,D327), ""), ""))</f>
        <v>م2</v>
      </c>
      <c r="G327" s="24">
        <f>IF(C327="استحداث بند جديد", "", IF(D327&lt;&gt;"", IFERROR(INDEX('بنود العقد'!E$3:E$388,D327), 0), ""))</f>
        <v>960</v>
      </c>
      <c r="H327" s="7">
        <v>-0.55000000000000004</v>
      </c>
      <c r="I327" s="8">
        <v>0</v>
      </c>
      <c r="J327" s="10">
        <f t="shared" si="2"/>
        <v>-528</v>
      </c>
      <c r="K327" s="76" t="str">
        <f>IF(C327="استحداث بند جديد", "", IF(D327&lt;&gt;"", IFERROR(INDEX('بنود العقد'!C$3:C$388,D327), ""), ""))</f>
        <v>معماري</v>
      </c>
      <c r="L327" s="76" t="str">
        <f>IF(C327="استحداث بند جديد", IF(K327&lt;&gt;"","CMH_01-"&amp;IFERROR(VLOOKUP(K327,مراجع!$A$3:$B$14,2,FALSE),"?")&amp;"-NEW-"&amp;TEXT(A327,"000"),""), IF(D327&lt;&gt;"", IFERROR(INDEX('بنود العقد'!I$3:I$388,D327), ""), ""))</f>
        <v>CMH_01-A-036</v>
      </c>
      <c r="M327" s="19"/>
    </row>
    <row r="328" spans="1:13" s="76" customFormat="1" ht="28.2" customHeight="1">
      <c r="A328" s="12">
        <v>326</v>
      </c>
      <c r="B328" s="6">
        <v>5</v>
      </c>
      <c r="C328" s="6" t="s">
        <v>250</v>
      </c>
      <c r="D328" s="6">
        <v>37</v>
      </c>
      <c r="E328" s="22" t="str">
        <f>IF(C328="استحداث بند جديد", "", IF(D328&lt;&gt;"", IFERROR(INDEX('بنود العقد'!B$3:B$388,D328), "⚠"), ""))</f>
        <v>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 سقف من خشب الـ)Mdf( ،  مطلي بدهان أبيض بشكل pattern مفرغة من الداخل  ومثبتة على ألواح خشبية مع قشرة الجوز مثبتة بنظام تعليق متصلة بالسقف الخرساني  لمنطقة معالي الوزير حسب الرسومات والمناظير وتعليمات المهندس المشرف.Code: WDC-04</v>
      </c>
      <c r="F328" s="23" t="str">
        <f>IF(C328="استحداث بند جديد", "", IF(D328&lt;&gt;"", IFERROR(INDEX('بنود العقد'!D$3:D$388,D328), ""), ""))</f>
        <v>م2</v>
      </c>
      <c r="G328" s="24">
        <f>IF(C328="استحداث بند جديد", "", IF(D328&lt;&gt;"", IFERROR(INDEX('بنود العقد'!E$3:E$388,D328), 0), ""))</f>
        <v>1080</v>
      </c>
      <c r="H328" s="7">
        <v>-32.380000000000003</v>
      </c>
      <c r="I328" s="8">
        <v>0</v>
      </c>
      <c r="J328" s="10">
        <f t="shared" si="2"/>
        <v>-34970.400000000001</v>
      </c>
      <c r="K328" s="76" t="str">
        <f>IF(C328="استحداث بند جديد", "", IF(D328&lt;&gt;"", IFERROR(INDEX('بنود العقد'!C$3:C$388,D328), ""), ""))</f>
        <v>معماري</v>
      </c>
      <c r="L328" s="76" t="str">
        <f>IF(C328="استحداث بند جديد", IF(K328&lt;&gt;"","CMH_01-"&amp;IFERROR(VLOOKUP(K328,مراجع!$A$3:$B$14,2,FALSE),"?")&amp;"-NEW-"&amp;TEXT(A328,"000"),""), IF(D328&lt;&gt;"", IFERROR(INDEX('بنود العقد'!I$3:I$388,D328), ""), ""))</f>
        <v>CMH_01-A-037</v>
      </c>
      <c r="M328" s="19"/>
    </row>
    <row r="329" spans="1:13" s="76" customFormat="1" ht="28.2" customHeight="1">
      <c r="A329" s="12">
        <v>327</v>
      </c>
      <c r="B329" s="6">
        <v>5</v>
      </c>
      <c r="C329" s="6" t="s">
        <v>175</v>
      </c>
      <c r="D329" s="6">
        <v>38</v>
      </c>
      <c r="E329" s="22" t="str">
        <f>IF(C329="استحداث بند جديد", "", IF(D329&lt;&gt;"", IFERROR(INDEX('بنود العقد'!B$3:B$388,D329), "⚠"), ""))</f>
        <v>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 من من خشب الـ)Mdf(  مع قشرة صناعية بحسب العينة الموافق عليها وغروف مثبتة بنظام تعليق متصلة بالسقف الخرساني حسب الرسومات والمناظير وتعليمات المهندس المشرف.Code: WDC-01 &amp; WDC-02</v>
      </c>
      <c r="F329" s="23" t="str">
        <f>IF(C329="استحداث بند جديد", "", IF(D329&lt;&gt;"", IFERROR(INDEX('بنود العقد'!D$3:D$388,D329), ""), ""))</f>
        <v>م2</v>
      </c>
      <c r="G329" s="24">
        <f>IF(C329="استحداث بند جديد", "", IF(D329&lt;&gt;"", IFERROR(INDEX('بنود العقد'!E$3:E$388,D329), 0), ""))</f>
        <v>840</v>
      </c>
      <c r="H329" s="7">
        <v>20.41</v>
      </c>
      <c r="I329" s="8">
        <v>0</v>
      </c>
      <c r="J329" s="10">
        <f t="shared" si="2"/>
        <v>17144.400000000001</v>
      </c>
      <c r="K329" s="76" t="str">
        <f>IF(C329="استحداث بند جديد", "", IF(D329&lt;&gt;"", IFERROR(INDEX('بنود العقد'!C$3:C$388,D329), ""), ""))</f>
        <v>معماري</v>
      </c>
      <c r="L329" s="76" t="str">
        <f>IF(C329="استحداث بند جديد", IF(K329&lt;&gt;"","CMH_01-"&amp;IFERROR(VLOOKUP(K329,مراجع!$A$3:$B$14,2,FALSE),"?")&amp;"-NEW-"&amp;TEXT(A329,"000"),""), IF(D329&lt;&gt;"", IFERROR(INDEX('بنود العقد'!I$3:I$388,D329), ""), ""))</f>
        <v>CMH_01-A-038</v>
      </c>
      <c r="M329" s="19"/>
    </row>
    <row r="330" spans="1:13" s="76" customFormat="1" ht="28.2" customHeight="1">
      <c r="A330" s="12">
        <v>328</v>
      </c>
      <c r="B330" s="6">
        <v>5</v>
      </c>
      <c r="C330" s="6" t="s">
        <v>175</v>
      </c>
      <c r="D330" s="6">
        <v>39</v>
      </c>
      <c r="E330" s="22" t="str">
        <f>IF(C330="استحداث بند جديد", "", IF(D330&lt;&gt;"", IFERROR(INDEX('بنود العقد'!B$3:B$388,D330), "⚠"), ""))</f>
        <v>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خشبي03-WDC من من خشب الـ)Mdf( على شكل مربعات بسماكة تصميم  5سم، وفتحات على شكل مثلث مع اضاءة مخفية مغلفة من الاعلى بطبقة Acrylic شفاف مغشى سماكة 4مم مثبتة بنظام تعليق متصلة بالسقف الخرساني حسب الرسومات والمناظير وتعليمات المهندس المشرف.Code: WDC-03</v>
      </c>
      <c r="F330" s="23" t="str">
        <f>IF(C330="استحداث بند جديد", "", IF(D330&lt;&gt;"", IFERROR(INDEX('بنود العقد'!D$3:D$388,D330), ""), ""))</f>
        <v>م2</v>
      </c>
      <c r="G330" s="24">
        <f>IF(C330="استحداث بند جديد", "", IF(D330&lt;&gt;"", IFERROR(INDEX('بنود العقد'!E$3:E$388,D330), 0), ""))</f>
        <v>780</v>
      </c>
      <c r="H330" s="7">
        <v>0.03</v>
      </c>
      <c r="I330" s="8">
        <v>0</v>
      </c>
      <c r="J330" s="10">
        <f t="shared" si="2"/>
        <v>23.4</v>
      </c>
      <c r="K330" s="76" t="str">
        <f>IF(C330="استحداث بند جديد", "", IF(D330&lt;&gt;"", IFERROR(INDEX('بنود العقد'!C$3:C$388,D330), ""), ""))</f>
        <v>معماري</v>
      </c>
      <c r="L330" s="76" t="str">
        <f>IF(C330="استحداث بند جديد", IF(K330&lt;&gt;"","CMH_01-"&amp;IFERROR(VLOOKUP(K330,مراجع!$A$3:$B$14,2,FALSE),"?")&amp;"-NEW-"&amp;TEXT(A330,"000"),""), IF(D330&lt;&gt;"", IFERROR(INDEX('بنود العقد'!I$3:I$388,D330), ""), ""))</f>
        <v>CMH_01-A-039</v>
      </c>
      <c r="M330" s="19"/>
    </row>
    <row r="331" spans="1:13" s="76" customFormat="1" ht="28.2" customHeight="1">
      <c r="A331" s="12">
        <v>329</v>
      </c>
      <c r="B331" s="6">
        <v>5</v>
      </c>
      <c r="C331" s="6" t="s">
        <v>175</v>
      </c>
      <c r="D331" s="6">
        <v>40</v>
      </c>
      <c r="E331" s="22" t="str">
        <f>IF(C331="استحداث بند جديد", "", IF(D331&lt;&gt;"", IFERROR(INDEX('بنود العقد'!B$3:B$388,D331),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خشبية01-WDC و 02-WDC من خشب الـ ) Mdf ( متداخلة الالوان من قشرة صناعية بحسب  العينة الموافق عليها والدهان الرمادي  على شكل وهيئة الاسطح الاسمنتية مثبتة على القواطع الجبسية مع اضاءة مخفية ومفصلات ومقابض مخفية وتصميم حسب الرسومات والمناظير وتعليمات المهندس المشرف.</v>
      </c>
      <c r="F331" s="23" t="str">
        <f>IF(C331="استحداث بند جديد", "", IF(D331&lt;&gt;"", IFERROR(INDEX('بنود العقد'!D$3:D$388,D331), ""), ""))</f>
        <v>م2</v>
      </c>
      <c r="G331" s="24">
        <f>IF(C331="استحداث بند جديد", "", IF(D331&lt;&gt;"", IFERROR(INDEX('بنود العقد'!E$3:E$388,D331), 0), ""))</f>
        <v>1440</v>
      </c>
      <c r="H331" s="7">
        <v>12.27</v>
      </c>
      <c r="I331" s="8">
        <v>0</v>
      </c>
      <c r="J331" s="10">
        <f t="shared" si="2"/>
        <v>17668.8</v>
      </c>
      <c r="K331" s="76" t="str">
        <f>IF(C331="استحداث بند جديد", "", IF(D331&lt;&gt;"", IFERROR(INDEX('بنود العقد'!C$3:C$388,D331), ""), ""))</f>
        <v>معماري</v>
      </c>
      <c r="L331" s="76" t="str">
        <f>IF(C331="استحداث بند جديد", IF(K331&lt;&gt;"","CMH_01-"&amp;IFERROR(VLOOKUP(K331,مراجع!$A$3:$B$14,2,FALSE),"?")&amp;"-NEW-"&amp;TEXT(A331,"000"),""), IF(D331&lt;&gt;"", IFERROR(INDEX('بنود العقد'!I$3:I$388,D331), ""), ""))</f>
        <v>CMH_01-A-040</v>
      </c>
      <c r="M331" s="19"/>
    </row>
    <row r="332" spans="1:13" s="76" customFormat="1" ht="28.2" customHeight="1">
      <c r="A332" s="12">
        <v>330</v>
      </c>
      <c r="B332" s="6">
        <v>5</v>
      </c>
      <c r="C332" s="6" t="s">
        <v>175</v>
      </c>
      <c r="D332" s="6">
        <v>41</v>
      </c>
      <c r="E332" s="22" t="str">
        <f>IF(C332="استحداث بند جديد", "", IF(D332&lt;&gt;"", IFERROR(INDEX('بنود العقد'!B$3:B$388,D332),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خشبية03-WDC  من خشب الـ ) Mdf (  مع قشرة صناعية بحسب العينة الموافق عليها مثبتة على القواطع الجبسية  مع غروف ومفصلات ومقابض مخفية ،  حسب الرسومات والمناظير</v>
      </c>
      <c r="F332" s="23" t="str">
        <f>IF(C332="استحداث بند جديد", "", IF(D332&lt;&gt;"", IFERROR(INDEX('بنود العقد'!D$3:D$388,D332), ""), ""))</f>
        <v>م2</v>
      </c>
      <c r="G332" s="24">
        <f>IF(C332="استحداث بند جديد", "", IF(D332&lt;&gt;"", IFERROR(INDEX('بنود العقد'!E$3:E$388,D332), 0), ""))</f>
        <v>1440</v>
      </c>
      <c r="H332" s="7">
        <v>6.15</v>
      </c>
      <c r="I332" s="8">
        <v>0</v>
      </c>
      <c r="J332" s="10">
        <f t="shared" si="2"/>
        <v>8856</v>
      </c>
      <c r="K332" s="76" t="str">
        <f>IF(C332="استحداث بند جديد", "", IF(D332&lt;&gt;"", IFERROR(INDEX('بنود العقد'!C$3:C$388,D332), ""), ""))</f>
        <v>معماري</v>
      </c>
      <c r="L332" s="76" t="str">
        <f>IF(C332="استحداث بند جديد", IF(K332&lt;&gt;"","CMH_01-"&amp;IFERROR(VLOOKUP(K332,مراجع!$A$3:$B$14,2,FALSE),"?")&amp;"-NEW-"&amp;TEXT(A332,"000"),""), IF(D332&lt;&gt;"", IFERROR(INDEX('بنود العقد'!I$3:I$388,D332), ""), ""))</f>
        <v>CMH_01-A-041</v>
      </c>
      <c r="M332" s="19"/>
    </row>
    <row r="333" spans="1:13" s="76" customFormat="1" ht="28.2" customHeight="1">
      <c r="A333" s="12">
        <v>331</v>
      </c>
      <c r="B333" s="6">
        <v>5</v>
      </c>
      <c r="C333" s="6" t="s">
        <v>175</v>
      </c>
      <c r="D333" s="6">
        <v>42</v>
      </c>
      <c r="E333" s="22" t="str">
        <f>IF(C333="استحداث بند جديد", "", IF(D333&lt;&gt;"", IFERROR(INDEX('بنود العقد'!B$3:B$388,D333),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خشبية04-WDC   من خشب الـ ) Mdf (  مطلية بدهان رمادي على شكل وهيئة الاسطح الاسمنتية مع غروف ومفصلات ومقابض مخفية ، وارفف مفتوحة من قشرة الجوز ،واضاءة مخفية ، مثبتة على الجدار الخارجي حسب الرسومات والمناظير  وتعليمات المهندس المشرف.</v>
      </c>
      <c r="F333" s="23" t="str">
        <f>IF(C333="استحداث بند جديد", "", IF(D333&lt;&gt;"", IFERROR(INDEX('بنود العقد'!D$3:D$388,D333), ""), ""))</f>
        <v>م2</v>
      </c>
      <c r="G333" s="24">
        <f>IF(C333="استحداث بند جديد", "", IF(D333&lt;&gt;"", IFERROR(INDEX('بنود العقد'!E$3:E$388,D333), 0), ""))</f>
        <v>1200</v>
      </c>
      <c r="H333" s="7">
        <v>14.52</v>
      </c>
      <c r="I333" s="8">
        <v>0</v>
      </c>
      <c r="J333" s="10">
        <f t="shared" si="2"/>
        <v>17424</v>
      </c>
      <c r="K333" s="76" t="str">
        <f>IF(C333="استحداث بند جديد", "", IF(D333&lt;&gt;"", IFERROR(INDEX('بنود العقد'!C$3:C$388,D333), ""), ""))</f>
        <v>معماري</v>
      </c>
      <c r="L333" s="76" t="str">
        <f>IF(C333="استحداث بند جديد", IF(K333&lt;&gt;"","CMH_01-"&amp;IFERROR(VLOOKUP(K333,مراجع!$A$3:$B$14,2,FALSE),"?")&amp;"-NEW-"&amp;TEXT(A333,"000"),""), IF(D333&lt;&gt;"", IFERROR(INDEX('بنود العقد'!I$3:I$388,D333), ""), ""))</f>
        <v>CMH_01-A-042</v>
      </c>
      <c r="M333" s="19"/>
    </row>
    <row r="334" spans="1:13" s="76" customFormat="1" ht="28.2" customHeight="1">
      <c r="A334" s="12">
        <v>332</v>
      </c>
      <c r="B334" s="6">
        <v>5</v>
      </c>
      <c r="C334" s="6" t="s">
        <v>175</v>
      </c>
      <c r="D334" s="6">
        <v>43</v>
      </c>
      <c r="E334" s="22" t="str">
        <f>IF(C334="استحداث بند جديد", "", IF(D334&lt;&gt;"", IFERROR(INDEX('بنود العقد'!B$3:B$388,D334), "⚠"), ""))</f>
        <v>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 خزانة خشبية05-WDC  من خشب الـ ) Mdf (  مع قشرة الوينغي الداكنة مع أرفف وإضاءة مخفية، أبواب الخزائن زجاجية   ribbed glass(مع إيطار خشبي وغروف ومفصلات ومقابض مخفية لمنطقة معالي الوزير حسب الرسومات والمناظير وتعليمات المهندس المشرف.</v>
      </c>
      <c r="F334" s="23" t="str">
        <f>IF(C334="استحداث بند جديد", "", IF(D334&lt;&gt;"", IFERROR(INDEX('بنود العقد'!D$3:D$388,D334), ""), ""))</f>
        <v>م2</v>
      </c>
      <c r="G334" s="24">
        <f>IF(C334="استحداث بند جديد", "", IF(D334&lt;&gt;"", IFERROR(INDEX('بنود العقد'!E$3:E$388,D334), 0), ""))</f>
        <v>1440</v>
      </c>
      <c r="H334" s="7">
        <v>95.74</v>
      </c>
      <c r="I334" s="8">
        <v>0</v>
      </c>
      <c r="J334" s="10">
        <f t="shared" si="2"/>
        <v>137865.60000000001</v>
      </c>
      <c r="K334" s="76" t="str">
        <f>IF(C334="استحداث بند جديد", "", IF(D334&lt;&gt;"", IFERROR(INDEX('بنود العقد'!C$3:C$388,D334), ""), ""))</f>
        <v>معماري</v>
      </c>
      <c r="L334" s="76" t="str">
        <f>IF(C334="استحداث بند جديد", IF(K334&lt;&gt;"","CMH_01-"&amp;IFERROR(VLOOKUP(K334,مراجع!$A$3:$B$14,2,FALSE),"?")&amp;"-NEW-"&amp;TEXT(A334,"000"),""), IF(D334&lt;&gt;"", IFERROR(INDEX('بنود العقد'!I$3:I$388,D334), ""), ""))</f>
        <v>CMH_01-A-043</v>
      </c>
      <c r="M334" s="19"/>
    </row>
    <row r="335" spans="1:13" s="76" customFormat="1" ht="28.2" customHeight="1">
      <c r="A335" s="12">
        <v>333</v>
      </c>
      <c r="B335" s="6">
        <v>5</v>
      </c>
      <c r="C335" s="6" t="s">
        <v>250</v>
      </c>
      <c r="D335" s="6">
        <v>44</v>
      </c>
      <c r="E335" s="22" t="str">
        <f>IF(C335="استحداث بند جديد", "", IF(D335&lt;&gt;"", IFERROR(INDEX('بنود العقد'!B$3:B$388,D335), "⚠"), ""))</f>
        <v xml:space="preserve">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خشبية06-WDC   من خشب الـ ) Mdf (  مع قشرة الوينغي الداكنة مع أرفف وإضاءة مخفية، أبواب الخزائن زجاجية )black tinted clear glass(مع إيطار خشبي وغروف ومفصلات ومقابض مخفية لمنطقة معالي الوزير حسب الرسومات والمناظير وتعليمات المهندس المشرف. </v>
      </c>
      <c r="F335" s="23" t="str">
        <f>IF(C335="استحداث بند جديد", "", IF(D335&lt;&gt;"", IFERROR(INDEX('بنود العقد'!D$3:D$388,D335), ""), ""))</f>
        <v>م2</v>
      </c>
      <c r="G335" s="24">
        <f>IF(C335="استحداث بند جديد", "", IF(D335&lt;&gt;"", IFERROR(INDEX('بنود العقد'!E$3:E$388,D335), 0), ""))</f>
        <v>1440</v>
      </c>
      <c r="H335" s="7">
        <v>-83.15</v>
      </c>
      <c r="I335" s="8">
        <v>0</v>
      </c>
      <c r="J335" s="10">
        <f t="shared" si="2"/>
        <v>-119736.00000000001</v>
      </c>
      <c r="K335" s="76" t="str">
        <f>IF(C335="استحداث بند جديد", "", IF(D335&lt;&gt;"", IFERROR(INDEX('بنود العقد'!C$3:C$388,D335), ""), ""))</f>
        <v>معماري</v>
      </c>
      <c r="L335" s="76" t="str">
        <f>IF(C335="استحداث بند جديد", IF(K335&lt;&gt;"","CMH_01-"&amp;IFERROR(VLOOKUP(K335,مراجع!$A$3:$B$14,2,FALSE),"?")&amp;"-NEW-"&amp;TEXT(A335,"000"),""), IF(D335&lt;&gt;"", IFERROR(INDEX('بنود العقد'!I$3:I$388,D335), ""), ""))</f>
        <v>CMH_01-A-044</v>
      </c>
      <c r="M335" s="19"/>
    </row>
    <row r="336" spans="1:13" s="76" customFormat="1" ht="28.2" customHeight="1">
      <c r="A336" s="12">
        <v>334</v>
      </c>
      <c r="B336" s="6">
        <v>5</v>
      </c>
      <c r="C336" s="6" t="s">
        <v>175</v>
      </c>
      <c r="D336" s="6">
        <v>45</v>
      </c>
      <c r="E336" s="22" t="str">
        <f>IF(C336="استحداث بند جديد", "", IF(D336&lt;&gt;"", IFERROR(INDEX('بنود العقد'!B$3:B$388,D336), "⚠"), ""))</f>
        <v xml:space="preserve"> توريد وتنفيذ طبقتين من غشاء عازل للمياه من الـبيتومين ثخانة 4 مم للأماكن الرطبة وحتى ارتفاع 10   سم على الجدران المحيطة ويشمل تحضير السطوح ومواد حشو الزوايا وطبقات الحماية جيوتكستايل الأفُقية والعمودية. ويشمل السعر أي مواد وأعمال مطلوبة لاستكمال العمل حسب المواصفات والمخططات.وتعليمات المهندس المشرف</v>
      </c>
      <c r="F336" s="23" t="str">
        <f>IF(C336="استحداث بند جديد", "", IF(D336&lt;&gt;"", IFERROR(INDEX('بنود العقد'!D$3:D$388,D336), ""), ""))</f>
        <v>م2</v>
      </c>
      <c r="G336" s="24">
        <f>IF(C336="استحداث بند جديد", "", IF(D336&lt;&gt;"", IFERROR(INDEX('بنود العقد'!E$3:E$388,D336), 0), ""))</f>
        <v>78</v>
      </c>
      <c r="H336" s="7">
        <v>953.96</v>
      </c>
      <c r="I336" s="8">
        <v>0</v>
      </c>
      <c r="J336" s="10">
        <f t="shared" si="2"/>
        <v>74408.88</v>
      </c>
      <c r="K336" s="76" t="str">
        <f>IF(C336="استحداث بند جديد", "", IF(D336&lt;&gt;"", IFERROR(INDEX('بنود العقد'!C$3:C$388,D336), ""), ""))</f>
        <v>معماري</v>
      </c>
      <c r="L336" s="76" t="str">
        <f>IF(C336="استحداث بند جديد", IF(K336&lt;&gt;"","CMH_01-"&amp;IFERROR(VLOOKUP(K336,مراجع!$A$3:$B$14,2,FALSE),"?")&amp;"-NEW-"&amp;TEXT(A336,"000"),""), IF(D336&lt;&gt;"", IFERROR(INDEX('بنود العقد'!I$3:I$388,D336), ""), ""))</f>
        <v>CMH_01-A-045</v>
      </c>
      <c r="M336" s="19"/>
    </row>
    <row r="337" spans="1:13" s="76" customFormat="1" ht="28.2" customHeight="1">
      <c r="A337" s="12">
        <v>335</v>
      </c>
      <c r="B337" s="6">
        <v>5</v>
      </c>
      <c r="C337" s="6" t="s">
        <v>250</v>
      </c>
      <c r="D337" s="6">
        <v>46</v>
      </c>
      <c r="E337" s="22" t="str">
        <f>IF(C337="استحداث بند جديد", "", IF(D337&lt;&gt;"", IFERROR(INDEX('بنود العقد'!B$3:B$388,D337), "⚠"), ""))</f>
        <v>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المشرف.Ref drawing: 07-MRA-DD-(as per floor number)-AR-801 بعرض 1000 مم وارتفاع 2700 مم  GD01باب ضلفة واحدة  نموذج</v>
      </c>
      <c r="F337" s="23" t="str">
        <f>IF(C337="استحداث بند جديد", "", IF(D337&lt;&gt;"", IFERROR(INDEX('بنود العقد'!D$3:D$388,D337), ""), ""))</f>
        <v>عدد</v>
      </c>
      <c r="G337" s="24">
        <f>IF(C337="استحداث بند جديد", "", IF(D337&lt;&gt;"", IFERROR(INDEX('بنود العقد'!E$3:E$388,D337), 0), ""))</f>
        <v>2580</v>
      </c>
      <c r="H337" s="7">
        <v>-8</v>
      </c>
      <c r="I337" s="8">
        <v>0</v>
      </c>
      <c r="J337" s="10">
        <f t="shared" si="2"/>
        <v>-20640</v>
      </c>
      <c r="K337" s="76" t="str">
        <f>IF(C337="استحداث بند جديد", "", IF(D337&lt;&gt;"", IFERROR(INDEX('بنود العقد'!C$3:C$388,D337), ""), ""))</f>
        <v>معماري</v>
      </c>
      <c r="L337" s="76" t="str">
        <f>IF(C337="استحداث بند جديد", IF(K337&lt;&gt;"","CMH_01-"&amp;IFERROR(VLOOKUP(K337,مراجع!$A$3:$B$14,2,FALSE),"?")&amp;"-NEW-"&amp;TEXT(A337,"000"),""), IF(D337&lt;&gt;"", IFERROR(INDEX('بنود العقد'!I$3:I$388,D337), ""), ""))</f>
        <v>CMH_01-A-046</v>
      </c>
      <c r="M337" s="19"/>
    </row>
    <row r="338" spans="1:13" s="76" customFormat="1" ht="28.2" customHeight="1">
      <c r="A338" s="12">
        <v>336</v>
      </c>
      <c r="B338" s="6">
        <v>5</v>
      </c>
      <c r="C338" s="6" t="s">
        <v>175</v>
      </c>
      <c r="D338" s="6">
        <v>47</v>
      </c>
      <c r="E338" s="22" t="str">
        <f>IF(C338="استحداث بند جديد", "", IF(D338&lt;&gt;"", IFERROR(INDEX('بنود العقد'!B$3:B$388,D338), "⚠"), ""))</f>
        <v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2600 مم  GD02باب ضلفتين  نموذج </v>
      </c>
      <c r="F338" s="23" t="str">
        <f>IF(C338="استحداث بند جديد", "", IF(D338&lt;&gt;"", IFERROR(INDEX('بنود العقد'!D$3:D$388,D338), ""), ""))</f>
        <v>عدد</v>
      </c>
      <c r="G338" s="24">
        <f>IF(C338="استحداث بند جديد", "", IF(D338&lt;&gt;"", IFERROR(INDEX('بنود العقد'!E$3:E$388,D338), 0), ""))</f>
        <v>4020</v>
      </c>
      <c r="H338" s="7">
        <v>1</v>
      </c>
      <c r="I338" s="8">
        <v>0</v>
      </c>
      <c r="J338" s="10">
        <f t="shared" si="2"/>
        <v>4020</v>
      </c>
      <c r="K338" s="76" t="str">
        <f>IF(C338="استحداث بند جديد", "", IF(D338&lt;&gt;"", IFERROR(INDEX('بنود العقد'!C$3:C$388,D338), ""), ""))</f>
        <v>معماري</v>
      </c>
      <c r="L338" s="76" t="str">
        <f>IF(C338="استحداث بند جديد", IF(K338&lt;&gt;"","CMH_01-"&amp;IFERROR(VLOOKUP(K338,مراجع!$A$3:$B$14,2,FALSE),"?")&amp;"-NEW-"&amp;TEXT(A338,"000"),""), IF(D338&lt;&gt;"", IFERROR(INDEX('بنود العقد'!I$3:I$388,D338), ""), ""))</f>
        <v>CMH_01-A-047</v>
      </c>
      <c r="M338" s="19"/>
    </row>
    <row r="339" spans="1:13" s="76" customFormat="1" ht="28.2" customHeight="1">
      <c r="A339" s="12">
        <v>337</v>
      </c>
      <c r="B339" s="6">
        <v>5</v>
      </c>
      <c r="C339" s="6" t="s">
        <v>175</v>
      </c>
      <c r="D339" s="6">
        <v>48</v>
      </c>
      <c r="E339" s="22" t="str">
        <f>IF(C339="استحداث بند جديد", "", IF(D339&lt;&gt;"", IFERROR(INDEX('بنود العقد'!B$3:B$388,D339), "⚠"), ""))</f>
        <v xml:space="preserve">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 Ref drawing: 07-MRA-DD-(as per floor number)-AR-801 بعرض 1800 مم وارتفاع 2100 مم  GD03باب ضلفتين  نموذج </v>
      </c>
      <c r="F339" s="23" t="str">
        <f>IF(C339="استحداث بند جديد", "", IF(D339&lt;&gt;"", IFERROR(INDEX('بنود العقد'!D$3:D$388,D339), ""), ""))</f>
        <v>عدد</v>
      </c>
      <c r="G339" s="24">
        <f>IF(C339="استحداث بند جديد", "", IF(D339&lt;&gt;"", IFERROR(INDEX('بنود العقد'!E$3:E$388,D339), 0), ""))</f>
        <v>3600</v>
      </c>
      <c r="H339" s="7">
        <v>1</v>
      </c>
      <c r="I339" s="8">
        <v>0</v>
      </c>
      <c r="J339" s="10">
        <f t="shared" si="2"/>
        <v>3600</v>
      </c>
      <c r="K339" s="76" t="str">
        <f>IF(C339="استحداث بند جديد", "", IF(D339&lt;&gt;"", IFERROR(INDEX('بنود العقد'!C$3:C$388,D339), ""), ""))</f>
        <v>معماري</v>
      </c>
      <c r="L339" s="76" t="str">
        <f>IF(C339="استحداث بند جديد", IF(K339&lt;&gt;"","CMH_01-"&amp;IFERROR(VLOOKUP(K339,مراجع!$A$3:$B$14,2,FALSE),"?")&amp;"-NEW-"&amp;TEXT(A339,"000"),""), IF(D339&lt;&gt;"", IFERROR(INDEX('بنود العقد'!I$3:I$388,D339), ""), ""))</f>
        <v>CMH_01-A-048</v>
      </c>
      <c r="M339" s="19"/>
    </row>
    <row r="340" spans="1:13" s="76" customFormat="1" ht="28.2" customHeight="1">
      <c r="A340" s="12">
        <v>338</v>
      </c>
      <c r="B340" s="6">
        <v>5</v>
      </c>
      <c r="C340" s="6" t="s">
        <v>175</v>
      </c>
      <c r="D340" s="6">
        <v>49</v>
      </c>
      <c r="E340" s="22" t="str">
        <f>IF(C340="استحداث بند جديد", "", IF(D340&lt;&gt;"", IFERROR(INDEX('بنود العقد'!B$3:B$388,D340),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2000 مم وارتفاع 2200 مم  WD07باب مروحة ضلفتين  نموذج </v>
      </c>
      <c r="F340" s="23" t="str">
        <f>IF(C340="استحداث بند جديد", "", IF(D340&lt;&gt;"", IFERROR(INDEX('بنود العقد'!D$3:D$388,D340), ""), ""))</f>
        <v>عدد</v>
      </c>
      <c r="G340" s="24">
        <f>IF(C340="استحداث بند جديد", "", IF(D340&lt;&gt;"", IFERROR(INDEX('بنود العقد'!E$3:E$388,D340), 0), ""))</f>
        <v>5280</v>
      </c>
      <c r="H340" s="7">
        <v>7</v>
      </c>
      <c r="I340" s="8">
        <v>0</v>
      </c>
      <c r="J340" s="10">
        <f t="shared" si="2"/>
        <v>36960</v>
      </c>
      <c r="K340" s="76" t="str">
        <f>IF(C340="استحداث بند جديد", "", IF(D340&lt;&gt;"", IFERROR(INDEX('بنود العقد'!C$3:C$388,D340), ""), ""))</f>
        <v>معماري</v>
      </c>
      <c r="L340" s="76" t="str">
        <f>IF(C340="استحداث بند جديد", IF(K340&lt;&gt;"","CMH_01-"&amp;IFERROR(VLOOKUP(K340,مراجع!$A$3:$B$14,2,FALSE),"?")&amp;"-NEW-"&amp;TEXT(A340,"000"),""), IF(D340&lt;&gt;"", IFERROR(INDEX('بنود العقد'!I$3:I$388,D340), ""), ""))</f>
        <v>CMH_01-A-049</v>
      </c>
      <c r="M340" s="19"/>
    </row>
    <row r="341" spans="1:13" s="76" customFormat="1" ht="28.2" customHeight="1">
      <c r="A341" s="12">
        <v>339</v>
      </c>
      <c r="B341" s="6">
        <v>5</v>
      </c>
      <c r="C341" s="6" t="s">
        <v>175</v>
      </c>
      <c r="D341" s="6">
        <v>52</v>
      </c>
      <c r="E341" s="22" t="str">
        <f>IF(C341="استحداث بند جديد", "", IF(D341&lt;&gt;"", IFERROR(INDEX('بنود العقد'!B$3:B$388,D341), "⚠"), ""))</f>
        <v xml:space="preserve">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800 مم وارتفاع 2200 مم  WD04باب مروحة ضلفة واحدة  نموذج </v>
      </c>
      <c r="F341" s="23" t="str">
        <f>IF(C341="استحداث بند جديد", "", IF(D341&lt;&gt;"", IFERROR(INDEX('بنود العقد'!D$3:D$388,D341), ""), ""))</f>
        <v>عدد</v>
      </c>
      <c r="G341" s="24">
        <f>IF(C341="استحداث بند جديد", "", IF(D341&lt;&gt;"", IFERROR(INDEX('بنود العقد'!E$3:E$388,D341), 0), ""))</f>
        <v>2400</v>
      </c>
      <c r="H341" s="7">
        <v>3</v>
      </c>
      <c r="I341" s="8">
        <v>0</v>
      </c>
      <c r="J341" s="10">
        <f t="shared" si="2"/>
        <v>7200</v>
      </c>
      <c r="K341" s="76" t="str">
        <f>IF(C341="استحداث بند جديد", "", IF(D341&lt;&gt;"", IFERROR(INDEX('بنود العقد'!C$3:C$388,D341), ""), ""))</f>
        <v>معماري</v>
      </c>
      <c r="L341" s="76" t="str">
        <f>IF(C341="استحداث بند جديد", IF(K341&lt;&gt;"","CMH_01-"&amp;IFERROR(VLOOKUP(K341,مراجع!$A$3:$B$14,2,FALSE),"?")&amp;"-NEW-"&amp;TEXT(A341,"000"),""), IF(D341&lt;&gt;"", IFERROR(INDEX('بنود العقد'!I$3:I$388,D341), ""), ""))</f>
        <v>CMH_01-A-052</v>
      </c>
      <c r="M341" s="19"/>
    </row>
    <row r="342" spans="1:13" s="76" customFormat="1" ht="28.2" customHeight="1">
      <c r="A342" s="12">
        <v>340</v>
      </c>
      <c r="B342" s="6">
        <v>5</v>
      </c>
      <c r="C342" s="6" t="s">
        <v>175</v>
      </c>
      <c r="D342" s="6">
        <v>55</v>
      </c>
      <c r="E342" s="22" t="str">
        <f>IF(C342="استحداث بند جديد", "", IF(D342&lt;&gt;"", IFERROR(INDEX('بنود العقد'!B$3:B$388,D342), "⚠"), ""))</f>
        <v xml:space="preserve">توريد وتركيب باب من قطاعات الخشب شبه المصمت بسمك 44مم مكون من قواطيع خشب داخليه بحشو خفيف mdfوالمطلي بدهان رمادي على هيئة الأسطح الاسمنتية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 900 مم وارتفاع 2200 مم  WD01باب مروحة ضلفة واحدة  نموذج </v>
      </c>
      <c r="F342" s="23" t="str">
        <f>IF(C342="استحداث بند جديد", "", IF(D342&lt;&gt;"", IFERROR(INDEX('بنود العقد'!D$3:D$388,D342), ""), ""))</f>
        <v>عدد</v>
      </c>
      <c r="G342" s="24">
        <f>IF(C342="استحداث بند جديد", "", IF(D342&lt;&gt;"", IFERROR(INDEX('بنود العقد'!E$3:E$388,D342), 0), ""))</f>
        <v>2400</v>
      </c>
      <c r="H342" s="7">
        <v>1</v>
      </c>
      <c r="I342" s="8">
        <v>0</v>
      </c>
      <c r="J342" s="10">
        <f t="shared" si="2"/>
        <v>2400</v>
      </c>
      <c r="K342" s="76" t="str">
        <f>IF(C342="استحداث بند جديد", "", IF(D342&lt;&gt;"", IFERROR(INDEX('بنود العقد'!C$3:C$388,D342), ""), ""))</f>
        <v>معماري</v>
      </c>
      <c r="L342" s="76" t="str">
        <f>IF(C342="استحداث بند جديد", IF(K342&lt;&gt;"","CMH_01-"&amp;IFERROR(VLOOKUP(K342,مراجع!$A$3:$B$14,2,FALSE),"?")&amp;"-NEW-"&amp;TEXT(A342,"000"),""), IF(D342&lt;&gt;"", IFERROR(INDEX('بنود العقد'!I$3:I$388,D342), ""), ""))</f>
        <v>CMH_01-A-055</v>
      </c>
      <c r="M342" s="19"/>
    </row>
    <row r="343" spans="1:13" s="76" customFormat="1" ht="28.2" customHeight="1">
      <c r="A343" s="12">
        <v>341</v>
      </c>
      <c r="B343" s="6">
        <v>5</v>
      </c>
      <c r="C343" s="6" t="s">
        <v>175</v>
      </c>
      <c r="D343" s="6">
        <v>56</v>
      </c>
      <c r="E343" s="22" t="str">
        <f>IF(C343="استحداث بند جديد", "", IF(D343&lt;&gt;"", IFERROR(INDEX('بنود العقد'!B$3:B$388,D343), "⚠"), ""))</f>
        <v xml:space="preserve">توريد وتركيب باب من قطاعات الخشب شبه المصمت بسمك 44مم مكون من قواطيع خشب داخليه بحشو  mdfوالمطلي بدهان رمادي بيج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ربل كاتم لصوت الإغلاق ودهانات .و إنهاء جميع الأعمال على الوجه الأكمل طبقا للمخططات واصول الصناعة  والمواصفات الفنية وتعليمات االمهندس المشرف. Ref drawing: 07-MRA-DD-(as per floor number)-AR-800 بعرض900 مم وارتفاع 2200 مم  WD03باب مروحة ضلفة واحدة  نموذج </v>
      </c>
      <c r="F343" s="23" t="str">
        <f>IF(C343="استحداث بند جديد", "", IF(D343&lt;&gt;"", IFERROR(INDEX('بنود العقد'!D$3:D$388,D343), ""), ""))</f>
        <v>عدد</v>
      </c>
      <c r="G343" s="24">
        <f>IF(C343="استحداث بند جديد", "", IF(D343&lt;&gt;"", IFERROR(INDEX('بنود العقد'!E$3:E$388,D343), 0), ""))</f>
        <v>2400</v>
      </c>
      <c r="H343" s="7">
        <v>10</v>
      </c>
      <c r="I343" s="8">
        <v>0</v>
      </c>
      <c r="J343" s="10">
        <f t="shared" si="2"/>
        <v>24000</v>
      </c>
      <c r="K343" s="76" t="str">
        <f>IF(C343="استحداث بند جديد", "", IF(D343&lt;&gt;"", IFERROR(INDEX('بنود العقد'!C$3:C$388,D343), ""), ""))</f>
        <v>معماري</v>
      </c>
      <c r="L343" s="76" t="str">
        <f>IF(C343="استحداث بند جديد", IF(K343&lt;&gt;"","CMH_01-"&amp;IFERROR(VLOOKUP(K343,مراجع!$A$3:$B$14,2,FALSE),"?")&amp;"-NEW-"&amp;TEXT(A343,"000"),""), IF(D343&lt;&gt;"", IFERROR(INDEX('بنود العقد'!I$3:I$388,D343), ""), ""))</f>
        <v>CMH_01-A-056</v>
      </c>
      <c r="M343" s="19"/>
    </row>
    <row r="344" spans="1:13" s="76" customFormat="1" ht="28.2" customHeight="1">
      <c r="A344" s="12">
        <v>342</v>
      </c>
      <c r="B344" s="6">
        <v>5</v>
      </c>
      <c r="C344" s="6" t="s">
        <v>250</v>
      </c>
      <c r="D344" s="6">
        <v>57</v>
      </c>
      <c r="E344" s="22" t="str">
        <f>IF(C344="استحداث بند جديد", "", IF(D344&lt;&gt;"", IFERROR(INDEX('بنود العقد'!B$3:B$388,D344), "⚠"), ""))</f>
        <v>توريد وتركيب باب من قطاعات الخشب شبه المصمت بسمك 44مم مكون من قواطيع خشب داخليه بحشو خفيف mdfوالمطلي بدهان أزرق بترولي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Ref drawing: 07-MRA-DD-(as per floor number)-AR-800 بعرض 900 مم وارتفاع 2200 مم  WD08 باب مروحة ضلفة واحدة  نموذج</v>
      </c>
      <c r="F344" s="23" t="str">
        <f>IF(C344="استحداث بند جديد", "", IF(D344&lt;&gt;"", IFERROR(INDEX('بنود العقد'!D$3:D$388,D344), ""), ""))</f>
        <v>عدد</v>
      </c>
      <c r="G344" s="24">
        <f>IF(C344="استحداث بند جديد", "", IF(D344&lt;&gt;"", IFERROR(INDEX('بنود العقد'!E$3:E$388,D344), 0), ""))</f>
        <v>2400</v>
      </c>
      <c r="H344" s="7">
        <v>-1</v>
      </c>
      <c r="I344" s="8">
        <v>0</v>
      </c>
      <c r="J344" s="10">
        <f t="shared" si="2"/>
        <v>-2400</v>
      </c>
      <c r="K344" s="76" t="str">
        <f>IF(C344="استحداث بند جديد", "", IF(D344&lt;&gt;"", IFERROR(INDEX('بنود العقد'!C$3:C$388,D344), ""), ""))</f>
        <v>معماري</v>
      </c>
      <c r="L344" s="76" t="str">
        <f>IF(C344="استحداث بند جديد", IF(K344&lt;&gt;"","CMH_01-"&amp;IFERROR(VLOOKUP(K344,مراجع!$A$3:$B$14,2,FALSE),"?")&amp;"-NEW-"&amp;TEXT(A344,"000"),""), IF(D344&lt;&gt;"", IFERROR(INDEX('بنود العقد'!I$3:I$388,D344), ""), ""))</f>
        <v>CMH_01-A-057</v>
      </c>
      <c r="M344" s="19"/>
    </row>
    <row r="345" spans="1:13" s="76" customFormat="1" ht="28.2" customHeight="1">
      <c r="A345" s="12">
        <v>343</v>
      </c>
      <c r="B345" s="6">
        <v>5</v>
      </c>
      <c r="C345" s="6" t="s">
        <v>250</v>
      </c>
      <c r="D345" s="6">
        <v>60</v>
      </c>
      <c r="E345" s="22" t="str">
        <f>IF(C345="استحداث بند جديد", "", IF(D345&lt;&gt;"", IFERROR(INDEX('بنود العقد'!B$3:B$388,D345), "⚠"),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باب مروحة ضلفتين  نموذج 12WD  بعرض 2000 مم وارتفاع 3000 مم )VIP Zone (Ref drawing: 07-MRA-DD-sixth floor-AR-800</v>
      </c>
      <c r="F345" s="23" t="str">
        <f>IF(C345="استحداث بند جديد", "", IF(D345&lt;&gt;"", IFERROR(INDEX('بنود العقد'!D$3:D$388,D345), ""), ""))</f>
        <v>عدد</v>
      </c>
      <c r="G345" s="24">
        <f>IF(C345="استحداث بند جديد", "", IF(D345&lt;&gt;"", IFERROR(INDEX('بنود العقد'!E$3:E$388,D345), 0), ""))</f>
        <v>5700</v>
      </c>
      <c r="H345" s="7">
        <v>-1</v>
      </c>
      <c r="I345" s="8">
        <v>0</v>
      </c>
      <c r="J345" s="10">
        <f t="shared" si="2"/>
        <v>-5700</v>
      </c>
      <c r="K345" s="76" t="str">
        <f>IF(C345="استحداث بند جديد", "", IF(D345&lt;&gt;"", IFERROR(INDEX('بنود العقد'!C$3:C$388,D345), ""), ""))</f>
        <v>معماري</v>
      </c>
      <c r="L345" s="76" t="str">
        <f>IF(C345="استحداث بند جديد", IF(K345&lt;&gt;"","CMH_01-"&amp;IFERROR(VLOOKUP(K345,مراجع!$A$3:$B$14,2,FALSE),"?")&amp;"-NEW-"&amp;TEXT(A345,"000"),""), IF(D345&lt;&gt;"", IFERROR(INDEX('بنود العقد'!I$3:I$388,D345), ""), ""))</f>
        <v>CMH_01-A-060</v>
      </c>
      <c r="M345" s="19"/>
    </row>
    <row r="346" spans="1:13" s="76" customFormat="1" ht="28.2" customHeight="1">
      <c r="A346" s="12">
        <v>344</v>
      </c>
      <c r="B346" s="6">
        <v>5</v>
      </c>
      <c r="C346" s="6" t="s">
        <v>175</v>
      </c>
      <c r="D346" s="6">
        <v>61</v>
      </c>
      <c r="E346" s="22" t="str">
        <f>IF(C346="استحداث بند جديد", "", IF(D346&lt;&gt;"", IFERROR(INDEX('بنود العقد'!B$3:B$388,D346), "⚠"), ""))</f>
        <v>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 Ref drawing: 07-MRA-DD-sixth floor-AR-800  باب مروحة ضلفة واحدة  نموذج 11WD  بعرض 1000 مم وارتفاع 3000 مم )VIP Zone(</v>
      </c>
      <c r="F346" s="23" t="str">
        <f>IF(C346="استحداث بند جديد", "", IF(D346&lt;&gt;"", IFERROR(INDEX('بنود العقد'!D$3:D$388,D346), ""), ""))</f>
        <v>عدد</v>
      </c>
      <c r="G346" s="24">
        <f>IF(C346="استحداث بند جديد", "", IF(D346&lt;&gt;"", IFERROR(INDEX('بنود العقد'!E$3:E$388,D346), 0), ""))</f>
        <v>6000</v>
      </c>
      <c r="H346" s="7">
        <v>4</v>
      </c>
      <c r="I346" s="8">
        <v>0</v>
      </c>
      <c r="J346" s="10">
        <f t="shared" si="2"/>
        <v>24000</v>
      </c>
      <c r="K346" s="76" t="str">
        <f>IF(C346="استحداث بند جديد", "", IF(D346&lt;&gt;"", IFERROR(INDEX('بنود العقد'!C$3:C$388,D346), ""), ""))</f>
        <v>معماري</v>
      </c>
      <c r="L346" s="76" t="str">
        <f>IF(C346="استحداث بند جديد", IF(K346&lt;&gt;"","CMH_01-"&amp;IFERROR(VLOOKUP(K346,مراجع!$A$3:$B$14,2,FALSE),"?")&amp;"-NEW-"&amp;TEXT(A346,"000"),""), IF(D346&lt;&gt;"", IFERROR(INDEX('بنود العقد'!I$3:I$388,D346), ""), ""))</f>
        <v>CMH_01-A-061</v>
      </c>
      <c r="M346" s="19"/>
    </row>
    <row r="347" spans="1:13" s="76" customFormat="1" ht="28.2" customHeight="1">
      <c r="A347" s="12">
        <v>345</v>
      </c>
      <c r="B347" s="6">
        <v>5</v>
      </c>
      <c r="C347" s="6" t="s">
        <v>250</v>
      </c>
      <c r="D347" s="6">
        <v>66</v>
      </c>
      <c r="E347" s="22" t="str">
        <f>IF(C347="استحداث بند جديد", "", IF(D347&lt;&gt;"", IFERROR(INDEX('بنود العقد'!B$3:B$388,D347), "⚠"), ""))</f>
        <v>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v>
      </c>
      <c r="F347" s="23" t="str">
        <f>IF(C347="استحداث بند جديد", "", IF(D347&lt;&gt;"", IFERROR(INDEX('بنود العقد'!D$3:D$388,D347), ""), ""))</f>
        <v>م²</v>
      </c>
      <c r="G347" s="24">
        <f>IF(C347="استحداث بند جديد", "", IF(D347&lt;&gt;"", IFERROR(INDEX('بنود العقد'!E$3:E$388,D347), 0), ""))</f>
        <v>900</v>
      </c>
      <c r="H347" s="7">
        <v>-130.13</v>
      </c>
      <c r="I347" s="8">
        <v>0</v>
      </c>
      <c r="J347" s="10">
        <f t="shared" si="2"/>
        <v>-117117</v>
      </c>
      <c r="K347" s="76" t="str">
        <f>IF(C347="استحداث بند جديد", "", IF(D347&lt;&gt;"", IFERROR(INDEX('بنود العقد'!C$3:C$388,D347), ""), ""))</f>
        <v>معماري</v>
      </c>
      <c r="L347" s="76" t="str">
        <f>IF(C347="استحداث بند جديد", IF(K347&lt;&gt;"","CMH_01-"&amp;IFERROR(VLOOKUP(K347,مراجع!$A$3:$B$14,2,FALSE),"?")&amp;"-NEW-"&amp;TEXT(A347,"000"),""), IF(D347&lt;&gt;"", IFERROR(INDEX('بنود العقد'!I$3:I$388,D347), ""), ""))</f>
        <v>CMH_01-A-066</v>
      </c>
      <c r="M347" s="19"/>
    </row>
    <row r="348" spans="1:13" s="76" customFormat="1" ht="28.2" customHeight="1">
      <c r="A348" s="12">
        <v>346</v>
      </c>
      <c r="B348" s="6">
        <v>5</v>
      </c>
      <c r="C348" s="6" t="s">
        <v>175</v>
      </c>
      <c r="D348" s="6">
        <v>68</v>
      </c>
      <c r="E348" s="22" t="str">
        <f>IF(C348="استحداث بند جديد", "", IF(D348&lt;&gt;"", IFERROR(INDEX('بنود العقد'!B$3:B$388,D348), "⚠"), ""))</f>
        <v>توريد وتركيب باب من قطاعات الحديد  بسمك 45 مم مقاوم للحريق 90 دقيقة،  مع طبقة من الصاج سماكة 2مم من الجهتين على اطار معدنى مجوف والسعر يشمل التكسية الخشبية بقشرة الجوز لضلفة الباب والإطار من جهة واحدة..ويشمل التوريد والتركيب والتثبيت  والمفصلات والمقابض   والدفاش والاكسسوارت من اجود الانواع  وكل مايلزم لانهاء العمل على اكمل وجه ة حسب المخططات وتعليمات االمهندس المشرف. Ref. drawing: 07-MRA-DD-(as per floor number)-AR-804 ضلفة واحدة عرض1100مم وإرتفاع 2200مم SD02 باب نموذج</v>
      </c>
      <c r="F348" s="23" t="str">
        <f>IF(C348="استحداث بند جديد", "", IF(D348&lt;&gt;"", IFERROR(INDEX('بنود العقد'!D$3:D$388,D348), ""), ""))</f>
        <v>عدد</v>
      </c>
      <c r="G348" s="24">
        <f>IF(C348="استحداث بند جديد", "", IF(D348&lt;&gt;"", IFERROR(INDEX('بنود العقد'!E$3:E$388,D348), 0), ""))</f>
        <v>3000</v>
      </c>
      <c r="H348" s="7">
        <v>8</v>
      </c>
      <c r="I348" s="8">
        <v>0</v>
      </c>
      <c r="J348" s="10">
        <f t="shared" si="2"/>
        <v>24000</v>
      </c>
      <c r="K348" s="76" t="str">
        <f>IF(C348="استحداث بند جديد", "", IF(D348&lt;&gt;"", IFERROR(INDEX('بنود العقد'!C$3:C$388,D348), ""), ""))</f>
        <v>معماري</v>
      </c>
      <c r="L348" s="76" t="str">
        <f>IF(C348="استحداث بند جديد", IF(K348&lt;&gt;"","CMH_01-"&amp;IFERROR(VLOOKUP(K348,مراجع!$A$3:$B$14,2,FALSE),"?")&amp;"-NEW-"&amp;TEXT(A348,"000"),""), IF(D348&lt;&gt;"", IFERROR(INDEX('بنود العقد'!I$3:I$388,D348), ""), ""))</f>
        <v>CMH_01-A-068</v>
      </c>
      <c r="M348" s="19"/>
    </row>
    <row r="349" spans="1:13" s="76" customFormat="1" ht="28.2" customHeight="1">
      <c r="A349" s="12">
        <v>347</v>
      </c>
      <c r="B349" s="6">
        <v>5</v>
      </c>
      <c r="C349" s="6" t="s">
        <v>250</v>
      </c>
      <c r="D349" s="6">
        <v>69</v>
      </c>
      <c r="E349" s="22" t="str">
        <f>IF(C349="استحداث بند جديد", "", IF(D349&lt;&gt;"", IFERROR(INDEX('بنود العقد'!B$3:B$388,D349), "⚠"), ""))</f>
        <v>تجديد وترميم الأبواب الحديدية وتشمل الأعمال ما يلي: ــ  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ضلفتين عرض2000مم</v>
      </c>
      <c r="F349" s="23" t="str">
        <f>IF(C349="استحداث بند جديد", "", IF(D349&lt;&gt;"", IFERROR(INDEX('بنود العقد'!D$3:D$388,D349), ""), ""))</f>
        <v>عدد</v>
      </c>
      <c r="G349" s="24">
        <f>IF(C349="استحداث بند جديد", "", IF(D349&lt;&gt;"", IFERROR(INDEX('بنود العقد'!E$3:E$388,D349), 0), ""))</f>
        <v>540</v>
      </c>
      <c r="H349" s="7">
        <v>-4</v>
      </c>
      <c r="I349" s="8">
        <v>0</v>
      </c>
      <c r="J349" s="10">
        <f t="shared" si="2"/>
        <v>-2160</v>
      </c>
      <c r="K349" s="76" t="str">
        <f>IF(C349="استحداث بند جديد", "", IF(D349&lt;&gt;"", IFERROR(INDEX('بنود العقد'!C$3:C$388,D349), ""), ""))</f>
        <v>معماري</v>
      </c>
      <c r="L349" s="76" t="str">
        <f>IF(C349="استحداث بند جديد", IF(K349&lt;&gt;"","CMH_01-"&amp;IFERROR(VLOOKUP(K349,مراجع!$A$3:$B$14,2,FALSE),"?")&amp;"-NEW-"&amp;TEXT(A349,"000"),""), IF(D349&lt;&gt;"", IFERROR(INDEX('بنود العقد'!I$3:I$388,D349), ""), ""))</f>
        <v>CMH_01-A-069</v>
      </c>
      <c r="M349" s="19"/>
    </row>
    <row r="350" spans="1:13" s="76" customFormat="1" ht="28.2" customHeight="1">
      <c r="A350" s="12">
        <v>348</v>
      </c>
      <c r="B350" s="6">
        <v>5</v>
      </c>
      <c r="C350" s="6" t="s">
        <v>250</v>
      </c>
      <c r="D350" s="6">
        <v>70</v>
      </c>
      <c r="E350" s="22" t="str">
        <f>IF(C350="استحداث بند جديد", "", IF(D350&lt;&gt;"", IFERROR(INDEX('بنود العقد'!B$3:B$388,D350), "⚠"), ""))</f>
        <v>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ضلفة واحدة عرض1000مم</v>
      </c>
      <c r="F350" s="23" t="str">
        <f>IF(C350="استحداث بند جديد", "", IF(D350&lt;&gt;"", IFERROR(INDEX('بنود العقد'!D$3:D$388,D350), ""), ""))</f>
        <v>عدد</v>
      </c>
      <c r="G350" s="24">
        <f>IF(C350="استحداث بند جديد", "", IF(D350&lt;&gt;"", IFERROR(INDEX('بنود العقد'!E$3:E$388,D350), 0), ""))</f>
        <v>360</v>
      </c>
      <c r="H350" s="7">
        <v>-1</v>
      </c>
      <c r="I350" s="8">
        <v>0</v>
      </c>
      <c r="J350" s="10">
        <f t="shared" si="2"/>
        <v>-360</v>
      </c>
      <c r="K350" s="76" t="str">
        <f>IF(C350="استحداث بند جديد", "", IF(D350&lt;&gt;"", IFERROR(INDEX('بنود العقد'!C$3:C$388,D350), ""), ""))</f>
        <v>معماري</v>
      </c>
      <c r="L350" s="76" t="str">
        <f>IF(C350="استحداث بند جديد", IF(K350&lt;&gt;"","CMH_01-"&amp;IFERROR(VLOOKUP(K350,مراجع!$A$3:$B$14,2,FALSE),"?")&amp;"-NEW-"&amp;TEXT(A350,"000"),""), IF(D350&lt;&gt;"", IFERROR(INDEX('بنود العقد'!I$3:I$388,D350), ""), ""))</f>
        <v>CMH_01-A-070</v>
      </c>
      <c r="M350" s="19"/>
    </row>
    <row r="351" spans="1:13" s="76" customFormat="1" ht="28.2" customHeight="1">
      <c r="A351" s="12">
        <v>349</v>
      </c>
      <c r="B351" s="6">
        <v>5</v>
      </c>
      <c r="C351" s="6" t="s">
        <v>250</v>
      </c>
      <c r="D351" s="6">
        <v>71</v>
      </c>
      <c r="E351" s="22" t="str">
        <f>IF(C351="استحداث بند جديد", "", IF(D351&lt;&gt;"", IFERROR(INDEX('بنود العقد'!B$3:B$388,D351), "⚠"), ""))</f>
        <v>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 باب  ضلفة واحدة عرض800مم</v>
      </c>
      <c r="F351" s="23" t="str">
        <f>IF(C351="استحداث بند جديد", "", IF(D351&lt;&gt;"", IFERROR(INDEX('بنود العقد'!D$3:D$388,D351), ""), ""))</f>
        <v>عدد</v>
      </c>
      <c r="G351" s="24">
        <f>IF(C351="استحداث بند جديد", "", IF(D351&lt;&gt;"", IFERROR(INDEX('بنود العقد'!E$3:E$388,D351), 0), ""))</f>
        <v>360</v>
      </c>
      <c r="H351" s="7">
        <v>-2</v>
      </c>
      <c r="I351" s="8">
        <v>0</v>
      </c>
      <c r="J351" s="10">
        <f t="shared" si="2"/>
        <v>-720</v>
      </c>
      <c r="K351" s="76" t="str">
        <f>IF(C351="استحداث بند جديد", "", IF(D351&lt;&gt;"", IFERROR(INDEX('بنود العقد'!C$3:C$388,D351), ""), ""))</f>
        <v>معماري</v>
      </c>
      <c r="L351" s="76" t="str">
        <f>IF(C351="استحداث بند جديد", IF(K351&lt;&gt;"","CMH_01-"&amp;IFERROR(VLOOKUP(K351,مراجع!$A$3:$B$14,2,FALSE),"?")&amp;"-NEW-"&amp;TEXT(A351,"000"),""), IF(D351&lt;&gt;"", IFERROR(INDEX('بنود العقد'!I$3:I$388,D351), ""), ""))</f>
        <v>CMH_01-A-071</v>
      </c>
      <c r="M351" s="19"/>
    </row>
    <row r="352" spans="1:13" s="76" customFormat="1" ht="28.2" customHeight="1">
      <c r="A352" s="12">
        <v>350</v>
      </c>
      <c r="B352" s="6">
        <v>5</v>
      </c>
      <c r="C352" s="6" t="s">
        <v>175</v>
      </c>
      <c r="D352" s="6">
        <v>72</v>
      </c>
      <c r="E352" s="22" t="str">
        <f>IF(C352="استحداث بند جديد", "", IF(D352&lt;&gt;"", IFERROR(INDEX('بنود العقد'!B$3:B$388,D352), "⚠"), ""))</f>
        <v>طبقة من اللياسة الأسمنتية فوق الأسطح الخرسانية والجدران الداخلية  بسمك متوسط 20 مم على طبقات  طرطشة بسمك 5 مم وضهارة 15 مم حسب المواصفات مع المعالجة اليومية  بالمياه لمنع التنميلات ويتم عمل افريز بين البلوك والخرسانة يملئ بمواد قابلة للدهان والسعر يشمل كامل الأكسسوارات اللازمة من شبك معدني ممدد وزوايا ونهايات معدنية  ومواد الترابط  وعمل تجاويف في طبقة اللياسة بعمق 10مم عرض 10مم  في الاعمدة  وفي الجدران ان وجدت حسب الرسومات والمناظير وتعليمات المهندس المشرف ذلك حسب الاصول الفنية وتعليمات المهندس المشرف. لياسة الجدران والأعمدة الداخلية  وتشمل جميع الإكسسوارات بإرتفاع 20 سم أعلي الأسقف الجبسيه لزوم الجدران الداخلية</v>
      </c>
      <c r="F352" s="23" t="str">
        <f>IF(C352="استحداث بند جديد", "", IF(D352&lt;&gt;"", IFERROR(INDEX('بنود العقد'!D$3:D$388,D352), ""), ""))</f>
        <v>م²</v>
      </c>
      <c r="G352" s="24">
        <f>IF(C352="استحداث بند جديد", "", IF(D352&lt;&gt;"", IFERROR(INDEX('بنود العقد'!E$3:E$388,D352), 0), ""))</f>
        <v>42</v>
      </c>
      <c r="H352" s="7">
        <v>1658.95</v>
      </c>
      <c r="I352" s="8">
        <v>0</v>
      </c>
      <c r="J352" s="10">
        <f t="shared" si="2"/>
        <v>69675.900000000009</v>
      </c>
      <c r="K352" s="76" t="str">
        <f>IF(C352="استحداث بند جديد", "", IF(D352&lt;&gt;"", IFERROR(INDEX('بنود العقد'!C$3:C$388,D352), ""), ""))</f>
        <v>معماري</v>
      </c>
      <c r="L352" s="76" t="str">
        <f>IF(C352="استحداث بند جديد", IF(K352&lt;&gt;"","CMH_01-"&amp;IFERROR(VLOOKUP(K352,مراجع!$A$3:$B$14,2,FALSE),"?")&amp;"-NEW-"&amp;TEXT(A352,"000"),""), IF(D352&lt;&gt;"", IFERROR(INDEX('بنود العقد'!I$3:I$388,D352), ""), ""))</f>
        <v>CMH_01-A-072</v>
      </c>
      <c r="M352" s="19"/>
    </row>
    <row r="353" spans="1:13" s="76" customFormat="1" ht="28.2" customHeight="1">
      <c r="A353" s="12">
        <v>351</v>
      </c>
      <c r="B353" s="6">
        <v>5</v>
      </c>
      <c r="C353" s="6" t="s">
        <v>175</v>
      </c>
      <c r="D353" s="6">
        <v>73</v>
      </c>
      <c r="E353" s="22" t="str">
        <f>IF(C353="استحداث بند جديد", "", IF(D353&lt;&gt;"", IFERROR(INDEX('بنود العقد'!B$3:B$388,D353), "⚠"), ""))</f>
        <v xml:space="preserve">توريد وتركيب قاطع جداري ثخانة 100مم ذو الواح اسمنتية مقاوم للحريق  ثخانة 12مم تركب من الجهتين )طبقات مزدوجة(  لدورات المياه والأوفيس ويشمل المسامير المعدنية و المزالج / الأعضاء المعدنية الساندة والسكك والغطاء العازل للصوت )صوف صخري( وكل الاكسسوارات حسب المخطط والمواصفات وتعليمات المهندس المشرف. </v>
      </c>
      <c r="F353" s="23" t="str">
        <f>IF(C353="استحداث بند جديد", "", IF(D353&lt;&gt;"", IFERROR(INDEX('بنود العقد'!D$3:D$388,D353), ""), ""))</f>
        <v>م²</v>
      </c>
      <c r="G353" s="24">
        <f>IF(C353="استحداث بند جديد", "", IF(D353&lt;&gt;"", IFERROR(INDEX('بنود العقد'!E$3:E$388,D353), 0), ""))</f>
        <v>180</v>
      </c>
      <c r="H353" s="7">
        <v>372.88</v>
      </c>
      <c r="I353" s="8">
        <v>0</v>
      </c>
      <c r="J353" s="10">
        <f t="shared" si="2"/>
        <v>67118.399999999994</v>
      </c>
      <c r="K353" s="76" t="str">
        <f>IF(C353="استحداث بند جديد", "", IF(D353&lt;&gt;"", IFERROR(INDEX('بنود العقد'!C$3:C$388,D353), ""), ""))</f>
        <v>معماري</v>
      </c>
      <c r="L353" s="76" t="str">
        <f>IF(C353="استحداث بند جديد", IF(K353&lt;&gt;"","CMH_01-"&amp;IFERROR(VLOOKUP(K353,مراجع!$A$3:$B$14,2,FALSE),"?")&amp;"-NEW-"&amp;TEXT(A353,"000"),""), IF(D353&lt;&gt;"", IFERROR(INDEX('بنود العقد'!I$3:I$388,D353), ""), ""))</f>
        <v>CMH_01-A-073</v>
      </c>
      <c r="M353" s="19"/>
    </row>
    <row r="354" spans="1:13" s="76" customFormat="1" ht="28.2" customHeight="1">
      <c r="A354" s="12">
        <v>352</v>
      </c>
      <c r="B354" s="6">
        <v>5</v>
      </c>
      <c r="C354" s="6" t="s">
        <v>175</v>
      </c>
      <c r="D354" s="6">
        <v>74</v>
      </c>
      <c r="E354" s="22" t="str">
        <f>IF(C354="استحداث بند جديد", "", IF(D354&lt;&gt;"", IFERROR(INDEX('بنود العقد'!B$3:B$388,D354), "⚠"), ""))</f>
        <v>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v>
      </c>
      <c r="F354" s="23" t="str">
        <f>IF(C354="استحداث بند جديد", "", IF(D354&lt;&gt;"", IFERROR(INDEX('بنود العقد'!D$3:D$388,D354), ""), ""))</f>
        <v>م²</v>
      </c>
      <c r="G354" s="24">
        <f>IF(C354="استحداث بند جديد", "", IF(D354&lt;&gt;"", IFERROR(INDEX('بنود العقد'!E$3:E$388,D354), 0), ""))</f>
        <v>180</v>
      </c>
      <c r="H354" s="7">
        <v>2497.13</v>
      </c>
      <c r="I354" s="8">
        <v>0</v>
      </c>
      <c r="J354" s="10">
        <f t="shared" si="2"/>
        <v>449483.4</v>
      </c>
      <c r="K354" s="76" t="str">
        <f>IF(C354="استحداث بند جديد", "", IF(D354&lt;&gt;"", IFERROR(INDEX('بنود العقد'!C$3:C$388,D354), ""), ""))</f>
        <v>معماري</v>
      </c>
      <c r="L354" s="76" t="str">
        <f>IF(C354="استحداث بند جديد", IF(K354&lt;&gt;"","CMH_01-"&amp;IFERROR(VLOOKUP(K354,مراجع!$A$3:$B$14,2,FALSE),"?")&amp;"-NEW-"&amp;TEXT(A354,"000"),""), IF(D354&lt;&gt;"", IFERROR(INDEX('بنود العقد'!I$3:I$388,D354), ""), ""))</f>
        <v>CMH_01-A-074</v>
      </c>
      <c r="M354" s="19"/>
    </row>
    <row r="355" spans="1:13" s="76" customFormat="1" ht="28.2" customHeight="1">
      <c r="A355" s="12">
        <v>353</v>
      </c>
      <c r="B355" s="6">
        <v>5</v>
      </c>
      <c r="C355" s="6" t="s">
        <v>250</v>
      </c>
      <c r="D355" s="6">
        <v>75</v>
      </c>
      <c r="E355" s="22" t="str">
        <f>IF(C355="استحداث بند جديد", "", IF(D355&lt;&gt;"", IFERROR(INDEX('بنود العقد'!B$3:B$388,D355), "⚠"), ""))</f>
        <v>توريد وتركيب أسقف معلقة من الالواح الجبسيه )01-GBC( ثخانة 12 مم المقاومة للحريق شاملة نظام التعليق وضبط الحواف والزوايا وأبواب لفتحات الكشف بالأسقف لأعمال الصيانة )أبواب جاهزة من النوع السهل الاستعمال والمزود بمفصلات مخفية( والإكسسوارات. ويشمل السعر أي مواد أو أعمال يتطلبها استكمال العمل حسب المواصفات والمخططات.</v>
      </c>
      <c r="F355" s="23" t="str">
        <f>IF(C355="استحداث بند جديد", "", IF(D355&lt;&gt;"", IFERROR(INDEX('بنود العقد'!D$3:D$388,D355), ""), ""))</f>
        <v>م²</v>
      </c>
      <c r="G355" s="24">
        <f>IF(C355="استحداث بند جديد", "", IF(D355&lt;&gt;"", IFERROR(INDEX('بنود العقد'!E$3:E$388,D355), 0), ""))</f>
        <v>150</v>
      </c>
      <c r="H355" s="7">
        <v>-165.12</v>
      </c>
      <c r="I355" s="8">
        <v>0</v>
      </c>
      <c r="J355" s="10">
        <f t="shared" si="2"/>
        <v>-24768</v>
      </c>
      <c r="K355" s="76" t="str">
        <f>IF(C355="استحداث بند جديد", "", IF(D355&lt;&gt;"", IFERROR(INDEX('بنود العقد'!C$3:C$388,D355), ""), ""))</f>
        <v>معماري</v>
      </c>
      <c r="L355" s="76" t="str">
        <f>IF(C355="استحداث بند جديد", IF(K355&lt;&gt;"","CMH_01-"&amp;IFERROR(VLOOKUP(K355,مراجع!$A$3:$B$14,2,FALSE),"?")&amp;"-NEW-"&amp;TEXT(A355,"000"),""), IF(D355&lt;&gt;"", IFERROR(INDEX('بنود العقد'!I$3:I$388,D355), ""), ""))</f>
        <v>CMH_01-A-075</v>
      </c>
      <c r="M355" s="19"/>
    </row>
    <row r="356" spans="1:13" s="76" customFormat="1" ht="28.2" customHeight="1">
      <c r="A356" s="12">
        <v>354</v>
      </c>
      <c r="B356" s="6">
        <v>5</v>
      </c>
      <c r="C356" s="6" t="s">
        <v>175</v>
      </c>
      <c r="D356" s="6">
        <v>76</v>
      </c>
      <c r="E356" s="22" t="str">
        <f>IF(C356="استحداث بند جديد", "", IF(D356&lt;&gt;"", IFERROR(INDEX('بنود العقد'!B$3:B$388,D356), "⚠"), ""))</f>
        <v>توريد وتركيب أسقف معلقة من الالواح الجبسيه  )02-GBC( ثخانة 12 مم المقاومة للرطوبة شاملة نظام التعليق وضبط الحواف والزوايا وأبواب لفتحات الكشف بالأسقف لأعمال الصيانة )أبواب جاهزة من النوع السهل الاستعمال والمزود بمفصلات مخفية( واالإكسسوارات. ويشمل السعر أي مواد أو أعمال يتطلبها استكمال العمل حسب المواصفات والمخططات وتعليمات المهندس المشرف.</v>
      </c>
      <c r="F356" s="23" t="str">
        <f>IF(C356="استحداث بند جديد", "", IF(D356&lt;&gt;"", IFERROR(INDEX('بنود العقد'!D$3:D$388,D356), ""), ""))</f>
        <v>م²</v>
      </c>
      <c r="G356" s="24">
        <f>IF(C356="استحداث بند جديد", "", IF(D356&lt;&gt;"", IFERROR(INDEX('بنود العقد'!E$3:E$388,D356), 0), ""))</f>
        <v>150</v>
      </c>
      <c r="H356" s="7">
        <v>79.63</v>
      </c>
      <c r="I356" s="8">
        <v>0</v>
      </c>
      <c r="J356" s="10">
        <f t="shared" si="2"/>
        <v>11944.5</v>
      </c>
      <c r="K356" s="76" t="str">
        <f>IF(C356="استحداث بند جديد", "", IF(D356&lt;&gt;"", IFERROR(INDEX('بنود العقد'!C$3:C$388,D356), ""), ""))</f>
        <v>معماري</v>
      </c>
      <c r="L356" s="76" t="str">
        <f>IF(C356="استحداث بند جديد", IF(K356&lt;&gt;"","CMH_01-"&amp;IFERROR(VLOOKUP(K356,مراجع!$A$3:$B$14,2,FALSE),"?")&amp;"-NEW-"&amp;TEXT(A356,"000"),""), IF(D356&lt;&gt;"", IFERROR(INDEX('بنود العقد'!I$3:I$388,D356), ""), ""))</f>
        <v>CMH_01-A-076</v>
      </c>
      <c r="M356" s="19"/>
    </row>
    <row r="357" spans="1:13" s="76" customFormat="1" ht="28.2" customHeight="1">
      <c r="A357" s="12">
        <v>355</v>
      </c>
      <c r="B357" s="6">
        <v>5</v>
      </c>
      <c r="C357" s="6" t="s">
        <v>250</v>
      </c>
      <c r="D357" s="6">
        <v>77</v>
      </c>
      <c r="E357" s="22" t="str">
        <f>IF(C357="استحداث بند جديد", "", IF(D357&lt;&gt;"", IFERROR(INDEX('بنود العقد'!B$3:B$388,D357), "⚠"), ""))</f>
        <v>600×600مم توريد وتركيب اسقف اصطناعية  والسعر يشمل نظام التعليق من الحديد المجفلن مع جميع الاكسسوارات وكل مايلزم حسب المواصفات والمخططات وتعليمات الشركة المصنعة .</v>
      </c>
      <c r="F357" s="23" t="str">
        <f>IF(C357="استحداث بند جديد", "", IF(D357&lt;&gt;"", IFERROR(INDEX('بنود العقد'!D$3:D$388,D357), ""), ""))</f>
        <v>م²</v>
      </c>
      <c r="G357" s="24">
        <f>IF(C357="استحداث بند جديد", "", IF(D357&lt;&gt;"", IFERROR(INDEX('بنود العقد'!E$3:E$388,D357), 0), ""))</f>
        <v>150</v>
      </c>
      <c r="H357" s="7">
        <v>-240.9</v>
      </c>
      <c r="I357" s="8">
        <v>0</v>
      </c>
      <c r="J357" s="10">
        <f t="shared" si="2"/>
        <v>-36135</v>
      </c>
      <c r="K357" s="76" t="str">
        <f>IF(C357="استحداث بند جديد", "", IF(D357&lt;&gt;"", IFERROR(INDEX('بنود العقد'!C$3:C$388,D357), ""), ""))</f>
        <v>معماري</v>
      </c>
      <c r="L357" s="76" t="str">
        <f>IF(C357="استحداث بند جديد", IF(K357&lt;&gt;"","CMH_01-"&amp;IFERROR(VLOOKUP(K357,مراجع!$A$3:$B$14,2,FALSE),"?")&amp;"-NEW-"&amp;TEXT(A357,"000"),""), IF(D357&lt;&gt;"", IFERROR(INDEX('بنود العقد'!I$3:I$388,D357), ""), ""))</f>
        <v>CMH_01-A-077</v>
      </c>
      <c r="M357" s="19"/>
    </row>
    <row r="358" spans="1:13" s="76" customFormat="1" ht="28.2" customHeight="1">
      <c r="A358" s="12">
        <v>356</v>
      </c>
      <c r="B358" s="6">
        <v>5</v>
      </c>
      <c r="C358" s="6" t="s">
        <v>250</v>
      </c>
      <c r="D358" s="6">
        <v>78</v>
      </c>
      <c r="E358" s="22" t="str">
        <f>IF(C358="استحداث بند جديد", "", IF(D358&lt;&gt;"", IFERROR(INDEX('بنود العقد'!B$3:B$388,D358), "⚠"), ""))</f>
        <v>توريد وتركيب اسقف معدنية على شكل مربعات بشكل سماكة 5سم)grey color powder coated( ، وفتحات على شكل مثلث مع اضاءة مخفية مغلفة من الاعلى بطبقة Acrylic شفاف مغشى سماكة 4مم مثبتة بنظام تعليق متصلة بالسقف الخرساني حسب الرسومات والمناظير.01-Code MTL</v>
      </c>
      <c r="F358" s="23" t="str">
        <f>IF(C358="استحداث بند جديد", "", IF(D358&lt;&gt;"", IFERROR(INDEX('بنود العقد'!D$3:D$388,D358), ""), ""))</f>
        <v>م²</v>
      </c>
      <c r="G358" s="24">
        <f>IF(C358="استحداث بند جديد", "", IF(D358&lt;&gt;"", IFERROR(INDEX('بنود العقد'!E$3:E$388,D358), 0), ""))</f>
        <v>150</v>
      </c>
      <c r="H358" s="7">
        <v>-181</v>
      </c>
      <c r="I358" s="8">
        <v>0</v>
      </c>
      <c r="J358" s="10">
        <f t="shared" si="2"/>
        <v>-27150</v>
      </c>
      <c r="K358" s="76" t="str">
        <f>IF(C358="استحداث بند جديد", "", IF(D358&lt;&gt;"", IFERROR(INDEX('بنود العقد'!C$3:C$388,D358), ""), ""))</f>
        <v>معماري</v>
      </c>
      <c r="L358" s="76" t="str">
        <f>IF(C358="استحداث بند جديد", IF(K358&lt;&gt;"","CMH_01-"&amp;IFERROR(VLOOKUP(K358,مراجع!$A$3:$B$14,2,FALSE),"?")&amp;"-NEW-"&amp;TEXT(A358,"000"),""), IF(D358&lt;&gt;"", IFERROR(INDEX('بنود العقد'!I$3:I$388,D358), ""), ""))</f>
        <v>CMH_01-A-078</v>
      </c>
      <c r="M358" s="19"/>
    </row>
    <row r="359" spans="1:13" s="76" customFormat="1" ht="28.2" customHeight="1">
      <c r="A359" s="12">
        <v>357</v>
      </c>
      <c r="B359" s="6">
        <v>5</v>
      </c>
      <c r="C359" s="6" t="s">
        <v>175</v>
      </c>
      <c r="D359" s="6">
        <v>79</v>
      </c>
      <c r="E359" s="22" t="str">
        <f>IF(C359="استحداث بند جديد", "", IF(D359&lt;&gt;"", IFERROR(INDEX('بنود العقد'!B$3:B$388,D359), "⚠"), ""))</f>
        <v xml:space="preserve"> أرضيات بورسلان 01-PT مقاس 600×600×12مم فرز اول بالمقاسات والالوان المطلوبة لدورات المياه الخاصة بمكاتب الوكلاء ومساعدين الوكلاء العامة ومنطقة التنفيذيين بالدور السادس  طبقاً للمخططات والمواصفات.</v>
      </c>
      <c r="F359" s="23" t="str">
        <f>IF(C359="استحداث بند جديد", "", IF(D359&lt;&gt;"", IFERROR(INDEX('بنود العقد'!D$3:D$388,D359), ""), ""))</f>
        <v>م²</v>
      </c>
      <c r="G359" s="24">
        <f>IF(C359="استحداث بند جديد", "", IF(D359&lt;&gt;"", IFERROR(INDEX('بنود العقد'!E$3:E$388,D359), 0), ""))</f>
        <v>120</v>
      </c>
      <c r="H359" s="7">
        <v>29.7</v>
      </c>
      <c r="I359" s="8">
        <v>0</v>
      </c>
      <c r="J359" s="10">
        <f t="shared" si="2"/>
        <v>3564</v>
      </c>
      <c r="K359" s="76" t="str">
        <f>IF(C359="استحداث بند جديد", "", IF(D359&lt;&gt;"", IFERROR(INDEX('بنود العقد'!C$3:C$388,D359), ""), ""))</f>
        <v>معماري</v>
      </c>
      <c r="L359" s="76" t="str">
        <f>IF(C359="استحداث بند جديد", IF(K359&lt;&gt;"","CMH_01-"&amp;IFERROR(VLOOKUP(K359,مراجع!$A$3:$B$14,2,FALSE),"?")&amp;"-NEW-"&amp;TEXT(A359,"000"),""), IF(D359&lt;&gt;"", IFERROR(INDEX('بنود العقد'!I$3:I$388,D359), ""), ""))</f>
        <v>CMH_01-A-079</v>
      </c>
      <c r="M359" s="19"/>
    </row>
    <row r="360" spans="1:13" s="76" customFormat="1" ht="28.2" customHeight="1">
      <c r="A360" s="12">
        <v>358</v>
      </c>
      <c r="B360" s="6">
        <v>5</v>
      </c>
      <c r="C360" s="6" t="s">
        <v>175</v>
      </c>
      <c r="D360" s="6">
        <v>80</v>
      </c>
      <c r="E360" s="22" t="str">
        <f>IF(C360="استحداث بند جديد", "", IF(D360&lt;&gt;"", IFERROR(INDEX('بنود العقد'!B$3:B$388,D360), "⚠"), ""))</f>
        <v xml:space="preserve"> أرضيات بورسلان 02-PTمقاس 600×600×12مم فرز اول بالمقاسات والالوان المطلوبة لدورات المياه الخاصة بمكاتب المدراء العامين  طبقاً للمخططات والمواصفات.</v>
      </c>
      <c r="F360" s="23" t="str">
        <f>IF(C360="استحداث بند جديد", "", IF(D360&lt;&gt;"", IFERROR(INDEX('بنود العقد'!D$3:D$388,D360), ""), ""))</f>
        <v>م²</v>
      </c>
      <c r="G360" s="24">
        <f>IF(C360="استحداث بند جديد", "", IF(D360&lt;&gt;"", IFERROR(INDEX('بنود العقد'!E$3:E$388,D360), 0), ""))</f>
        <v>120</v>
      </c>
      <c r="H360" s="7">
        <v>2.13</v>
      </c>
      <c r="I360" s="8">
        <v>0</v>
      </c>
      <c r="J360" s="10">
        <f t="shared" si="2"/>
        <v>255.6</v>
      </c>
      <c r="K360" s="76" t="str">
        <f>IF(C360="استحداث بند جديد", "", IF(D360&lt;&gt;"", IFERROR(INDEX('بنود العقد'!C$3:C$388,D360), ""), ""))</f>
        <v>معماري</v>
      </c>
      <c r="L360" s="76" t="str">
        <f>IF(C360="استحداث بند جديد", IF(K360&lt;&gt;"","CMH_01-"&amp;IFERROR(VLOOKUP(K360,مراجع!$A$3:$B$14,2,FALSE),"?")&amp;"-NEW-"&amp;TEXT(A360,"000"),""), IF(D360&lt;&gt;"", IFERROR(INDEX('بنود العقد'!I$3:I$388,D360), ""), ""))</f>
        <v>CMH_01-A-080</v>
      </c>
      <c r="M360" s="19"/>
    </row>
    <row r="361" spans="1:13" s="76" customFormat="1" ht="28.2" customHeight="1">
      <c r="A361" s="12">
        <v>359</v>
      </c>
      <c r="B361" s="6">
        <v>5</v>
      </c>
      <c r="C361" s="6" t="s">
        <v>250</v>
      </c>
      <c r="D361" s="6">
        <v>81</v>
      </c>
      <c r="E361" s="22" t="str">
        <f>IF(C361="استحداث بند جديد", "", IF(D361&lt;&gt;"", IFERROR(INDEX('بنود العقد'!B$3:B$388,D361), "⚠"), ""))</f>
        <v xml:space="preserve"> أرضيات بورسلان03-PT مقاس 600×600×12مم فرز ثاني بالمقاسات والالوان المطلوبة لدورات المياة العامة  طبقاً للمخططات والمواصفات.</v>
      </c>
      <c r="F361" s="23" t="str">
        <f>IF(C361="استحداث بند جديد", "", IF(D361&lt;&gt;"", IFERROR(INDEX('بنود العقد'!D$3:D$388,D361), ""), ""))</f>
        <v>م²</v>
      </c>
      <c r="G361" s="24">
        <f>IF(C361="استحداث بند جديد", "", IF(D361&lt;&gt;"", IFERROR(INDEX('بنود العقد'!E$3:E$388,D361), 0), ""))</f>
        <v>120</v>
      </c>
      <c r="H361" s="7">
        <v>-1800.66</v>
      </c>
      <c r="I361" s="8">
        <v>0</v>
      </c>
      <c r="J361" s="10">
        <f t="shared" si="2"/>
        <v>-216079.2</v>
      </c>
      <c r="K361" s="76" t="str">
        <f>IF(C361="استحداث بند جديد", "", IF(D361&lt;&gt;"", IFERROR(INDEX('بنود العقد'!C$3:C$388,D361), ""), ""))</f>
        <v>معماري</v>
      </c>
      <c r="L361" s="76" t="str">
        <f>IF(C361="استحداث بند جديد", IF(K361&lt;&gt;"","CMH_01-"&amp;IFERROR(VLOOKUP(K361,مراجع!$A$3:$B$14,2,FALSE),"?")&amp;"-NEW-"&amp;TEXT(A361,"000"),""), IF(D361&lt;&gt;"", IFERROR(INDEX('بنود العقد'!I$3:I$388,D361), ""), ""))</f>
        <v>CMH_01-A-081</v>
      </c>
      <c r="M361" s="19"/>
    </row>
    <row r="362" spans="1:13" s="76" customFormat="1" ht="28.2" customHeight="1">
      <c r="A362" s="12">
        <v>360</v>
      </c>
      <c r="B362" s="6">
        <v>5</v>
      </c>
      <c r="C362" s="6" t="s">
        <v>250</v>
      </c>
      <c r="D362" s="6">
        <v>82</v>
      </c>
      <c r="E362" s="22" t="str">
        <f>IF(C362="استحداث بند جديد", "", IF(D362&lt;&gt;"", IFERROR(INDEX('بنود العقد'!B$3:B$388,D362), "⚠"), ""))</f>
        <v xml:space="preserve"> أرضيات بورسلان04-PT مقاس 600×600×12مم فرز ثاني بالمقاسات والالوان المطلوبة لغرف الأرشيف والمخازن والمطبخ طبقاً للمخططات والمواصفات.</v>
      </c>
      <c r="F362" s="23" t="str">
        <f>IF(C362="استحداث بند جديد", "", IF(D362&lt;&gt;"", IFERROR(INDEX('بنود العقد'!D$3:D$388,D362), ""), ""))</f>
        <v>م²</v>
      </c>
      <c r="G362" s="24">
        <f>IF(C362="استحداث بند جديد", "", IF(D362&lt;&gt;"", IFERROR(INDEX('بنود العقد'!E$3:E$388,D362), 0), ""))</f>
        <v>120</v>
      </c>
      <c r="H362" s="7">
        <v>-64.040000000000006</v>
      </c>
      <c r="I362" s="8">
        <v>0</v>
      </c>
      <c r="J362" s="10">
        <f t="shared" si="2"/>
        <v>-7684.8000000000011</v>
      </c>
      <c r="K362" s="76" t="str">
        <f>IF(C362="استحداث بند جديد", "", IF(D362&lt;&gt;"", IFERROR(INDEX('بنود العقد'!C$3:C$388,D362), ""), ""))</f>
        <v>معماري</v>
      </c>
      <c r="L362" s="76" t="str">
        <f>IF(C362="استحداث بند جديد", IF(K362&lt;&gt;"","CMH_01-"&amp;IFERROR(VLOOKUP(K362,مراجع!$A$3:$B$14,2,FALSE),"?")&amp;"-NEW-"&amp;TEXT(A362,"000"),""), IF(D362&lt;&gt;"", IFERROR(INDEX('بنود العقد'!I$3:I$388,D362), ""), ""))</f>
        <v>CMH_01-A-082</v>
      </c>
      <c r="M362" s="19"/>
    </row>
    <row r="363" spans="1:13" s="76" customFormat="1" ht="28.2" customHeight="1">
      <c r="A363" s="12">
        <v>361</v>
      </c>
      <c r="B363" s="6">
        <v>5</v>
      </c>
      <c r="C363" s="6" t="s">
        <v>175</v>
      </c>
      <c r="D363" s="6">
        <v>85</v>
      </c>
      <c r="E363" s="22" t="str">
        <f>IF(C363="استحداث بند جديد", "", IF(D363&lt;&gt;"", IFERROR(INDEX('بنود العقد'!B$3:B$388,D363), "⚠"), ""))</f>
        <v xml:space="preserve"> جدران بورسلان (PW-03(type A&amp;B  مقاس 600×300×12مم فرز ثاني بالمقاسات والالوان المطلوبة لدورات المياة العامة  طبقاً للمخططات والمواصفات.</v>
      </c>
      <c r="F363" s="23" t="str">
        <f>IF(C363="استحداث بند جديد", "", IF(D363&lt;&gt;"", IFERROR(INDEX('بنود العقد'!D$3:D$388,D363), ""), ""))</f>
        <v>م²</v>
      </c>
      <c r="G363" s="24">
        <f>IF(C363="استحداث بند جديد", "", IF(D363&lt;&gt;"", IFERROR(INDEX('بنود العقد'!E$3:E$388,D363), 0), ""))</f>
        <v>96</v>
      </c>
      <c r="H363" s="7">
        <v>531.65</v>
      </c>
      <c r="I363" s="8">
        <v>0</v>
      </c>
      <c r="J363" s="10">
        <f t="shared" si="2"/>
        <v>51038.399999999994</v>
      </c>
      <c r="K363" s="76" t="str">
        <f>IF(C363="استحداث بند جديد", "", IF(D363&lt;&gt;"", IFERROR(INDEX('بنود العقد'!C$3:C$388,D363), ""), ""))</f>
        <v>معماري</v>
      </c>
      <c r="L363" s="76" t="str">
        <f>IF(C363="استحداث بند جديد", IF(K363&lt;&gt;"","CMH_01-"&amp;IFERROR(VLOOKUP(K363,مراجع!$A$3:$B$14,2,FALSE),"?")&amp;"-NEW-"&amp;TEXT(A363,"000"),""), IF(D363&lt;&gt;"", IFERROR(INDEX('بنود العقد'!I$3:I$388,D363), ""), ""))</f>
        <v>CMH_01-A-085</v>
      </c>
      <c r="M363" s="19"/>
    </row>
    <row r="364" spans="1:13" s="76" customFormat="1" ht="28.2" customHeight="1">
      <c r="A364" s="12">
        <v>362</v>
      </c>
      <c r="B364" s="6">
        <v>5</v>
      </c>
      <c r="C364" s="6" t="s">
        <v>250</v>
      </c>
      <c r="D364" s="6">
        <v>86</v>
      </c>
      <c r="E364" s="22" t="str">
        <f>IF(C364="استحداث بند جديد", "", IF(D364&lt;&gt;"", IFERROR(INDEX('بنود العقد'!B$3:B$388,D364), "⚠"), ""))</f>
        <v xml:space="preserve"> وزرة من بورسلان بسماكة 12مم  100*600 مم والسعر يشمل التثبيت  بالغراء والشطف وكل ما يلزم لانهاء العمل حسب الاصول الفنية وتعليمات المهندس المشرف.Ref. Drawings: 07-MRA-DD-(as per floor number)-AR-300</v>
      </c>
      <c r="F364" s="23" t="str">
        <f>IF(C364="استحداث بند جديد", "", IF(D364&lt;&gt;"", IFERROR(INDEX('بنود العقد'!D$3:D$388,D364), ""), ""))</f>
        <v>م.ط</v>
      </c>
      <c r="G364" s="24">
        <f>IF(C364="استحداث بند جديد", "", IF(D364&lt;&gt;"", IFERROR(INDEX('بنود العقد'!E$3:E$388,D364), 0), ""))</f>
        <v>120</v>
      </c>
      <c r="H364" s="7">
        <v>-34.92</v>
      </c>
      <c r="I364" s="8">
        <v>0</v>
      </c>
      <c r="J364" s="10">
        <f t="shared" si="2"/>
        <v>-4190.4000000000005</v>
      </c>
      <c r="K364" s="76" t="str">
        <f>IF(C364="استحداث بند جديد", "", IF(D364&lt;&gt;"", IFERROR(INDEX('بنود العقد'!C$3:C$388,D364), ""), ""))</f>
        <v>معماري</v>
      </c>
      <c r="L364" s="76" t="str">
        <f>IF(C364="استحداث بند جديد", IF(K364&lt;&gt;"","CMH_01-"&amp;IFERROR(VLOOKUP(K364,مراجع!$A$3:$B$14,2,FALSE),"?")&amp;"-NEW-"&amp;TEXT(A364,"000"),""), IF(D364&lt;&gt;"", IFERROR(INDEX('بنود العقد'!I$3:I$388,D364), ""), ""))</f>
        <v>CMH_01-A-086</v>
      </c>
      <c r="M364" s="19"/>
    </row>
    <row r="365" spans="1:13" s="76" customFormat="1" ht="28.2" customHeight="1">
      <c r="A365" s="12">
        <v>363</v>
      </c>
      <c r="B365" s="6">
        <v>5</v>
      </c>
      <c r="C365" s="6" t="s">
        <v>250</v>
      </c>
      <c r="D365" s="6">
        <v>87</v>
      </c>
      <c r="E365" s="22" t="str">
        <f>IF(C365="استحداث بند جديد", "", IF(D365&lt;&gt;"", IFERROR(INDEX('بنود العقد'!B$3:B$388,D365), "⚠"), ""))</f>
        <v>توريد وتركيب بلاط سيراميك مزجج للجدران يلصق بمادة الغراء يتم إعتمادها على اللياسة المنفذه أسفل اوعلى القواطع الاسمنتية هويكون السيراميك المزجج من النوع الجيد والمتوفر  والسعر يشمل المادة اللاصقه ومادة السقاية  والديكور المطلوب ويتم التنفيذ طبقا للمخططات  واصول الصناعة وتعليمات المهندس المشرف.</v>
      </c>
      <c r="F365" s="23" t="str">
        <f>IF(C365="استحداث بند جديد", "", IF(D365&lt;&gt;"", IFERROR(INDEX('بنود العقد'!D$3:D$388,D365), ""), ""))</f>
        <v>م²</v>
      </c>
      <c r="G365" s="24">
        <f>IF(C365="استحداث بند جديد", "", IF(D365&lt;&gt;"", IFERROR(INDEX('بنود العقد'!E$3:E$388,D365), 0), ""))</f>
        <v>102</v>
      </c>
      <c r="H365" s="7">
        <v>-60</v>
      </c>
      <c r="I365" s="8">
        <v>0</v>
      </c>
      <c r="J365" s="10">
        <f t="shared" si="2"/>
        <v>-6120</v>
      </c>
      <c r="K365" s="76" t="str">
        <f>IF(C365="استحداث بند جديد", "", IF(D365&lt;&gt;"", IFERROR(INDEX('بنود العقد'!C$3:C$388,D365), ""), ""))</f>
        <v>معماري</v>
      </c>
      <c r="L365" s="76" t="str">
        <f>IF(C365="استحداث بند جديد", IF(K365&lt;&gt;"","CMH_01-"&amp;IFERROR(VLOOKUP(K365,مراجع!$A$3:$B$14,2,FALSE),"?")&amp;"-NEW-"&amp;TEXT(A365,"000"),""), IF(D365&lt;&gt;"", IFERROR(INDEX('بنود العقد'!I$3:I$388,D365), ""), ""))</f>
        <v>CMH_01-A-087</v>
      </c>
      <c r="M365" s="19"/>
    </row>
    <row r="366" spans="1:13" s="76" customFormat="1" ht="28.2" customHeight="1">
      <c r="A366" s="12">
        <v>364</v>
      </c>
      <c r="B366" s="6">
        <v>5</v>
      </c>
      <c r="C366" s="6" t="s">
        <v>250</v>
      </c>
      <c r="D366" s="6">
        <v>95</v>
      </c>
      <c r="E366" s="22" t="str">
        <f>IF(C366="استحداث بند جديد", "", IF(D366&lt;&gt;"", IFERROR(INDEX('بنود العقد'!B$3:B$388,D366), "⚠"), ""))</f>
        <v>معالجة وتنظيف وصقل وجلاء بلاط رخام الأرضيات والدرج مع بودرة الرخام المستخدم والتلميع 4 أوجه وملو الفواصل بمادة مقاومة للرطوبة والبكتيريا  والسعر يشمل جميع المواد والأعمال اللازمة لإتمام العمل المطلوب طبقا للمخططات والمواصفات الفنية وبحسب توجيهات واعتماد المهندس المشرف. رخام الأرضيات في المداخل و الممرات الرئيسية وبسطات الدرج.</v>
      </c>
      <c r="F366" s="23" t="str">
        <f>IF(C366="استحداث بند جديد", "", IF(D366&lt;&gt;"", IFERROR(INDEX('بنود العقد'!D$3:D$388,D366), ""), ""))</f>
        <v>م²</v>
      </c>
      <c r="G366" s="24">
        <f>IF(C366="استحداث بند جديد", "", IF(D366&lt;&gt;"", IFERROR(INDEX('بنود العقد'!E$3:E$388,D366), 0), ""))</f>
        <v>42</v>
      </c>
      <c r="H366" s="7">
        <v>-57.12</v>
      </c>
      <c r="I366" s="8">
        <v>0</v>
      </c>
      <c r="J366" s="10">
        <f t="shared" si="2"/>
        <v>-2399.04</v>
      </c>
      <c r="K366" s="76" t="str">
        <f>IF(C366="استحداث بند جديد", "", IF(D366&lt;&gt;"", IFERROR(INDEX('بنود العقد'!C$3:C$388,D366), ""), ""))</f>
        <v>معماري</v>
      </c>
      <c r="L366" s="76" t="str">
        <f>IF(C366="استحداث بند جديد", IF(K366&lt;&gt;"","CMH_01-"&amp;IFERROR(VLOOKUP(K366,مراجع!$A$3:$B$14,2,FALSE),"?")&amp;"-NEW-"&amp;TEXT(A366,"000"),""), IF(D366&lt;&gt;"", IFERROR(INDEX('بنود العقد'!I$3:I$388,D366), ""), ""))</f>
        <v>CMH_01-A-095</v>
      </c>
      <c r="M366" s="19"/>
    </row>
    <row r="367" spans="1:13" s="76" customFormat="1" ht="28.2" customHeight="1">
      <c r="A367" s="12">
        <v>365</v>
      </c>
      <c r="B367" s="6">
        <v>5</v>
      </c>
      <c r="C367" s="6" t="s">
        <v>250</v>
      </c>
      <c r="D367" s="6">
        <v>96</v>
      </c>
      <c r="E367" s="22" t="str">
        <f>IF(C367="استحداث بند جديد", "", IF(D367&lt;&gt;"", IFERROR(INDEX('بنود العقد'!B$3:B$388,D367), "⚠"), ""))</f>
        <v>معالجة وتنظيف وصقل وجلاء بلاط رخام الأرضيات والدرج مع بودرة الرخام المستخدم والتلميع 4 أوجه وملو الفواصل بمادة مقاومة للرطوبة والبكتيريا  والسعر يشمل جميع المواد والأعمال اللازمة لإتمام العمل المطلوب طبقا للمخططات والمواصفات الفنية وبحسب توجيهات واعتماد المهندس المشرف. رخام الدرج )قائمة والسعر يشمل النائمة والحبسة</v>
      </c>
      <c r="F367" s="23" t="str">
        <f>IF(C367="استحداث بند جديد", "", IF(D367&lt;&gt;"", IFERROR(INDEX('بنود العقد'!D$3:D$388,D367), ""), ""))</f>
        <v>م.ط</v>
      </c>
      <c r="G367" s="24">
        <f>IF(C367="استحداث بند جديد", "", IF(D367&lt;&gt;"", IFERROR(INDEX('بنود العقد'!E$3:E$388,D367), 0), ""))</f>
        <v>42</v>
      </c>
      <c r="H367" s="7">
        <v>-246.96</v>
      </c>
      <c r="I367" s="8">
        <v>0</v>
      </c>
      <c r="J367" s="10">
        <f t="shared" ref="J367:J588" si="3">IF(C367="تمديد مدة", 0, IF(AND(H367&lt;&gt;"",G367&lt;&gt;""), H367*G367, ""))</f>
        <v>-10372.32</v>
      </c>
      <c r="K367" s="76" t="str">
        <f>IF(C367="استحداث بند جديد", "", IF(D367&lt;&gt;"", IFERROR(INDEX('بنود العقد'!C$3:C$388,D367), ""), ""))</f>
        <v>معماري</v>
      </c>
      <c r="L367" s="76" t="str">
        <f>IF(C367="استحداث بند جديد", IF(K367&lt;&gt;"","CMH_01-"&amp;IFERROR(VLOOKUP(K367,مراجع!$A$3:$B$14,2,FALSE),"?")&amp;"-NEW-"&amp;TEXT(A367,"000"),""), IF(D367&lt;&gt;"", IFERROR(INDEX('بنود العقد'!I$3:I$388,D367), ""), ""))</f>
        <v>CMH_01-A-096</v>
      </c>
      <c r="M367" s="19"/>
    </row>
    <row r="368" spans="1:13" s="76" customFormat="1" ht="28.2" customHeight="1">
      <c r="A368" s="12">
        <v>366</v>
      </c>
      <c r="B368" s="6">
        <v>5</v>
      </c>
      <c r="C368" s="6" t="s">
        <v>250</v>
      </c>
      <c r="D368" s="6">
        <v>97</v>
      </c>
      <c r="E368" s="22" t="str">
        <f>IF(C368="استحداث بند جديد", "", IF(D368&lt;&gt;"", IFERROR(INDEX('بنود العقد'!B$3:B$388,D368), "⚠"), ""))</f>
        <v>رخام رمادي غامق تندر غراي مقاس 600×900 مم  سماكة  20مم  كإطار حول المصاعد</v>
      </c>
      <c r="F368" s="23" t="str">
        <f>IF(C368="استحداث بند جديد", "", IF(D368&lt;&gt;"", IFERROR(INDEX('بنود العقد'!D$3:D$388,D368), ""), ""))</f>
        <v>م²</v>
      </c>
      <c r="G368" s="24">
        <f>IF(C368="استحداث بند جديد", "", IF(D368&lt;&gt;"", IFERROR(INDEX('بنود العقد'!E$3:E$388,D368), 0), ""))</f>
        <v>300</v>
      </c>
      <c r="H368" s="7">
        <v>-11</v>
      </c>
      <c r="I368" s="8">
        <v>0</v>
      </c>
      <c r="J368" s="10">
        <f t="shared" si="3"/>
        <v>-3300</v>
      </c>
      <c r="K368" s="76" t="str">
        <f>IF(C368="استحداث بند جديد", "", IF(D368&lt;&gt;"", IFERROR(INDEX('بنود العقد'!C$3:C$388,D368), ""), ""))</f>
        <v>معماري</v>
      </c>
      <c r="L368" s="76" t="str">
        <f>IF(C368="استحداث بند جديد", IF(K368&lt;&gt;"","CMH_01-"&amp;IFERROR(VLOOKUP(K368,مراجع!$A$3:$B$14,2,FALSE),"?")&amp;"-NEW-"&amp;TEXT(A368,"000"),""), IF(D368&lt;&gt;"", IFERROR(INDEX('بنود العقد'!I$3:I$388,D368), ""), ""))</f>
        <v>CMH_01-A-097</v>
      </c>
      <c r="M368" s="19"/>
    </row>
    <row r="369" spans="1:13" s="76" customFormat="1" ht="28.2" customHeight="1">
      <c r="A369" s="12">
        <v>367</v>
      </c>
      <c r="B369" s="6">
        <v>5</v>
      </c>
      <c r="C369" s="6" t="s">
        <v>250</v>
      </c>
      <c r="D369" s="6">
        <v>98</v>
      </c>
      <c r="E369" s="22" t="str">
        <f>IF(C369="استحداث بند جديد", "", IF(D369&lt;&gt;"", IFERROR(INDEX('بنود العقد'!B$3:B$388,D369), "⚠"), ""))</f>
        <v>رخام ابيض ثاسوس  سماكة 20مم على جدران دورات مياه منطقة معالي الوزير</v>
      </c>
      <c r="F369" s="23" t="str">
        <f>IF(C369="استحداث بند جديد", "", IF(D369&lt;&gt;"", IFERROR(INDEX('بنود العقد'!D$3:D$388,D369), ""), ""))</f>
        <v>م²</v>
      </c>
      <c r="G369" s="24">
        <f>IF(C369="استحداث بند جديد", "", IF(D369&lt;&gt;"", IFERROR(INDEX('بنود العقد'!E$3:E$388,D369), 0), ""))</f>
        <v>300</v>
      </c>
      <c r="H369" s="7">
        <v>-0.19</v>
      </c>
      <c r="I369" s="8">
        <v>0</v>
      </c>
      <c r="J369" s="10">
        <f t="shared" si="3"/>
        <v>-57</v>
      </c>
      <c r="K369" s="76" t="str">
        <f>IF(C369="استحداث بند جديد", "", IF(D369&lt;&gt;"", IFERROR(INDEX('بنود العقد'!C$3:C$388,D369), ""), ""))</f>
        <v>معماري</v>
      </c>
      <c r="L369" s="76" t="str">
        <f>IF(C369="استحداث بند جديد", IF(K369&lt;&gt;"","CMH_01-"&amp;IFERROR(VLOOKUP(K369,مراجع!$A$3:$B$14,2,FALSE),"?")&amp;"-NEW-"&amp;TEXT(A369,"000"),""), IF(D369&lt;&gt;"", IFERROR(INDEX('بنود العقد'!I$3:I$388,D369), ""), ""))</f>
        <v>CMH_01-A-098</v>
      </c>
      <c r="M369" s="19"/>
    </row>
    <row r="370" spans="1:13" s="76" customFormat="1" ht="28.2" customHeight="1">
      <c r="A370" s="12">
        <v>368</v>
      </c>
      <c r="B370" s="6">
        <v>5</v>
      </c>
      <c r="C370" s="6" t="s">
        <v>250</v>
      </c>
      <c r="D370" s="6">
        <v>99</v>
      </c>
      <c r="E370" s="22" t="str">
        <f>IF(C370="استحداث بند جديد", "", IF(D370&lt;&gt;"", IFERROR(INDEX('بنود العقد'!B$3:B$388,D370), "⚠"), ""))</f>
        <v>رخام أخضر داكن مثبت على قواطع السيمنت خلف مكاتب السكرتاريا وفي المدخل الرئيسي في منطقة معالي الوزير.</v>
      </c>
      <c r="F370" s="23" t="str">
        <f>IF(C370="استحداث بند جديد", "", IF(D370&lt;&gt;"", IFERROR(INDEX('بنود العقد'!D$3:D$388,D370), ""), ""))</f>
        <v>م²</v>
      </c>
      <c r="G370" s="24">
        <f>IF(C370="استحداث بند جديد", "", IF(D370&lt;&gt;"", IFERROR(INDEX('بنود العقد'!E$3:E$388,D370), 0), ""))</f>
        <v>300</v>
      </c>
      <c r="H370" s="7">
        <v>-11</v>
      </c>
      <c r="I370" s="8">
        <v>0</v>
      </c>
      <c r="J370" s="10">
        <f t="shared" si="3"/>
        <v>-3300</v>
      </c>
      <c r="K370" s="76" t="str">
        <f>IF(C370="استحداث بند جديد", "", IF(D370&lt;&gt;"", IFERROR(INDEX('بنود العقد'!C$3:C$388,D370), ""), ""))</f>
        <v>معماري</v>
      </c>
      <c r="L370" s="76" t="str">
        <f>IF(C370="استحداث بند جديد", IF(K370&lt;&gt;"","CMH_01-"&amp;IFERROR(VLOOKUP(K370,مراجع!$A$3:$B$14,2,FALSE),"?")&amp;"-NEW-"&amp;TEXT(A370,"000"),""), IF(D370&lt;&gt;"", IFERROR(INDEX('بنود العقد'!I$3:I$388,D370), ""), ""))</f>
        <v>CMH_01-A-099</v>
      </c>
      <c r="M370" s="19"/>
    </row>
    <row r="371" spans="1:13" s="76" customFormat="1" ht="28.2" customHeight="1">
      <c r="A371" s="12">
        <v>369</v>
      </c>
      <c r="B371" s="6">
        <v>5</v>
      </c>
      <c r="C371" s="6" t="s">
        <v>250</v>
      </c>
      <c r="D371" s="6">
        <v>100</v>
      </c>
      <c r="E371" s="22" t="str">
        <f>IF(C371="استحداث بند جديد", "", IF(D371&lt;&gt;"", IFERROR(INDEX('بنود العقد'!B$3:B$388,D371), "⚠"), ""))</f>
        <v>رخام  الحوائط والأعمدة والكمر والوزرات لمدخل كبار الشخصيات ومدخل الموظفين وعلى المصاعد وفي الممرات الرئيسية والوجهات الداخلية للفناء الوسطي.</v>
      </c>
      <c r="F371" s="23" t="str">
        <f>IF(C371="استحداث بند جديد", "", IF(D371&lt;&gt;"", IFERROR(INDEX('بنود العقد'!D$3:D$388,D371), ""), ""))</f>
        <v>م²</v>
      </c>
      <c r="G371" s="24">
        <f>IF(C371="استحداث بند جديد", "", IF(D371&lt;&gt;"", IFERROR(INDEX('بنود العقد'!E$3:E$388,D371), 0), ""))</f>
        <v>60</v>
      </c>
      <c r="H371" s="7">
        <v>-3932.71</v>
      </c>
      <c r="I371" s="8">
        <v>0</v>
      </c>
      <c r="J371" s="10">
        <f t="shared" si="3"/>
        <v>-235962.6</v>
      </c>
      <c r="K371" s="76" t="str">
        <f>IF(C371="استحداث بند جديد", "", IF(D371&lt;&gt;"", IFERROR(INDEX('بنود العقد'!C$3:C$388,D371), ""), ""))</f>
        <v>معماري</v>
      </c>
      <c r="L371" s="76" t="str">
        <f>IF(C371="استحداث بند جديد", IF(K371&lt;&gt;"","CMH_01-"&amp;IFERROR(VLOOKUP(K371,مراجع!$A$3:$B$14,2,FALSE),"?")&amp;"-NEW-"&amp;TEXT(A371,"000"),""), IF(D371&lt;&gt;"", IFERROR(INDEX('بنود العقد'!I$3:I$388,D371), ""), ""))</f>
        <v>CMH_01-A-100</v>
      </c>
      <c r="M371" s="19"/>
    </row>
    <row r="372" spans="1:13" s="76" customFormat="1" ht="28.2" customHeight="1">
      <c r="A372" s="12">
        <v>370</v>
      </c>
      <c r="B372" s="6">
        <v>5</v>
      </c>
      <c r="C372" s="6" t="s">
        <v>175</v>
      </c>
      <c r="D372" s="6">
        <v>101</v>
      </c>
      <c r="E372" s="22" t="str">
        <f>IF(C372="استحداث بند جديد", "", IF(D372&lt;&gt;"", IFERROR(INDEX('بنود العقد'!B$3:B$388,D372), "⚠"), ""))</f>
        <v>توريد وتركيب وزرة من الرخام  رمادي فاتح تندر غراي بسماكة 20مم 100*1000 مم والسعر يشمل التثبيت  بالغراء والشطف وكل ما يلزم لانهاء العمل حسب الاصول الفنية وتعليمات المهندس المشرف.</v>
      </c>
      <c r="F372" s="23" t="str">
        <f>IF(C372="استحداث بند جديد", "", IF(D372&lt;&gt;"", IFERROR(INDEX('بنود العقد'!D$3:D$388,D372), ""), ""))</f>
        <v>م.ط</v>
      </c>
      <c r="G372" s="24">
        <f>IF(C372="استحداث بند جديد", "", IF(D372&lt;&gt;"", IFERROR(INDEX('بنود العقد'!E$3:E$388,D372), 0), ""))</f>
        <v>90</v>
      </c>
      <c r="H372" s="7">
        <v>37.369999999999997</v>
      </c>
      <c r="I372" s="8">
        <v>0</v>
      </c>
      <c r="J372" s="10">
        <f t="shared" si="3"/>
        <v>3363.2999999999997</v>
      </c>
      <c r="K372" s="76" t="str">
        <f>IF(C372="استحداث بند جديد", "", IF(D372&lt;&gt;"", IFERROR(INDEX('بنود العقد'!C$3:C$388,D372), ""), ""))</f>
        <v>معماري</v>
      </c>
      <c r="L372" s="76" t="str">
        <f>IF(C372="استحداث بند جديد", IF(K372&lt;&gt;"","CMH_01-"&amp;IFERROR(VLOOKUP(K372,مراجع!$A$3:$B$14,2,FALSE),"?")&amp;"-NEW-"&amp;TEXT(A372,"000"),""), IF(D372&lt;&gt;"", IFERROR(INDEX('بنود العقد'!I$3:I$388,D372), ""), ""))</f>
        <v>CMH_01-A-101</v>
      </c>
      <c r="M372" s="19"/>
    </row>
    <row r="373" spans="1:13" s="76" customFormat="1" ht="28.2" customHeight="1">
      <c r="A373" s="12">
        <v>371</v>
      </c>
      <c r="B373" s="6">
        <v>5</v>
      </c>
      <c r="C373" s="6" t="s">
        <v>250</v>
      </c>
      <c r="D373" s="6">
        <v>102</v>
      </c>
      <c r="E373" s="22" t="str">
        <f>IF(C373="استحداث بند جديد", "", IF(D373&lt;&gt;"", IFERROR(INDEX('بنود العقد'!B$3:B$388,D373), "⚠"), ""))</f>
        <v>معالجة وتنظيف و الصقل والجلاء  لبلاط  الموزايك للأرضيات والدرج ومحمل على البند الوزر  والبند يشمل معالجة اللحامات والسقاية وملو الفواصل بمادة مقاومة للرطوبة والبكتيريا  طبقا للمخططات والمواصفات الفنية وبحسب توجيهات واعتماد المهندس المشرف. الأرضيات الموزايكو في سلالم الخدمة وبسطات الدرج.</v>
      </c>
      <c r="F373" s="23" t="str">
        <f>IF(C373="استحداث بند جديد", "", IF(D373&lt;&gt;"", IFERROR(INDEX('بنود العقد'!D$3:D$388,D373), ""), ""))</f>
        <v>م²</v>
      </c>
      <c r="G373" s="24">
        <f>IF(C373="استحداث بند جديد", "", IF(D373&lt;&gt;"", IFERROR(INDEX('بنود العقد'!E$3:E$388,D373), 0), ""))</f>
        <v>90</v>
      </c>
      <c r="H373" s="7">
        <v>-414.72</v>
      </c>
      <c r="I373" s="8">
        <v>0</v>
      </c>
      <c r="J373" s="10">
        <f t="shared" si="3"/>
        <v>-37324.800000000003</v>
      </c>
      <c r="K373" s="76" t="str">
        <f>IF(C373="استحداث بند جديد", "", IF(D373&lt;&gt;"", IFERROR(INDEX('بنود العقد'!C$3:C$388,D373), ""), ""))</f>
        <v>معماري</v>
      </c>
      <c r="L373" s="76" t="str">
        <f>IF(C373="استحداث بند جديد", IF(K373&lt;&gt;"","CMH_01-"&amp;IFERROR(VLOOKUP(K373,مراجع!$A$3:$B$14,2,FALSE),"?")&amp;"-NEW-"&amp;TEXT(A373,"000"),""), IF(D373&lt;&gt;"", IFERROR(INDEX('بنود العقد'!I$3:I$388,D373), ""), ""))</f>
        <v>CMH_01-A-102</v>
      </c>
      <c r="M373" s="19"/>
    </row>
    <row r="374" spans="1:13" s="76" customFormat="1" ht="28.2" customHeight="1">
      <c r="A374" s="12">
        <v>372</v>
      </c>
      <c r="B374" s="6">
        <v>5</v>
      </c>
      <c r="C374" s="6" t="s">
        <v>250</v>
      </c>
      <c r="D374" s="6">
        <v>103</v>
      </c>
      <c r="E374" s="22" t="str">
        <f>IF(C374="استحداث بند جديد", "", IF(D374&lt;&gt;"", IFERROR(INDEX('بنود العقد'!B$3:B$388,D374), "⚠"), ""))</f>
        <v>معالجة وتنظيف و الصقل والجلاء  لبلاط  الموزايك للأرضيات والدرج ومحمل على البند الوزر  والبند يشمل معالجة اللحامات والسقاية وملو الفواصل بمادة مقاومة للرطوبة والبكتيريا  طبقا للمخططات والمواصفات الفنية وبحسب توجيهات واعتماد المهندس المشرف. موزايكو الدرج )قائمة والسعر يشمل النائمة والحبسة</v>
      </c>
      <c r="F374" s="23" t="str">
        <f>IF(C374="استحداث بند جديد", "", IF(D374&lt;&gt;"", IFERROR(INDEX('بنود العقد'!D$3:D$388,D374), ""), ""))</f>
        <v>م.ط</v>
      </c>
      <c r="G374" s="24">
        <f>IF(C374="استحداث بند جديد", "", IF(D374&lt;&gt;"", IFERROR(INDEX('بنود العقد'!E$3:E$388,D374), 0), ""))</f>
        <v>90</v>
      </c>
      <c r="H374" s="7">
        <v>-1568</v>
      </c>
      <c r="I374" s="8">
        <v>0</v>
      </c>
      <c r="J374" s="10">
        <f t="shared" si="3"/>
        <v>-141120</v>
      </c>
      <c r="K374" s="76" t="str">
        <f>IF(C374="استحداث بند جديد", "", IF(D374&lt;&gt;"", IFERROR(INDEX('بنود العقد'!C$3:C$388,D374), ""), ""))</f>
        <v>معماري</v>
      </c>
      <c r="L374" s="76" t="str">
        <f>IF(C374="استحداث بند جديد", IF(K374&lt;&gt;"","CMH_01-"&amp;IFERROR(VLOOKUP(K374,مراجع!$A$3:$B$14,2,FALSE),"?")&amp;"-NEW-"&amp;TEXT(A374,"000"),""), IF(D374&lt;&gt;"", IFERROR(INDEX('بنود العقد'!I$3:I$388,D374), ""), ""))</f>
        <v>CMH_01-A-103</v>
      </c>
      <c r="M374" s="19"/>
    </row>
    <row r="375" spans="1:13" s="76" customFormat="1" ht="28.2" customHeight="1">
      <c r="A375" s="12">
        <v>373</v>
      </c>
      <c r="B375" s="6">
        <v>5</v>
      </c>
      <c r="C375" s="6" t="s">
        <v>250</v>
      </c>
      <c r="D375" s="6">
        <v>104</v>
      </c>
      <c r="E375" s="22" t="str">
        <f>IF(C375="استحداث بند جديد", "", IF(D375&lt;&gt;"", IFERROR(INDEX('بنود العقد'!B$3:B$388,D375), "⚠"), ""))</f>
        <v>Ref drawing: 07-MRA-DD-(as per floor number)-AR-300 مقاس 500×500 مم  لون رمادي لمنطقة المرور CT-01بلاط - سجاد</v>
      </c>
      <c r="F375" s="23" t="str">
        <f>IF(C375="استحداث بند جديد", "", IF(D375&lt;&gt;"", IFERROR(INDEX('بنود العقد'!D$3:D$388,D375), ""), ""))</f>
        <v>م²</v>
      </c>
      <c r="G375" s="24">
        <f>IF(C375="استحداث بند جديد", "", IF(D375&lt;&gt;"", IFERROR(INDEX('بنود العقد'!E$3:E$388,D375), 0), ""))</f>
        <v>156</v>
      </c>
      <c r="H375" s="7">
        <v>-148.13</v>
      </c>
      <c r="I375" s="8">
        <v>0</v>
      </c>
      <c r="J375" s="10">
        <f t="shared" si="3"/>
        <v>-23108.28</v>
      </c>
      <c r="K375" s="76" t="str">
        <f>IF(C375="استحداث بند جديد", "", IF(D375&lt;&gt;"", IFERROR(INDEX('بنود العقد'!C$3:C$388,D375), ""), ""))</f>
        <v>معماري</v>
      </c>
      <c r="L375" s="76" t="str">
        <f>IF(C375="استحداث بند جديد", IF(K375&lt;&gt;"","CMH_01-"&amp;IFERROR(VLOOKUP(K375,مراجع!$A$3:$B$14,2,FALSE),"?")&amp;"-NEW-"&amp;TEXT(A375,"000"),""), IF(D375&lt;&gt;"", IFERROR(INDEX('بنود العقد'!I$3:I$388,D375), ""), ""))</f>
        <v>CMH_01-A-104</v>
      </c>
      <c r="M375" s="19"/>
    </row>
    <row r="376" spans="1:13" s="76" customFormat="1" ht="28.2" customHeight="1">
      <c r="A376" s="12">
        <v>374</v>
      </c>
      <c r="B376" s="6">
        <v>5</v>
      </c>
      <c r="C376" s="6" t="s">
        <v>250</v>
      </c>
      <c r="D376" s="6">
        <v>105</v>
      </c>
      <c r="E376" s="22" t="str">
        <f>IF(C376="استحداث بند جديد", "", IF(D376&lt;&gt;"", IFERROR(INDEX('بنود العقد'!B$3:B$388,D376), "⚠"), ""))</f>
        <v>بلاط - سجاد 02-CT مقاس 500× 500 مم لون أزرق فاتح لمحطة العمل وغرفة الاجتماعات</v>
      </c>
      <c r="F376" s="23" t="str">
        <f>IF(C376="استحداث بند جديد", "", IF(D376&lt;&gt;"", IFERROR(INDEX('بنود العقد'!D$3:D$388,D376), ""), ""))</f>
        <v>م²</v>
      </c>
      <c r="G376" s="24">
        <f>IF(C376="استحداث بند جديد", "", IF(D376&lt;&gt;"", IFERROR(INDEX('بنود العقد'!E$3:E$388,D376), 0), ""))</f>
        <v>156</v>
      </c>
      <c r="H376" s="7">
        <v>-54.62</v>
      </c>
      <c r="I376" s="8">
        <v>0</v>
      </c>
      <c r="J376" s="10">
        <f t="shared" si="3"/>
        <v>-8520.7199999999993</v>
      </c>
      <c r="K376" s="76" t="str">
        <f>IF(C376="استحداث بند جديد", "", IF(D376&lt;&gt;"", IFERROR(INDEX('بنود العقد'!C$3:C$388,D376), ""), ""))</f>
        <v>معماري</v>
      </c>
      <c r="L376" s="76" t="str">
        <f>IF(C376="استحداث بند جديد", IF(K376&lt;&gt;"","CMH_01-"&amp;IFERROR(VLOOKUP(K376,مراجع!$A$3:$B$14,2,FALSE),"?")&amp;"-NEW-"&amp;TEXT(A376,"000"),""), IF(D376&lt;&gt;"", IFERROR(INDEX('بنود العقد'!I$3:I$388,D376), ""), ""))</f>
        <v>CMH_01-A-105</v>
      </c>
      <c r="M376" s="19"/>
    </row>
    <row r="377" spans="1:13" s="76" customFormat="1" ht="28.2" customHeight="1">
      <c r="A377" s="12">
        <v>375</v>
      </c>
      <c r="B377" s="6">
        <v>5</v>
      </c>
      <c r="C377" s="6" t="s">
        <v>250</v>
      </c>
      <c r="D377" s="6">
        <v>106</v>
      </c>
      <c r="E377" s="22" t="str">
        <f>IF(C377="استحداث بند جديد", "", IF(D377&lt;&gt;"", IFERROR(INDEX('بنود العقد'!B$3:B$388,D377), "⚠"), ""))</f>
        <v>Ref drawing: 07-MRA-DD-(as per floor number)-AR-300 مقاس 500×500 مم لون بيج لمكتب المدير CT-03بلاط - سجاد</v>
      </c>
      <c r="F377" s="23" t="str">
        <f>IF(C377="استحداث بند جديد", "", IF(D377&lt;&gt;"", IFERROR(INDEX('بنود العقد'!D$3:D$388,D377), ""), ""))</f>
        <v>م²</v>
      </c>
      <c r="G377" s="24">
        <f>IF(C377="استحداث بند جديد", "", IF(D377&lt;&gt;"", IFERROR(INDEX('بنود العقد'!E$3:E$388,D377), 0), ""))</f>
        <v>156</v>
      </c>
      <c r="H377" s="7">
        <v>-537.69000000000005</v>
      </c>
      <c r="I377" s="8">
        <v>0</v>
      </c>
      <c r="J377" s="10">
        <f t="shared" si="3"/>
        <v>-83879.640000000014</v>
      </c>
      <c r="K377" s="76" t="str">
        <f>IF(C377="استحداث بند جديد", "", IF(D377&lt;&gt;"", IFERROR(INDEX('بنود العقد'!C$3:C$388,D377), ""), ""))</f>
        <v>معماري</v>
      </c>
      <c r="L377" s="76" t="str">
        <f>IF(C377="استحداث بند جديد", IF(K377&lt;&gt;"","CMH_01-"&amp;IFERROR(VLOOKUP(K377,مراجع!$A$3:$B$14,2,FALSE),"?")&amp;"-NEW-"&amp;TEXT(A377,"000"),""), IF(D377&lt;&gt;"", IFERROR(INDEX('بنود العقد'!I$3:I$388,D377), ""), ""))</f>
        <v>CMH_01-A-106</v>
      </c>
      <c r="M377" s="19"/>
    </row>
    <row r="378" spans="1:13" s="76" customFormat="1" ht="28.2" customHeight="1">
      <c r="A378" s="12">
        <v>376</v>
      </c>
      <c r="B378" s="6">
        <v>5</v>
      </c>
      <c r="C378" s="6" t="s">
        <v>175</v>
      </c>
      <c r="D378" s="6">
        <v>107</v>
      </c>
      <c r="E378" s="22" t="str">
        <f>IF(C378="استحداث بند جديد", "", IF(D378&lt;&gt;"", IFERROR(INDEX('بنود العقد'!B$3:B$388,D378), "⚠"), ""))</f>
        <v>Ref drawing: 07-MRA-DD-(as per floor number)-AR-300 مقاس 500×500 مم لمنطقة الاستقبال الرئيسية CT-04بلاط - سجاد</v>
      </c>
      <c r="F378" s="23" t="str">
        <f>IF(C378="استحداث بند جديد", "", IF(D378&lt;&gt;"", IFERROR(INDEX('بنود العقد'!D$3:D$388,D378), ""), ""))</f>
        <v>م²</v>
      </c>
      <c r="G378" s="24">
        <f>IF(C378="استحداث بند جديد", "", IF(D378&lt;&gt;"", IFERROR(INDEX('بنود العقد'!E$3:E$388,D378), 0), ""))</f>
        <v>15.6</v>
      </c>
      <c r="H378" s="7">
        <v>392.03</v>
      </c>
      <c r="I378" s="8">
        <v>0</v>
      </c>
      <c r="J378" s="10">
        <f t="shared" si="3"/>
        <v>6115.6679999999997</v>
      </c>
      <c r="K378" s="76" t="str">
        <f>IF(C378="استحداث بند جديد", "", IF(D378&lt;&gt;"", IFERROR(INDEX('بنود العقد'!C$3:C$388,D378), ""), ""))</f>
        <v>معماري</v>
      </c>
      <c r="L378" s="76" t="str">
        <f>IF(C378="استحداث بند جديد", IF(K378&lt;&gt;"","CMH_01-"&amp;IFERROR(VLOOKUP(K378,مراجع!$A$3:$B$14,2,FALSE),"?")&amp;"-NEW-"&amp;TEXT(A378,"000"),""), IF(D378&lt;&gt;"", IFERROR(INDEX('بنود العقد'!I$3:I$388,D378), ""), ""))</f>
        <v>CMH_01-A-107</v>
      </c>
      <c r="M378" s="19"/>
    </row>
    <row r="379" spans="1:13" s="76" customFormat="1" ht="28.2" customHeight="1">
      <c r="A379" s="12">
        <v>377</v>
      </c>
      <c r="B379" s="6">
        <v>5</v>
      </c>
      <c r="C379" s="6" t="s">
        <v>250</v>
      </c>
      <c r="D379" s="6">
        <v>109</v>
      </c>
      <c r="E379" s="22" t="str">
        <f>IF(C379="استحداث بند جديد", "", IF(D379&lt;&gt;"", IFERROR(INDEX('بنود العقد'!B$3:B$388,D379), "⚠"), ""))</f>
        <v>Ref drawing: 07-MRA-DD-(as per floor number)-AR-300 مقاس 500×500 مم لمركز الأعمال CT-06بلاط - سجاد</v>
      </c>
      <c r="F379" s="23" t="str">
        <f>IF(C379="استحداث بند جديد", "", IF(D379&lt;&gt;"", IFERROR(INDEX('بنود العقد'!D$3:D$388,D379), ""), ""))</f>
        <v>م²</v>
      </c>
      <c r="G379" s="24">
        <f>IF(C379="استحداث بند جديد", "", IF(D379&lt;&gt;"", IFERROR(INDEX('بنود العقد'!E$3:E$388,D379), 0), ""))</f>
        <v>156</v>
      </c>
      <c r="H379" s="7">
        <v>-104.58</v>
      </c>
      <c r="I379" s="8">
        <v>0</v>
      </c>
      <c r="J379" s="10">
        <f t="shared" si="3"/>
        <v>-16314.48</v>
      </c>
      <c r="K379" s="76" t="str">
        <f>IF(C379="استحداث بند جديد", "", IF(D379&lt;&gt;"", IFERROR(INDEX('بنود العقد'!C$3:C$388,D379), ""), ""))</f>
        <v>معماري</v>
      </c>
      <c r="L379" s="76" t="str">
        <f>IF(C379="استحداث بند جديد", IF(K379&lt;&gt;"","CMH_01-"&amp;IFERROR(VLOOKUP(K379,مراجع!$A$3:$B$14,2,FALSE),"?")&amp;"-NEW-"&amp;TEXT(A379,"000"),""), IF(D379&lt;&gt;"", IFERROR(INDEX('بنود العقد'!I$3:I$388,D379), ""), ""))</f>
        <v>CMH_01-A-109</v>
      </c>
      <c r="M379" s="19"/>
    </row>
    <row r="380" spans="1:13" s="76" customFormat="1" ht="28.2" customHeight="1">
      <c r="A380" s="12">
        <v>378</v>
      </c>
      <c r="B380" s="6">
        <v>5</v>
      </c>
      <c r="C380" s="6" t="s">
        <v>175</v>
      </c>
      <c r="D380" s="6">
        <v>110</v>
      </c>
      <c r="E380" s="22" t="str">
        <f>IF(C380="استحداث بند جديد", "", IF(D380&lt;&gt;"", IFERROR(INDEX('بنود العقد'!B$3:B$388,D380), "⚠"), ""))</f>
        <v>بلاط - سجاد 01-CR مقاس 500×500 مم لمكتب الرئيس ونائب الرئيس والصالة والسكرتارية وغرفة الاجتماعات الكبيرة.</v>
      </c>
      <c r="F380" s="23" t="str">
        <f>IF(C380="استحداث بند جديد", "", IF(D380&lt;&gt;"", IFERROR(INDEX('بنود العقد'!D$3:D$388,D380), ""), ""))</f>
        <v>م²</v>
      </c>
      <c r="G380" s="24">
        <f>IF(C380="استحداث بند جديد", "", IF(D380&lt;&gt;"", IFERROR(INDEX('بنود العقد'!E$3:E$388,D380), 0), ""))</f>
        <v>156</v>
      </c>
      <c r="H380" s="7">
        <v>138.47</v>
      </c>
      <c r="I380" s="8">
        <v>0</v>
      </c>
      <c r="J380" s="10">
        <f t="shared" si="3"/>
        <v>21601.32</v>
      </c>
      <c r="K380" s="76" t="str">
        <f>IF(C380="استحداث بند جديد", "", IF(D380&lt;&gt;"", IFERROR(INDEX('بنود العقد'!C$3:C$388,D380), ""), ""))</f>
        <v>معماري</v>
      </c>
      <c r="L380" s="76" t="str">
        <f>IF(C380="استحداث بند جديد", IF(K380&lt;&gt;"","CMH_01-"&amp;IFERROR(VLOOKUP(K380,مراجع!$A$3:$B$14,2,FALSE),"?")&amp;"-NEW-"&amp;TEXT(A380,"000"),""), IF(D380&lt;&gt;"", IFERROR(INDEX('بنود العقد'!I$3:I$388,D380), ""), ""))</f>
        <v>CMH_01-A-110</v>
      </c>
      <c r="M380" s="19"/>
    </row>
    <row r="381" spans="1:13" s="76" customFormat="1" ht="28.2" customHeight="1">
      <c r="A381" s="12">
        <v>379</v>
      </c>
      <c r="B381" s="6">
        <v>5</v>
      </c>
      <c r="C381" s="6" t="s">
        <v>175</v>
      </c>
      <c r="D381" s="6">
        <v>111</v>
      </c>
      <c r="E381" s="22" t="str">
        <f>IF(C381="استحداث بند جديد", "", IF(D381&lt;&gt;"", IFERROR(INDEX('بنود العقد'!B$3:B$388,D381), "⚠"), ""))</f>
        <v>بلاط - سجاد 02-CR مقاس 500×500 مم لمكتب الرئيس ونائب الرئيس على شكل مثلثات لون بيج، رمادي فاتح ورمادي غامق.</v>
      </c>
      <c r="F381" s="23" t="str">
        <f>IF(C381="استحداث بند جديد", "", IF(D381&lt;&gt;"", IFERROR(INDEX('بنود العقد'!D$3:D$388,D381), ""), ""))</f>
        <v>م²</v>
      </c>
      <c r="G381" s="24">
        <f>IF(C381="استحداث بند جديد", "", IF(D381&lt;&gt;"", IFERROR(INDEX('بنود العقد'!E$3:E$388,D381), 0), ""))</f>
        <v>156</v>
      </c>
      <c r="H381" s="7">
        <v>0.95</v>
      </c>
      <c r="I381" s="8">
        <v>0</v>
      </c>
      <c r="J381" s="10">
        <f t="shared" si="3"/>
        <v>148.19999999999999</v>
      </c>
      <c r="K381" s="76" t="str">
        <f>IF(C381="استحداث بند جديد", "", IF(D381&lt;&gt;"", IFERROR(INDEX('بنود العقد'!C$3:C$388,D381), ""), ""))</f>
        <v>معماري</v>
      </c>
      <c r="L381" s="76" t="str">
        <f>IF(C381="استحداث بند جديد", IF(K381&lt;&gt;"","CMH_01-"&amp;IFERROR(VLOOKUP(K381,مراجع!$A$3:$B$14,2,FALSE),"?")&amp;"-NEW-"&amp;TEXT(A381,"000"),""), IF(D381&lt;&gt;"", IFERROR(INDEX('بنود العقد'!I$3:I$388,D381), ""), ""))</f>
        <v>CMH_01-A-111</v>
      </c>
      <c r="M381" s="19"/>
    </row>
    <row r="382" spans="1:13" s="76" customFormat="1" ht="28.2" customHeight="1">
      <c r="A382" s="12">
        <v>380</v>
      </c>
      <c r="B382" s="6">
        <v>5</v>
      </c>
      <c r="C382" s="6" t="s">
        <v>250</v>
      </c>
      <c r="D382" s="6">
        <v>112</v>
      </c>
      <c r="E382" s="22" t="str">
        <f>IF(C382="استحداث بند جديد", "", IF(D382&lt;&gt;"", IFERROR(INDEX('بنود العقد'!B$3:B$388,D382), "⚠"), ""))</f>
        <v>300-Ref drawing: 07-MRA-DD-(as per floor number)-ARبلاط - سجاد 03-CR مقاس 500×500 مم للمدير العام ومنطقة السكرتارية</v>
      </c>
      <c r="F382" s="23" t="str">
        <f>IF(C382="استحداث بند جديد", "", IF(D382&lt;&gt;"", IFERROR(INDEX('بنود العقد'!D$3:D$388,D382), ""), ""))</f>
        <v>م²</v>
      </c>
      <c r="G382" s="24">
        <f>IF(C382="استحداث بند جديد", "", IF(D382&lt;&gt;"", IFERROR(INDEX('بنود العقد'!E$3:E$388,D382), 0), ""))</f>
        <v>156</v>
      </c>
      <c r="H382" s="7">
        <v>-200.29</v>
      </c>
      <c r="I382" s="8">
        <v>0</v>
      </c>
      <c r="J382" s="10">
        <f t="shared" si="3"/>
        <v>-31245.239999999998</v>
      </c>
      <c r="K382" s="76" t="str">
        <f>IF(C382="استحداث بند جديد", "", IF(D382&lt;&gt;"", IFERROR(INDEX('بنود العقد'!C$3:C$388,D382), ""), ""))</f>
        <v>معماري</v>
      </c>
      <c r="L382" s="76" t="str">
        <f>IF(C382="استحداث بند جديد", IF(K382&lt;&gt;"","CMH_01-"&amp;IFERROR(VLOOKUP(K382,مراجع!$A$3:$B$14,2,FALSE),"?")&amp;"-NEW-"&amp;TEXT(A382,"000"),""), IF(D382&lt;&gt;"", IFERROR(INDEX('بنود العقد'!I$3:I$388,D382), ""), ""))</f>
        <v>CMH_01-A-112</v>
      </c>
      <c r="M382" s="19"/>
    </row>
    <row r="383" spans="1:13" s="76" customFormat="1" ht="28.2" customHeight="1">
      <c r="A383" s="12">
        <v>381</v>
      </c>
      <c r="B383" s="6">
        <v>5</v>
      </c>
      <c r="C383" s="6" t="s">
        <v>250</v>
      </c>
      <c r="D383" s="6">
        <v>113</v>
      </c>
      <c r="E383" s="22" t="str">
        <f>IF(C383="استحداث بند جديد", "", IF(D383&lt;&gt;"", IFERROR(INDEX('بنود العقد'!B$3:B$388,D383), "⚠"), ""))</f>
        <v>Ref drawing: 07-MRA-DD-(as per floor number)-AR-300 لمنطقة الصلاة CR-04 رولات السجاد</v>
      </c>
      <c r="F383" s="23" t="str">
        <f>IF(C383="استحداث بند جديد", "", IF(D383&lt;&gt;"", IFERROR(INDEX('بنود العقد'!D$3:D$388,D383), ""), ""))</f>
        <v>م²</v>
      </c>
      <c r="G383" s="24">
        <f>IF(C383="استحداث بند جديد", "", IF(D383&lt;&gt;"", IFERROR(INDEX('بنود العقد'!E$3:E$388,D383), 0), ""))</f>
        <v>156</v>
      </c>
      <c r="H383" s="7">
        <v>-125.43</v>
      </c>
      <c r="I383" s="8">
        <v>0</v>
      </c>
      <c r="J383" s="10">
        <f t="shared" si="3"/>
        <v>-19567.080000000002</v>
      </c>
      <c r="K383" s="76" t="str">
        <f>IF(C383="استحداث بند جديد", "", IF(D383&lt;&gt;"", IFERROR(INDEX('بنود العقد'!C$3:C$388,D383), ""), ""))</f>
        <v>معماري</v>
      </c>
      <c r="L383" s="76" t="str">
        <f>IF(C383="استحداث بند جديد", IF(K383&lt;&gt;"","CMH_01-"&amp;IFERROR(VLOOKUP(K383,مراجع!$A$3:$B$14,2,FALSE),"?")&amp;"-NEW-"&amp;TEXT(A383,"000"),""), IF(D383&lt;&gt;"", IFERROR(INDEX('بنود العقد'!I$3:I$388,D383), ""), ""))</f>
        <v>CMH_01-A-113</v>
      </c>
      <c r="M383" s="19"/>
    </row>
    <row r="384" spans="1:13" s="76" customFormat="1" ht="28.2" customHeight="1">
      <c r="A384" s="12">
        <v>382</v>
      </c>
      <c r="B384" s="6">
        <v>5</v>
      </c>
      <c r="C384" s="6" t="s">
        <v>250</v>
      </c>
      <c r="D384" s="6">
        <v>114</v>
      </c>
      <c r="E384" s="22" t="str">
        <f>IF(C384="استحداث بند جديد", "", IF(D384&lt;&gt;"", IFERROR(INDEX('بنود العقد'!B$3:B$388,D384), "⚠"), ""))</f>
        <v>رولات السجاد 05-CR لمدخل معالي الوزير في الدور الارضي، سجادة المراسم الملكية لون بنفسجي مع إضافة إطار بنقشة مزخرفة حسب المناظير الداخلية.</v>
      </c>
      <c r="F384" s="23" t="str">
        <f>IF(C384="استحداث بند جديد", "", IF(D384&lt;&gt;"", IFERROR(INDEX('بنود العقد'!D$3:D$388,D384), ""), ""))</f>
        <v>م²</v>
      </c>
      <c r="G384" s="24">
        <f>IF(C384="استحداث بند جديد", "", IF(D384&lt;&gt;"", IFERROR(INDEX('بنود العقد'!E$3:E$388,D384), 0), ""))</f>
        <v>228</v>
      </c>
      <c r="H384" s="7">
        <v>-74.459999999999994</v>
      </c>
      <c r="I384" s="8">
        <v>0</v>
      </c>
      <c r="J384" s="10">
        <f t="shared" si="3"/>
        <v>-16976.879999999997</v>
      </c>
      <c r="K384" s="76" t="str">
        <f>IF(C384="استحداث بند جديد", "", IF(D384&lt;&gt;"", IFERROR(INDEX('بنود العقد'!C$3:C$388,D384), ""), ""))</f>
        <v>معماري</v>
      </c>
      <c r="L384" s="76" t="str">
        <f>IF(C384="استحداث بند جديد", IF(K384&lt;&gt;"","CMH_01-"&amp;IFERROR(VLOOKUP(K384,مراجع!$A$3:$B$14,2,FALSE),"?")&amp;"-NEW-"&amp;TEXT(A384,"000"),""), IF(D384&lt;&gt;"", IFERROR(INDEX('بنود العقد'!I$3:I$388,D384), ""), ""))</f>
        <v>CMH_01-A-114</v>
      </c>
      <c r="M384" s="19"/>
    </row>
    <row r="385" spans="1:13" s="76" customFormat="1" ht="28.2" customHeight="1">
      <c r="A385" s="12">
        <v>383</v>
      </c>
      <c r="B385" s="6">
        <v>5</v>
      </c>
      <c r="C385" s="6" t="s">
        <v>250</v>
      </c>
      <c r="D385" s="6">
        <v>115</v>
      </c>
      <c r="E385" s="22" t="str">
        <f>IF(C385="استحداث بند جديد", "", IF(D385&lt;&gt;"", IFERROR(INDEX('بنود العقد'!B$3:B$388,D385), "⚠"), ""))</f>
        <v>رولات السجاد 06-CR للمدخل الرئيسي والثانوي في الدور الأرضي بلون بيج مع تصميم على شكل مثلثات حسب المناظير الداخلية.</v>
      </c>
      <c r="F385" s="23" t="str">
        <f>IF(C385="استحداث بند جديد", "", IF(D385&lt;&gt;"", IFERROR(INDEX('بنود العقد'!D$3:D$388,D385), ""), ""))</f>
        <v>م²</v>
      </c>
      <c r="G385" s="24">
        <f>IF(C385="استحداث بند جديد", "", IF(D385&lt;&gt;"", IFERROR(INDEX('بنود العقد'!E$3:E$388,D385), 0), ""))</f>
        <v>216</v>
      </c>
      <c r="H385" s="7">
        <v>-142.32</v>
      </c>
      <c r="I385" s="8">
        <v>0</v>
      </c>
      <c r="J385" s="10">
        <f t="shared" si="3"/>
        <v>-30741.119999999999</v>
      </c>
      <c r="K385" s="76" t="str">
        <f>IF(C385="استحداث بند جديد", "", IF(D385&lt;&gt;"", IFERROR(INDEX('بنود العقد'!C$3:C$388,D385), ""), ""))</f>
        <v>معماري</v>
      </c>
      <c r="L385" s="76" t="str">
        <f>IF(C385="استحداث بند جديد", IF(K385&lt;&gt;"","CMH_01-"&amp;IFERROR(VLOOKUP(K385,مراجع!$A$3:$B$14,2,FALSE),"?")&amp;"-NEW-"&amp;TEXT(A385,"000"),""), IF(D385&lt;&gt;"", IFERROR(INDEX('بنود العقد'!I$3:I$388,D385), ""), ""))</f>
        <v>CMH_01-A-115</v>
      </c>
      <c r="M385" s="19"/>
    </row>
    <row r="386" spans="1:13" s="76" customFormat="1" ht="28.2" customHeight="1">
      <c r="A386" s="12">
        <v>384</v>
      </c>
      <c r="B386" s="6">
        <v>5</v>
      </c>
      <c r="C386" s="6" t="s">
        <v>250</v>
      </c>
      <c r="D386" s="6">
        <v>116</v>
      </c>
      <c r="E386" s="22" t="str">
        <f>IF(C386="استحداث بند جديد", "", IF(D386&lt;&gt;"", IFERROR(INDEX('بنود العقد'!B$3:B$388,D386), "⚠"), ""))</f>
        <v>رولات السجاد 07-CR لمختصر معالي الوزير، غرفة الاجتماعات الخاصة بمعالي الوزير، غرفة الاجتماعات الرئيسية ومدير مكتب معالي الوزير.</v>
      </c>
      <c r="F386" s="23" t="str">
        <f>IF(C386="استحداث بند جديد", "", IF(D386&lt;&gt;"", IFERROR(INDEX('بنود العقد'!D$3:D$388,D386), ""), ""))</f>
        <v>م²</v>
      </c>
      <c r="G386" s="24">
        <f>IF(C386="استحداث بند جديد", "", IF(D386&lt;&gt;"", IFERROR(INDEX('بنود العقد'!E$3:E$388,D386), 0), ""))</f>
        <v>228</v>
      </c>
      <c r="H386" s="7">
        <v>-238.38</v>
      </c>
      <c r="I386" s="8">
        <v>0</v>
      </c>
      <c r="J386" s="10">
        <f t="shared" si="3"/>
        <v>-54350.64</v>
      </c>
      <c r="K386" s="76" t="str">
        <f>IF(C386="استحداث بند جديد", "", IF(D386&lt;&gt;"", IFERROR(INDEX('بنود العقد'!C$3:C$388,D386), ""), ""))</f>
        <v>معماري</v>
      </c>
      <c r="L386" s="76" t="str">
        <f>IF(C386="استحداث بند جديد", IF(K386&lt;&gt;"","CMH_01-"&amp;IFERROR(VLOOKUP(K386,مراجع!$A$3:$B$14,2,FALSE),"?")&amp;"-NEW-"&amp;TEXT(A386,"000"),""), IF(D386&lt;&gt;"", IFERROR(INDEX('بنود العقد'!I$3:I$388,D386), ""), ""))</f>
        <v>CMH_01-A-116</v>
      </c>
      <c r="M386" s="19"/>
    </row>
    <row r="387" spans="1:13" s="76" customFormat="1" ht="28.2" customHeight="1">
      <c r="A387" s="12">
        <v>385</v>
      </c>
      <c r="B387" s="6">
        <v>5</v>
      </c>
      <c r="C387" s="6" t="s">
        <v>250</v>
      </c>
      <c r="D387" s="6">
        <v>117</v>
      </c>
      <c r="E387" s="22" t="str">
        <f>IF(C387="استحداث بند جديد", "", IF(D387&lt;&gt;"", IFERROR(INDEX('بنود العقد'!B$3:B$388,D387), "⚠"), ""))</f>
        <v>300-Ref drawing: 07-MRA-DD-(as per floor number)-ARرولات السجاد 08-CR لمنطقة انتظار كبار الشخصيات في الدور السادس</v>
      </c>
      <c r="F387" s="23" t="str">
        <f>IF(C387="استحداث بند جديد", "", IF(D387&lt;&gt;"", IFERROR(INDEX('بنود العقد'!D$3:D$388,D387), ""), ""))</f>
        <v>م²</v>
      </c>
      <c r="G387" s="24">
        <f>IF(C387="استحداث بند جديد", "", IF(D387&lt;&gt;"", IFERROR(INDEX('بنود العقد'!E$3:E$388,D387), 0), ""))</f>
        <v>156</v>
      </c>
      <c r="H387" s="7">
        <v>-133.4</v>
      </c>
      <c r="I387" s="8">
        <v>0</v>
      </c>
      <c r="J387" s="10">
        <f t="shared" si="3"/>
        <v>-20810.400000000001</v>
      </c>
      <c r="K387" s="76" t="str">
        <f>IF(C387="استحداث بند جديد", "", IF(D387&lt;&gt;"", IFERROR(INDEX('بنود العقد'!C$3:C$388,D387), ""), ""))</f>
        <v>معماري</v>
      </c>
      <c r="L387" s="76" t="str">
        <f>IF(C387="استحداث بند جديد", IF(K387&lt;&gt;"","CMH_01-"&amp;IFERROR(VLOOKUP(K387,مراجع!$A$3:$B$14,2,FALSE),"?")&amp;"-NEW-"&amp;TEXT(A387,"000"),""), IF(D387&lt;&gt;"", IFERROR(INDEX('بنود العقد'!I$3:I$388,D387), ""), ""))</f>
        <v>CMH_01-A-117</v>
      </c>
      <c r="M387" s="19"/>
    </row>
    <row r="388" spans="1:13" s="76" customFormat="1" ht="28.2" customHeight="1">
      <c r="A388" s="12">
        <v>386</v>
      </c>
      <c r="B388" s="6">
        <v>5</v>
      </c>
      <c r="C388" s="6" t="s">
        <v>250</v>
      </c>
      <c r="D388" s="6">
        <v>118</v>
      </c>
      <c r="E388" s="22" t="str">
        <f>IF(C388="استحداث بند جديد", "", IF(D388&lt;&gt;"", IFERROR(INDEX('بنود العقد'!B$3:B$388,D388), "⚠"), ""))</f>
        <v>300-Ref drawing: 07-MRA-DD-(as per floor number)-ARرولات السجاد 09-CR  لمكتب معالي الوزير، السكرتاريا ومنطقة الانتظار</v>
      </c>
      <c r="F388" s="23" t="str">
        <f>IF(C388="استحداث بند جديد", "", IF(D388&lt;&gt;"", IFERROR(INDEX('بنود العقد'!D$3:D$388,D388), ""), ""))</f>
        <v>م²</v>
      </c>
      <c r="G388" s="24">
        <f>IF(C388="استحداث بند جديد", "", IF(D388&lt;&gt;"", IFERROR(INDEX('بنود العقد'!E$3:E$388,D388), 0), ""))</f>
        <v>228</v>
      </c>
      <c r="H388" s="7">
        <v>-119.1</v>
      </c>
      <c r="I388" s="8">
        <v>0</v>
      </c>
      <c r="J388" s="10">
        <f t="shared" si="3"/>
        <v>-27154.799999999999</v>
      </c>
      <c r="K388" s="76" t="str">
        <f>IF(C388="استحداث بند جديد", "", IF(D388&lt;&gt;"", IFERROR(INDEX('بنود العقد'!C$3:C$388,D388), ""), ""))</f>
        <v>معماري</v>
      </c>
      <c r="L388" s="76" t="str">
        <f>IF(C388="استحداث بند جديد", IF(K388&lt;&gt;"","CMH_01-"&amp;IFERROR(VLOOKUP(K388,مراجع!$A$3:$B$14,2,FALSE),"?")&amp;"-NEW-"&amp;TEXT(A388,"000"),""), IF(D388&lt;&gt;"", IFERROR(INDEX('بنود العقد'!I$3:I$388,D388), ""), ""))</f>
        <v>CMH_01-A-118</v>
      </c>
      <c r="M388" s="19"/>
    </row>
    <row r="389" spans="1:13" s="76" customFormat="1" ht="28.2" customHeight="1">
      <c r="A389" s="12">
        <v>387</v>
      </c>
      <c r="B389" s="6">
        <v>5</v>
      </c>
      <c r="C389" s="6" t="s">
        <v>250</v>
      </c>
      <c r="D389" s="6">
        <v>119</v>
      </c>
      <c r="E389" s="22" t="str">
        <f>IF(C389="استحداث بند جديد", "", IF(D389&lt;&gt;"", IFERROR(INDEX('بنود العقد'!B$3:B$388,D389), "⚠"), ""))</f>
        <v>300-Ref drawing: 07-MRA-DD-(as per floor number)-ARرولات السجاد 10-CR  لغرفة اللاونج في منطقة التنفيذين في الدور السادس</v>
      </c>
      <c r="F389" s="23" t="str">
        <f>IF(C389="استحداث بند جديد", "", IF(D389&lt;&gt;"", IFERROR(INDEX('بنود العقد'!D$3:D$388,D389), ""), ""))</f>
        <v>م²</v>
      </c>
      <c r="G389" s="24">
        <f>IF(C389="استحداث بند جديد", "", IF(D389&lt;&gt;"", IFERROR(INDEX('بنود العقد'!E$3:E$388,D389), 0), ""))</f>
        <v>156</v>
      </c>
      <c r="H389" s="7">
        <v>-68.89</v>
      </c>
      <c r="I389" s="8">
        <v>0</v>
      </c>
      <c r="J389" s="10">
        <f t="shared" si="3"/>
        <v>-10746.84</v>
      </c>
      <c r="K389" s="76" t="str">
        <f>IF(C389="استحداث بند جديد", "", IF(D389&lt;&gt;"", IFERROR(INDEX('بنود العقد'!C$3:C$388,D389), ""), ""))</f>
        <v>معماري</v>
      </c>
      <c r="L389" s="76" t="str">
        <f>IF(C389="استحداث بند جديد", IF(K389&lt;&gt;"","CMH_01-"&amp;IFERROR(VLOOKUP(K389,مراجع!$A$3:$B$14,2,FALSE),"?")&amp;"-NEW-"&amp;TEXT(A389,"000"),""), IF(D389&lt;&gt;"", IFERROR(INDEX('بنود العقد'!I$3:I$388,D389), ""), ""))</f>
        <v>CMH_01-A-119</v>
      </c>
      <c r="M389" s="19"/>
    </row>
    <row r="390" spans="1:13" s="76" customFormat="1" ht="28.2" customHeight="1">
      <c r="A390" s="12">
        <v>388</v>
      </c>
      <c r="B390" s="6">
        <v>5</v>
      </c>
      <c r="C390" s="6" t="s">
        <v>250</v>
      </c>
      <c r="D390" s="6">
        <v>120</v>
      </c>
      <c r="E390" s="22" t="str">
        <f>IF(C390="استحداث بند جديد", "", IF(D390&lt;&gt;"", IFERROR(INDEX('بنود العقد'!B$3:B$388,D390), "⚠"), ""))</f>
        <v>بلاط laminated HDF باركيه01-PQ  لمركز الأعمال والفناء الوسطي</v>
      </c>
      <c r="F390" s="23" t="str">
        <f>IF(C390="استحداث بند جديد", "", IF(D390&lt;&gt;"", IFERROR(INDEX('بنود العقد'!D$3:D$388,D390), ""), ""))</f>
        <v>م²</v>
      </c>
      <c r="G390" s="24">
        <f>IF(C390="استحداث بند جديد", "", IF(D390&lt;&gt;"", IFERROR(INDEX('بنود العقد'!E$3:E$388,D390), 0), ""))</f>
        <v>156</v>
      </c>
      <c r="H390" s="7">
        <v>-104.1</v>
      </c>
      <c r="I390" s="8">
        <v>0</v>
      </c>
      <c r="J390" s="10">
        <f t="shared" si="3"/>
        <v>-16239.599999999999</v>
      </c>
      <c r="K390" s="76" t="str">
        <f>IF(C390="استحداث بند جديد", "", IF(D390&lt;&gt;"", IFERROR(INDEX('بنود العقد'!C$3:C$388,D390), ""), ""))</f>
        <v>معماري</v>
      </c>
      <c r="L390" s="76" t="str">
        <f>IF(C390="استحداث بند جديد", IF(K390&lt;&gt;"","CMH_01-"&amp;IFERROR(VLOOKUP(K390,مراجع!$A$3:$B$14,2,FALSE),"?")&amp;"-NEW-"&amp;TEXT(A390,"000"),""), IF(D390&lt;&gt;"", IFERROR(INDEX('بنود العقد'!I$3:I$388,D390), ""), ""))</f>
        <v>CMH_01-A-120</v>
      </c>
      <c r="M390" s="19"/>
    </row>
    <row r="391" spans="1:13" s="76" customFormat="1" ht="28.2" customHeight="1">
      <c r="A391" s="12">
        <v>389</v>
      </c>
      <c r="B391" s="6">
        <v>5</v>
      </c>
      <c r="C391" s="6" t="s">
        <v>250</v>
      </c>
      <c r="D391" s="6">
        <v>121</v>
      </c>
      <c r="E391" s="22" t="str">
        <f>IF(C391="استحداث بند جديد", "", IF(D391&lt;&gt;"", IFERROR(INDEX('بنود العقد'!B$3:B$388,D391), "⚠"), ""))</f>
        <v xml:space="preserve">عمل صبة خرسانية من السرك سماكة 10 سم مع طبقة واحدة من شبك الحديد قطر 6مم. على أن تكون طبقة التشطيب النهائية بلون رمادي غامق على شكل الأسطح الاسمنتية  بحسب اللون والملمس المعتمد. </v>
      </c>
      <c r="F391" s="23" t="str">
        <f>IF(C391="استحداث بند جديد", "", IF(D391&lt;&gt;"", IFERROR(INDEX('بنود العقد'!D$3:D$388,D391), ""), ""))</f>
        <v>م²</v>
      </c>
      <c r="G391" s="24">
        <f>IF(C391="استحداث بند جديد", "", IF(D391&lt;&gt;"", IFERROR(INDEX('بنود العقد'!E$3:E$388,D391), 0), ""))</f>
        <v>72</v>
      </c>
      <c r="H391" s="7">
        <v>-139.61000000000001</v>
      </c>
      <c r="I391" s="8">
        <v>0</v>
      </c>
      <c r="J391" s="10">
        <f t="shared" si="3"/>
        <v>-10051.920000000002</v>
      </c>
      <c r="K391" s="76" t="str">
        <f>IF(C391="استحداث بند جديد", "", IF(D391&lt;&gt;"", IFERROR(INDEX('بنود العقد'!C$3:C$388,D391), ""), ""))</f>
        <v>معماري</v>
      </c>
      <c r="L391" s="76" t="str">
        <f>IF(C391="استحداث بند جديد", IF(K391&lt;&gt;"","CMH_01-"&amp;IFERROR(VLOOKUP(K391,مراجع!$A$3:$B$14,2,FALSE),"?")&amp;"-NEW-"&amp;TEXT(A391,"000"),""), IF(D391&lt;&gt;"", IFERROR(INDEX('بنود العقد'!I$3:I$388,D391), ""), ""))</f>
        <v>CMH_01-A-121</v>
      </c>
      <c r="M391" s="19"/>
    </row>
    <row r="392" spans="1:13" s="76" customFormat="1" ht="28.2" customHeight="1">
      <c r="A392" s="12">
        <v>390</v>
      </c>
      <c r="B392" s="6">
        <v>5</v>
      </c>
      <c r="C392" s="6" t="s">
        <v>250</v>
      </c>
      <c r="D392" s="6">
        <v>122</v>
      </c>
      <c r="E392" s="22" t="str">
        <f>IF(C392="استحداث بند جديد", "", IF(D392&lt;&gt;"", IFERROR(INDEX('بنود العقد'!B$3:B$388,D392), "⚠"), ""))</f>
        <v>عمل صبة خرسانية من السرك سماكة 10 سم مع طبقة واحدة من شبك الحديد قطر 6مم. على أن تكون طبقة التشطيب النهائية بلون رمادي فاتح على شكل الأسطح الاسمنتية  بحسب اللون والملمس المعتمد وبحسب تعليمات المهندس المشرف.</v>
      </c>
      <c r="F392" s="23" t="str">
        <f>IF(C392="استحداث بند جديد", "", IF(D392&lt;&gt;"", IFERROR(INDEX('بنود العقد'!D$3:D$388,D392), ""), ""))</f>
        <v>م²</v>
      </c>
      <c r="G392" s="24">
        <f>IF(C392="استحداث بند جديد", "", IF(D392&lt;&gt;"", IFERROR(INDEX('بنود العقد'!E$3:E$388,D392), 0), ""))</f>
        <v>72</v>
      </c>
      <c r="H392" s="7">
        <v>-152</v>
      </c>
      <c r="I392" s="8">
        <v>0</v>
      </c>
      <c r="J392" s="10">
        <f t="shared" si="3"/>
        <v>-10944</v>
      </c>
      <c r="K392" s="76" t="str">
        <f>IF(C392="استحداث بند جديد", "", IF(D392&lt;&gt;"", IFERROR(INDEX('بنود العقد'!C$3:C$388,D392), ""), ""))</f>
        <v>معماري</v>
      </c>
      <c r="L392" s="76" t="str">
        <f>IF(C392="استحداث بند جديد", IF(K392&lt;&gt;"","CMH_01-"&amp;IFERROR(VLOOKUP(K392,مراجع!$A$3:$B$14,2,FALSE),"?")&amp;"-NEW-"&amp;TEXT(A392,"000"),""), IF(D392&lt;&gt;"", IFERROR(INDEX('بنود العقد'!I$3:I$388,D392), ""), ""))</f>
        <v>CMH_01-A-122</v>
      </c>
      <c r="M392" s="19"/>
    </row>
    <row r="393" spans="1:13" s="76" customFormat="1" ht="28.2" customHeight="1">
      <c r="A393" s="12">
        <v>391</v>
      </c>
      <c r="B393" s="6">
        <v>5</v>
      </c>
      <c r="C393" s="6" t="s">
        <v>175</v>
      </c>
      <c r="D393" s="6">
        <v>123</v>
      </c>
      <c r="E393" s="22" t="str">
        <f>IF(C393="استحداث بند جديد", "", IF(D393&lt;&gt;"", IFERROR(INDEX('بنود العقد'!B$3:B$388,D393), "⚠"), ""))</f>
        <v xml:space="preserve">حجر جرانيت اسود مع تشكيلات مثلثات من لون فاتح للنافورة الداخلية   01-ST حسب الموضح بالمخطط </v>
      </c>
      <c r="F393" s="23" t="str">
        <f>IF(C393="استحداث بند جديد", "", IF(D393&lt;&gt;"", IFERROR(INDEX('بنود العقد'!D$3:D$388,D393), ""), ""))</f>
        <v>م²</v>
      </c>
      <c r="G393" s="24">
        <f>IF(C393="استحداث بند جديد", "", IF(D393&lt;&gt;"", IFERROR(INDEX('بنود العقد'!E$3:E$388,D393), 0), ""))</f>
        <v>120</v>
      </c>
      <c r="H393" s="7">
        <v>85.94</v>
      </c>
      <c r="I393" s="8">
        <v>0</v>
      </c>
      <c r="J393" s="10">
        <f t="shared" si="3"/>
        <v>10312.799999999999</v>
      </c>
      <c r="K393" s="76" t="str">
        <f>IF(C393="استحداث بند جديد", "", IF(D393&lt;&gt;"", IFERROR(INDEX('بنود العقد'!C$3:C$388,D393), ""), ""))</f>
        <v>معماري</v>
      </c>
      <c r="L393" s="76" t="str">
        <f>IF(C393="استحداث بند جديد", IF(K393&lt;&gt;"","CMH_01-"&amp;IFERROR(VLOOKUP(K393,مراجع!$A$3:$B$14,2,FALSE),"?")&amp;"-NEW-"&amp;TEXT(A393,"000"),""), IF(D393&lt;&gt;"", IFERROR(INDEX('بنود العقد'!I$3:I$388,D393), ""), ""))</f>
        <v>CMH_01-A-123</v>
      </c>
      <c r="M393" s="19"/>
    </row>
    <row r="394" spans="1:13" s="76" customFormat="1" ht="28.2" customHeight="1">
      <c r="A394" s="12">
        <v>392</v>
      </c>
      <c r="B394" s="6">
        <v>5</v>
      </c>
      <c r="C394" s="6" t="s">
        <v>250</v>
      </c>
      <c r="D394" s="6">
        <v>124</v>
      </c>
      <c r="E394" s="22" t="str">
        <f>IF(C394="استحداث بند جديد", "", IF(D394&lt;&gt;"", IFERROR(INDEX('بنود العقد'!B$3:B$388,D394), "⚠"), ""))</f>
        <v>300-Ref. Drawings: 07-MRA-DD-(as per floor number)-AR حجر رياض ابيض كإطار حول الجلسات في الفناء الوسطي الاساسي 02-ST</v>
      </c>
      <c r="F394" s="23" t="str">
        <f>IF(C394="استحداث بند جديد", "", IF(D394&lt;&gt;"", IFERROR(INDEX('بنود العقد'!D$3:D$388,D394), ""), ""))</f>
        <v>م²</v>
      </c>
      <c r="G394" s="24">
        <f>IF(C394="استحداث بند جديد", "", IF(D394&lt;&gt;"", IFERROR(INDEX('بنود العقد'!E$3:E$388,D394), 0), ""))</f>
        <v>180</v>
      </c>
      <c r="H394" s="7">
        <v>-118</v>
      </c>
      <c r="I394" s="8">
        <v>0</v>
      </c>
      <c r="J394" s="10">
        <f t="shared" si="3"/>
        <v>-21240</v>
      </c>
      <c r="K394" s="76" t="str">
        <f>IF(C394="استحداث بند جديد", "", IF(D394&lt;&gt;"", IFERROR(INDEX('بنود العقد'!C$3:C$388,D394), ""), ""))</f>
        <v>معماري</v>
      </c>
      <c r="L394" s="76" t="str">
        <f>IF(C394="استحداث بند جديد", IF(K394&lt;&gt;"","CMH_01-"&amp;IFERROR(VLOOKUP(K394,مراجع!$A$3:$B$14,2,FALSE),"?")&amp;"-NEW-"&amp;TEXT(A394,"000"),""), IF(D394&lt;&gt;"", IFERROR(INDEX('بنود العقد'!I$3:I$388,D394), ""), ""))</f>
        <v>CMH_01-A-124</v>
      </c>
      <c r="M394" s="19"/>
    </row>
    <row r="395" spans="1:13" s="76" customFormat="1" ht="28.2" customHeight="1">
      <c r="A395" s="12">
        <v>393</v>
      </c>
      <c r="B395" s="6">
        <v>5</v>
      </c>
      <c r="C395" s="6" t="s">
        <v>175</v>
      </c>
      <c r="D395" s="6">
        <v>125</v>
      </c>
      <c r="E395" s="22" t="str">
        <f>IF(C395="استحداث بند جديد", "", IF(D395&lt;&gt;"", IFERROR(INDEX('بنود العقد'!B$3:B$388,D395), "⚠"), ""))</f>
        <v>دهان بلون رمادي بيج على الألواح الجبسية والألواح الاسمنتية 100-WPF</v>
      </c>
      <c r="F395" s="23" t="str">
        <f>IF(C395="استحداث بند جديد", "", IF(D395&lt;&gt;"", IFERROR(INDEX('بنود العقد'!D$3:D$388,D395), ""), ""))</f>
        <v>م²</v>
      </c>
      <c r="G395" s="24">
        <f>IF(C395="استحداث بند جديد", "", IF(D395&lt;&gt;"", IFERROR(INDEX('بنود العقد'!E$3:E$388,D395), 0), ""))</f>
        <v>25.2</v>
      </c>
      <c r="H395" s="7">
        <v>2636.34</v>
      </c>
      <c r="I395" s="8">
        <v>0</v>
      </c>
      <c r="J395" s="10">
        <f t="shared" si="3"/>
        <v>66435.767999999996</v>
      </c>
      <c r="K395" s="76" t="str">
        <f>IF(C395="استحداث بند جديد", "", IF(D395&lt;&gt;"", IFERROR(INDEX('بنود العقد'!C$3:C$388,D395), ""), ""))</f>
        <v>معماري</v>
      </c>
      <c r="L395" s="76" t="str">
        <f>IF(C395="استحداث بند جديد", IF(K395&lt;&gt;"","CMH_01-"&amp;IFERROR(VLOOKUP(K395,مراجع!$A$3:$B$14,2,FALSE),"?")&amp;"-NEW-"&amp;TEXT(A395,"000"),""), IF(D395&lt;&gt;"", IFERROR(INDEX('بنود العقد'!I$3:I$388,D395), ""), ""))</f>
        <v>CMH_01-A-125</v>
      </c>
      <c r="M395" s="19"/>
    </row>
    <row r="396" spans="1:13" s="76" customFormat="1" ht="28.2" customHeight="1">
      <c r="A396" s="12">
        <v>394</v>
      </c>
      <c r="B396" s="6">
        <v>5</v>
      </c>
      <c r="C396" s="6" t="s">
        <v>175</v>
      </c>
      <c r="D396" s="6">
        <v>128</v>
      </c>
      <c r="E396" s="22" t="str">
        <f>IF(C396="استحداث بند جديد", "", IF(D396&lt;&gt;"", IFERROR(INDEX('بنود العقد'!B$3:B$388,D396), "⚠"), ""))</f>
        <v>.دهان بلون رمادي اسمنتي على الألواح الجبسية والألواح الاسمنتية 200-WPF</v>
      </c>
      <c r="F396" s="23" t="str">
        <f>IF(C396="استحداث بند جديد", "", IF(D396&lt;&gt;"", IFERROR(INDEX('بنود العقد'!D$3:D$388,D396), ""), ""))</f>
        <v>م²</v>
      </c>
      <c r="G396" s="24">
        <f>IF(C396="استحداث بند جديد", "", IF(D396&lt;&gt;"", IFERROR(INDEX('بنود العقد'!E$3:E$388,D396), 0), ""))</f>
        <v>30</v>
      </c>
      <c r="H396" s="7">
        <v>4477.3900000000003</v>
      </c>
      <c r="I396" s="8">
        <v>0</v>
      </c>
      <c r="J396" s="10">
        <f t="shared" si="3"/>
        <v>134321.70000000001</v>
      </c>
      <c r="K396" s="76" t="str">
        <f>IF(C396="استحداث بند جديد", "", IF(D396&lt;&gt;"", IFERROR(INDEX('بنود العقد'!C$3:C$388,D396), ""), ""))</f>
        <v>معماري</v>
      </c>
      <c r="L396" s="76" t="str">
        <f>IF(C396="استحداث بند جديد", IF(K396&lt;&gt;"","CMH_01-"&amp;IFERROR(VLOOKUP(K396,مراجع!$A$3:$B$14,2,FALSE),"?")&amp;"-NEW-"&amp;TEXT(A396,"000"),""), IF(D396&lt;&gt;"", IFERROR(INDEX('بنود العقد'!I$3:I$388,D396), ""), ""))</f>
        <v>CMH_01-A-128</v>
      </c>
      <c r="M396" s="19"/>
    </row>
    <row r="397" spans="1:13" s="76" customFormat="1" ht="28.2" customHeight="1">
      <c r="A397" s="12">
        <v>395</v>
      </c>
      <c r="B397" s="6">
        <v>5</v>
      </c>
      <c r="C397" s="6" t="s">
        <v>250</v>
      </c>
      <c r="D397" s="6">
        <v>129</v>
      </c>
      <c r="E397" s="22" t="str">
        <f>IF(C397="استحداث بند جديد", "", IF(D397&lt;&gt;"", IFERROR(INDEX('بنود العقد'!B$3:B$388,D397), "⚠"), ""))</f>
        <v>.دهان بلون رمادي فاتح  على الألواح الجبسية والألواح الاسمنتية 300-WPF</v>
      </c>
      <c r="F397" s="23" t="str">
        <f>IF(C397="استحداث بند جديد", "", IF(D397&lt;&gt;"", IFERROR(INDEX('بنود العقد'!D$3:D$388,D397), ""), ""))</f>
        <v>م²</v>
      </c>
      <c r="G397" s="24">
        <f>IF(C397="استحداث بند جديد", "", IF(D397&lt;&gt;"", IFERROR(INDEX('بنود العقد'!E$3:E$388,D397), 0), ""))</f>
        <v>30</v>
      </c>
      <c r="H397" s="7">
        <v>-147.54</v>
      </c>
      <c r="I397" s="8">
        <v>0</v>
      </c>
      <c r="J397" s="10">
        <f t="shared" si="3"/>
        <v>-4426.2</v>
      </c>
      <c r="K397" s="76" t="str">
        <f>IF(C397="استحداث بند جديد", "", IF(D397&lt;&gt;"", IFERROR(INDEX('بنود العقد'!C$3:C$388,D397), ""), ""))</f>
        <v>معماري</v>
      </c>
      <c r="L397" s="76" t="str">
        <f>IF(C397="استحداث بند جديد", IF(K397&lt;&gt;"","CMH_01-"&amp;IFERROR(VLOOKUP(K397,مراجع!$A$3:$B$14,2,FALSE),"?")&amp;"-NEW-"&amp;TEXT(A397,"000"),""), IF(D397&lt;&gt;"", IFERROR(INDEX('بنود العقد'!I$3:I$388,D397), ""), ""))</f>
        <v>CMH_01-A-129</v>
      </c>
      <c r="M397" s="19"/>
    </row>
    <row r="398" spans="1:13" s="76" customFormat="1" ht="28.2" customHeight="1">
      <c r="A398" s="12">
        <v>396</v>
      </c>
      <c r="B398" s="6">
        <v>5</v>
      </c>
      <c r="C398" s="6" t="s">
        <v>250</v>
      </c>
      <c r="D398" s="6">
        <v>130</v>
      </c>
      <c r="E398" s="22" t="str">
        <f>IF(C398="استحداث بند جديد", "", IF(D398&lt;&gt;"", IFERROR(INDEX('بنود العقد'!B$3:B$388,D398), "⚠"), ""))</f>
        <v>.دهان بلون اصفر خردلي  على الألواح الجبسية والألواح الاسمنتية 400-WPF</v>
      </c>
      <c r="F398" s="23" t="str">
        <f>IF(C398="استحداث بند جديد", "", IF(D398&lt;&gt;"", IFERROR(INDEX('بنود العقد'!D$3:D$388,D398), ""), ""))</f>
        <v>م²</v>
      </c>
      <c r="G398" s="24">
        <f>IF(C398="استحداث بند جديد", "", IF(D398&lt;&gt;"", IFERROR(INDEX('بنود العقد'!E$3:E$388,D398), 0), ""))</f>
        <v>24</v>
      </c>
      <c r="H398" s="7">
        <v>-24.91</v>
      </c>
      <c r="I398" s="8">
        <v>0</v>
      </c>
      <c r="J398" s="10">
        <f t="shared" si="3"/>
        <v>-597.84</v>
      </c>
      <c r="K398" s="76" t="str">
        <f>IF(C398="استحداث بند جديد", "", IF(D398&lt;&gt;"", IFERROR(INDEX('بنود العقد'!C$3:C$388,D398), ""), ""))</f>
        <v>معماري</v>
      </c>
      <c r="L398" s="76" t="str">
        <f>IF(C398="استحداث بند جديد", IF(K398&lt;&gt;"","CMH_01-"&amp;IFERROR(VLOOKUP(K398,مراجع!$A$3:$B$14,2,FALSE),"?")&amp;"-NEW-"&amp;TEXT(A398,"000"),""), IF(D398&lt;&gt;"", IFERROR(INDEX('بنود العقد'!I$3:I$388,D398), ""), ""))</f>
        <v>CMH_01-A-130</v>
      </c>
      <c r="M398" s="19"/>
    </row>
    <row r="399" spans="1:13" s="76" customFormat="1" ht="28.2" customHeight="1">
      <c r="A399" s="12">
        <v>397</v>
      </c>
      <c r="B399" s="6">
        <v>5</v>
      </c>
      <c r="C399" s="6" t="s">
        <v>250</v>
      </c>
      <c r="D399" s="6">
        <v>131</v>
      </c>
      <c r="E399" s="22" t="str">
        <f>IF(C399="استحداث بند جديد", "", IF(D399&lt;&gt;"", IFERROR(INDEX('بنود العقد'!B$3:B$388,D399), "⚠"), ""))</f>
        <v>.دهان بلون ازرق أخضر  على الألواح الجبسية والألواح الاسمنتية 500-WPF</v>
      </c>
      <c r="F399" s="23" t="str">
        <f>IF(C399="استحداث بند جديد", "", IF(D399&lt;&gt;"", IFERROR(INDEX('بنود العقد'!D$3:D$388,D399), ""), ""))</f>
        <v>م²</v>
      </c>
      <c r="G399" s="24">
        <f>IF(C399="استحداث بند جديد", "", IF(D399&lt;&gt;"", IFERROR(INDEX('بنود العقد'!E$3:E$388,D399), 0), ""))</f>
        <v>24</v>
      </c>
      <c r="H399" s="7">
        <v>-17.559999999999999</v>
      </c>
      <c r="I399" s="8">
        <v>0</v>
      </c>
      <c r="J399" s="10">
        <f t="shared" si="3"/>
        <v>-421.43999999999994</v>
      </c>
      <c r="K399" s="76" t="str">
        <f>IF(C399="استحداث بند جديد", "", IF(D399&lt;&gt;"", IFERROR(INDEX('بنود العقد'!C$3:C$388,D399), ""), ""))</f>
        <v>معماري</v>
      </c>
      <c r="L399" s="76" t="str">
        <f>IF(C399="استحداث بند جديد", IF(K399&lt;&gt;"","CMH_01-"&amp;IFERROR(VLOOKUP(K399,مراجع!$A$3:$B$14,2,FALSE),"?")&amp;"-NEW-"&amp;TEXT(A399,"000"),""), IF(D399&lt;&gt;"", IFERROR(INDEX('بنود العقد'!I$3:I$388,D399), ""), ""))</f>
        <v>CMH_01-A-131</v>
      </c>
      <c r="M399" s="19"/>
    </row>
    <row r="400" spans="1:13" s="76" customFormat="1" ht="28.2" customHeight="1">
      <c r="A400" s="12">
        <v>398</v>
      </c>
      <c r="B400" s="6">
        <v>5</v>
      </c>
      <c r="C400" s="6" t="s">
        <v>175</v>
      </c>
      <c r="D400" s="6">
        <v>132</v>
      </c>
      <c r="E400" s="22" t="str">
        <f>IF(C400="استحداث بند جديد", "", IF(D400&lt;&gt;"", IFERROR(INDEX('بنود العقد'!B$3:B$388,D400), "⚠"), ""))</f>
        <v>.دهان بلون رمادي خشن على هيئة الاسطح الاسمنتية مع تجويف  على جدار البلوك 600-WPF</v>
      </c>
      <c r="F400" s="23" t="str">
        <f>IF(C400="استحداث بند جديد", "", IF(D400&lt;&gt;"", IFERROR(INDEX('بنود العقد'!D$3:D$388,D400), ""), ""))</f>
        <v>م²</v>
      </c>
      <c r="G400" s="24">
        <f>IF(C400="استحداث بند جديد", "", IF(D400&lt;&gt;"", IFERROR(INDEX('بنود العقد'!E$3:E$388,D400), 0), ""))</f>
        <v>24</v>
      </c>
      <c r="H400" s="7">
        <v>4.3600000000000003</v>
      </c>
      <c r="I400" s="8">
        <v>0</v>
      </c>
      <c r="J400" s="10">
        <f t="shared" si="3"/>
        <v>104.64000000000001</v>
      </c>
      <c r="K400" s="76" t="str">
        <f>IF(C400="استحداث بند جديد", "", IF(D400&lt;&gt;"", IFERROR(INDEX('بنود العقد'!C$3:C$388,D400), ""), ""))</f>
        <v>معماري</v>
      </c>
      <c r="L400" s="76" t="str">
        <f>IF(C400="استحداث بند جديد", IF(K400&lt;&gt;"","CMH_01-"&amp;IFERROR(VLOOKUP(K400,مراجع!$A$3:$B$14,2,FALSE),"?")&amp;"-NEW-"&amp;TEXT(A400,"000"),""), IF(D400&lt;&gt;"", IFERROR(INDEX('بنود العقد'!I$3:I$388,D400), ""), ""))</f>
        <v>CMH_01-A-132</v>
      </c>
      <c r="M400" s="19"/>
    </row>
    <row r="401" spans="1:13" s="76" customFormat="1" ht="28.2" customHeight="1">
      <c r="A401" s="12">
        <v>399</v>
      </c>
      <c r="B401" s="6">
        <v>5</v>
      </c>
      <c r="C401" s="6" t="s">
        <v>250</v>
      </c>
      <c r="D401" s="6">
        <v>133</v>
      </c>
      <c r="E401" s="22" t="str">
        <f>IF(C401="استحداث بند جديد", "", IF(D401&lt;&gt;"", IFERROR(INDEX('بنود العقد'!B$3:B$388,D401),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ابيض</v>
      </c>
      <c r="F401" s="23" t="str">
        <f>IF(C401="استحداث بند جديد", "", IF(D401&lt;&gt;"", IFERROR(INDEX('بنود العقد'!D$3:D$388,D401), ""), ""))</f>
        <v>م²</v>
      </c>
      <c r="G401" s="24">
        <f>IF(C401="استحداث بند جديد", "", IF(D401&lt;&gt;"", IFERROR(INDEX('بنود العقد'!E$3:E$388,D401), 0), ""))</f>
        <v>24</v>
      </c>
      <c r="H401" s="7">
        <v>-132.4</v>
      </c>
      <c r="I401" s="8">
        <v>0</v>
      </c>
      <c r="J401" s="10">
        <f t="shared" si="3"/>
        <v>-3177.6000000000004</v>
      </c>
      <c r="K401" s="76" t="str">
        <f>IF(C401="استحداث بند جديد", "", IF(D401&lt;&gt;"", IFERROR(INDEX('بنود العقد'!C$3:C$388,D401), ""), ""))</f>
        <v>معماري</v>
      </c>
      <c r="L401" s="76" t="str">
        <f>IF(C401="استحداث بند جديد", IF(K401&lt;&gt;"","CMH_01-"&amp;IFERROR(VLOOKUP(K401,مراجع!$A$3:$B$14,2,FALSE),"?")&amp;"-NEW-"&amp;TEXT(A401,"000"),""), IF(D401&lt;&gt;"", IFERROR(INDEX('بنود العقد'!I$3:I$388,D401), ""), ""))</f>
        <v>CMH_01-A-133</v>
      </c>
      <c r="M401" s="19"/>
    </row>
    <row r="402" spans="1:13" s="76" customFormat="1" ht="28.2" customHeight="1">
      <c r="A402" s="12">
        <v>400</v>
      </c>
      <c r="B402" s="6">
        <v>5</v>
      </c>
      <c r="C402" s="6" t="s">
        <v>250</v>
      </c>
      <c r="D402" s="6">
        <v>134</v>
      </c>
      <c r="E402" s="22" t="str">
        <f>IF(C402="استحداث بند جديد", "", IF(D402&lt;&gt;"", IFERROR(INDEX('بنود العقد'!B$3:B$388,D402),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اصفر خردلي</v>
      </c>
      <c r="F402" s="23" t="str">
        <f>IF(C402="استحداث بند جديد", "", IF(D402&lt;&gt;"", IFERROR(INDEX('بنود العقد'!D$3:D$388,D402), ""), ""))</f>
        <v>م²</v>
      </c>
      <c r="G402" s="24">
        <f>IF(C402="استحداث بند جديد", "", IF(D402&lt;&gt;"", IFERROR(INDEX('بنود العقد'!E$3:E$388,D402), 0), ""))</f>
        <v>24</v>
      </c>
      <c r="H402" s="7">
        <v>-5.32</v>
      </c>
      <c r="I402" s="8">
        <v>0</v>
      </c>
      <c r="J402" s="10">
        <f t="shared" si="3"/>
        <v>-127.68</v>
      </c>
      <c r="K402" s="76" t="str">
        <f>IF(C402="استحداث بند جديد", "", IF(D402&lt;&gt;"", IFERROR(INDEX('بنود العقد'!C$3:C$388,D402), ""), ""))</f>
        <v>معماري</v>
      </c>
      <c r="L402" s="76" t="str">
        <f>IF(C402="استحداث بند جديد", IF(K402&lt;&gt;"","CMH_01-"&amp;IFERROR(VLOOKUP(K402,مراجع!$A$3:$B$14,2,FALSE),"?")&amp;"-NEW-"&amp;TEXT(A402,"000"),""), IF(D402&lt;&gt;"", IFERROR(INDEX('بنود العقد'!I$3:I$388,D402), ""), ""))</f>
        <v>CMH_01-A-134</v>
      </c>
      <c r="M402" s="19"/>
    </row>
    <row r="403" spans="1:13" s="76" customFormat="1" ht="28.2" customHeight="1">
      <c r="A403" s="12">
        <v>401</v>
      </c>
      <c r="B403" s="6">
        <v>5</v>
      </c>
      <c r="C403" s="6" t="s">
        <v>250</v>
      </c>
      <c r="D403" s="6">
        <v>135</v>
      </c>
      <c r="E403" s="22" t="str">
        <f>IF(C403="استحداث بند جديد", "", IF(D403&lt;&gt;"", IFERROR(INDEX('بنود العقد'!B$3:B$388,D403),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ازرق تيل</v>
      </c>
      <c r="F403" s="23" t="str">
        <f>IF(C403="استحداث بند جديد", "", IF(D403&lt;&gt;"", IFERROR(INDEX('بنود العقد'!D$3:D$388,D403), ""), ""))</f>
        <v>م²</v>
      </c>
      <c r="G403" s="24">
        <f>IF(C403="استحداث بند جديد", "", IF(D403&lt;&gt;"", IFERROR(INDEX('بنود العقد'!E$3:E$388,D403), 0), ""))</f>
        <v>24</v>
      </c>
      <c r="H403" s="7">
        <v>-6.64</v>
      </c>
      <c r="I403" s="8">
        <v>0</v>
      </c>
      <c r="J403" s="10">
        <f t="shared" si="3"/>
        <v>-159.35999999999999</v>
      </c>
      <c r="K403" s="76" t="str">
        <f>IF(C403="استحداث بند جديد", "", IF(D403&lt;&gt;"", IFERROR(INDEX('بنود العقد'!C$3:C$388,D403), ""), ""))</f>
        <v>معماري</v>
      </c>
      <c r="L403" s="76" t="str">
        <f>IF(C403="استحداث بند جديد", IF(K403&lt;&gt;"","CMH_01-"&amp;IFERROR(VLOOKUP(K403,مراجع!$A$3:$B$14,2,FALSE),"?")&amp;"-NEW-"&amp;TEXT(A403,"000"),""), IF(D403&lt;&gt;"", IFERROR(INDEX('بنود العقد'!I$3:I$388,D403), ""), ""))</f>
        <v>CMH_01-A-135</v>
      </c>
      <c r="M403" s="19"/>
    </row>
    <row r="404" spans="1:13" s="76" customFormat="1" ht="28.2" customHeight="1">
      <c r="A404" s="12">
        <v>402</v>
      </c>
      <c r="B404" s="6">
        <v>5</v>
      </c>
      <c r="C404" s="6" t="s">
        <v>250</v>
      </c>
      <c r="D404" s="6">
        <v>136</v>
      </c>
      <c r="E404" s="22" t="str">
        <f>IF(C404="استحداث بند جديد", "", IF(D404&lt;&gt;"", IFERROR(INDEX('بنود العقد'!B$3:B$388,D404), "⚠"), ""))</f>
        <v>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دهان  بلون ازرق فاتح</v>
      </c>
      <c r="F404" s="23" t="str">
        <f>IF(C404="استحداث بند جديد", "", IF(D404&lt;&gt;"", IFERROR(INDEX('بنود العقد'!D$3:D$388,D404), ""), ""))</f>
        <v>م²</v>
      </c>
      <c r="G404" s="24">
        <f>IF(C404="استحداث بند جديد", "", IF(D404&lt;&gt;"", IFERROR(INDEX('بنود العقد'!E$3:E$388,D404), 0), ""))</f>
        <v>20</v>
      </c>
      <c r="H404" s="7">
        <v>-3.18</v>
      </c>
      <c r="I404" s="8">
        <v>0</v>
      </c>
      <c r="J404" s="10">
        <f t="shared" si="3"/>
        <v>-63.6</v>
      </c>
      <c r="K404" s="76" t="str">
        <f>IF(C404="استحداث بند جديد", "", IF(D404&lt;&gt;"", IFERROR(INDEX('بنود العقد'!C$3:C$388,D404), ""), ""))</f>
        <v>معماري</v>
      </c>
      <c r="L404" s="76" t="str">
        <f>IF(C404="استحداث بند جديد", IF(K404&lt;&gt;"","CMH_01-"&amp;IFERROR(VLOOKUP(K404,مراجع!$A$3:$B$14,2,FALSE),"?")&amp;"-NEW-"&amp;TEXT(A404,"000"),""), IF(D404&lt;&gt;"", IFERROR(INDEX('بنود العقد'!I$3:I$388,D404), ""), ""))</f>
        <v>CMH_01-A-136</v>
      </c>
      <c r="M404" s="19"/>
    </row>
    <row r="405" spans="1:13" s="76" customFormat="1" ht="28.2" customHeight="1">
      <c r="A405" s="12">
        <v>403</v>
      </c>
      <c r="B405" s="6">
        <v>5</v>
      </c>
      <c r="C405" s="6" t="s">
        <v>175</v>
      </c>
      <c r="D405" s="6">
        <v>137</v>
      </c>
      <c r="E405" s="22" t="str">
        <f>IF(C405="استحداث بند جديد", "", IF(D405&lt;&gt;"", IFERROR(INDEX('بنود العقد'!B$3:B$388,D405), "⚠"), ""))</f>
        <v>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 دهان  بلون اسود</v>
      </c>
      <c r="F405" s="23" t="str">
        <f>IF(C405="استحداث بند جديد", "", IF(D405&lt;&gt;"", IFERROR(INDEX('بنود العقد'!D$3:D$388,D405), ""), ""))</f>
        <v>م²</v>
      </c>
      <c r="G405" s="24">
        <f>IF(C405="استحداث بند جديد", "", IF(D405&lt;&gt;"", IFERROR(INDEX('بنود العقد'!E$3:E$388,D405), 0), ""))</f>
        <v>30</v>
      </c>
      <c r="H405" s="7">
        <v>1653.51</v>
      </c>
      <c r="I405" s="8">
        <v>0</v>
      </c>
      <c r="J405" s="10">
        <f t="shared" si="3"/>
        <v>49605.3</v>
      </c>
      <c r="K405" s="76" t="str">
        <f>IF(C405="استحداث بند جديد", "", IF(D405&lt;&gt;"", IFERROR(INDEX('بنود العقد'!C$3:C$388,D405), ""), ""))</f>
        <v>معماري</v>
      </c>
      <c r="L405" s="76" t="str">
        <f>IF(C405="استحداث بند جديد", IF(K405&lt;&gt;"","CMH_01-"&amp;IFERROR(VLOOKUP(K405,مراجع!$A$3:$B$14,2,FALSE),"?")&amp;"-NEW-"&amp;TEXT(A405,"000"),""), IF(D405&lt;&gt;"", IFERROR(INDEX('بنود العقد'!I$3:I$388,D405), ""), ""))</f>
        <v>CMH_01-A-137</v>
      </c>
      <c r="M405" s="19"/>
    </row>
    <row r="406" spans="1:13" s="76" customFormat="1" ht="28.2" customHeight="1">
      <c r="A406" s="12">
        <v>404</v>
      </c>
      <c r="B406" s="6">
        <v>5</v>
      </c>
      <c r="C406" s="6" t="s">
        <v>250</v>
      </c>
      <c r="D406" s="6">
        <v>138</v>
      </c>
      <c r="E406" s="22" t="str">
        <f>IF(C406="استحداث بند جديد", "", IF(D406&lt;&gt;"", IFERROR(INDEX('بنود العقد'!B$3:B$388,D406), "⚠"), ""))</f>
        <v>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  دهان رمادي غامق</v>
      </c>
      <c r="F406" s="23" t="str">
        <f>IF(C406="استحداث بند جديد", "", IF(D406&lt;&gt;"", IFERROR(INDEX('بنود العقد'!D$3:D$388,D406), ""), ""))</f>
        <v>م²</v>
      </c>
      <c r="G406" s="24">
        <f>IF(C406="استحداث بند جديد", "", IF(D406&lt;&gt;"", IFERROR(INDEX('بنود العقد'!E$3:E$388,D406), 0), ""))</f>
        <v>30</v>
      </c>
      <c r="H406" s="7">
        <v>-99.9</v>
      </c>
      <c r="I406" s="8">
        <v>0</v>
      </c>
      <c r="J406" s="10">
        <f t="shared" si="3"/>
        <v>-2997</v>
      </c>
      <c r="K406" s="76" t="str">
        <f>IF(C406="استحداث بند جديد", "", IF(D406&lt;&gt;"", IFERROR(INDEX('بنود العقد'!C$3:C$388,D406), ""), ""))</f>
        <v>معماري</v>
      </c>
      <c r="L406" s="76" t="str">
        <f>IF(C406="استحداث بند جديد", IF(K406&lt;&gt;"","CMH_01-"&amp;IFERROR(VLOOKUP(K406,مراجع!$A$3:$B$14,2,FALSE),"?")&amp;"-NEW-"&amp;TEXT(A406,"000"),""), IF(D406&lt;&gt;"", IFERROR(INDEX('بنود العقد'!I$3:I$388,D406), ""), ""))</f>
        <v>CMH_01-A-138</v>
      </c>
      <c r="M406" s="19"/>
    </row>
    <row r="407" spans="1:13" s="76" customFormat="1" ht="28.2" customHeight="1">
      <c r="A407" s="12">
        <v>405</v>
      </c>
      <c r="B407" s="6">
        <v>5</v>
      </c>
      <c r="C407" s="6" t="s">
        <v>250</v>
      </c>
      <c r="D407" s="6">
        <v>139</v>
      </c>
      <c r="E407" s="22" t="str">
        <f>IF(C407="استحداث بند جديد", "", IF(D407&lt;&gt;"", IFERROR(INDEX('بنود العقد'!B$3:B$388,D407), "⚠"), ""))</f>
        <v>معالجة و دهان سقف الفناء الوسطى والبند يشمل أعمال ترميم  ودهان الألواح الجبسية مع تغيير التالف منها وفك ألواح التغطية الشفافة )ألواح اللكسان( الحالية وتوريد وتركيب ألواح جديدة ومحمل على البند فك وحدات الانارة الحالية وتوريد وتركيب ،حدات إنارة جديدة مناسبة على ان يقدم المقاول مقترح كامل لطريقة التنفيذ وعينات المواد للاعتماد من المهندس المشرف  قبل البدء بالاعمال والسعر يشمل كافة المواد والاعمال اللازمة لتنفيذ البند طبقاً لتوصيات المهندس المشرف</v>
      </c>
      <c r="F407" s="23" t="str">
        <f>IF(C407="استحداث بند جديد", "", IF(D407&lt;&gt;"", IFERROR(INDEX('بنود العقد'!D$3:D$388,D407), ""), ""))</f>
        <v>م²</v>
      </c>
      <c r="G407" s="24">
        <f>IF(C407="استحداث بند جديد", "", IF(D407&lt;&gt;"", IFERROR(INDEX('بنود العقد'!E$3:E$388,D407), 0), ""))</f>
        <v>30</v>
      </c>
      <c r="H407" s="7">
        <v>-680</v>
      </c>
      <c r="I407" s="8">
        <v>0</v>
      </c>
      <c r="J407" s="10">
        <f t="shared" si="3"/>
        <v>-20400</v>
      </c>
      <c r="K407" s="76" t="str">
        <f>IF(C407="استحداث بند جديد", "", IF(D407&lt;&gt;"", IFERROR(INDEX('بنود العقد'!C$3:C$388,D407), ""), ""))</f>
        <v>معماري</v>
      </c>
      <c r="L407" s="76" t="str">
        <f>IF(C407="استحداث بند جديد", IF(K407&lt;&gt;"","CMH_01-"&amp;IFERROR(VLOOKUP(K407,مراجع!$A$3:$B$14,2,FALSE),"?")&amp;"-NEW-"&amp;TEXT(A407,"000"),""), IF(D407&lt;&gt;"", IFERROR(INDEX('بنود العقد'!I$3:I$388,D407), ""), ""))</f>
        <v>CMH_01-A-139</v>
      </c>
      <c r="M407" s="19"/>
    </row>
    <row r="408" spans="1:13" s="76" customFormat="1" ht="28.2" customHeight="1">
      <c r="A408" s="12">
        <v>406</v>
      </c>
      <c r="B408" s="6">
        <v>5</v>
      </c>
      <c r="C408" s="6" t="s">
        <v>250</v>
      </c>
      <c r="D408" s="6">
        <v>140</v>
      </c>
      <c r="E408" s="22" t="str">
        <f>IF(C408="استحداث بند جديد", "", IF(D408&lt;&gt;"", IFERROR(INDEX('بنود العقد'!B$3:B$388,D408), "⚠"), ""))</f>
        <v>توريد وتثبيت ورق جدران عالي الجودة على الألواح الجبسية بعد تأسيس الجدران واغلاق الفواصل والفتحات وتاسيس الجدار بدهان مناسب لاعمال ورق الجدران  حسب النوع . في منطقة التنفيذيين ومكتب مدير مكتب معالي الوزير في الدور السادس  ويتم التنفيذ طبقا للمخططات والمواصفات الفنية وبحسب تعليمات المهندس المشرف.</v>
      </c>
      <c r="F408" s="23" t="str">
        <f>IF(C408="استحداث بند جديد", "", IF(D408&lt;&gt;"", IFERROR(INDEX('بنود العقد'!D$3:D$388,D408), ""), ""))</f>
        <v>م²</v>
      </c>
      <c r="G408" s="24">
        <f>IF(C408="استحداث بند جديد", "", IF(D408&lt;&gt;"", IFERROR(INDEX('بنود العقد'!E$3:E$388,D408), 0), ""))</f>
        <v>72</v>
      </c>
      <c r="H408" s="7">
        <v>-673</v>
      </c>
      <c r="I408" s="8">
        <v>0</v>
      </c>
      <c r="J408" s="10">
        <f t="shared" si="3"/>
        <v>-48456</v>
      </c>
      <c r="K408" s="76" t="str">
        <f>IF(C408="استحداث بند جديد", "", IF(D408&lt;&gt;"", IFERROR(INDEX('بنود العقد'!C$3:C$388,D408), ""), ""))</f>
        <v>معماري</v>
      </c>
      <c r="L408" s="76" t="str">
        <f>IF(C408="استحداث بند جديد", IF(K408&lt;&gt;"","CMH_01-"&amp;IFERROR(VLOOKUP(K408,مراجع!$A$3:$B$14,2,FALSE),"?")&amp;"-NEW-"&amp;TEXT(A408,"000"),""), IF(D408&lt;&gt;"", IFERROR(INDEX('بنود العقد'!I$3:I$388,D408), ""), ""))</f>
        <v>CMH_01-A-140</v>
      </c>
      <c r="M408" s="19"/>
    </row>
    <row r="409" spans="1:13" s="76" customFormat="1" ht="28.2" customHeight="1">
      <c r="A409" s="12">
        <v>407</v>
      </c>
      <c r="B409" s="6">
        <v>5</v>
      </c>
      <c r="C409" s="6" t="s">
        <v>250</v>
      </c>
      <c r="D409" s="6">
        <v>142</v>
      </c>
      <c r="E409" s="22" t="str">
        <f>IF(C409="استحداث بند جديد", "", IF(D409&lt;&gt;"", IFERROR(INDEX('بنود العقد'!B$3:B$388,D409), "⚠"), ""))</f>
        <v>جهاز مناديل كهربائي</v>
      </c>
      <c r="F409" s="23" t="str">
        <f>IF(C409="استحداث بند جديد", "", IF(D409&lt;&gt;"", IFERROR(INDEX('بنود العقد'!D$3:D$388,D409), ""), ""))</f>
        <v>عدد</v>
      </c>
      <c r="G409" s="24">
        <f>IF(C409="استحداث بند جديد", "", IF(D409&lt;&gt;"", IFERROR(INDEX('بنود العقد'!E$3:E$388,D409), 0), ""))</f>
        <v>900</v>
      </c>
      <c r="H409" s="7">
        <v>-97</v>
      </c>
      <c r="I409" s="8">
        <v>0</v>
      </c>
      <c r="J409" s="10">
        <f t="shared" si="3"/>
        <v>-87300</v>
      </c>
      <c r="K409" s="76" t="str">
        <f>IF(C409="استحداث بند جديد", "", IF(D409&lt;&gt;"", IFERROR(INDEX('بنود العقد'!C$3:C$388,D409), ""), ""))</f>
        <v>معماري</v>
      </c>
      <c r="L409" s="76" t="str">
        <f>IF(C409="استحداث بند جديد", IF(K409&lt;&gt;"","CMH_01-"&amp;IFERROR(VLOOKUP(K409,مراجع!$A$3:$B$14,2,FALSE),"?")&amp;"-NEW-"&amp;TEXT(A409,"000"),""), IF(D409&lt;&gt;"", IFERROR(INDEX('بنود العقد'!I$3:I$388,D409), ""), ""))</f>
        <v>CMH_01-A-142</v>
      </c>
      <c r="M409" s="19"/>
    </row>
    <row r="410" spans="1:13" s="76" customFormat="1" ht="28.2" customHeight="1">
      <c r="A410" s="12">
        <v>408</v>
      </c>
      <c r="B410" s="6">
        <v>5</v>
      </c>
      <c r="C410" s="6" t="s">
        <v>175</v>
      </c>
      <c r="D410" s="6">
        <v>143</v>
      </c>
      <c r="E410" s="22" t="str">
        <f>IF(C410="استحداث بند جديد", "", IF(D410&lt;&gt;"", IFERROR(INDEX('بنود العقد'!B$3:B$388,D410), "⚠"), ""))</f>
        <v>موزع صابون سائل</v>
      </c>
      <c r="F410" s="23" t="str">
        <f>IF(C410="استحداث بند جديد", "", IF(D410&lt;&gt;"", IFERROR(INDEX('بنود العقد'!D$3:D$388,D410), ""), ""))</f>
        <v>عدد</v>
      </c>
      <c r="G410" s="24">
        <f>IF(C410="استحداث بند جديد", "", IF(D410&lt;&gt;"", IFERROR(INDEX('بنود العقد'!E$3:E$388,D410), 0), ""))</f>
        <v>192</v>
      </c>
      <c r="H410" s="7">
        <v>12</v>
      </c>
      <c r="I410" s="8">
        <v>0</v>
      </c>
      <c r="J410" s="10">
        <f t="shared" si="3"/>
        <v>2304</v>
      </c>
      <c r="K410" s="76" t="str">
        <f>IF(C410="استحداث بند جديد", "", IF(D410&lt;&gt;"", IFERROR(INDEX('بنود العقد'!C$3:C$388,D410), ""), ""))</f>
        <v>معماري</v>
      </c>
      <c r="L410" s="76" t="str">
        <f>IF(C410="استحداث بند جديد", IF(K410&lt;&gt;"","CMH_01-"&amp;IFERROR(VLOOKUP(K410,مراجع!$A$3:$B$14,2,FALSE),"?")&amp;"-NEW-"&amp;TEXT(A410,"000"),""), IF(D410&lt;&gt;"", IFERROR(INDEX('بنود العقد'!I$3:I$388,D410), ""), ""))</f>
        <v>CMH_01-A-143</v>
      </c>
      <c r="M410" s="19"/>
    </row>
    <row r="411" spans="1:13" s="76" customFormat="1" ht="28.2" customHeight="1">
      <c r="A411" s="12">
        <v>409</v>
      </c>
      <c r="B411" s="6">
        <v>5</v>
      </c>
      <c r="C411" s="6" t="s">
        <v>250</v>
      </c>
      <c r="D411" s="6">
        <v>144</v>
      </c>
      <c r="E411" s="22" t="str">
        <f>IF(C411="استحداث بند جديد", "", IF(D411&lt;&gt;"", IFERROR(INDEX('بنود العقد'!B$3:B$388,D411), "⚠"), ""))</f>
        <v>حاملة لفة ورق توليت</v>
      </c>
      <c r="F411" s="23" t="str">
        <f>IF(C411="استحداث بند جديد", "", IF(D411&lt;&gt;"", IFERROR(INDEX('بنود العقد'!D$3:D$388,D411), ""), ""))</f>
        <v>عدد</v>
      </c>
      <c r="G411" s="24">
        <f>IF(C411="استحداث بند جديد", "", IF(D411&lt;&gt;"", IFERROR(INDEX('بنود العقد'!E$3:E$388,D411), 0), ""))</f>
        <v>192</v>
      </c>
      <c r="H411" s="7">
        <v>-24</v>
      </c>
      <c r="I411" s="8">
        <v>0</v>
      </c>
      <c r="J411" s="10">
        <f t="shared" si="3"/>
        <v>-4608</v>
      </c>
      <c r="K411" s="76" t="str">
        <f>IF(C411="استحداث بند جديد", "", IF(D411&lt;&gt;"", IFERROR(INDEX('بنود العقد'!C$3:C$388,D411), ""), ""))</f>
        <v>معماري</v>
      </c>
      <c r="L411" s="76" t="str">
        <f>IF(C411="استحداث بند جديد", IF(K411&lt;&gt;"","CMH_01-"&amp;IFERROR(VLOOKUP(K411,مراجع!$A$3:$B$14,2,FALSE),"?")&amp;"-NEW-"&amp;TEXT(A411,"000"),""), IF(D411&lt;&gt;"", IFERROR(INDEX('بنود العقد'!I$3:I$388,D411), ""), ""))</f>
        <v>CMH_01-A-144</v>
      </c>
      <c r="M411" s="19"/>
    </row>
    <row r="412" spans="1:13" s="76" customFormat="1" ht="28.2" customHeight="1">
      <c r="A412" s="12">
        <v>410</v>
      </c>
      <c r="B412" s="6">
        <v>5</v>
      </c>
      <c r="C412" s="6" t="s">
        <v>250</v>
      </c>
      <c r="D412" s="6">
        <v>148</v>
      </c>
      <c r="E412" s="22" t="str">
        <f>IF(C412="استحداث بند جديد", "", IF(D412&lt;&gt;"", IFERROR(INDEX('بنود العقد'!B$3:B$388,D412), "⚠"), ""))</f>
        <v>طقم اكسسوارات لمكتب الوكيل ومساعد الوكيل ومكاتب التنفيذيين في الدور السادس شاملة اكسسوارات حوض المغسلة، ماسورة تعليق المناشف وحوامل المناشف، فرش الحمام، حامل ورق التواليت</v>
      </c>
      <c r="F412" s="23" t="str">
        <f>IF(C412="استحداث بند جديد", "", IF(D412&lt;&gt;"", IFERROR(INDEX('بنود العقد'!D$3:D$388,D412), ""), ""))</f>
        <v>عدد</v>
      </c>
      <c r="G412" s="24">
        <f>IF(C412="استحداث بند جديد", "", IF(D412&lt;&gt;"", IFERROR(INDEX('بنود العقد'!E$3:E$388,D412), 0), ""))</f>
        <v>6000</v>
      </c>
      <c r="H412" s="7">
        <v>-15</v>
      </c>
      <c r="I412" s="8">
        <v>0</v>
      </c>
      <c r="J412" s="10">
        <f t="shared" si="3"/>
        <v>-90000</v>
      </c>
      <c r="K412" s="76" t="str">
        <f>IF(C412="استحداث بند جديد", "", IF(D412&lt;&gt;"", IFERROR(INDEX('بنود العقد'!C$3:C$388,D412), ""), ""))</f>
        <v>معماري</v>
      </c>
      <c r="L412" s="76" t="str">
        <f>IF(C412="استحداث بند جديد", IF(K412&lt;&gt;"","CMH_01-"&amp;IFERROR(VLOOKUP(K412,مراجع!$A$3:$B$14,2,FALSE),"?")&amp;"-NEW-"&amp;TEXT(A412,"000"),""), IF(D412&lt;&gt;"", IFERROR(INDEX('بنود العقد'!I$3:I$388,D412), ""), ""))</f>
        <v>CMH_01-A-148</v>
      </c>
      <c r="M412" s="19"/>
    </row>
    <row r="413" spans="1:13" s="76" customFormat="1" ht="28.2" customHeight="1">
      <c r="A413" s="12">
        <v>411</v>
      </c>
      <c r="B413" s="6">
        <v>5</v>
      </c>
      <c r="C413" s="6" t="s">
        <v>250</v>
      </c>
      <c r="D413" s="6">
        <v>149</v>
      </c>
      <c r="E413" s="22" t="str">
        <f>IF(C413="استحداث بند جديد", "", IF(D413&lt;&gt;"", IFERROR(INDEX('بنود العقد'!B$3:B$388,D413), "⚠"), ""))</f>
        <v>طقم اكسسوارات لمكاتب المدراء العامين شاملة اكسسوارات حوض المغسلة، ماسورة تعليق المناشف وحوامل المناشف، فرش الحمام، حامل ورق التواليت</v>
      </c>
      <c r="F413" s="23" t="str">
        <f>IF(C413="استحداث بند جديد", "", IF(D413&lt;&gt;"", IFERROR(INDEX('بنود العقد'!D$3:D$388,D413), ""), ""))</f>
        <v>عدد</v>
      </c>
      <c r="G413" s="24">
        <f>IF(C413="استحداث بند جديد", "", IF(D413&lt;&gt;"", IFERROR(INDEX('بنود العقد'!E$3:E$388,D413), 0), ""))</f>
        <v>3000</v>
      </c>
      <c r="H413" s="7">
        <v>-32</v>
      </c>
      <c r="I413" s="8">
        <v>0</v>
      </c>
      <c r="J413" s="10">
        <f t="shared" si="3"/>
        <v>-96000</v>
      </c>
      <c r="K413" s="76" t="str">
        <f>IF(C413="استحداث بند جديد", "", IF(D413&lt;&gt;"", IFERROR(INDEX('بنود العقد'!C$3:C$388,D413), ""), ""))</f>
        <v>معماري</v>
      </c>
      <c r="L413" s="76" t="str">
        <f>IF(C413="استحداث بند جديد", IF(K413&lt;&gt;"","CMH_01-"&amp;IFERROR(VLOOKUP(K413,مراجع!$A$3:$B$14,2,FALSE),"?")&amp;"-NEW-"&amp;TEXT(A413,"000"),""), IF(D413&lt;&gt;"", IFERROR(INDEX('بنود العقد'!I$3:I$388,D413), ""), ""))</f>
        <v>CMH_01-A-149</v>
      </c>
      <c r="M413" s="19"/>
    </row>
    <row r="414" spans="1:13" s="76" customFormat="1" ht="28.2" customHeight="1">
      <c r="A414" s="12">
        <v>412</v>
      </c>
      <c r="B414" s="6">
        <v>5</v>
      </c>
      <c r="C414" s="6" t="s">
        <v>175</v>
      </c>
      <c r="D414" s="6">
        <v>152</v>
      </c>
      <c r="E414" s="22" t="str">
        <f>IF(C414="استحداث بند جديد", "", IF(D414&lt;&gt;"", IFERROR(INDEX('بنود العقد'!B$3:B$388,D414), "⚠"), ""))</f>
        <v>توريد وتركيب مرآة وجه 6 مم ترُكّب بارزة عن الجدار مع شطف على كل الجهات طبقا للمواصفات وبحسب تعليمات المهندس المشرف. مقاس 1200 × 700 مم</v>
      </c>
      <c r="F414" s="23" t="str">
        <f>IF(C414="استحداث بند جديد", "", IF(D414&lt;&gt;"", IFERROR(INDEX('بنود العقد'!D$3:D$388,D414), ""), ""))</f>
        <v>عدد</v>
      </c>
      <c r="G414" s="24">
        <f>IF(C414="استحداث بند جديد", "", IF(D414&lt;&gt;"", IFERROR(INDEX('بنود العقد'!E$3:E$388,D414), 0), ""))</f>
        <v>1200</v>
      </c>
      <c r="H414" s="7">
        <v>7</v>
      </c>
      <c r="I414" s="8">
        <v>0</v>
      </c>
      <c r="J414" s="10">
        <f t="shared" si="3"/>
        <v>8400</v>
      </c>
      <c r="K414" s="76" t="str">
        <f>IF(C414="استحداث بند جديد", "", IF(D414&lt;&gt;"", IFERROR(INDEX('بنود العقد'!C$3:C$388,D414), ""), ""))</f>
        <v>معماري</v>
      </c>
      <c r="L414" s="76" t="str">
        <f>IF(C414="استحداث بند جديد", IF(K414&lt;&gt;"","CMH_01-"&amp;IFERROR(VLOOKUP(K414,مراجع!$A$3:$B$14,2,FALSE),"?")&amp;"-NEW-"&amp;TEXT(A414,"000"),""), IF(D414&lt;&gt;"", IFERROR(INDEX('بنود العقد'!I$3:I$388,D414), ""), ""))</f>
        <v>CMH_01-A-152</v>
      </c>
      <c r="M414" s="19"/>
    </row>
    <row r="415" spans="1:13" s="76" customFormat="1" ht="28.2" customHeight="1">
      <c r="A415" s="12">
        <v>413</v>
      </c>
      <c r="B415" s="6">
        <v>5</v>
      </c>
      <c r="C415" s="6" t="s">
        <v>250</v>
      </c>
      <c r="D415" s="6">
        <v>153</v>
      </c>
      <c r="E415" s="22" t="str">
        <f>IF(C415="استحداث بند جديد", "", IF(D415&lt;&gt;"", IFERROR(INDEX('بنود العقد'!B$3:B$388,D415),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1250طول × عرض600 مم </v>
      </c>
      <c r="F415" s="23" t="str">
        <f>IF(C415="استحداث بند جديد", "", IF(D415&lt;&gt;"", IFERROR(INDEX('بنود العقد'!D$3:D$388,D415), ""), ""))</f>
        <v>عدد</v>
      </c>
      <c r="G415" s="24">
        <f>IF(C415="استحداث بند جديد", "", IF(D415&lt;&gt;"", IFERROR(INDEX('بنود العقد'!E$3:E$388,D415), 0), ""))</f>
        <v>1800</v>
      </c>
      <c r="H415" s="7">
        <v>-2</v>
      </c>
      <c r="I415" s="8">
        <v>0</v>
      </c>
      <c r="J415" s="10">
        <f t="shared" si="3"/>
        <v>-3600</v>
      </c>
      <c r="K415" s="76" t="str">
        <f>IF(C415="استحداث بند جديد", "", IF(D415&lt;&gt;"", IFERROR(INDEX('بنود العقد'!C$3:C$388,D415), ""), ""))</f>
        <v>معماري</v>
      </c>
      <c r="L415" s="76" t="str">
        <f>IF(C415="استحداث بند جديد", IF(K415&lt;&gt;"","CMH_01-"&amp;IFERROR(VLOOKUP(K415,مراجع!$A$3:$B$14,2,FALSE),"?")&amp;"-NEW-"&amp;TEXT(A415,"000"),""), IF(D415&lt;&gt;"", IFERROR(INDEX('بنود العقد'!I$3:I$388,D415), ""), ""))</f>
        <v>CMH_01-A-153</v>
      </c>
      <c r="M415" s="19"/>
    </row>
    <row r="416" spans="1:13" s="76" customFormat="1" ht="28.2" customHeight="1">
      <c r="A416" s="12">
        <v>414</v>
      </c>
      <c r="B416" s="6">
        <v>5</v>
      </c>
      <c r="C416" s="6" t="s">
        <v>175</v>
      </c>
      <c r="D416" s="6">
        <v>154</v>
      </c>
      <c r="E416" s="22" t="str">
        <f>IF(C416="استحداث بند جديد", "", IF(D416&lt;&gt;"", IFERROR(INDEX('بنود العقد'!B$3:B$388,D416),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1200طول × عرض600 مم </v>
      </c>
      <c r="F416" s="23" t="str">
        <f>IF(C416="استحداث بند جديد", "", IF(D416&lt;&gt;"", IFERROR(INDEX('بنود العقد'!D$3:D$388,D416), ""), ""))</f>
        <v>عدد</v>
      </c>
      <c r="G416" s="24">
        <f>IF(C416="استحداث بند جديد", "", IF(D416&lt;&gt;"", IFERROR(INDEX('بنود العقد'!E$3:E$388,D416), 0), ""))</f>
        <v>1800</v>
      </c>
      <c r="H416" s="7">
        <v>5</v>
      </c>
      <c r="I416" s="8">
        <v>0</v>
      </c>
      <c r="J416" s="10">
        <f t="shared" si="3"/>
        <v>9000</v>
      </c>
      <c r="K416" s="76" t="str">
        <f>IF(C416="استحداث بند جديد", "", IF(D416&lt;&gt;"", IFERROR(INDEX('بنود العقد'!C$3:C$388,D416), ""), ""))</f>
        <v>معماري</v>
      </c>
      <c r="L416" s="76" t="str">
        <f>IF(C416="استحداث بند جديد", IF(K416&lt;&gt;"","CMH_01-"&amp;IFERROR(VLOOKUP(K416,مراجع!$A$3:$B$14,2,FALSE),"?")&amp;"-NEW-"&amp;TEXT(A416,"000"),""), IF(D416&lt;&gt;"", IFERROR(INDEX('بنود العقد'!I$3:I$388,D416), ""), ""))</f>
        <v>CMH_01-A-154</v>
      </c>
      <c r="M416" s="19"/>
    </row>
    <row r="417" spans="1:13" s="76" customFormat="1" ht="28.2" customHeight="1">
      <c r="A417" s="12">
        <v>415</v>
      </c>
      <c r="B417" s="6">
        <v>5</v>
      </c>
      <c r="C417" s="6" t="s">
        <v>175</v>
      </c>
      <c r="D417" s="6">
        <v>155</v>
      </c>
      <c r="E417" s="22" t="str">
        <f>IF(C417="استحداث بند جديد", "", IF(D417&lt;&gt;"", IFERROR(INDEX('بنود العقد'!B$3:B$388,D417),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مقاس: 1000طولRef drawing: 07-MRA-DD-(as per floor number)-AR-700 to 703 عرض600 مم × </v>
      </c>
      <c r="F417" s="23" t="str">
        <f>IF(C417="استحداث بند جديد", "", IF(D417&lt;&gt;"", IFERROR(INDEX('بنود العقد'!D$3:D$388,D417), ""), ""))</f>
        <v>عدد</v>
      </c>
      <c r="G417" s="24">
        <f>IF(C417="استحداث بند جديد", "", IF(D417&lt;&gt;"", IFERROR(INDEX('بنود العقد'!E$3:E$388,D417), 0), ""))</f>
        <v>1200</v>
      </c>
      <c r="H417" s="7">
        <v>6</v>
      </c>
      <c r="I417" s="8">
        <v>0</v>
      </c>
      <c r="J417" s="10">
        <f t="shared" si="3"/>
        <v>7200</v>
      </c>
      <c r="K417" s="76" t="str">
        <f>IF(C417="استحداث بند جديد", "", IF(D417&lt;&gt;"", IFERROR(INDEX('بنود العقد'!C$3:C$388,D417), ""), ""))</f>
        <v>معماري</v>
      </c>
      <c r="L417" s="76" t="str">
        <f>IF(C417="استحداث بند جديد", IF(K417&lt;&gt;"","CMH_01-"&amp;IFERROR(VLOOKUP(K417,مراجع!$A$3:$B$14,2,FALSE),"?")&amp;"-NEW-"&amp;TEXT(A417,"000"),""), IF(D417&lt;&gt;"", IFERROR(INDEX('بنود العقد'!I$3:I$388,D417), ""), ""))</f>
        <v>CMH_01-A-155</v>
      </c>
      <c r="M417" s="19"/>
    </row>
    <row r="418" spans="1:13" s="76" customFormat="1" ht="28.2" customHeight="1">
      <c r="A418" s="12">
        <v>416</v>
      </c>
      <c r="B418" s="6">
        <v>5</v>
      </c>
      <c r="C418" s="6" t="s">
        <v>175</v>
      </c>
      <c r="D418" s="6">
        <v>156</v>
      </c>
      <c r="E418" s="22" t="str">
        <f>IF(C418="استحداث بند جديد", "", IF(D418&lt;&gt;"", IFERROR(INDEX('بنود العقد'!B$3:B$388,D418),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المشرف.Ref drawing: 07-MRA-DD-(as per floor number)-AR-700 to 703 مقاس: 3800طول × عرض600 مم </v>
      </c>
      <c r="F418" s="23" t="str">
        <f>IF(C418="استحداث بند جديد", "", IF(D418&lt;&gt;"", IFERROR(INDEX('بنود العقد'!D$3:D$388,D418), ""), ""))</f>
        <v>عدد</v>
      </c>
      <c r="G418" s="24">
        <f>IF(C418="استحداث بند جديد", "", IF(D418&lt;&gt;"", IFERROR(INDEX('بنود العقد'!E$3:E$388,D418), 0), ""))</f>
        <v>6000</v>
      </c>
      <c r="H418" s="7">
        <v>4</v>
      </c>
      <c r="I418" s="8">
        <v>0</v>
      </c>
      <c r="J418" s="10">
        <f t="shared" si="3"/>
        <v>24000</v>
      </c>
      <c r="K418" s="76" t="str">
        <f>IF(C418="استحداث بند جديد", "", IF(D418&lt;&gt;"", IFERROR(INDEX('بنود العقد'!C$3:C$388,D418), ""), ""))</f>
        <v>معماري</v>
      </c>
      <c r="L418" s="76" t="str">
        <f>IF(C418="استحداث بند جديد", IF(K418&lt;&gt;"","CMH_01-"&amp;IFERROR(VLOOKUP(K418,مراجع!$A$3:$B$14,2,FALSE),"?")&amp;"-NEW-"&amp;TEXT(A418,"000"),""), IF(D418&lt;&gt;"", IFERROR(INDEX('بنود العقد'!I$3:I$388,D418), ""), ""))</f>
        <v>CMH_01-A-156</v>
      </c>
      <c r="M418" s="19"/>
    </row>
    <row r="419" spans="1:13" s="76" customFormat="1" ht="28.2" customHeight="1">
      <c r="A419" s="12">
        <v>417</v>
      </c>
      <c r="B419" s="6">
        <v>5</v>
      </c>
      <c r="C419" s="6" t="s">
        <v>250</v>
      </c>
      <c r="D419" s="6">
        <v>157</v>
      </c>
      <c r="E419" s="22" t="str">
        <f>IF(C419="استحداث بند جديد", "", IF(D419&lt;&gt;"", IFERROR(INDEX('بنود العقد'!B$3:B$388,D419),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1340طول × عرض600 مم </v>
      </c>
      <c r="F419" s="23" t="str">
        <f>IF(C419="استحداث بند جديد", "", IF(D419&lt;&gt;"", IFERROR(INDEX('بنود العقد'!D$3:D$388,D419), ""), ""))</f>
        <v>عدد</v>
      </c>
      <c r="G419" s="24">
        <f>IF(C419="استحداث بند جديد", "", IF(D419&lt;&gt;"", IFERROR(INDEX('بنود العقد'!E$3:E$388,D419), 0), ""))</f>
        <v>6000</v>
      </c>
      <c r="H419" s="7">
        <v>-2</v>
      </c>
      <c r="I419" s="8">
        <v>0</v>
      </c>
      <c r="J419" s="10">
        <f t="shared" si="3"/>
        <v>-12000</v>
      </c>
      <c r="K419" s="76" t="str">
        <f>IF(C419="استحداث بند جديد", "", IF(D419&lt;&gt;"", IFERROR(INDEX('بنود العقد'!C$3:C$388,D419), ""), ""))</f>
        <v>معماري</v>
      </c>
      <c r="L419" s="76" t="str">
        <f>IF(C419="استحداث بند جديد", IF(K419&lt;&gt;"","CMH_01-"&amp;IFERROR(VLOOKUP(K419,مراجع!$A$3:$B$14,2,FALSE),"?")&amp;"-NEW-"&amp;TEXT(A419,"000"),""), IF(D419&lt;&gt;"", IFERROR(INDEX('بنود العقد'!I$3:I$388,D419), ""), ""))</f>
        <v>CMH_01-A-157</v>
      </c>
      <c r="M419" s="19"/>
    </row>
    <row r="420" spans="1:13" s="76" customFormat="1" ht="28.2" customHeight="1">
      <c r="A420" s="12">
        <v>418</v>
      </c>
      <c r="B420" s="6">
        <v>5</v>
      </c>
      <c r="C420" s="6" t="s">
        <v>250</v>
      </c>
      <c r="D420" s="6">
        <v>158</v>
      </c>
      <c r="E420" s="22" t="str">
        <f>IF(C420="استحداث بند جديد", "", IF(D420&lt;&gt;"", IFERROR(INDEX('بنود العقد'!B$3:B$388,D420), "⚠"), ""))</f>
        <v>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1620طول × عرض600 مم</v>
      </c>
      <c r="F420" s="23" t="str">
        <f>IF(C420="استحداث بند جديد", "", IF(D420&lt;&gt;"", IFERROR(INDEX('بنود العقد'!D$3:D$388,D420), ""), ""))</f>
        <v>عدد</v>
      </c>
      <c r="G420" s="24">
        <f>IF(C420="استحداث بند جديد", "", IF(D420&lt;&gt;"", IFERROR(INDEX('بنود العقد'!E$3:E$388,D420), 0), ""))</f>
        <v>3000</v>
      </c>
      <c r="H420" s="7">
        <v>-7</v>
      </c>
      <c r="I420" s="8">
        <v>0</v>
      </c>
      <c r="J420" s="10">
        <f t="shared" si="3"/>
        <v>-21000</v>
      </c>
      <c r="K420" s="76" t="str">
        <f>IF(C420="استحداث بند جديد", "", IF(D420&lt;&gt;"", IFERROR(INDEX('بنود العقد'!C$3:C$388,D420), ""), ""))</f>
        <v>معماري</v>
      </c>
      <c r="L420" s="76" t="str">
        <f>IF(C420="استحداث بند جديد", IF(K420&lt;&gt;"","CMH_01-"&amp;IFERROR(VLOOKUP(K420,مراجع!$A$3:$B$14,2,FALSE),"?")&amp;"-NEW-"&amp;TEXT(A420,"000"),""), IF(D420&lt;&gt;"", IFERROR(INDEX('بنود العقد'!I$3:I$388,D420), ""), ""))</f>
        <v>CMH_01-A-158</v>
      </c>
      <c r="M420" s="19"/>
    </row>
    <row r="421" spans="1:13" s="76" customFormat="1" ht="28.2" customHeight="1">
      <c r="A421" s="12">
        <v>419</v>
      </c>
      <c r="B421" s="6">
        <v>5</v>
      </c>
      <c r="C421" s="6" t="s">
        <v>250</v>
      </c>
      <c r="D421" s="6">
        <v>159</v>
      </c>
      <c r="E421" s="22" t="str">
        <f>IF(C421="استحداث بند جديد", "", IF(D421&lt;&gt;"", IFERROR(INDEX('بنود العقد'!B$3:B$388,D421), "⚠"), ""))</f>
        <v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 Ref drawing: 07-MRA-DD-(as per floor number)-AR-700 to 703 مقاس: 1200طول × عرض500 مم </v>
      </c>
      <c r="F421" s="23" t="str">
        <f>IF(C421="استحداث بند جديد", "", IF(D421&lt;&gt;"", IFERROR(INDEX('بنود العقد'!D$3:D$388,D421), ""), ""))</f>
        <v>عدد</v>
      </c>
      <c r="G421" s="24">
        <f>IF(C421="استحداث بند جديد", "", IF(D421&lt;&gt;"", IFERROR(INDEX('بنود العقد'!E$3:E$388,D421), 0), ""))</f>
        <v>1800</v>
      </c>
      <c r="H421" s="7">
        <v>-2</v>
      </c>
      <c r="I421" s="8">
        <v>0</v>
      </c>
      <c r="J421" s="10">
        <f t="shared" si="3"/>
        <v>-3600</v>
      </c>
      <c r="K421" s="76" t="str">
        <f>IF(C421="استحداث بند جديد", "", IF(D421&lt;&gt;"", IFERROR(INDEX('بنود العقد'!C$3:C$388,D421), ""), ""))</f>
        <v>معماري</v>
      </c>
      <c r="L421" s="76" t="str">
        <f>IF(C421="استحداث بند جديد", IF(K421&lt;&gt;"","CMH_01-"&amp;IFERROR(VLOOKUP(K421,مراجع!$A$3:$B$14,2,FALSE),"?")&amp;"-NEW-"&amp;TEXT(A421,"000"),""), IF(D421&lt;&gt;"", IFERROR(INDEX('بنود العقد'!I$3:I$388,D421), ""), ""))</f>
        <v>CMH_01-A-159</v>
      </c>
      <c r="M421" s="19"/>
    </row>
    <row r="422" spans="1:13" s="76" customFormat="1" ht="28.2" customHeight="1">
      <c r="A422" s="12">
        <v>420</v>
      </c>
      <c r="B422" s="6">
        <v>5</v>
      </c>
      <c r="C422" s="6" t="s">
        <v>250</v>
      </c>
      <c r="D422" s="6">
        <v>160</v>
      </c>
      <c r="E422" s="22" t="str">
        <f>IF(C422="استحداث بند جديد", "", IF(D422&lt;&gt;"", IFERROR(INDEX('بنود العقد'!B$3:B$388,D422),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1250طول × عرض600 مم</v>
      </c>
      <c r="F422" s="23" t="str">
        <f>IF(C422="استحداث بند جديد", "", IF(D422&lt;&gt;"", IFERROR(INDEX('بنود العقد'!D$3:D$388,D422), ""), ""))</f>
        <v>عدد</v>
      </c>
      <c r="G422" s="24">
        <f>IF(C422="استحداث بند جديد", "", IF(D422&lt;&gt;"", IFERROR(INDEX('بنود العقد'!E$3:E$388,D422), 0), ""))</f>
        <v>1800</v>
      </c>
      <c r="H422" s="7">
        <v>-16</v>
      </c>
      <c r="I422" s="8">
        <v>0</v>
      </c>
      <c r="J422" s="10">
        <f t="shared" si="3"/>
        <v>-28800</v>
      </c>
      <c r="K422" s="76" t="str">
        <f>IF(C422="استحداث بند جديد", "", IF(D422&lt;&gt;"", IFERROR(INDEX('بنود العقد'!C$3:C$388,D422), ""), ""))</f>
        <v>معماري</v>
      </c>
      <c r="L422" s="76" t="str">
        <f>IF(C422="استحداث بند جديد", IF(K422&lt;&gt;"","CMH_01-"&amp;IFERROR(VLOOKUP(K422,مراجع!$A$3:$B$14,2,FALSE),"?")&amp;"-NEW-"&amp;TEXT(A422,"000"),""), IF(D422&lt;&gt;"", IFERROR(INDEX('بنود العقد'!I$3:I$388,D422), ""), ""))</f>
        <v>CMH_01-A-160</v>
      </c>
      <c r="M422" s="19"/>
    </row>
    <row r="423" spans="1:13" s="76" customFormat="1" ht="28.2" customHeight="1">
      <c r="A423" s="12">
        <v>421</v>
      </c>
      <c r="B423" s="6">
        <v>5</v>
      </c>
      <c r="C423" s="6" t="s">
        <v>175</v>
      </c>
      <c r="D423" s="6">
        <v>161</v>
      </c>
      <c r="E423" s="22" t="str">
        <f>IF(C423="استحداث بند جديد", "", IF(D423&lt;&gt;"", IFERROR(INDEX('بنود العقد'!B$3:B$388,D423),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1200طول × عرض600 مم</v>
      </c>
      <c r="F423" s="23" t="str">
        <f>IF(C423="استحداث بند جديد", "", IF(D423&lt;&gt;"", IFERROR(INDEX('بنود العقد'!D$3:D$388,D423), ""), ""))</f>
        <v>عدد</v>
      </c>
      <c r="G423" s="24">
        <f>IF(C423="استحداث بند جديد", "", IF(D423&lt;&gt;"", IFERROR(INDEX('بنود العقد'!E$3:E$388,D423), 0), ""))</f>
        <v>1800</v>
      </c>
      <c r="H423" s="7">
        <v>3</v>
      </c>
      <c r="I423" s="8">
        <v>0</v>
      </c>
      <c r="J423" s="10">
        <f t="shared" si="3"/>
        <v>5400</v>
      </c>
      <c r="K423" s="76" t="str">
        <f>IF(C423="استحداث بند جديد", "", IF(D423&lt;&gt;"", IFERROR(INDEX('بنود العقد'!C$3:C$388,D423), ""), ""))</f>
        <v>معماري</v>
      </c>
      <c r="L423" s="76" t="str">
        <f>IF(C423="استحداث بند جديد", IF(K423&lt;&gt;"","CMH_01-"&amp;IFERROR(VLOOKUP(K423,مراجع!$A$3:$B$14,2,FALSE),"?")&amp;"-NEW-"&amp;TEXT(A423,"000"),""), IF(D423&lt;&gt;"", IFERROR(INDEX('بنود العقد'!I$3:I$388,D423), ""), ""))</f>
        <v>CMH_01-A-161</v>
      </c>
      <c r="M423" s="19"/>
    </row>
    <row r="424" spans="1:13" s="76" customFormat="1" ht="28.2" customHeight="1">
      <c r="A424" s="12">
        <v>422</v>
      </c>
      <c r="B424" s="6">
        <v>5</v>
      </c>
      <c r="C424" s="6" t="s">
        <v>250</v>
      </c>
      <c r="D424" s="6">
        <v>162</v>
      </c>
      <c r="E424" s="22" t="str">
        <f>IF(C424="استحداث بند جديد", "", IF(D424&lt;&gt;"", IFERROR(INDEX('بنود العقد'!B$3:B$388,D424),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المشرف.Ref drawing: 07-MRA-DD-(as per floor number)-AR-700 to 703 مقاس: 1000طول × عرض600 مم</v>
      </c>
      <c r="F424" s="23" t="str">
        <f>IF(C424="استحداث بند جديد", "", IF(D424&lt;&gt;"", IFERROR(INDEX('بنود العقد'!D$3:D$388,D424), ""), ""))</f>
        <v>عدد</v>
      </c>
      <c r="G424" s="24">
        <f>IF(C424="استحداث بند جديد", "", IF(D424&lt;&gt;"", IFERROR(INDEX('بنود العقد'!E$3:E$388,D424), 0), ""))</f>
        <v>1800</v>
      </c>
      <c r="H424" s="7">
        <v>-6</v>
      </c>
      <c r="I424" s="8">
        <v>0</v>
      </c>
      <c r="J424" s="10">
        <f t="shared" si="3"/>
        <v>-10800</v>
      </c>
      <c r="K424" s="76" t="str">
        <f>IF(C424="استحداث بند جديد", "", IF(D424&lt;&gt;"", IFERROR(INDEX('بنود العقد'!C$3:C$388,D424), ""), ""))</f>
        <v>معماري</v>
      </c>
      <c r="L424" s="76" t="str">
        <f>IF(C424="استحداث بند جديد", IF(K424&lt;&gt;"","CMH_01-"&amp;IFERROR(VLOOKUP(K424,مراجع!$A$3:$B$14,2,FALSE),"?")&amp;"-NEW-"&amp;TEXT(A424,"000"),""), IF(D424&lt;&gt;"", IFERROR(INDEX('بنود العقد'!I$3:I$388,D424), ""), ""))</f>
        <v>CMH_01-A-162</v>
      </c>
      <c r="M424" s="19"/>
    </row>
    <row r="425" spans="1:13" s="76" customFormat="1" ht="28.2" customHeight="1">
      <c r="A425" s="12">
        <v>423</v>
      </c>
      <c r="B425" s="6">
        <v>5</v>
      </c>
      <c r="C425" s="6" t="s">
        <v>250</v>
      </c>
      <c r="D425" s="6">
        <v>164</v>
      </c>
      <c r="E425" s="22" t="str">
        <f>IF(C425="استحداث بند جديد", "", IF(D425&lt;&gt;"", IFERROR(INDEX('بنود العقد'!B$3:B$388,D425),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1340طول × عرض600 مم</v>
      </c>
      <c r="F425" s="23" t="str">
        <f>IF(C425="استحداث بند جديد", "", IF(D425&lt;&gt;"", IFERROR(INDEX('بنود العقد'!D$3:D$388,D425), ""), ""))</f>
        <v>عدد</v>
      </c>
      <c r="G425" s="24">
        <f>IF(C425="استحداث بند جديد", "", IF(D425&lt;&gt;"", IFERROR(INDEX('بنود العقد'!E$3:E$388,D425), 0), ""))</f>
        <v>2100</v>
      </c>
      <c r="H425" s="7">
        <v>-2</v>
      </c>
      <c r="I425" s="8">
        <v>0</v>
      </c>
      <c r="J425" s="10">
        <f t="shared" si="3"/>
        <v>-4200</v>
      </c>
      <c r="K425" s="76" t="str">
        <f>IF(C425="استحداث بند جديد", "", IF(D425&lt;&gt;"", IFERROR(INDEX('بنود العقد'!C$3:C$388,D425), ""), ""))</f>
        <v>معماري</v>
      </c>
      <c r="L425" s="76" t="str">
        <f>IF(C425="استحداث بند جديد", IF(K425&lt;&gt;"","CMH_01-"&amp;IFERROR(VLOOKUP(K425,مراجع!$A$3:$B$14,2,FALSE),"?")&amp;"-NEW-"&amp;TEXT(A425,"000"),""), IF(D425&lt;&gt;"", IFERROR(INDEX('بنود العقد'!I$3:I$388,D425), ""), ""))</f>
        <v>CMH_01-A-164</v>
      </c>
      <c r="M425" s="19"/>
    </row>
    <row r="426" spans="1:13" s="76" customFormat="1" ht="28.2" customHeight="1">
      <c r="A426" s="12">
        <v>424</v>
      </c>
      <c r="B426" s="6">
        <v>5</v>
      </c>
      <c r="C426" s="6" t="s">
        <v>250</v>
      </c>
      <c r="D426" s="6">
        <v>165</v>
      </c>
      <c r="E426" s="22" t="str">
        <f>IF(C426="استحداث بند جديد", "", IF(D426&lt;&gt;"", IFERROR(INDEX('بنود العقد'!B$3:B$388,D426),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1620طول × عرض600 مم</v>
      </c>
      <c r="F426" s="23" t="str">
        <f>IF(C426="استحداث بند جديد", "", IF(D426&lt;&gt;"", IFERROR(INDEX('بنود العقد'!D$3:D$388,D426), ""), ""))</f>
        <v>عدد</v>
      </c>
      <c r="G426" s="24">
        <f>IF(C426="استحداث بند جديد", "", IF(D426&lt;&gt;"", IFERROR(INDEX('بنود العقد'!E$3:E$388,D426), 0), ""))</f>
        <v>3000</v>
      </c>
      <c r="H426" s="7">
        <v>-4</v>
      </c>
      <c r="I426" s="8">
        <v>0</v>
      </c>
      <c r="J426" s="10">
        <f t="shared" si="3"/>
        <v>-12000</v>
      </c>
      <c r="K426" s="76" t="str">
        <f>IF(C426="استحداث بند جديد", "", IF(D426&lt;&gt;"", IFERROR(INDEX('بنود العقد'!C$3:C$388,D426), ""), ""))</f>
        <v>معماري</v>
      </c>
      <c r="L426" s="76" t="str">
        <f>IF(C426="استحداث بند جديد", IF(K426&lt;&gt;"","CMH_01-"&amp;IFERROR(VLOOKUP(K426,مراجع!$A$3:$B$14,2,FALSE),"?")&amp;"-NEW-"&amp;TEXT(A426,"000"),""), IF(D426&lt;&gt;"", IFERROR(INDEX('بنود العقد'!I$3:I$388,D426), ""), ""))</f>
        <v>CMH_01-A-165</v>
      </c>
      <c r="M426" s="19"/>
    </row>
    <row r="427" spans="1:13" s="76" customFormat="1" ht="28.2" customHeight="1">
      <c r="A427" s="12">
        <v>425</v>
      </c>
      <c r="B427" s="6">
        <v>5</v>
      </c>
      <c r="C427" s="6" t="s">
        <v>250</v>
      </c>
      <c r="D427" s="6">
        <v>166</v>
      </c>
      <c r="E427" s="22" t="str">
        <f>IF(C427="استحداث بند جديد", "", IF(D427&lt;&gt;"", IFERROR(INDEX('بنود العقد'!B$3:B$388,D427), "⚠"), ""))</f>
        <v>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 Ref drawing: 07-MRA-DD-(as per floor number)-AR-700 to 703 مقاس: 1200طول × عرض500 مم</v>
      </c>
      <c r="F427" s="23" t="str">
        <f>IF(C427="استحداث بند جديد", "", IF(D427&lt;&gt;"", IFERROR(INDEX('بنود العقد'!D$3:D$388,D427), ""), ""))</f>
        <v>عدد</v>
      </c>
      <c r="G427" s="24">
        <f>IF(C427="استحداث بند جديد", "", IF(D427&lt;&gt;"", IFERROR(INDEX('بنود العقد'!E$3:E$388,D427), 0), ""))</f>
        <v>2400</v>
      </c>
      <c r="H427" s="7">
        <v>-2</v>
      </c>
      <c r="I427" s="8">
        <v>0</v>
      </c>
      <c r="J427" s="10">
        <f t="shared" si="3"/>
        <v>-4800</v>
      </c>
      <c r="K427" s="76" t="str">
        <f>IF(C427="استحداث بند جديد", "", IF(D427&lt;&gt;"", IFERROR(INDEX('بنود العقد'!C$3:C$388,D427), ""), ""))</f>
        <v>معماري</v>
      </c>
      <c r="L427" s="76" t="str">
        <f>IF(C427="استحداث بند جديد", IF(K427&lt;&gt;"","CMH_01-"&amp;IFERROR(VLOOKUP(K427,مراجع!$A$3:$B$14,2,FALSE),"?")&amp;"-NEW-"&amp;TEXT(A427,"000"),""), IF(D427&lt;&gt;"", IFERROR(INDEX('بنود العقد'!I$3:I$388,D427), ""), ""))</f>
        <v>CMH_01-A-166</v>
      </c>
      <c r="M427" s="19"/>
    </row>
    <row r="428" spans="1:13" s="76" customFormat="1" ht="28.2" customHeight="1">
      <c r="A428" s="12">
        <v>426</v>
      </c>
      <c r="B428" s="6">
        <v>5</v>
      </c>
      <c r="C428" s="6" t="s">
        <v>250</v>
      </c>
      <c r="D428" s="6">
        <v>167</v>
      </c>
      <c r="E428" s="22" t="str">
        <f>IF(C428="استحداث بند جديد", "", IF(D428&lt;&gt;"", IFERROR(INDEX('بنود العقد'!B$3:B$388,D428), "⚠"), ""))</f>
        <v xml:space="preserve"> توريد وتركيب بار كاونتر للمطعم من الرخام الأسود والوجه مطلي باللون الرمادي على شكل وهيئة.الأسطح الاسمنتية  4400mm -طول x 1100mm - ارتفاع x 600mm -عرض</v>
      </c>
      <c r="F428" s="23" t="str">
        <f>IF(C428="استحداث بند جديد", "", IF(D428&lt;&gt;"", IFERROR(INDEX('بنود العقد'!D$3:D$388,D428), ""), ""))</f>
        <v>عدد</v>
      </c>
      <c r="G428" s="24">
        <f>IF(C428="استحداث بند جديد", "", IF(D428&lt;&gt;"", IFERROR(INDEX('بنود العقد'!E$3:E$388,D428), 0), ""))</f>
        <v>9000</v>
      </c>
      <c r="H428" s="7">
        <v>-1</v>
      </c>
      <c r="I428" s="8">
        <v>0</v>
      </c>
      <c r="J428" s="10">
        <f t="shared" si="3"/>
        <v>-9000</v>
      </c>
      <c r="K428" s="76" t="str">
        <f>IF(C428="استحداث بند جديد", "", IF(D428&lt;&gt;"", IFERROR(INDEX('بنود العقد'!C$3:C$388,D428), ""), ""))</f>
        <v>معماري</v>
      </c>
      <c r="L428" s="76" t="str">
        <f>IF(C428="استحداث بند جديد", IF(K428&lt;&gt;"","CMH_01-"&amp;IFERROR(VLOOKUP(K428,مراجع!$A$3:$B$14,2,FALSE),"?")&amp;"-NEW-"&amp;TEXT(A428,"000"),""), IF(D428&lt;&gt;"", IFERROR(INDEX('بنود العقد'!I$3:I$388,D428), ""), ""))</f>
        <v>CMH_01-A-167</v>
      </c>
      <c r="M428" s="19"/>
    </row>
    <row r="429" spans="1:13" s="76" customFormat="1" ht="28.2" customHeight="1">
      <c r="A429" s="12">
        <v>427</v>
      </c>
      <c r="B429" s="6">
        <v>5</v>
      </c>
      <c r="C429" s="6" t="s">
        <v>250</v>
      </c>
      <c r="D429" s="6">
        <v>168</v>
      </c>
      <c r="E429" s="22" t="str">
        <f>IF(C429="استحداث بند جديد", "", IF(D429&lt;&gt;"", IFERROR(INDEX('بنود العقد'!B$3:B$388,D429), "⚠"), ""))</f>
        <v xml:space="preserve"> توريد وتركيب بار كاونتر للمطعم من الرخام الأسود والوجه مطلي باللون الرمادي على شكل وهيئة.الأسطح الاسمنتية  3100mm -طول x 1100mm - ارتفاع x 600mm -عرض</v>
      </c>
      <c r="F429" s="23" t="str">
        <f>IF(C429="استحداث بند جديد", "", IF(D429&lt;&gt;"", IFERROR(INDEX('بنود العقد'!D$3:D$388,D429), ""), ""))</f>
        <v>عدد</v>
      </c>
      <c r="G429" s="24">
        <f>IF(C429="استحداث بند جديد", "", IF(D429&lt;&gt;"", IFERROR(INDEX('بنود العقد'!E$3:E$388,D429), 0), ""))</f>
        <v>7200</v>
      </c>
      <c r="H429" s="7">
        <v>-1</v>
      </c>
      <c r="I429" s="8">
        <v>0</v>
      </c>
      <c r="J429" s="10">
        <f t="shared" si="3"/>
        <v>-7200</v>
      </c>
      <c r="K429" s="76" t="str">
        <f>IF(C429="استحداث بند جديد", "", IF(D429&lt;&gt;"", IFERROR(INDEX('بنود العقد'!C$3:C$388,D429), ""), ""))</f>
        <v>معماري</v>
      </c>
      <c r="L429" s="76" t="str">
        <f>IF(C429="استحداث بند جديد", IF(K429&lt;&gt;"","CMH_01-"&amp;IFERROR(VLOOKUP(K429,مراجع!$A$3:$B$14,2,FALSE),"?")&amp;"-NEW-"&amp;TEXT(A429,"000"),""), IF(D429&lt;&gt;"", IFERROR(INDEX('بنود العقد'!I$3:I$388,D429), ""), ""))</f>
        <v>CMH_01-A-168</v>
      </c>
      <c r="M429" s="19"/>
    </row>
    <row r="430" spans="1:13" s="76" customFormat="1" ht="28.2" customHeight="1">
      <c r="A430" s="12">
        <v>428</v>
      </c>
      <c r="B430" s="6">
        <v>5</v>
      </c>
      <c r="C430" s="6" t="s">
        <v>250</v>
      </c>
      <c r="D430" s="6">
        <v>169</v>
      </c>
      <c r="E430" s="22" t="str">
        <f>IF(C430="استحداث بند جديد", "", IF(D430&lt;&gt;"", IFERROR(INDEX('بنود العقد'!B$3:B$388,D430), "⚠"), ""))</f>
        <v>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للإستقبال نوع  101ID</v>
      </c>
      <c r="F430" s="23" t="str">
        <f>IF(C430="استحداث بند جديد", "", IF(D430&lt;&gt;"", IFERROR(INDEX('بنود العقد'!D$3:D$388,D430), ""), ""))</f>
        <v>عدد</v>
      </c>
      <c r="G430" s="24">
        <f>IF(C430="استحداث بند جديد", "", IF(D430&lt;&gt;"", IFERROR(INDEX('بنود العقد'!E$3:E$388,D430), 0), ""))</f>
        <v>258</v>
      </c>
      <c r="H430" s="7">
        <v>-24</v>
      </c>
      <c r="I430" s="8">
        <v>0</v>
      </c>
      <c r="J430" s="10">
        <f t="shared" si="3"/>
        <v>-6192</v>
      </c>
      <c r="K430" s="76" t="str">
        <f>IF(C430="استحداث بند جديد", "", IF(D430&lt;&gt;"", IFERROR(INDEX('بنود العقد'!C$3:C$388,D430), ""), ""))</f>
        <v>معماري</v>
      </c>
      <c r="L430" s="76" t="str">
        <f>IF(C430="استحداث بند جديد", IF(K430&lt;&gt;"","CMH_01-"&amp;IFERROR(VLOOKUP(K430,مراجع!$A$3:$B$14,2,FALSE),"?")&amp;"-NEW-"&amp;TEXT(A430,"000"),""), IF(D430&lt;&gt;"", IFERROR(INDEX('بنود العقد'!I$3:I$388,D430), ""), ""))</f>
        <v>CMH_01-A-169</v>
      </c>
      <c r="M430" s="19"/>
    </row>
    <row r="431" spans="1:13" s="76" customFormat="1" ht="28.2" customHeight="1">
      <c r="A431" s="12">
        <v>429</v>
      </c>
      <c r="B431" s="6">
        <v>5</v>
      </c>
      <c r="C431" s="6" t="s">
        <v>250</v>
      </c>
      <c r="D431" s="6">
        <v>170</v>
      </c>
      <c r="E431" s="22" t="str">
        <f>IF(C431="استحداث بند جديد", "", IF(D431&lt;&gt;"", IFERROR(INDEX('بنود العقد'!B$3:B$388,D431), "⚠"), ""))</f>
        <v>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للمكاتب نوع  102ID</v>
      </c>
      <c r="F431" s="23" t="str">
        <f>IF(C431="استحداث بند جديد", "", IF(D431&lt;&gt;"", IFERROR(INDEX('بنود العقد'!D$3:D$388,D431), ""), ""))</f>
        <v>عدد</v>
      </c>
      <c r="G431" s="24">
        <f>IF(C431="استحداث بند جديد", "", IF(D431&lt;&gt;"", IFERROR(INDEX('بنود العقد'!E$3:E$388,D431), 0), ""))</f>
        <v>258</v>
      </c>
      <c r="H431" s="7">
        <v>-272</v>
      </c>
      <c r="I431" s="8">
        <v>0</v>
      </c>
      <c r="J431" s="10">
        <f t="shared" si="3"/>
        <v>-70176</v>
      </c>
      <c r="K431" s="76" t="str">
        <f>IF(C431="استحداث بند جديد", "", IF(D431&lt;&gt;"", IFERROR(INDEX('بنود العقد'!C$3:C$388,D431), ""), ""))</f>
        <v>معماري</v>
      </c>
      <c r="L431" s="76" t="str">
        <f>IF(C431="استحداث بند جديد", IF(K431&lt;&gt;"","CMH_01-"&amp;IFERROR(VLOOKUP(K431,مراجع!$A$3:$B$14,2,FALSE),"?")&amp;"-NEW-"&amp;TEXT(A431,"000"),""), IF(D431&lt;&gt;"", IFERROR(INDEX('بنود العقد'!I$3:I$388,D431), ""), ""))</f>
        <v>CMH_01-A-170</v>
      </c>
      <c r="M431" s="19"/>
    </row>
    <row r="432" spans="1:13" s="76" customFormat="1" ht="28.2" customHeight="1">
      <c r="A432" s="12">
        <v>430</v>
      </c>
      <c r="B432" s="6">
        <v>5</v>
      </c>
      <c r="C432" s="6" t="s">
        <v>250</v>
      </c>
      <c r="D432" s="6">
        <v>171</v>
      </c>
      <c r="E432" s="22" t="str">
        <f>IF(C432="استحداث بند جديد", "", IF(D432&lt;&gt;"", IFERROR(INDEX('بنود العقد'!B$3:B$388,D432), "⚠"), ""))</f>
        <v>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لحجرة الإجتماعات نوع  103ID</v>
      </c>
      <c r="F432" s="23" t="str">
        <f>IF(C432="استحداث بند جديد", "", IF(D432&lt;&gt;"", IFERROR(INDEX('بنود العقد'!D$3:D$388,D432), ""), ""))</f>
        <v>عدد</v>
      </c>
      <c r="G432" s="24">
        <f>IF(C432="استحداث بند جديد", "", IF(D432&lt;&gt;"", IFERROR(INDEX('بنود العقد'!E$3:E$388,D432), 0), ""))</f>
        <v>258</v>
      </c>
      <c r="H432" s="7">
        <v>-34</v>
      </c>
      <c r="I432" s="8">
        <v>0</v>
      </c>
      <c r="J432" s="10">
        <f t="shared" si="3"/>
        <v>-8772</v>
      </c>
      <c r="K432" s="76" t="str">
        <f>IF(C432="استحداث بند جديد", "", IF(D432&lt;&gt;"", IFERROR(INDEX('بنود العقد'!C$3:C$388,D432), ""), ""))</f>
        <v>معماري</v>
      </c>
      <c r="L432" s="76" t="str">
        <f>IF(C432="استحداث بند جديد", IF(K432&lt;&gt;"","CMH_01-"&amp;IFERROR(VLOOKUP(K432,مراجع!$A$3:$B$14,2,FALSE),"?")&amp;"-NEW-"&amp;TEXT(A432,"000"),""), IF(D432&lt;&gt;"", IFERROR(INDEX('بنود العقد'!I$3:I$388,D432), ""), ""))</f>
        <v>CMH_01-A-171</v>
      </c>
      <c r="M432" s="19"/>
    </row>
    <row r="433" spans="1:13" s="76" customFormat="1" ht="28.2" customHeight="1">
      <c r="A433" s="12">
        <v>431</v>
      </c>
      <c r="B433" s="6">
        <v>5</v>
      </c>
      <c r="C433" s="6" t="s">
        <v>250</v>
      </c>
      <c r="D433" s="6">
        <v>172</v>
      </c>
      <c r="E433" s="22" t="str">
        <f>IF(C433="استحداث بند جديد", "", IF(D433&lt;&gt;"", IFERROR(INDEX('بنود العقد'!B$3:B$388,D433), "⚠"), ""))</f>
        <v>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للحمامات نوع  104ID</v>
      </c>
      <c r="F433" s="23" t="str">
        <f>IF(C433="استحداث بند جديد", "", IF(D433&lt;&gt;"", IFERROR(INDEX('بنود العقد'!D$3:D$388,D433), ""), ""))</f>
        <v>عدد</v>
      </c>
      <c r="G433" s="24">
        <f>IF(C433="استحداث بند جديد", "", IF(D433&lt;&gt;"", IFERROR(INDEX('بنود العقد'!E$3:E$388,D433), 0), ""))</f>
        <v>258</v>
      </c>
      <c r="H433" s="7">
        <v>-98</v>
      </c>
      <c r="I433" s="8">
        <v>0</v>
      </c>
      <c r="J433" s="10">
        <f t="shared" si="3"/>
        <v>-25284</v>
      </c>
      <c r="K433" s="76" t="str">
        <f>IF(C433="استحداث بند جديد", "", IF(D433&lt;&gt;"", IFERROR(INDEX('بنود العقد'!C$3:C$388,D433), ""), ""))</f>
        <v>معماري</v>
      </c>
      <c r="L433" s="76" t="str">
        <f>IF(C433="استحداث بند جديد", IF(K433&lt;&gt;"","CMH_01-"&amp;IFERROR(VLOOKUP(K433,مراجع!$A$3:$B$14,2,FALSE),"?")&amp;"-NEW-"&amp;TEXT(A433,"000"),""), IF(D433&lt;&gt;"", IFERROR(INDEX('بنود العقد'!I$3:I$388,D433), ""), ""))</f>
        <v>CMH_01-A-172</v>
      </c>
      <c r="M433" s="19"/>
    </row>
    <row r="434" spans="1:13" s="76" customFormat="1" ht="28.2" customHeight="1">
      <c r="A434" s="12">
        <v>432</v>
      </c>
      <c r="B434" s="6">
        <v>5</v>
      </c>
      <c r="C434" s="6" t="s">
        <v>250</v>
      </c>
      <c r="D434" s="6">
        <v>173</v>
      </c>
      <c r="E434" s="22" t="str">
        <f>IF(C434="استحداث بند جديد", "", IF(D434&lt;&gt;"", IFERROR(INDEX('بنود العقد'!B$3:B$388,D434), "⚠"), ""))</f>
        <v>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لمستوي السلالم نوع  105ID</v>
      </c>
      <c r="F434" s="23" t="str">
        <f>IF(C434="استحداث بند جديد", "", IF(D434&lt;&gt;"", IFERROR(INDEX('بنود العقد'!D$3:D$388,D434), ""), ""))</f>
        <v>عدد</v>
      </c>
      <c r="G434" s="24">
        <f>IF(C434="استحداث بند جديد", "", IF(D434&lt;&gt;"", IFERROR(INDEX('بنود العقد'!E$3:E$388,D434), 0), ""))</f>
        <v>258</v>
      </c>
      <c r="H434" s="7">
        <v>-30</v>
      </c>
      <c r="I434" s="8">
        <v>0</v>
      </c>
      <c r="J434" s="10">
        <f t="shared" si="3"/>
        <v>-7740</v>
      </c>
      <c r="K434" s="76" t="str">
        <f>IF(C434="استحداث بند جديد", "", IF(D434&lt;&gt;"", IFERROR(INDEX('بنود العقد'!C$3:C$388,D434), ""), ""))</f>
        <v>معماري</v>
      </c>
      <c r="L434" s="76" t="str">
        <f>IF(C434="استحداث بند جديد", IF(K434&lt;&gt;"","CMH_01-"&amp;IFERROR(VLOOKUP(K434,مراجع!$A$3:$B$14,2,FALSE),"?")&amp;"-NEW-"&amp;TEXT(A434,"000"),""), IF(D434&lt;&gt;"", IFERROR(INDEX('بنود العقد'!I$3:I$388,D434), ""), ""))</f>
        <v>CMH_01-A-173</v>
      </c>
      <c r="M434" s="19"/>
    </row>
    <row r="435" spans="1:13" s="76" customFormat="1" ht="28.2" customHeight="1">
      <c r="A435" s="12">
        <v>433</v>
      </c>
      <c r="B435" s="6">
        <v>5</v>
      </c>
      <c r="C435" s="6" t="s">
        <v>250</v>
      </c>
      <c r="D435" s="6">
        <v>174</v>
      </c>
      <c r="E435" s="22" t="str">
        <f>IF(C435="استحداث بند جديد", "", IF(D435&lt;&gt;"", IFERROR(INDEX('بنود العقد'!B$3:B$388,D435), "⚠"), ""))</f>
        <v>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لسلالم الخروج نوع  106ID</v>
      </c>
      <c r="F435" s="23" t="str">
        <f>IF(C435="استحداث بند جديد", "", IF(D435&lt;&gt;"", IFERROR(INDEX('بنود العقد'!D$3:D$388,D435), ""), ""))</f>
        <v>عدد</v>
      </c>
      <c r="G435" s="24">
        <f>IF(C435="استحداث بند جديد", "", IF(D435&lt;&gt;"", IFERROR(INDEX('بنود العقد'!E$3:E$388,D435), 0), ""))</f>
        <v>138</v>
      </c>
      <c r="H435" s="7">
        <v>-30</v>
      </c>
      <c r="I435" s="8">
        <v>0</v>
      </c>
      <c r="J435" s="10">
        <f t="shared" si="3"/>
        <v>-4140</v>
      </c>
      <c r="K435" s="76" t="str">
        <f>IF(C435="استحداث بند جديد", "", IF(D435&lt;&gt;"", IFERROR(INDEX('بنود العقد'!C$3:C$388,D435), ""), ""))</f>
        <v>معماري</v>
      </c>
      <c r="L435" s="76" t="str">
        <f>IF(C435="استحداث بند جديد", IF(K435&lt;&gt;"","CMH_01-"&amp;IFERROR(VLOOKUP(K435,مراجع!$A$3:$B$14,2,FALSE),"?")&amp;"-NEW-"&amp;TEXT(A435,"000"),""), IF(D435&lt;&gt;"", IFERROR(INDEX('بنود العقد'!I$3:I$388,D435), ""), ""))</f>
        <v>CMH_01-A-174</v>
      </c>
      <c r="M435" s="19"/>
    </row>
    <row r="436" spans="1:13" s="76" customFormat="1" ht="28.2" customHeight="1">
      <c r="A436" s="12">
        <v>434</v>
      </c>
      <c r="B436" s="6">
        <v>5</v>
      </c>
      <c r="C436" s="6" t="s">
        <v>250</v>
      </c>
      <c r="D436" s="6">
        <v>175</v>
      </c>
      <c r="E436" s="22" t="str">
        <f>IF(C436="استحداث بند جديد", "", IF(D436&lt;&gt;"", IFERROR(INDEX('بنود العقد'!B$3:B$388,D436), "⚠"), ""))</f>
        <v>قواطع الحمامات مكونة من ألواح الفينوليك المضغوط ارتفاع 2 متر ذو المقاومة الشديدة للماء مع طبقة ميلامين بلون رمادي غامق مقاومة للخدش وسهلة التنظيف ، سمك الألواح هو  19 ملم ،. قواطع الحمامات تشمل إكسسوارات عالية الجودة ) مفصلات ذاتية الإغلاق وقفل ( والأبواب والاكسسوارات والعلاقات من الستانلس ستيل brushed finish وكل ما يلزم لانهاء العمل حسب الأصول الفنية والمواصفلت وتعليمات المهندس المشرف .</v>
      </c>
      <c r="F436" s="23" t="str">
        <f>IF(C436="استحداث بند جديد", "", IF(D436&lt;&gt;"", IFERROR(INDEX('بنود العقد'!D$3:D$388,D436), ""), ""))</f>
        <v>م²</v>
      </c>
      <c r="G436" s="24">
        <f>IF(C436="استحداث بند جديد", "", IF(D436&lt;&gt;"", IFERROR(INDEX('بنود العقد'!E$3:E$388,D436), 0), ""))</f>
        <v>780</v>
      </c>
      <c r="H436" s="7">
        <v>-18.93</v>
      </c>
      <c r="I436" s="8">
        <v>0</v>
      </c>
      <c r="J436" s="10">
        <f t="shared" si="3"/>
        <v>-14765.4</v>
      </c>
      <c r="K436" s="76" t="str">
        <f>IF(C436="استحداث بند جديد", "", IF(D436&lt;&gt;"", IFERROR(INDEX('بنود العقد'!C$3:C$388,D436), ""), ""))</f>
        <v>معماري</v>
      </c>
      <c r="L436" s="76" t="str">
        <f>IF(C436="استحداث بند جديد", IF(K436&lt;&gt;"","CMH_01-"&amp;IFERROR(VLOOKUP(K436,مراجع!$A$3:$B$14,2,FALSE),"?")&amp;"-NEW-"&amp;TEXT(A436,"000"),""), IF(D436&lt;&gt;"", IFERROR(INDEX('بنود العقد'!I$3:I$388,D436), ""), ""))</f>
        <v>CMH_01-A-175</v>
      </c>
      <c r="M436" s="19"/>
    </row>
    <row r="437" spans="1:13" s="76" customFormat="1" ht="28.2" customHeight="1">
      <c r="A437" s="12">
        <v>435</v>
      </c>
      <c r="B437" s="6">
        <v>5</v>
      </c>
      <c r="C437" s="6" t="s">
        <v>175</v>
      </c>
      <c r="D437" s="6">
        <v>176</v>
      </c>
      <c r="E437" s="22" t="str">
        <f>IF(C437="استحداث بند جديد", "", IF(D437&lt;&gt;"", IFERROR(INDEX('بنود العقد'!B$3:B$388,D437),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F437" s="23" t="str">
        <f>IF(C437="استحداث بند جديد", "", IF(D437&lt;&gt;"", IFERROR(INDEX('بنود العقد'!D$3:D$388,D437), ""), ""))</f>
        <v>م.ط</v>
      </c>
      <c r="G437" s="24">
        <f>IF(C437="استحداث بند جديد", "", IF(D437&lt;&gt;"", IFERROR(INDEX('بنود العقد'!E$3:E$388,D437), 0), ""))</f>
        <v>66</v>
      </c>
      <c r="H437" s="7">
        <v>255.76</v>
      </c>
      <c r="I437" s="8">
        <v>0</v>
      </c>
      <c r="J437" s="10">
        <f t="shared" si="3"/>
        <v>16880.16</v>
      </c>
      <c r="K437" s="76" t="str">
        <f>IF(C437="استحداث بند جديد", "", IF(D437&lt;&gt;"", IFERROR(INDEX('بنود العقد'!C$3:C$388,D437), ""), ""))</f>
        <v>ميكانيكا</v>
      </c>
      <c r="L437" s="76" t="str">
        <f>IF(C437="استحداث بند جديد", IF(K437&lt;&gt;"","CMH_01-"&amp;IFERROR(VLOOKUP(K437,مراجع!$A$3:$B$14,2,FALSE),"?")&amp;"-NEW-"&amp;TEXT(A437,"000"),""), IF(D437&lt;&gt;"", IFERROR(INDEX('بنود العقد'!I$3:I$388,D437), ""), ""))</f>
        <v>CMH_01-ME-176</v>
      </c>
      <c r="M437" s="19"/>
    </row>
    <row r="438" spans="1:13" s="76" customFormat="1" ht="28.2" customHeight="1">
      <c r="A438" s="12">
        <v>436</v>
      </c>
      <c r="B438" s="6">
        <v>5</v>
      </c>
      <c r="C438" s="6" t="s">
        <v>175</v>
      </c>
      <c r="D438" s="6">
        <v>177</v>
      </c>
      <c r="E438" s="22" t="str">
        <f>IF(C438="استحداث بند جديد", "", IF(D438&lt;&gt;"", IFERROR(INDEX('بنود العقد'!B$3:B$388,D438),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F438" s="23" t="str">
        <f>IF(C438="استحداث بند جديد", "", IF(D438&lt;&gt;"", IFERROR(INDEX('بنود العقد'!D$3:D$388,D438), ""), ""))</f>
        <v>م.ط</v>
      </c>
      <c r="G438" s="24">
        <f>IF(C438="استحداث بند جديد", "", IF(D438&lt;&gt;"", IFERROR(INDEX('بنود العقد'!E$3:E$388,D438), 0), ""))</f>
        <v>70.8</v>
      </c>
      <c r="H438" s="7">
        <v>192.8</v>
      </c>
      <c r="I438" s="8">
        <v>0</v>
      </c>
      <c r="J438" s="10">
        <f t="shared" si="3"/>
        <v>13650.24</v>
      </c>
      <c r="K438" s="76" t="str">
        <f>IF(C438="استحداث بند جديد", "", IF(D438&lt;&gt;"", IFERROR(INDEX('بنود العقد'!C$3:C$388,D438), ""), ""))</f>
        <v>ميكانيكا</v>
      </c>
      <c r="L438" s="76" t="str">
        <f>IF(C438="استحداث بند جديد", IF(K438&lt;&gt;"","CMH_01-"&amp;IFERROR(VLOOKUP(K438,مراجع!$A$3:$B$14,2,FALSE),"?")&amp;"-NEW-"&amp;TEXT(A438,"000"),""), IF(D438&lt;&gt;"", IFERROR(INDEX('بنود العقد'!I$3:I$388,D438), ""), ""))</f>
        <v>CMH_01-ME-177</v>
      </c>
      <c r="M438" s="19"/>
    </row>
    <row r="439" spans="1:13" s="76" customFormat="1" ht="28.2" customHeight="1">
      <c r="A439" s="12">
        <v>437</v>
      </c>
      <c r="B439" s="6">
        <v>5</v>
      </c>
      <c r="C439" s="6" t="s">
        <v>175</v>
      </c>
      <c r="D439" s="6">
        <v>178</v>
      </c>
      <c r="E439" s="22" t="str">
        <f>IF(C439="استحداث بند جديد", "", IF(D439&lt;&gt;"", IFERROR(INDEX('بنود العقد'!B$3:B$388,D439),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32مم</v>
      </c>
      <c r="F439" s="23" t="str">
        <f>IF(C439="استحداث بند جديد", "", IF(D439&lt;&gt;"", IFERROR(INDEX('بنود العقد'!D$3:D$388,D439), ""), ""))</f>
        <v>م.ط</v>
      </c>
      <c r="G439" s="24">
        <f>IF(C439="استحداث بند جديد", "", IF(D439&lt;&gt;"", IFERROR(INDEX('بنود العقد'!E$3:E$388,D439), 0), ""))</f>
        <v>102</v>
      </c>
      <c r="H439" s="7">
        <v>231.81</v>
      </c>
      <c r="I439" s="8">
        <v>0</v>
      </c>
      <c r="J439" s="10">
        <f t="shared" si="3"/>
        <v>23644.62</v>
      </c>
      <c r="K439" s="76" t="str">
        <f>IF(C439="استحداث بند جديد", "", IF(D439&lt;&gt;"", IFERROR(INDEX('بنود العقد'!C$3:C$388,D439), ""), ""))</f>
        <v>ميكانيكا</v>
      </c>
      <c r="L439" s="76" t="str">
        <f>IF(C439="استحداث بند جديد", IF(K439&lt;&gt;"","CMH_01-"&amp;IFERROR(VLOOKUP(K439,مراجع!$A$3:$B$14,2,FALSE),"?")&amp;"-NEW-"&amp;TEXT(A439,"000"),""), IF(D439&lt;&gt;"", IFERROR(INDEX('بنود العقد'!I$3:I$388,D439), ""), ""))</f>
        <v>CMH_01-ME-178</v>
      </c>
      <c r="M439" s="19"/>
    </row>
    <row r="440" spans="1:13" s="76" customFormat="1" ht="28.2" customHeight="1">
      <c r="A440" s="12">
        <v>438</v>
      </c>
      <c r="B440" s="6">
        <v>5</v>
      </c>
      <c r="C440" s="6" t="s">
        <v>175</v>
      </c>
      <c r="D440" s="6">
        <v>179</v>
      </c>
      <c r="E440" s="22" t="str">
        <f>IF(C440="استحداث بند جديد", "", IF(D440&lt;&gt;"", IFERROR(INDEX('بنود العقد'!B$3:B$388,D440),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40 مم</v>
      </c>
      <c r="F440" s="23" t="str">
        <f>IF(C440="استحداث بند جديد", "", IF(D440&lt;&gt;"", IFERROR(INDEX('بنود العقد'!D$3:D$388,D440), ""), ""))</f>
        <v>م.ط</v>
      </c>
      <c r="G440" s="24">
        <f>IF(C440="استحداث بند جديد", "", IF(D440&lt;&gt;"", IFERROR(INDEX('بنود العقد'!E$3:E$388,D440), 0), ""))</f>
        <v>85.2</v>
      </c>
      <c r="H440" s="7">
        <v>223.5</v>
      </c>
      <c r="I440" s="8">
        <v>0</v>
      </c>
      <c r="J440" s="10">
        <f t="shared" si="3"/>
        <v>19042.2</v>
      </c>
      <c r="K440" s="76" t="str">
        <f>IF(C440="استحداث بند جديد", "", IF(D440&lt;&gt;"", IFERROR(INDEX('بنود العقد'!C$3:C$388,D440), ""), ""))</f>
        <v>ميكانيكا</v>
      </c>
      <c r="L440" s="76" t="str">
        <f>IF(C440="استحداث بند جديد", IF(K440&lt;&gt;"","CMH_01-"&amp;IFERROR(VLOOKUP(K440,مراجع!$A$3:$B$14,2,FALSE),"?")&amp;"-NEW-"&amp;TEXT(A440,"000"),""), IF(D440&lt;&gt;"", IFERROR(INDEX('بنود العقد'!I$3:I$388,D440), ""), ""))</f>
        <v>CMH_01-ME-179</v>
      </c>
      <c r="M440" s="19"/>
    </row>
    <row r="441" spans="1:13" s="76" customFormat="1" ht="28.2" customHeight="1">
      <c r="A441" s="12">
        <v>439</v>
      </c>
      <c r="B441" s="6">
        <v>5</v>
      </c>
      <c r="C441" s="6" t="s">
        <v>175</v>
      </c>
      <c r="D441" s="6">
        <v>180</v>
      </c>
      <c r="E441" s="22" t="str">
        <f>IF(C441="استحداث بند جديد", "", IF(D441&lt;&gt;"", IFERROR(INDEX('بنود العقد'!B$3:B$388,D441),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الداخلية:قطر 50 مم</v>
      </c>
      <c r="F441" s="23" t="str">
        <f>IF(C441="استحداث بند جديد", "", IF(D441&lt;&gt;"", IFERROR(INDEX('بنود العقد'!D$3:D$388,D441), ""), ""))</f>
        <v>م.ط</v>
      </c>
      <c r="G441" s="24">
        <f>IF(C441="استحداث بند جديد", "", IF(D441&lt;&gt;"", IFERROR(INDEX('بنود العقد'!E$3:E$388,D441), 0), ""))</f>
        <v>94.8</v>
      </c>
      <c r="H441" s="7">
        <v>53.46</v>
      </c>
      <c r="I441" s="8">
        <v>0</v>
      </c>
      <c r="J441" s="10">
        <f t="shared" si="3"/>
        <v>5068.0079999999998</v>
      </c>
      <c r="K441" s="76" t="str">
        <f>IF(C441="استحداث بند جديد", "", IF(D441&lt;&gt;"", IFERROR(INDEX('بنود العقد'!C$3:C$388,D441), ""), ""))</f>
        <v>ميكانيكا</v>
      </c>
      <c r="L441" s="76" t="str">
        <f>IF(C441="استحداث بند جديد", IF(K441&lt;&gt;"","CMH_01-"&amp;IFERROR(VLOOKUP(K441,مراجع!$A$3:$B$14,2,FALSE),"?")&amp;"-NEW-"&amp;TEXT(A441,"000"),""), IF(D441&lt;&gt;"", IFERROR(INDEX('بنود العقد'!I$3:I$388,D441), ""), ""))</f>
        <v>CMH_01-ME-180</v>
      </c>
      <c r="M441" s="19"/>
    </row>
    <row r="442" spans="1:13" s="76" customFormat="1" ht="28.2" customHeight="1">
      <c r="A442" s="12">
        <v>440</v>
      </c>
      <c r="B442" s="6">
        <v>5</v>
      </c>
      <c r="C442" s="6" t="s">
        <v>175</v>
      </c>
      <c r="D442" s="6">
        <v>181</v>
      </c>
      <c r="E442" s="22" t="str">
        <f>IF(C442="استحداث بند جديد", "", IF(D442&lt;&gt;"", IFERROR(INDEX('بنود العقد'!B$3:B$388,D442),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v>
      </c>
      <c r="F442" s="23" t="str">
        <f>IF(C442="استحداث بند جديد", "", IF(D442&lt;&gt;"", IFERROR(INDEX('بنود العقد'!D$3:D$388,D442), ""), ""))</f>
        <v>م.ط</v>
      </c>
      <c r="G442" s="24">
        <f>IF(C442="استحداث بند جديد", "", IF(D442&lt;&gt;"", IFERROR(INDEX('بنود العقد'!E$3:E$388,D442), 0), ""))</f>
        <v>70.8</v>
      </c>
      <c r="H442" s="7">
        <v>263.49</v>
      </c>
      <c r="I442" s="8">
        <v>0</v>
      </c>
      <c r="J442" s="10">
        <f t="shared" si="3"/>
        <v>18655.092000000001</v>
      </c>
      <c r="K442" s="76" t="str">
        <f>IF(C442="استحداث بند جديد", "", IF(D442&lt;&gt;"", IFERROR(INDEX('بنود العقد'!C$3:C$388,D442), ""), ""))</f>
        <v>ميكانيكا</v>
      </c>
      <c r="L442" s="76" t="str">
        <f>IF(C442="استحداث بند جديد", IF(K442&lt;&gt;"","CMH_01-"&amp;IFERROR(VLOOKUP(K442,مراجع!$A$3:$B$14,2,FALSE),"?")&amp;"-NEW-"&amp;TEXT(A442,"000"),""), IF(D442&lt;&gt;"", IFERROR(INDEX('بنود العقد'!I$3:I$388,D442), ""), ""))</f>
        <v>CMH_01-ME-181</v>
      </c>
      <c r="M442" s="19"/>
    </row>
    <row r="443" spans="1:13" s="76" customFormat="1" ht="28.2" customHeight="1">
      <c r="A443" s="12">
        <v>441</v>
      </c>
      <c r="B443" s="6">
        <v>5</v>
      </c>
      <c r="C443" s="6" t="s">
        <v>175</v>
      </c>
      <c r="D443" s="6">
        <v>182</v>
      </c>
      <c r="E443" s="22" t="str">
        <f>IF(C443="استحداث بند جديد", "", IF(D443&lt;&gt;"", IFERROR(INDEX('بنود العقد'!B$3:B$388,D443), "⚠"), ""))</f>
        <v>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v>
      </c>
      <c r="F443" s="23" t="str">
        <f>IF(C443="استحداث بند جديد", "", IF(D443&lt;&gt;"", IFERROR(INDEX('بنود العقد'!D$3:D$388,D443), ""), ""))</f>
        <v>م.ط</v>
      </c>
      <c r="G443" s="24">
        <f>IF(C443="استحداث بند جديد", "", IF(D443&lt;&gt;"", IFERROR(INDEX('بنود العقد'!E$3:E$388,D443), 0), ""))</f>
        <v>75.599999999999994</v>
      </c>
      <c r="H443" s="7">
        <v>82.64</v>
      </c>
      <c r="I443" s="8">
        <v>0</v>
      </c>
      <c r="J443" s="10">
        <f t="shared" si="3"/>
        <v>6247.5839999999998</v>
      </c>
      <c r="K443" s="76" t="str">
        <f>IF(C443="استحداث بند جديد", "", IF(D443&lt;&gt;"", IFERROR(INDEX('بنود العقد'!C$3:C$388,D443), ""), ""))</f>
        <v>ميكانيكا</v>
      </c>
      <c r="L443" s="76" t="str">
        <f>IF(C443="استحداث بند جديد", IF(K443&lt;&gt;"","CMH_01-"&amp;IFERROR(VLOOKUP(K443,مراجع!$A$3:$B$14,2,FALSE),"?")&amp;"-NEW-"&amp;TEXT(A443,"000"),""), IF(D443&lt;&gt;"", IFERROR(INDEX('بنود العقد'!I$3:I$388,D443), ""), ""))</f>
        <v>CMH_01-ME-182</v>
      </c>
      <c r="M443" s="19"/>
    </row>
    <row r="444" spans="1:13" s="76" customFormat="1" ht="28.2" customHeight="1">
      <c r="A444" s="12">
        <v>442</v>
      </c>
      <c r="B444" s="6">
        <v>5</v>
      </c>
      <c r="C444" s="6" t="s">
        <v>250</v>
      </c>
      <c r="D444" s="6">
        <v>183</v>
      </c>
      <c r="E444" s="22" t="str">
        <f>IF(C444="استحداث بند جديد", "", IF(D444&lt;&gt;"", IFERROR(INDEX('بنود العقد'!B$3:B$388,D444), "⚠"), ""))</f>
        <v>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التالية:توريد و تركيب و اختبار سخان بسعة 30 لتر، وقدرة 2.1  كيلو وات، مرجع     1-EWH</v>
      </c>
      <c r="F444" s="23" t="str">
        <f>IF(C444="استحداث بند جديد", "", IF(D444&lt;&gt;"", IFERROR(INDEX('بنود العقد'!D$3:D$388,D444), ""), ""))</f>
        <v>عدد</v>
      </c>
      <c r="G444" s="24">
        <f>IF(C444="استحداث بند جديد", "", IF(D444&lt;&gt;"", IFERROR(INDEX('بنود العقد'!E$3:E$388,D444), 0), ""))</f>
        <v>672</v>
      </c>
      <c r="H444" s="7">
        <v>-7</v>
      </c>
      <c r="I444" s="8">
        <v>0</v>
      </c>
      <c r="J444" s="10">
        <f t="shared" si="3"/>
        <v>-4704</v>
      </c>
      <c r="K444" s="76" t="str">
        <f>IF(C444="استحداث بند جديد", "", IF(D444&lt;&gt;"", IFERROR(INDEX('بنود العقد'!C$3:C$388,D444), ""), ""))</f>
        <v>ميكانيكا</v>
      </c>
      <c r="L444" s="76" t="str">
        <f>IF(C444="استحداث بند جديد", IF(K444&lt;&gt;"","CMH_01-"&amp;IFERROR(VLOOKUP(K444,مراجع!$A$3:$B$14,2,FALSE),"?")&amp;"-NEW-"&amp;TEXT(A444,"000"),""), IF(D444&lt;&gt;"", IFERROR(INDEX('بنود العقد'!I$3:I$388,D444), ""), ""))</f>
        <v>CMH_01-ME-183</v>
      </c>
      <c r="M444" s="19"/>
    </row>
    <row r="445" spans="1:13" s="76" customFormat="1" ht="28.2" customHeight="1">
      <c r="A445" s="12">
        <v>443</v>
      </c>
      <c r="B445" s="6">
        <v>5</v>
      </c>
      <c r="C445" s="6" t="s">
        <v>175</v>
      </c>
      <c r="D445" s="6">
        <v>184</v>
      </c>
      <c r="E445" s="22" t="str">
        <f>IF(C445="استحداث بند جديد", "", IF(D445&lt;&gt;"", IFERROR(INDEX('بنود العقد'!B$3:B$388,D445), "⚠"), ""))</f>
        <v>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التالية:اعادة تركيب و اختبار السخان الحالي بسعة 100 ليتر   بعد الكشف و المعاينة و الفحص حسب تعليمات مهندس المشرف</v>
      </c>
      <c r="F445" s="23" t="str">
        <f>IF(C445="استحداث بند جديد", "", IF(D445&lt;&gt;"", IFERROR(INDEX('بنود العقد'!D$3:D$388,D445), ""), ""))</f>
        <v>عدد</v>
      </c>
      <c r="G445" s="24">
        <f>IF(C445="استحداث بند جديد", "", IF(D445&lt;&gt;"", IFERROR(INDEX('بنود العقد'!E$3:E$388,D445), 0), ""))</f>
        <v>816</v>
      </c>
      <c r="H445" s="7">
        <v>6</v>
      </c>
      <c r="I445" s="8">
        <v>0</v>
      </c>
      <c r="J445" s="10">
        <f t="shared" si="3"/>
        <v>4896</v>
      </c>
      <c r="K445" s="76" t="str">
        <f>IF(C445="استحداث بند جديد", "", IF(D445&lt;&gt;"", IFERROR(INDEX('بنود العقد'!C$3:C$388,D445), ""), ""))</f>
        <v>ميكانيكا</v>
      </c>
      <c r="L445" s="76" t="str">
        <f>IF(C445="استحداث بند جديد", IF(K445&lt;&gt;"","CMH_01-"&amp;IFERROR(VLOOKUP(K445,مراجع!$A$3:$B$14,2,FALSE),"?")&amp;"-NEW-"&amp;TEXT(A445,"000"),""), IF(D445&lt;&gt;"", IFERROR(INDEX('بنود العقد'!I$3:I$388,D445), ""), ""))</f>
        <v>CMH_01-ME-184</v>
      </c>
      <c r="M445" s="19"/>
    </row>
    <row r="446" spans="1:13" s="76" customFormat="1" ht="28.2" customHeight="1">
      <c r="A446" s="12">
        <v>444</v>
      </c>
      <c r="B446" s="6">
        <v>5</v>
      </c>
      <c r="C446" s="6" t="s">
        <v>175</v>
      </c>
      <c r="D446" s="6">
        <v>185</v>
      </c>
      <c r="E446" s="22" t="str">
        <f>IF(C446="استحداث بند جديد", "", IF(D446&lt;&gt;"", IFERROR(INDEX('بنود العقد'!B$3:B$388,D446),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v>
      </c>
      <c r="F446" s="23" t="str">
        <f>IF(C446="استحداث بند جديد", "", IF(D446&lt;&gt;"", IFERROR(INDEX('بنود العقد'!D$3:D$388,D446), ""), ""))</f>
        <v>م.ط</v>
      </c>
      <c r="G446" s="24">
        <f>IF(C446="استحداث بند جديد", "", IF(D446&lt;&gt;"", IFERROR(INDEX('بنود العقد'!E$3:E$388,D446), 0), ""))</f>
        <v>75.599999999999994</v>
      </c>
      <c r="H446" s="7">
        <v>1236.5899999999999</v>
      </c>
      <c r="I446" s="8">
        <v>0</v>
      </c>
      <c r="J446" s="10">
        <f t="shared" si="3"/>
        <v>93486.203999999983</v>
      </c>
      <c r="K446" s="76" t="str">
        <f>IF(C446="استحداث بند جديد", "", IF(D446&lt;&gt;"", IFERROR(INDEX('بنود العقد'!C$3:C$388,D446), ""), ""))</f>
        <v>صحي</v>
      </c>
      <c r="L446" s="76" t="str">
        <f>IF(C446="استحداث بند جديد", IF(K446&lt;&gt;"","CMH_01-"&amp;IFERROR(VLOOKUP(K446,مراجع!$A$3:$B$14,2,FALSE),"?")&amp;"-NEW-"&amp;TEXT(A446,"000"),""), IF(D446&lt;&gt;"", IFERROR(INDEX('بنود العقد'!I$3:I$388,D446), ""), ""))</f>
        <v>CMH_01-PL-185</v>
      </c>
      <c r="M446" s="19"/>
    </row>
    <row r="447" spans="1:13" s="76" customFormat="1" ht="28.2" customHeight="1">
      <c r="A447" s="12">
        <v>445</v>
      </c>
      <c r="B447" s="6">
        <v>5</v>
      </c>
      <c r="C447" s="6" t="s">
        <v>175</v>
      </c>
      <c r="D447" s="6">
        <v>186</v>
      </c>
      <c r="E447" s="22" t="str">
        <f>IF(C447="استحداث بند جديد", "", IF(D447&lt;&gt;"", IFERROR(INDEX('بنود العقد'!B$3:B$388,D447),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75 مم</v>
      </c>
      <c r="F447" s="23" t="str">
        <f>IF(C447="استحداث بند جديد", "", IF(D447&lt;&gt;"", IFERROR(INDEX('بنود العقد'!D$3:D$388,D447), ""), ""))</f>
        <v>م.ط</v>
      </c>
      <c r="G447" s="24">
        <f>IF(C447="استحداث بند جديد", "", IF(D447&lt;&gt;"", IFERROR(INDEX('بنود العقد'!E$3:E$388,D447), 0), ""))</f>
        <v>91.2</v>
      </c>
      <c r="H447" s="7">
        <v>220.82</v>
      </c>
      <c r="I447" s="8">
        <v>0</v>
      </c>
      <c r="J447" s="10">
        <f t="shared" si="3"/>
        <v>20138.784</v>
      </c>
      <c r="K447" s="76" t="str">
        <f>IF(C447="استحداث بند جديد", "", IF(D447&lt;&gt;"", IFERROR(INDEX('بنود العقد'!C$3:C$388,D447), ""), ""))</f>
        <v>صحي</v>
      </c>
      <c r="L447" s="76" t="str">
        <f>IF(C447="استحداث بند جديد", IF(K447&lt;&gt;"","CMH_01-"&amp;IFERROR(VLOOKUP(K447,مراجع!$A$3:$B$14,2,FALSE),"?")&amp;"-NEW-"&amp;TEXT(A447,"000"),""), IF(D447&lt;&gt;"", IFERROR(INDEX('بنود العقد'!I$3:I$388,D447), ""), ""))</f>
        <v>CMH_01-PL-186</v>
      </c>
      <c r="M447" s="19"/>
    </row>
    <row r="448" spans="1:13" s="76" customFormat="1" ht="28.2" customHeight="1">
      <c r="A448" s="12">
        <v>446</v>
      </c>
      <c r="B448" s="6">
        <v>5</v>
      </c>
      <c r="C448" s="6" t="s">
        <v>175</v>
      </c>
      <c r="D448" s="6">
        <v>187</v>
      </c>
      <c r="E448" s="22" t="str">
        <f>IF(C448="استحداث بند جديد", "", IF(D448&lt;&gt;"", IFERROR(INDEX('بنود العقد'!B$3:B$388,D448), "⚠"), ""))</f>
        <v>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v>
      </c>
      <c r="F448" s="23" t="str">
        <f>IF(C448="استحداث بند جديد", "", IF(D448&lt;&gt;"", IFERROR(INDEX('بنود العقد'!D$3:D$388,D448), ""), ""))</f>
        <v>م.ط</v>
      </c>
      <c r="G448" s="24">
        <f>IF(C448="استحداث بند جديد", "", IF(D448&lt;&gt;"", IFERROR(INDEX('بنود العقد'!E$3:E$388,D448), 0), ""))</f>
        <v>102</v>
      </c>
      <c r="H448" s="7">
        <v>1631.03</v>
      </c>
      <c r="I448" s="8">
        <v>0</v>
      </c>
      <c r="J448" s="10">
        <f t="shared" si="3"/>
        <v>166365.06</v>
      </c>
      <c r="K448" s="76" t="str">
        <f>IF(C448="استحداث بند جديد", "", IF(D448&lt;&gt;"", IFERROR(INDEX('بنود العقد'!C$3:C$388,D448), ""), ""))</f>
        <v>صحي</v>
      </c>
      <c r="L448" s="76" t="str">
        <f>IF(C448="استحداث بند جديد", IF(K448&lt;&gt;"","CMH_01-"&amp;IFERROR(VLOOKUP(K448,مراجع!$A$3:$B$14,2,FALSE),"?")&amp;"-NEW-"&amp;TEXT(A448,"000"),""), IF(D448&lt;&gt;"", IFERROR(INDEX('بنود العقد'!I$3:I$388,D448), ""), ""))</f>
        <v>CMH_01-PL-187</v>
      </c>
      <c r="M448" s="19"/>
    </row>
    <row r="449" spans="1:13" s="76" customFormat="1" ht="28.2" customHeight="1">
      <c r="A449" s="12">
        <v>447</v>
      </c>
      <c r="B449" s="6">
        <v>5</v>
      </c>
      <c r="C449" s="6" t="s">
        <v>175</v>
      </c>
      <c r="D449" s="6">
        <v>188</v>
      </c>
      <c r="E449" s="22" t="str">
        <f>IF(C449="استحداث بند جديد", "", IF(D449&lt;&gt;"", IFERROR(INDEX('بنود العقد'!B$3:B$388,D449), "⚠"), ""))</f>
        <v>صفاية أرضية )FD(، من PVC مع مصفاة معدنية  مطلية بالكروم شاملة سيفون كما هو موصف بالمقاسات التالية:مخرج قطر 75 مم</v>
      </c>
      <c r="F449" s="23" t="str">
        <f>IF(C449="استحداث بند جديد", "", IF(D449&lt;&gt;"", IFERROR(INDEX('بنود العقد'!D$3:D$388,D449), ""), ""))</f>
        <v>عدد</v>
      </c>
      <c r="G449" s="24">
        <f>IF(C449="استحداث بند جديد", "", IF(D449&lt;&gt;"", IFERROR(INDEX('بنود العقد'!E$3:E$388,D449), 0), ""))</f>
        <v>300</v>
      </c>
      <c r="H449" s="7">
        <v>10</v>
      </c>
      <c r="I449" s="8">
        <v>0</v>
      </c>
      <c r="J449" s="10">
        <f t="shared" si="3"/>
        <v>3000</v>
      </c>
      <c r="K449" s="76" t="str">
        <f>IF(C449="استحداث بند جديد", "", IF(D449&lt;&gt;"", IFERROR(INDEX('بنود العقد'!C$3:C$388,D449), ""), ""))</f>
        <v>صحي</v>
      </c>
      <c r="L449" s="76" t="str">
        <f>IF(C449="استحداث بند جديد", IF(K449&lt;&gt;"","CMH_01-"&amp;IFERROR(VLOOKUP(K449,مراجع!$A$3:$B$14,2,FALSE),"?")&amp;"-NEW-"&amp;TEXT(A449,"000"),""), IF(D449&lt;&gt;"", IFERROR(INDEX('بنود العقد'!I$3:I$388,D449), ""), ""))</f>
        <v>CMH_01-PL-188</v>
      </c>
      <c r="M449" s="19"/>
    </row>
    <row r="450" spans="1:13" s="76" customFormat="1" ht="28.2" customHeight="1">
      <c r="A450" s="12">
        <v>448</v>
      </c>
      <c r="B450" s="6">
        <v>5</v>
      </c>
      <c r="C450" s="6" t="s">
        <v>175</v>
      </c>
      <c r="D450" s="6">
        <v>189</v>
      </c>
      <c r="E450" s="22" t="str">
        <f>IF(C450="استحداث بند جديد", "", IF(D450&lt;&gt;"", IFERROR(INDEX('بنود العقد'!B$3:B$388,D450), "⚠"), ""))</f>
        <v>صفاية أرضية )FD(، من PVC مع مصفاة معدنية  مطلية بالكروم شاملة سيفون كما هو موصف بالمقاسات التالية:صفاية' طولية أرضية )SD(،مع مصفاة  معدنية مطلية بالكروم شاملة سيفون مخرج قطر 50 مم</v>
      </c>
      <c r="F450" s="23" t="str">
        <f>IF(C450="استحداث بند جديد", "", IF(D450&lt;&gt;"", IFERROR(INDEX('بنود العقد'!D$3:D$388,D450), ""), ""))</f>
        <v>عدد</v>
      </c>
      <c r="G450" s="24">
        <f>IF(C450="استحداث بند جديد", "", IF(D450&lt;&gt;"", IFERROR(INDEX('بنود العقد'!E$3:E$388,D450), 0), ""))</f>
        <v>300</v>
      </c>
      <c r="H450" s="7">
        <v>1</v>
      </c>
      <c r="I450" s="8">
        <v>0</v>
      </c>
      <c r="J450" s="10">
        <f t="shared" si="3"/>
        <v>300</v>
      </c>
      <c r="K450" s="76" t="str">
        <f>IF(C450="استحداث بند جديد", "", IF(D450&lt;&gt;"", IFERROR(INDEX('بنود العقد'!C$3:C$388,D450), ""), ""))</f>
        <v>صحي</v>
      </c>
      <c r="L450" s="76" t="str">
        <f>IF(C450="استحداث بند جديد", IF(K450&lt;&gt;"","CMH_01-"&amp;IFERROR(VLOOKUP(K450,مراجع!$A$3:$B$14,2,FALSE),"?")&amp;"-NEW-"&amp;TEXT(A450,"000"),""), IF(D450&lt;&gt;"", IFERROR(INDEX('بنود العقد'!I$3:I$388,D450), ""), ""))</f>
        <v>CMH_01-PL-189</v>
      </c>
      <c r="M450" s="19"/>
    </row>
    <row r="451" spans="1:13" s="76" customFormat="1" ht="28.2" customHeight="1">
      <c r="A451" s="12">
        <v>449</v>
      </c>
      <c r="B451" s="6">
        <v>5</v>
      </c>
      <c r="C451" s="6" t="s">
        <v>250</v>
      </c>
      <c r="D451" s="6">
        <v>190</v>
      </c>
      <c r="E451" s="22" t="str">
        <f>IF(C451="استحداث بند جديد", "", IF(D451&lt;&gt;"", IFERROR(INDEX('بنود العقد'!B$3:B$388,D451),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:حوض وجه على رخامة )مرجع 1-LAV ( من نفس نوع الرخام الصناعي كوريان للكاونتر والكاونتر محسوب في بند منفصل</v>
      </c>
      <c r="F451" s="23" t="str">
        <f>IF(C451="استحداث بند جديد", "", IF(D451&lt;&gt;"", IFERROR(INDEX('بنود العقد'!D$3:D$388,D451), ""), ""))</f>
        <v>عدد</v>
      </c>
      <c r="G451" s="24">
        <f>IF(C451="استحداث بند جديد", "", IF(D451&lt;&gt;"", IFERROR(INDEX('بنود العقد'!E$3:E$388,D451), 0), ""))</f>
        <v>2640</v>
      </c>
      <c r="H451" s="7">
        <v>-5</v>
      </c>
      <c r="I451" s="8">
        <v>0</v>
      </c>
      <c r="J451" s="10">
        <f t="shared" si="3"/>
        <v>-13200</v>
      </c>
      <c r="K451" s="76" t="str">
        <f>IF(C451="استحداث بند جديد", "", IF(D451&lt;&gt;"", IFERROR(INDEX('بنود العقد'!C$3:C$388,D451), ""), ""))</f>
        <v>صحي</v>
      </c>
      <c r="L451" s="76" t="str">
        <f>IF(C451="استحداث بند جديد", IF(K451&lt;&gt;"","CMH_01-"&amp;IFERROR(VLOOKUP(K451,مراجع!$A$3:$B$14,2,FALSE),"?")&amp;"-NEW-"&amp;TEXT(A451,"000"),""), IF(D451&lt;&gt;"", IFERROR(INDEX('بنود العقد'!I$3:I$388,D451), ""), ""))</f>
        <v>CMH_01-PL-190</v>
      </c>
      <c r="M451" s="19"/>
    </row>
    <row r="452" spans="1:13" s="76" customFormat="1" ht="28.2" customHeight="1">
      <c r="A452" s="12">
        <v>450</v>
      </c>
      <c r="B452" s="6">
        <v>5</v>
      </c>
      <c r="C452" s="6" t="s">
        <v>250</v>
      </c>
      <c r="D452" s="6">
        <v>191</v>
      </c>
      <c r="E452" s="22" t="str">
        <f>IF(C452="استحداث بند جديد", "", IF(D452&lt;&gt;"", IFERROR(INDEX('بنود العقد'!B$3:B$388,D452),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:حوض وجه كامل مع العامود، )مرجع 2-LAV(</v>
      </c>
      <c r="F452" s="23" t="str">
        <f>IF(C452="استحداث بند جديد", "", IF(D452&lt;&gt;"", IFERROR(INDEX('بنود العقد'!D$3:D$388,D452), ""), ""))</f>
        <v>عدد</v>
      </c>
      <c r="G452" s="24">
        <f>IF(C452="استحداث بند جديد", "", IF(D452&lt;&gt;"", IFERROR(INDEX('بنود العقد'!E$3:E$388,D452), 0), ""))</f>
        <v>1920</v>
      </c>
      <c r="H452" s="7">
        <v>-41</v>
      </c>
      <c r="I452" s="8">
        <v>0</v>
      </c>
      <c r="J452" s="10">
        <f t="shared" si="3"/>
        <v>-78720</v>
      </c>
      <c r="K452" s="76" t="str">
        <f>IF(C452="استحداث بند جديد", "", IF(D452&lt;&gt;"", IFERROR(INDEX('بنود العقد'!C$3:C$388,D452), ""), ""))</f>
        <v>صحي</v>
      </c>
      <c r="L452" s="76" t="str">
        <f>IF(C452="استحداث بند جديد", IF(K452&lt;&gt;"","CMH_01-"&amp;IFERROR(VLOOKUP(K452,مراجع!$A$3:$B$14,2,FALSE),"?")&amp;"-NEW-"&amp;TEXT(A452,"000"),""), IF(D452&lt;&gt;"", IFERROR(INDEX('بنود العقد'!I$3:I$388,D452), ""), ""))</f>
        <v>CMH_01-PL-191</v>
      </c>
      <c r="M452" s="19"/>
    </row>
    <row r="453" spans="1:13" s="76" customFormat="1" ht="28.2" customHeight="1">
      <c r="A453" s="12">
        <v>451</v>
      </c>
      <c r="B453" s="6">
        <v>5</v>
      </c>
      <c r="C453" s="6" t="s">
        <v>175</v>
      </c>
      <c r="D453" s="6">
        <v>192</v>
      </c>
      <c r="E453" s="22" t="str">
        <f>IF(C453="استحداث بند جديد", "", IF(D453&lt;&gt;"", IFERROR(INDEX('بنود العقد'!B$3:B$388,D453), "⚠"), ""))</f>
        <v>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غسيل أواني للمطبخ بعين واحدة )مرجع 1-KS</v>
      </c>
      <c r="F453" s="23" t="str">
        <f>IF(C453="استحداث بند جديد", "", IF(D453&lt;&gt;"", IFERROR(INDEX('بنود العقد'!D$3:D$388,D453), ""), ""))</f>
        <v>عدد</v>
      </c>
      <c r="G453" s="24">
        <f>IF(C453="استحداث بند جديد", "", IF(D453&lt;&gt;"", IFERROR(INDEX('بنود العقد'!E$3:E$388,D453), 0), ""))</f>
        <v>3000</v>
      </c>
      <c r="H453" s="7">
        <v>2</v>
      </c>
      <c r="I453" s="8">
        <v>0</v>
      </c>
      <c r="J453" s="10">
        <f t="shared" si="3"/>
        <v>6000</v>
      </c>
      <c r="K453" s="76" t="str">
        <f>IF(C453="استحداث بند جديد", "", IF(D453&lt;&gt;"", IFERROR(INDEX('بنود العقد'!C$3:C$388,D453), ""), ""))</f>
        <v>صحي</v>
      </c>
      <c r="L453" s="76" t="str">
        <f>IF(C453="استحداث بند جديد", IF(K453&lt;&gt;"","CMH_01-"&amp;IFERROR(VLOOKUP(K453,مراجع!$A$3:$B$14,2,FALSE),"?")&amp;"-NEW-"&amp;TEXT(A453,"000"),""), IF(D453&lt;&gt;"", IFERROR(INDEX('بنود العقد'!I$3:I$388,D453), ""), ""))</f>
        <v>CMH_01-PL-192</v>
      </c>
      <c r="M453" s="19"/>
    </row>
    <row r="454" spans="1:13" s="76" customFormat="1" ht="28.2" customHeight="1">
      <c r="A454" s="12">
        <v>452</v>
      </c>
      <c r="B454" s="6">
        <v>5</v>
      </c>
      <c r="C454" s="6" t="s">
        <v>175</v>
      </c>
      <c r="D454" s="6">
        <v>193</v>
      </c>
      <c r="E454" s="22" t="str">
        <f>IF(C454="استحداث بند جديد", "", IF(D454&lt;&gt;"", IFERROR(INDEX('بنود العقد'!B$3:B$388,D454), "⚠"), ""))</f>
        <v>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وجه يركب على الكاونتر )مرجع 3-LAV (</v>
      </c>
      <c r="F454" s="23" t="str">
        <f>IF(C454="استحداث بند جديد", "", IF(D454&lt;&gt;"", IFERROR(INDEX('بنود العقد'!D$3:D$388,D454), ""), ""))</f>
        <v>عدد</v>
      </c>
      <c r="G454" s="24">
        <f>IF(C454="استحداث بند جديد", "", IF(D454&lt;&gt;"", IFERROR(INDEX('بنود العقد'!E$3:E$388,D454), 0), ""))</f>
        <v>2220</v>
      </c>
      <c r="H454" s="7">
        <v>23</v>
      </c>
      <c r="I454" s="8">
        <v>0</v>
      </c>
      <c r="J454" s="10">
        <f t="shared" si="3"/>
        <v>51060</v>
      </c>
      <c r="K454" s="76" t="str">
        <f>IF(C454="استحداث بند جديد", "", IF(D454&lt;&gt;"", IFERROR(INDEX('بنود العقد'!C$3:C$388,D454), ""), ""))</f>
        <v>صحي</v>
      </c>
      <c r="L454" s="76" t="str">
        <f>IF(C454="استحداث بند جديد", IF(K454&lt;&gt;"","CMH_01-"&amp;IFERROR(VLOOKUP(K454,مراجع!$A$3:$B$14,2,FALSE),"?")&amp;"-NEW-"&amp;TEXT(A454,"000"),""), IF(D454&lt;&gt;"", IFERROR(INDEX('بنود العقد'!I$3:I$388,D454), ""), ""))</f>
        <v>CMH_01-PL-193</v>
      </c>
      <c r="M454" s="19"/>
    </row>
    <row r="455" spans="1:13" s="76" customFormat="1" ht="28.2" customHeight="1">
      <c r="A455" s="12">
        <v>453</v>
      </c>
      <c r="B455" s="6">
        <v>5</v>
      </c>
      <c r="C455" s="6" t="s">
        <v>250</v>
      </c>
      <c r="D455" s="6">
        <v>195</v>
      </c>
      <c r="E455" s="22" t="str">
        <f>IF(C455="استحداث بند جديد", "", IF(D455&lt;&gt;"", IFERROR(INDEX('بنود العقد'!B$3:B$388,D455),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افرنجي ) مرجع 2-WWC (  مثبت على الحائط بخزان  طرد مخفي مع زر دفق من الصلب الذي لا يصدأ - مع غطاء للمرحاض مقاوم للبكتريا من نوع soft closing</v>
      </c>
      <c r="F455" s="23" t="str">
        <f>IF(C455="استحداث بند جديد", "", IF(D455&lt;&gt;"", IFERROR(INDEX('بنود العقد'!D$3:D$388,D455), ""), ""))</f>
        <v>عدد</v>
      </c>
      <c r="G455" s="24">
        <f>IF(C455="استحداث بند جديد", "", IF(D455&lt;&gt;"", IFERROR(INDEX('بنود العقد'!E$3:E$388,D455), 0), ""))</f>
        <v>2760</v>
      </c>
      <c r="H455" s="7">
        <v>-2</v>
      </c>
      <c r="I455" s="8">
        <v>0</v>
      </c>
      <c r="J455" s="10">
        <f t="shared" si="3"/>
        <v>-5520</v>
      </c>
      <c r="K455" s="76" t="str">
        <f>IF(C455="استحداث بند جديد", "", IF(D455&lt;&gt;"", IFERROR(INDEX('بنود العقد'!C$3:C$388,D455), ""), ""))</f>
        <v>صحي</v>
      </c>
      <c r="L455" s="76" t="str">
        <f>IF(C455="استحداث بند جديد", IF(K455&lt;&gt;"","CMH_01-"&amp;IFERROR(VLOOKUP(K455,مراجع!$A$3:$B$14,2,FALSE),"?")&amp;"-NEW-"&amp;TEXT(A455,"000"),""), IF(D455&lt;&gt;"", IFERROR(INDEX('بنود العقد'!I$3:I$388,D455), ""), ""))</f>
        <v>CMH_01-PL-195</v>
      </c>
      <c r="M455" s="19"/>
    </row>
    <row r="456" spans="1:13" s="76" customFormat="1" ht="28.2" customHeight="1">
      <c r="A456" s="12">
        <v>454</v>
      </c>
      <c r="B456" s="6">
        <v>5</v>
      </c>
      <c r="C456" s="6" t="s">
        <v>175</v>
      </c>
      <c r="D456" s="6">
        <v>196</v>
      </c>
      <c r="E456" s="22" t="str">
        <f>IF(C456="استحداث بند جديد", "", IF(D456&lt;&gt;"", IFERROR(INDEX('بنود العقد'!B$3:B$388,D456),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شرقي )مرجع EWC( مثبت على الحائط بخزان  طرد مخفي مع زر دفق من الصلب الذي لا يصدأ،</v>
      </c>
      <c r="F456" s="23" t="str">
        <f>IF(C456="استحداث بند جديد", "", IF(D456&lt;&gt;"", IFERROR(INDEX('بنود العقد'!D$3:D$388,D456), ""), ""))</f>
        <v>عدد</v>
      </c>
      <c r="G456" s="24">
        <f>IF(C456="استحداث بند جديد", "", IF(D456&lt;&gt;"", IFERROR(INDEX('بنود العقد'!E$3:E$388,D456), 0), ""))</f>
        <v>2160</v>
      </c>
      <c r="H456" s="7">
        <v>5</v>
      </c>
      <c r="I456" s="8">
        <v>0</v>
      </c>
      <c r="J456" s="10">
        <f t="shared" si="3"/>
        <v>10800</v>
      </c>
      <c r="K456" s="76" t="str">
        <f>IF(C456="استحداث بند جديد", "", IF(D456&lt;&gt;"", IFERROR(INDEX('بنود العقد'!C$3:C$388,D456), ""), ""))</f>
        <v>صحي</v>
      </c>
      <c r="L456" s="76" t="str">
        <f>IF(C456="استحداث بند جديد", IF(K456&lt;&gt;"","CMH_01-"&amp;IFERROR(VLOOKUP(K456,مراجع!$A$3:$B$14,2,FALSE),"?")&amp;"-NEW-"&amp;TEXT(A456,"000"),""), IF(D456&lt;&gt;"", IFERROR(INDEX('بنود العقد'!I$3:I$388,D456), ""), ""))</f>
        <v>CMH_01-PL-196</v>
      </c>
      <c r="M456" s="19"/>
    </row>
    <row r="457" spans="1:13" s="76" customFormat="1" ht="28.2" customHeight="1">
      <c r="A457" s="12">
        <v>455</v>
      </c>
      <c r="B457" s="6">
        <v>5</v>
      </c>
      <c r="C457" s="6" t="s">
        <v>175</v>
      </c>
      <c r="D457" s="6">
        <v>197</v>
      </c>
      <c r="E457" s="22" t="str">
        <f>IF(C457="استحداث بند جديد", "", IF(D457&lt;&gt;"", IFERROR(INDEX('بنود العقد'!B$3:B$388,D457),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:مقبض رشاش مع الخرطوم وأداة التعليق، مرجع PS</v>
      </c>
      <c r="F457" s="23" t="str">
        <f>IF(C457="استحداث بند جديد", "", IF(D457&lt;&gt;"", IFERROR(INDEX('بنود العقد'!D$3:D$388,D457), ""), ""))</f>
        <v>عدد</v>
      </c>
      <c r="G457" s="24">
        <f>IF(C457="استحداث بند جديد", "", IF(D457&lt;&gt;"", IFERROR(INDEX('بنود العقد'!E$3:E$388,D457), 0), ""))</f>
        <v>180</v>
      </c>
      <c r="H457" s="7">
        <v>2</v>
      </c>
      <c r="I457" s="8">
        <v>0</v>
      </c>
      <c r="J457" s="10">
        <f t="shared" si="3"/>
        <v>360</v>
      </c>
      <c r="K457" s="76" t="str">
        <f>IF(C457="استحداث بند جديد", "", IF(D457&lt;&gt;"", IFERROR(INDEX('بنود العقد'!C$3:C$388,D457), ""), ""))</f>
        <v>صحي</v>
      </c>
      <c r="L457" s="76" t="str">
        <f>IF(C457="استحداث بند جديد", IF(K457&lt;&gt;"","CMH_01-"&amp;IFERROR(VLOOKUP(K457,مراجع!$A$3:$B$14,2,FALSE),"?")&amp;"-NEW-"&amp;TEXT(A457,"000"),""), IF(D457&lt;&gt;"", IFERROR(INDEX('بنود العقد'!I$3:I$388,D457), ""), ""))</f>
        <v>CMH_01-PL-197</v>
      </c>
      <c r="M457" s="19"/>
    </row>
    <row r="458" spans="1:13" s="76" customFormat="1" ht="28.2" customHeight="1">
      <c r="A458" s="12">
        <v>456</v>
      </c>
      <c r="B458" s="6">
        <v>5</v>
      </c>
      <c r="C458" s="6" t="s">
        <v>175</v>
      </c>
      <c r="D458" s="6">
        <v>198</v>
      </c>
      <c r="E458" s="22" t="str">
        <f>IF(C458="استحداث بند جديد", "", IF(D458&lt;&gt;"", IFERROR(INDEX('بنود العقد'!B$3:B$388,D458), "⚠"), ""))</f>
        <v>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:خلاط مياة  يركب على الحوض</v>
      </c>
      <c r="F458" s="23" t="str">
        <f>IF(C458="استحداث بند جديد", "", IF(D458&lt;&gt;"", IFERROR(INDEX('بنود العقد'!D$3:D$388,D458), ""), ""))</f>
        <v>عدد</v>
      </c>
      <c r="G458" s="24">
        <f>IF(C458="استحداث بند جديد", "", IF(D458&lt;&gt;"", IFERROR(INDEX('بنود العقد'!E$3:E$388,D458), 0), ""))</f>
        <v>1080</v>
      </c>
      <c r="H458" s="7">
        <v>22</v>
      </c>
      <c r="I458" s="8">
        <v>0</v>
      </c>
      <c r="J458" s="10">
        <f t="shared" si="3"/>
        <v>23760</v>
      </c>
      <c r="K458" s="76" t="str">
        <f>IF(C458="استحداث بند جديد", "", IF(D458&lt;&gt;"", IFERROR(INDEX('بنود العقد'!C$3:C$388,D458), ""), ""))</f>
        <v>صحي</v>
      </c>
      <c r="L458" s="76" t="str">
        <f>IF(C458="استحداث بند جديد", IF(K458&lt;&gt;"","CMH_01-"&amp;IFERROR(VLOOKUP(K458,مراجع!$A$3:$B$14,2,FALSE),"?")&amp;"-NEW-"&amp;TEXT(A458,"000"),""), IF(D458&lt;&gt;"", IFERROR(INDEX('بنود العقد'!I$3:I$388,D458), ""), ""))</f>
        <v>CMH_01-PL-198</v>
      </c>
      <c r="M458" s="19"/>
    </row>
    <row r="459" spans="1:13" s="76" customFormat="1" ht="28.2" customHeight="1">
      <c r="A459" s="12">
        <v>457</v>
      </c>
      <c r="B459" s="6">
        <v>5</v>
      </c>
      <c r="C459" s="6" t="s">
        <v>250</v>
      </c>
      <c r="D459" s="6">
        <v>199</v>
      </c>
      <c r="E459" s="22" t="str">
        <f>IF(C459="استحداث بند جديد", "", IF(D459&lt;&gt;"", IFERROR(INDEX('بنود العقد'!B$3:B$388,D459), "⚠"), ""))</f>
        <v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v>
      </c>
      <c r="F459" s="23" t="str">
        <f>IF(C459="استحداث بند جديد", "", IF(D459&lt;&gt;"", IFERROR(INDEX('بنود العقد'!D$3:D$388,D459), ""), ""))</f>
        <v>م.ط</v>
      </c>
      <c r="G459" s="24">
        <f>IF(C459="استحداث بند جديد", "", IF(D459&lt;&gt;"", IFERROR(INDEX('بنود العقد'!E$3:E$388,D459), 0), ""))</f>
        <v>108</v>
      </c>
      <c r="H459" s="7">
        <v>-735.02</v>
      </c>
      <c r="I459" s="8">
        <v>0</v>
      </c>
      <c r="J459" s="10">
        <f t="shared" si="3"/>
        <v>-79382.16</v>
      </c>
      <c r="K459" s="76" t="str">
        <f>IF(C459="استحداث بند جديد", "", IF(D459&lt;&gt;"", IFERROR(INDEX('بنود العقد'!C$3:C$388,D459), ""), ""))</f>
        <v>ميكانيكا</v>
      </c>
      <c r="L459" s="76" t="str">
        <f>IF(C459="استحداث بند جديد", IF(K459&lt;&gt;"","CMH_01-"&amp;IFERROR(VLOOKUP(K459,مراجع!$A$3:$B$14,2,FALSE),"?")&amp;"-NEW-"&amp;TEXT(A459,"000"),""), IF(D459&lt;&gt;"", IFERROR(INDEX('بنود العقد'!I$3:I$388,D459), ""), ""))</f>
        <v>CMH_01-ME-199</v>
      </c>
      <c r="M459" s="19"/>
    </row>
    <row r="460" spans="1:13" s="76" customFormat="1" ht="28.2" customHeight="1">
      <c r="A460" s="12">
        <v>458</v>
      </c>
      <c r="B460" s="6">
        <v>5</v>
      </c>
      <c r="C460" s="6" t="s">
        <v>175</v>
      </c>
      <c r="D460" s="6">
        <v>200</v>
      </c>
      <c r="E460" s="22" t="str">
        <f>IF(C460="استحداث بند جديد", "", IF(D460&lt;&gt;"", IFERROR(INDEX('بنود العقد'!B$3:B$388,D460),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28</v>
      </c>
      <c r="F460" s="23" t="str">
        <f>IF(C460="استحداث بند جديد", "", IF(D460&lt;&gt;"", IFERROR(INDEX('بنود العقد'!D$3:D$388,D460), ""), ""))</f>
        <v>م.ط</v>
      </c>
      <c r="G460" s="24">
        <f>IF(C460="استحداث بند جديد", "", IF(D460&lt;&gt;"", IFERROR(INDEX('بنود العقد'!E$3:E$388,D460), 0), ""))</f>
        <v>138</v>
      </c>
      <c r="H460" s="7">
        <v>245.17</v>
      </c>
      <c r="I460" s="8">
        <v>0</v>
      </c>
      <c r="J460" s="10">
        <f t="shared" si="3"/>
        <v>33833.46</v>
      </c>
      <c r="K460" s="76" t="str">
        <f>IF(C460="استحداث بند جديد", "", IF(D460&lt;&gt;"", IFERROR(INDEX('بنود العقد'!C$3:C$388,D460), ""), ""))</f>
        <v>ميكانيكا</v>
      </c>
      <c r="L460" s="76" t="str">
        <f>IF(C460="استحداث بند جديد", IF(K460&lt;&gt;"","CMH_01-"&amp;IFERROR(VLOOKUP(K460,مراجع!$A$3:$B$14,2,FALSE),"?")&amp;"-NEW-"&amp;TEXT(A460,"000"),""), IF(D460&lt;&gt;"", IFERROR(INDEX('بنود العقد'!I$3:I$388,D460), ""), ""))</f>
        <v>CMH_01-ME-200</v>
      </c>
      <c r="M460" s="19"/>
    </row>
    <row r="461" spans="1:13" s="76" customFormat="1" ht="28.2" customHeight="1">
      <c r="A461" s="12">
        <v>459</v>
      </c>
      <c r="B461" s="6">
        <v>5</v>
      </c>
      <c r="C461" s="6" t="s">
        <v>175</v>
      </c>
      <c r="D461" s="6">
        <v>201</v>
      </c>
      <c r="E461" s="22" t="str">
        <f>IF(C461="استحداث بند جديد", "", IF(D461&lt;&gt;"", IFERROR(INDEX('بنود العقد'!B$3:B$388,D461),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33</v>
      </c>
      <c r="F461" s="23" t="str">
        <f>IF(C461="استحداث بند جديد", "", IF(D461&lt;&gt;"", IFERROR(INDEX('بنود العقد'!D$3:D$388,D461), ""), ""))</f>
        <v>م.ط</v>
      </c>
      <c r="G461" s="24">
        <f>IF(C461="استحداث بند جديد", "", IF(D461&lt;&gt;"", IFERROR(INDEX('بنود العقد'!E$3:E$388,D461), 0), ""))</f>
        <v>192</v>
      </c>
      <c r="H461" s="7">
        <v>676.42</v>
      </c>
      <c r="I461" s="8">
        <v>0</v>
      </c>
      <c r="J461" s="10">
        <f t="shared" si="3"/>
        <v>129872.63999999998</v>
      </c>
      <c r="K461" s="76" t="str">
        <f>IF(C461="استحداث بند جديد", "", IF(D461&lt;&gt;"", IFERROR(INDEX('بنود العقد'!C$3:C$388,D461), ""), ""))</f>
        <v>ميكانيكا</v>
      </c>
      <c r="L461" s="76" t="str">
        <f>IF(C461="استحداث بند جديد", IF(K461&lt;&gt;"","CMH_01-"&amp;IFERROR(VLOOKUP(K461,مراجع!$A$3:$B$14,2,FALSE),"?")&amp;"-NEW-"&amp;TEXT(A461,"000"),""), IF(D461&lt;&gt;"", IFERROR(INDEX('بنود العقد'!I$3:I$388,D461), ""), ""))</f>
        <v>CMH_01-ME-201</v>
      </c>
      <c r="M461" s="19"/>
    </row>
    <row r="462" spans="1:13" s="76" customFormat="1" ht="28.2" customHeight="1">
      <c r="A462" s="12">
        <v>460</v>
      </c>
      <c r="B462" s="6">
        <v>5</v>
      </c>
      <c r="C462" s="6" t="s">
        <v>175</v>
      </c>
      <c r="D462" s="6">
        <v>202</v>
      </c>
      <c r="E462" s="22" t="str">
        <f>IF(C462="استحداث بند جديد", "", IF(D462&lt;&gt;"", IFERROR(INDEX('بنود العقد'!B$3:B$388,D462),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40</v>
      </c>
      <c r="F462" s="23" t="str">
        <f>IF(C462="استحداث بند جديد", "", IF(D462&lt;&gt;"", IFERROR(INDEX('بنود العقد'!D$3:D$388,D462), ""), ""))</f>
        <v>م.ط</v>
      </c>
      <c r="G462" s="24">
        <f>IF(C462="استحداث بند جديد", "", IF(D462&lt;&gt;"", IFERROR(INDEX('بنود العقد'!E$3:E$388,D462), 0), ""))</f>
        <v>222</v>
      </c>
      <c r="H462" s="7">
        <v>4.49</v>
      </c>
      <c r="I462" s="8">
        <v>0</v>
      </c>
      <c r="J462" s="10">
        <f t="shared" si="3"/>
        <v>996.78000000000009</v>
      </c>
      <c r="K462" s="76" t="str">
        <f>IF(C462="استحداث بند جديد", "", IF(D462&lt;&gt;"", IFERROR(INDEX('بنود العقد'!C$3:C$388,D462), ""), ""))</f>
        <v>ميكانيكا</v>
      </c>
      <c r="L462" s="76" t="str">
        <f>IF(C462="استحداث بند جديد", IF(K462&lt;&gt;"","CMH_01-"&amp;IFERROR(VLOOKUP(K462,مراجع!$A$3:$B$14,2,FALSE),"?")&amp;"-NEW-"&amp;TEXT(A462,"000"),""), IF(D462&lt;&gt;"", IFERROR(INDEX('بنود العقد'!I$3:I$388,D462), ""), ""))</f>
        <v>CMH_01-ME-202</v>
      </c>
      <c r="M462" s="19"/>
    </row>
    <row r="463" spans="1:13" s="76" customFormat="1" ht="28.2" customHeight="1">
      <c r="A463" s="12">
        <v>461</v>
      </c>
      <c r="B463" s="6">
        <v>5</v>
      </c>
      <c r="C463" s="6" t="s">
        <v>175</v>
      </c>
      <c r="D463" s="6">
        <v>203</v>
      </c>
      <c r="E463" s="22" t="str">
        <f>IF(C463="استحداث بند جديد", "", IF(D463&lt;&gt;"", IFERROR(INDEX('بنود العقد'!B$3:B$388,D463),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63</v>
      </c>
      <c r="F463" s="23" t="str">
        <f>IF(C463="استحداث بند جديد", "", IF(D463&lt;&gt;"", IFERROR(INDEX('بنود العقد'!D$3:D$388,D463), ""), ""))</f>
        <v>م.ط</v>
      </c>
      <c r="G463" s="24">
        <f>IF(C463="استحداث بند جديد", "", IF(D463&lt;&gt;"", IFERROR(INDEX('بنود العقد'!E$3:E$388,D463), 0), ""))</f>
        <v>240</v>
      </c>
      <c r="H463" s="7">
        <v>755.17</v>
      </c>
      <c r="I463" s="8">
        <v>0</v>
      </c>
      <c r="J463" s="10">
        <f t="shared" si="3"/>
        <v>181240.8</v>
      </c>
      <c r="K463" s="76" t="str">
        <f>IF(C463="استحداث بند جديد", "", IF(D463&lt;&gt;"", IFERROR(INDEX('بنود العقد'!C$3:C$388,D463), ""), ""))</f>
        <v>ميكانيكا</v>
      </c>
      <c r="L463" s="76" t="str">
        <f>IF(C463="استحداث بند جديد", IF(K463&lt;&gt;"","CMH_01-"&amp;IFERROR(VLOOKUP(K463,مراجع!$A$3:$B$14,2,FALSE),"?")&amp;"-NEW-"&amp;TEXT(A463,"000"),""), IF(D463&lt;&gt;"", IFERROR(INDEX('بنود العقد'!I$3:I$388,D463), ""), ""))</f>
        <v>CMH_01-ME-203</v>
      </c>
      <c r="M463" s="19"/>
    </row>
    <row r="464" spans="1:13" s="76" customFormat="1" ht="28.2" customHeight="1">
      <c r="A464" s="12">
        <v>462</v>
      </c>
      <c r="B464" s="6">
        <v>5</v>
      </c>
      <c r="C464" s="6" t="s">
        <v>175</v>
      </c>
      <c r="D464" s="6">
        <v>204</v>
      </c>
      <c r="E464" s="22" t="str">
        <f>IF(C464="استحداث بند جديد", "", IF(D464&lt;&gt;"", IFERROR(INDEX('بنود العقد'!B$3:B$388,D464),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77</v>
      </c>
      <c r="F464" s="23" t="str">
        <f>IF(C464="استحداث بند جديد", "", IF(D464&lt;&gt;"", IFERROR(INDEX('بنود العقد'!D$3:D$388,D464), ""), ""))</f>
        <v>م.ط</v>
      </c>
      <c r="G464" s="24">
        <f>IF(C464="استحداث بند جديد", "", IF(D464&lt;&gt;"", IFERROR(INDEX('بنود العقد'!E$3:E$388,D464), 0), ""))</f>
        <v>288</v>
      </c>
      <c r="H464" s="7">
        <v>157.22999999999999</v>
      </c>
      <c r="I464" s="8">
        <v>0</v>
      </c>
      <c r="J464" s="10">
        <f t="shared" si="3"/>
        <v>45282.239999999998</v>
      </c>
      <c r="K464" s="76" t="str">
        <f>IF(C464="استحداث بند جديد", "", IF(D464&lt;&gt;"", IFERROR(INDEX('بنود العقد'!C$3:C$388,D464), ""), ""))</f>
        <v>ميكانيكا</v>
      </c>
      <c r="L464" s="76" t="str">
        <f>IF(C464="استحداث بند جديد", IF(K464&lt;&gt;"","CMH_01-"&amp;IFERROR(VLOOKUP(K464,مراجع!$A$3:$B$14,2,FALSE),"?")&amp;"-NEW-"&amp;TEXT(A464,"000"),""), IF(D464&lt;&gt;"", IFERROR(INDEX('بنود العقد'!I$3:I$388,D464), ""), ""))</f>
        <v>CMH_01-ME-204</v>
      </c>
      <c r="M464" s="19"/>
    </row>
    <row r="465" spans="1:13" s="76" customFormat="1" ht="28.2" customHeight="1">
      <c r="A465" s="12">
        <v>463</v>
      </c>
      <c r="B465" s="6">
        <v>5</v>
      </c>
      <c r="C465" s="6" t="s">
        <v>175</v>
      </c>
      <c r="D465" s="6">
        <v>205</v>
      </c>
      <c r="E465" s="22" t="str">
        <f>IF(C465="استحداث بند جديد", "", IF(D465&lt;&gt;"", IFERROR(INDEX('بنود العقد'!B$3:B$388,D465),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94</v>
      </c>
      <c r="F465" s="23" t="str">
        <f>IF(C465="استحداث بند جديد", "", IF(D465&lt;&gt;"", IFERROR(INDEX('بنود العقد'!D$3:D$388,D465), ""), ""))</f>
        <v>م.ط</v>
      </c>
      <c r="G465" s="24">
        <f>IF(C465="استحداث بند جديد", "", IF(D465&lt;&gt;"", IFERROR(INDEX('بنود العقد'!E$3:E$388,D465), 0), ""))</f>
        <v>324</v>
      </c>
      <c r="H465" s="7">
        <v>74.25</v>
      </c>
      <c r="I465" s="8">
        <v>0</v>
      </c>
      <c r="J465" s="10">
        <f t="shared" si="3"/>
        <v>24057</v>
      </c>
      <c r="K465" s="76" t="str">
        <f>IF(C465="استحداث بند جديد", "", IF(D465&lt;&gt;"", IFERROR(INDEX('بنود العقد'!C$3:C$388,D465), ""), ""))</f>
        <v>ميكانيكا</v>
      </c>
      <c r="L465" s="76" t="str">
        <f>IF(C465="استحداث بند جديد", IF(K465&lt;&gt;"","CMH_01-"&amp;IFERROR(VLOOKUP(K465,مراجع!$A$3:$B$14,2,FALSE),"?")&amp;"-NEW-"&amp;TEXT(A465,"000"),""), IF(D465&lt;&gt;"", IFERROR(INDEX('بنود العقد'!I$3:I$388,D465), ""), ""))</f>
        <v>CMH_01-ME-205</v>
      </c>
      <c r="M465" s="19"/>
    </row>
    <row r="466" spans="1:13" s="76" customFormat="1" ht="28.2" customHeight="1">
      <c r="A466" s="12">
        <v>464</v>
      </c>
      <c r="B466" s="6">
        <v>5</v>
      </c>
      <c r="C466" s="6" t="s">
        <v>175</v>
      </c>
      <c r="D466" s="6">
        <v>206</v>
      </c>
      <c r="E466" s="22" t="str">
        <f>IF(C466="استحداث بند جديد", "", IF(D466&lt;&gt;"", IFERROR(INDEX('بنود العقد'!B$3:B$388,D466), "⚠"), ""))</f>
        <v>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141</v>
      </c>
      <c r="F466" s="23" t="str">
        <f>IF(C466="استحداث بند جديد", "", IF(D466&lt;&gt;"", IFERROR(INDEX('بنود العقد'!D$3:D$388,D466), ""), ""))</f>
        <v>م.ط</v>
      </c>
      <c r="G466" s="24">
        <f>IF(C466="استحداث بند جديد", "", IF(D466&lt;&gt;"", IFERROR(INDEX('بنود العقد'!E$3:E$388,D466), 0), ""))</f>
        <v>360</v>
      </c>
      <c r="H466" s="7">
        <v>102.92</v>
      </c>
      <c r="I466" s="8">
        <v>0</v>
      </c>
      <c r="J466" s="10">
        <f t="shared" si="3"/>
        <v>37051.199999999997</v>
      </c>
      <c r="K466" s="76" t="str">
        <f>IF(C466="استحداث بند جديد", "", IF(D466&lt;&gt;"", IFERROR(INDEX('بنود العقد'!C$3:C$388,D466), ""), ""))</f>
        <v>ميكانيكا</v>
      </c>
      <c r="L466" s="76" t="str">
        <f>IF(C466="استحداث بند جديد", IF(K466&lt;&gt;"","CMH_01-"&amp;IFERROR(VLOOKUP(K466,مراجع!$A$3:$B$14,2,FALSE),"?")&amp;"-NEW-"&amp;TEXT(A466,"000"),""), IF(D466&lt;&gt;"", IFERROR(INDEX('بنود العقد'!I$3:I$388,D466), ""), ""))</f>
        <v>CMH_01-ME-206</v>
      </c>
      <c r="M466" s="19"/>
    </row>
    <row r="467" spans="1:13" s="76" customFormat="1" ht="28.2" customHeight="1">
      <c r="A467" s="12">
        <v>465</v>
      </c>
      <c r="B467" s="6">
        <v>5</v>
      </c>
      <c r="C467" s="6" t="s">
        <v>250</v>
      </c>
      <c r="D467" s="6">
        <v>214</v>
      </c>
      <c r="E467" s="22" t="str">
        <f>IF(C467="استحداث بند جديد", "", IF(D467&lt;&gt;"", IFERROR(INDEX('بنود العقد'!B$3:B$388,D467), "⚠"), ""))</f>
        <v>توريد و تركيب و اختبار رشاشات آلية اوتوماتيكية كما هو موصف رشاشات معلقة، ذات فتحة 2/1 بوصة، ومعامل 5.6 =K   ودرجة حرارة تشغيل 68 درجة مئوية</v>
      </c>
      <c r="F467" s="23" t="str">
        <f>IF(C467="استحداث بند جديد", "", IF(D467&lt;&gt;"", IFERROR(INDEX('بنود العقد'!D$3:D$388,D467), ""), ""))</f>
        <v>عدد</v>
      </c>
      <c r="G467" s="24">
        <f>IF(C467="استحداث بند جديد", "", IF(D467&lt;&gt;"", IFERROR(INDEX('بنود العقد'!E$3:E$388,D467), 0), ""))</f>
        <v>66</v>
      </c>
      <c r="H467" s="7">
        <v>-1048</v>
      </c>
      <c r="I467" s="8">
        <v>0</v>
      </c>
      <c r="J467" s="10">
        <f t="shared" si="3"/>
        <v>-69168</v>
      </c>
      <c r="K467" s="76" t="str">
        <f>IF(C467="استحداث بند جديد", "", IF(D467&lt;&gt;"", IFERROR(INDEX('بنود العقد'!C$3:C$388,D467), ""), ""))</f>
        <v>ميكانيكا</v>
      </c>
      <c r="L467" s="76" t="str">
        <f>IF(C467="استحداث بند جديد", IF(K467&lt;&gt;"","CMH_01-"&amp;IFERROR(VLOOKUP(K467,مراجع!$A$3:$B$14,2,FALSE),"?")&amp;"-NEW-"&amp;TEXT(A467,"000"),""), IF(D467&lt;&gt;"", IFERROR(INDEX('بنود العقد'!I$3:I$388,D467), ""), ""))</f>
        <v>CMH_01-ME-214</v>
      </c>
      <c r="M467" s="19"/>
    </row>
    <row r="468" spans="1:13" s="76" customFormat="1" ht="28.2" customHeight="1">
      <c r="A468" s="12">
        <v>466</v>
      </c>
      <c r="B468" s="6">
        <v>5</v>
      </c>
      <c r="C468" s="6" t="s">
        <v>175</v>
      </c>
      <c r="D468" s="6">
        <v>215</v>
      </c>
      <c r="E468" s="22" t="str">
        <f>IF(C468="استحداث بند جديد", "", IF(D468&lt;&gt;"", IFERROR(INDEX('بنود العقد'!B$3:B$388,D468), "⚠"), ""))</f>
        <v>توريد و تركيب و اختبار رشاشات آلية اوتوماتيكية كما هو موصف رشاشات من النوع المخفي، ذات فتحة 2/1 بوصة، ومعامل 5.6 =K   ودرجة حرارة تشغيل 68 درجة مئوية</v>
      </c>
      <c r="F468" s="23" t="str">
        <f>IF(C468="استحداث بند جديد", "", IF(D468&lt;&gt;"", IFERROR(INDEX('بنود العقد'!D$3:D$388,D468), ""), ""))</f>
        <v>عدد</v>
      </c>
      <c r="G468" s="24">
        <f>IF(C468="استحداث بند جديد", "", IF(D468&lt;&gt;"", IFERROR(INDEX('بنود العقد'!E$3:E$388,D468), 0), ""))</f>
        <v>90</v>
      </c>
      <c r="H468" s="7">
        <v>1810</v>
      </c>
      <c r="I468" s="8">
        <v>0</v>
      </c>
      <c r="J468" s="10">
        <f t="shared" si="3"/>
        <v>162900</v>
      </c>
      <c r="K468" s="76" t="str">
        <f>IF(C468="استحداث بند جديد", "", IF(D468&lt;&gt;"", IFERROR(INDEX('بنود العقد'!C$3:C$388,D468), ""), ""))</f>
        <v>ميكانيكا</v>
      </c>
      <c r="L468" s="76" t="str">
        <f>IF(C468="استحداث بند جديد", IF(K468&lt;&gt;"","CMH_01-"&amp;IFERROR(VLOOKUP(K468,مراجع!$A$3:$B$14,2,FALSE),"?")&amp;"-NEW-"&amp;TEXT(A468,"000"),""), IF(D468&lt;&gt;"", IFERROR(INDEX('بنود العقد'!I$3:I$388,D468), ""), ""))</f>
        <v>CMH_01-ME-215</v>
      </c>
      <c r="M468" s="19"/>
    </row>
    <row r="469" spans="1:13" s="76" customFormat="1" ht="28.2" customHeight="1">
      <c r="A469" s="12">
        <v>467</v>
      </c>
      <c r="B469" s="6">
        <v>5</v>
      </c>
      <c r="C469" s="6" t="s">
        <v>175</v>
      </c>
      <c r="D469" s="6">
        <v>216</v>
      </c>
      <c r="E469" s="22" t="str">
        <f>IF(C469="استحداث بند جديد", "", IF(D469&lt;&gt;"", IFERROR(INDEX('بنود العقد'!B$3:B$388,D469), "⚠"), ""))</f>
        <v>توريد و تركيب و اختبار رشاشات آلية اوتوماتيكية كما هو موصف رشاشات عامودية، ذات فتحة 2/1 بوصة، ومعامل 5.6 =K   ودرجة حرارة تشغيل 68 درجة مئوية</v>
      </c>
      <c r="F469" s="23" t="str">
        <f>IF(C469="استحداث بند جديد", "", IF(D469&lt;&gt;"", IFERROR(INDEX('بنود العقد'!D$3:D$388,D469), ""), ""))</f>
        <v>عدد</v>
      </c>
      <c r="G469" s="24">
        <f>IF(C469="استحداث بند جديد", "", IF(D469&lt;&gt;"", IFERROR(INDEX('بنود العقد'!E$3:E$388,D469), 0), ""))</f>
        <v>90</v>
      </c>
      <c r="H469" s="7">
        <v>114</v>
      </c>
      <c r="I469" s="8">
        <v>0</v>
      </c>
      <c r="J469" s="10">
        <f t="shared" si="3"/>
        <v>10260</v>
      </c>
      <c r="K469" s="76" t="str">
        <f>IF(C469="استحداث بند جديد", "", IF(D469&lt;&gt;"", IFERROR(INDEX('بنود العقد'!C$3:C$388,D469), ""), ""))</f>
        <v>ميكانيكا</v>
      </c>
      <c r="L469" s="76" t="str">
        <f>IF(C469="استحداث بند جديد", IF(K469&lt;&gt;"","CMH_01-"&amp;IFERROR(VLOOKUP(K469,مراجع!$A$3:$B$14,2,FALSE),"?")&amp;"-NEW-"&amp;TEXT(A469,"000"),""), IF(D469&lt;&gt;"", IFERROR(INDEX('بنود العقد'!I$3:I$388,D469), ""), ""))</f>
        <v>CMH_01-ME-216</v>
      </c>
      <c r="M469" s="19"/>
    </row>
    <row r="470" spans="1:13" s="76" customFormat="1" ht="28.2" customHeight="1">
      <c r="A470" s="12">
        <v>468</v>
      </c>
      <c r="B470" s="6">
        <v>5</v>
      </c>
      <c r="C470" s="6" t="s">
        <v>175</v>
      </c>
      <c r="D470" s="6">
        <v>217</v>
      </c>
      <c r="E470" s="22" t="str">
        <f>IF(C470="استحداث بند جديد", "", IF(D470&lt;&gt;"", IFERROR(INDEX('بنود العقد'!B$3:B$388,D470), "⚠"), ""))</f>
        <v>توريد و تركيب طفايات حريق قابلة للحمل كما هو محددنوع ABC ، سعة 6 كغ ، بودرة جافّة مرجع 1-FE</v>
      </c>
      <c r="F470" s="23" t="str">
        <f>IF(C470="استحداث بند جديد", "", IF(D470&lt;&gt;"", IFERROR(INDEX('بنود العقد'!D$3:D$388,D470), ""), ""))</f>
        <v>عدد</v>
      </c>
      <c r="G470" s="24">
        <f>IF(C470="استحداث بند جديد", "", IF(D470&lt;&gt;"", IFERROR(INDEX('بنود العقد'!E$3:E$388,D470), 0), ""))</f>
        <v>180</v>
      </c>
      <c r="H470" s="7">
        <v>1</v>
      </c>
      <c r="I470" s="8">
        <v>0</v>
      </c>
      <c r="J470" s="10">
        <f t="shared" si="3"/>
        <v>180</v>
      </c>
      <c r="K470" s="76" t="str">
        <f>IF(C470="استحداث بند جديد", "", IF(D470&lt;&gt;"", IFERROR(INDEX('بنود العقد'!C$3:C$388,D470), ""), ""))</f>
        <v>ميكانيكا</v>
      </c>
      <c r="L470" s="76" t="str">
        <f>IF(C470="استحداث بند جديد", IF(K470&lt;&gt;"","CMH_01-"&amp;IFERROR(VLOOKUP(K470,مراجع!$A$3:$B$14,2,FALSE),"?")&amp;"-NEW-"&amp;TEXT(A470,"000"),""), IF(D470&lt;&gt;"", IFERROR(INDEX('بنود العقد'!I$3:I$388,D470), ""), ""))</f>
        <v>CMH_01-ME-217</v>
      </c>
      <c r="M470" s="19"/>
    </row>
    <row r="471" spans="1:13" s="76" customFormat="1" ht="28.2" customHeight="1">
      <c r="A471" s="12">
        <v>469</v>
      </c>
      <c r="B471" s="6">
        <v>5</v>
      </c>
      <c r="C471" s="6" t="s">
        <v>250</v>
      </c>
      <c r="D471" s="6">
        <v>218</v>
      </c>
      <c r="E471" s="22" t="str">
        <f>IF(C471="استحداث بند جديد", "", IF(D471&lt;&gt;"", IFERROR(INDEX('بنود العقد'!B$3:B$388,D471), "⚠"), ""))</f>
        <v>توريد و تركيب نظام  غازي200FM لغرف الكهرباء و السنترال و ما يتطلبه النظام من تعديلاتمعمارية على ان يتم تقديمها للاعتماد من قبل مهندس المشرف  ،  مرجع 3-FE</v>
      </c>
      <c r="F471" s="23" t="str">
        <f>IF(C471="استحداث بند جديد", "", IF(D471&lt;&gt;"", IFERROR(INDEX('بنود العقد'!D$3:D$388,D471), ""), ""))</f>
        <v>عدد</v>
      </c>
      <c r="G471" s="24">
        <f>IF(C471="استحداث بند جديد", "", IF(D471&lt;&gt;"", IFERROR(INDEX('بنود العقد'!E$3:E$388,D471), 0), ""))</f>
        <v>54000</v>
      </c>
      <c r="H471" s="7">
        <v>-13.5</v>
      </c>
      <c r="I471" s="8">
        <v>0</v>
      </c>
      <c r="J471" s="10">
        <f t="shared" si="3"/>
        <v>-729000</v>
      </c>
      <c r="K471" s="76" t="str">
        <f>IF(C471="استحداث بند جديد", "", IF(D471&lt;&gt;"", IFERROR(INDEX('بنود العقد'!C$3:C$388,D471), ""), ""))</f>
        <v>ميكانيكا</v>
      </c>
      <c r="L471" s="76" t="str">
        <f>IF(C471="استحداث بند جديد", IF(K471&lt;&gt;"","CMH_01-"&amp;IFERROR(VLOOKUP(K471,مراجع!$A$3:$B$14,2,FALSE),"?")&amp;"-NEW-"&amp;TEXT(A471,"000"),""), IF(D471&lt;&gt;"", IFERROR(INDEX('بنود العقد'!I$3:I$388,D471), ""), ""))</f>
        <v>CMH_01-ME-218</v>
      </c>
      <c r="M471" s="19"/>
    </row>
    <row r="472" spans="1:13" s="76" customFormat="1" ht="28.2" customHeight="1">
      <c r="A472" s="12">
        <v>470</v>
      </c>
      <c r="B472" s="6">
        <v>5</v>
      </c>
      <c r="C472" s="6" t="s">
        <v>175</v>
      </c>
      <c r="D472" s="6">
        <v>219</v>
      </c>
      <c r="E472" s="22" t="str">
        <f>IF(C472="استحداث بند جديد", "", IF(D472&lt;&gt;"", IFERROR(INDEX('بنود العقد'!B$3:B$388,D472), "⚠"), ""))</f>
        <v>توريد و تركيب كبائن مكافحة الحريق class II مزوده بمحبس 5.1 بوصة و خرطوم قماشي من مادةمعتمدة و ايضا بها طفاية حريق ABC  سعة 6 كيلو</v>
      </c>
      <c r="F472" s="23" t="str">
        <f>IF(C472="استحداث بند جديد", "", IF(D472&lt;&gt;"", IFERROR(INDEX('بنود العقد'!D$3:D$388,D472), ""), ""))</f>
        <v>عدد</v>
      </c>
      <c r="G472" s="24">
        <f>IF(C472="استحداث بند جديد", "", IF(D472&lt;&gt;"", IFERROR(INDEX('بنود العقد'!E$3:E$388,D472), 0), ""))</f>
        <v>4800</v>
      </c>
      <c r="H472" s="7">
        <v>2</v>
      </c>
      <c r="I472" s="8">
        <v>0</v>
      </c>
      <c r="J472" s="10">
        <f t="shared" si="3"/>
        <v>9600</v>
      </c>
      <c r="K472" s="76" t="str">
        <f>IF(C472="استحداث بند جديد", "", IF(D472&lt;&gt;"", IFERROR(INDEX('بنود العقد'!C$3:C$388,D472), ""), ""))</f>
        <v>ميكانيكا</v>
      </c>
      <c r="L472" s="76" t="str">
        <f>IF(C472="استحداث بند جديد", IF(K472&lt;&gt;"","CMH_01-"&amp;IFERROR(VLOOKUP(K472,مراجع!$A$3:$B$14,2,FALSE),"?")&amp;"-NEW-"&amp;TEXT(A472,"000"),""), IF(D472&lt;&gt;"", IFERROR(INDEX('بنود العقد'!I$3:I$388,D472), ""), ""))</f>
        <v>CMH_01-ME-219</v>
      </c>
      <c r="M472" s="19"/>
    </row>
    <row r="473" spans="1:13" s="76" customFormat="1" ht="28.2" customHeight="1">
      <c r="A473" s="12">
        <v>471</v>
      </c>
      <c r="B473" s="6">
        <v>5</v>
      </c>
      <c r="C473" s="6" t="s">
        <v>250</v>
      </c>
      <c r="D473" s="6">
        <v>220</v>
      </c>
      <c r="E473" s="22" t="str">
        <f>IF(C473="استحداث بند جديد", "", IF(D473&lt;&gt;"", IFERROR(INDEX('بنود العقد'!B$3:B$388,D473), "⚠"), ""))</f>
        <v xml:space="preserve"> توريد و تركيب طفايات حريق  نوع 2Co ، سعة 6 كغ ، بودرة جافّة</v>
      </c>
      <c r="F473" s="23" t="str">
        <f>IF(C473="استحداث بند جديد", "", IF(D473&lt;&gt;"", IFERROR(INDEX('بنود العقد'!D$3:D$388,D473), ""), ""))</f>
        <v>عدد</v>
      </c>
      <c r="G473" s="24">
        <f>IF(C473="استحداث بند جديد", "", IF(D473&lt;&gt;"", IFERROR(INDEX('بنود العقد'!E$3:E$388,D473), 0), ""))</f>
        <v>420</v>
      </c>
      <c r="H473" s="7">
        <v>-30</v>
      </c>
      <c r="I473" s="8">
        <v>0</v>
      </c>
      <c r="J473" s="10">
        <f t="shared" si="3"/>
        <v>-12600</v>
      </c>
      <c r="K473" s="76" t="str">
        <f>IF(C473="استحداث بند جديد", "", IF(D473&lt;&gt;"", IFERROR(INDEX('بنود العقد'!C$3:C$388,D473), ""), ""))</f>
        <v>ميكانيكا</v>
      </c>
      <c r="L473" s="76" t="str">
        <f>IF(C473="استحداث بند جديد", IF(K473&lt;&gt;"","CMH_01-"&amp;IFERROR(VLOOKUP(K473,مراجع!$A$3:$B$14,2,FALSE),"?")&amp;"-NEW-"&amp;TEXT(A473,"000"),""), IF(D473&lt;&gt;"", IFERROR(INDEX('بنود العقد'!I$3:I$388,D473), ""), ""))</f>
        <v>CMH_01-ME-220</v>
      </c>
      <c r="M473" s="19"/>
    </row>
    <row r="474" spans="1:13" s="76" customFormat="1" ht="28.2" customHeight="1">
      <c r="A474" s="12">
        <v>472</v>
      </c>
      <c r="B474" s="6">
        <v>5</v>
      </c>
      <c r="C474" s="6" t="s">
        <v>175</v>
      </c>
      <c r="D474" s="6">
        <v>221</v>
      </c>
      <c r="E474" s="22" t="str">
        <f>IF(C474="استحداث بند جديد", "", IF(D474&lt;&gt;"", IFERROR(INDEX('بنود العقد'!B$3:B$388,D474),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01-VAV ، اجمالي الهواء 0-250 ) ق/د( استطاعة التخزين 5.1 )ك/و(</v>
      </c>
      <c r="F474" s="23" t="str">
        <f>IF(C474="استحداث بند جديد", "", IF(D474&lt;&gt;"", IFERROR(INDEX('بنود العقد'!D$3:D$388,D474), ""), ""))</f>
        <v>عدد</v>
      </c>
      <c r="G474" s="24">
        <f>IF(C474="استحداث بند جديد", "", IF(D474&lt;&gt;"", IFERROR(INDEX('بنود العقد'!E$3:E$388,D474), 0), ""))</f>
        <v>6600</v>
      </c>
      <c r="H474" s="7">
        <v>30</v>
      </c>
      <c r="I474" s="8">
        <v>0</v>
      </c>
      <c r="J474" s="10">
        <f t="shared" si="3"/>
        <v>198000</v>
      </c>
      <c r="K474" s="76" t="str">
        <f>IF(C474="استحداث بند جديد", "", IF(D474&lt;&gt;"", IFERROR(INDEX('بنود العقد'!C$3:C$388,D474), ""), ""))</f>
        <v>تكييف</v>
      </c>
      <c r="L474" s="76" t="str">
        <f>IF(C474="استحداث بند جديد", IF(K474&lt;&gt;"","CMH_01-"&amp;IFERROR(VLOOKUP(K474,مراجع!$A$3:$B$14,2,FALSE),"?")&amp;"-NEW-"&amp;TEXT(A474,"000"),""), IF(D474&lt;&gt;"", IFERROR(INDEX('بنود العقد'!I$3:I$388,D474), ""), ""))</f>
        <v>CMH_01-HV-221</v>
      </c>
      <c r="M474" s="19"/>
    </row>
    <row r="475" spans="1:13" s="76" customFormat="1" ht="28.2" customHeight="1">
      <c r="A475" s="12">
        <v>473</v>
      </c>
      <c r="B475" s="6">
        <v>5</v>
      </c>
      <c r="C475" s="6" t="s">
        <v>250</v>
      </c>
      <c r="D475" s="6">
        <v>222</v>
      </c>
      <c r="E475" s="22" t="str">
        <f>IF(C475="استحداث بند جديد", "", IF(D475&lt;&gt;"", IFERROR(INDEX('بنود العقد'!B$3:B$388,D475),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02-VAV ، اجمالي الهواء 0-500 ) ق/د( استطاعة التخزين 2 )ك/و(</v>
      </c>
      <c r="F475" s="23" t="str">
        <f>IF(C475="استحداث بند جديد", "", IF(D475&lt;&gt;"", IFERROR(INDEX('بنود العقد'!D$3:D$388,D475), ""), ""))</f>
        <v>عدد</v>
      </c>
      <c r="G475" s="24">
        <f>IF(C475="استحداث بند جديد", "", IF(D475&lt;&gt;"", IFERROR(INDEX('بنود العقد'!E$3:E$388,D475), 0), ""))</f>
        <v>6960</v>
      </c>
      <c r="H475" s="7">
        <v>-38</v>
      </c>
      <c r="I475" s="8">
        <v>0</v>
      </c>
      <c r="J475" s="10">
        <f t="shared" si="3"/>
        <v>-264480</v>
      </c>
      <c r="K475" s="76" t="str">
        <f>IF(C475="استحداث بند جديد", "", IF(D475&lt;&gt;"", IFERROR(INDEX('بنود العقد'!C$3:C$388,D475), ""), ""))</f>
        <v>تكييف</v>
      </c>
      <c r="L475" s="76" t="str">
        <f>IF(C475="استحداث بند جديد", IF(K475&lt;&gt;"","CMH_01-"&amp;IFERROR(VLOOKUP(K475,مراجع!$A$3:$B$14,2,FALSE),"?")&amp;"-NEW-"&amp;TEXT(A475,"000"),""), IF(D475&lt;&gt;"", IFERROR(INDEX('بنود العقد'!I$3:I$388,D475), ""), ""))</f>
        <v>CMH_01-HV-222</v>
      </c>
      <c r="M475" s="19"/>
    </row>
    <row r="476" spans="1:13" s="76" customFormat="1" ht="28.2" customHeight="1">
      <c r="A476" s="12">
        <v>474</v>
      </c>
      <c r="B476" s="6">
        <v>5</v>
      </c>
      <c r="C476" s="6" t="s">
        <v>175</v>
      </c>
      <c r="D476" s="6">
        <v>223</v>
      </c>
      <c r="E476" s="22" t="str">
        <f>IF(C476="استحداث بند جديد", "", IF(D476&lt;&gt;"", IFERROR(INDEX('بنود العقد'!B$3:B$388,D476), "⚠"), ""))</f>
        <v xml:space="preserve">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03-VAV ، اجمالي الهواء 0-750 ) ق/د( استطاعة التخزين 3 )ك/و( </v>
      </c>
      <c r="F476" s="23" t="str">
        <f>IF(C476="استحداث بند جديد", "", IF(D476&lt;&gt;"", IFERROR(INDEX('بنود العقد'!D$3:D$388,D476), ""), ""))</f>
        <v>عدد</v>
      </c>
      <c r="G476" s="24">
        <f>IF(C476="استحداث بند جديد", "", IF(D476&lt;&gt;"", IFERROR(INDEX('بنود العقد'!E$3:E$388,D476), 0), ""))</f>
        <v>7200</v>
      </c>
      <c r="H476" s="7">
        <v>20</v>
      </c>
      <c r="I476" s="8">
        <v>0</v>
      </c>
      <c r="J476" s="10">
        <f t="shared" si="3"/>
        <v>144000</v>
      </c>
      <c r="K476" s="76" t="str">
        <f>IF(C476="استحداث بند جديد", "", IF(D476&lt;&gt;"", IFERROR(INDEX('بنود العقد'!C$3:C$388,D476), ""), ""))</f>
        <v>تكييف</v>
      </c>
      <c r="L476" s="76" t="str">
        <f>IF(C476="استحداث بند جديد", IF(K476&lt;&gt;"","CMH_01-"&amp;IFERROR(VLOOKUP(K476,مراجع!$A$3:$B$14,2,FALSE),"?")&amp;"-NEW-"&amp;TEXT(A476,"000"),""), IF(D476&lt;&gt;"", IFERROR(INDEX('بنود العقد'!I$3:I$388,D476), ""), ""))</f>
        <v>CMH_01-HV-223</v>
      </c>
      <c r="M476" s="19"/>
    </row>
    <row r="477" spans="1:13" s="76" customFormat="1" ht="28.2" customHeight="1">
      <c r="A477" s="12">
        <v>475</v>
      </c>
      <c r="B477" s="6">
        <v>5</v>
      </c>
      <c r="C477" s="6" t="s">
        <v>250</v>
      </c>
      <c r="D477" s="6">
        <v>224</v>
      </c>
      <c r="E477" s="22" t="str">
        <f>IF(C477="استحداث بند جديد", "", IF(D477&lt;&gt;"", IFERROR(INDEX('بنود العقد'!B$3:B$388,D477),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04-VAV ، اجمالي الهواء 0-1000 ) ق/د( استطاعة التخزين 5.3 )ك/و(</v>
      </c>
      <c r="F477" s="23" t="str">
        <f>IF(C477="استحداث بند جديد", "", IF(D477&lt;&gt;"", IFERROR(INDEX('بنود العقد'!D$3:D$388,D477), ""), ""))</f>
        <v>عدد</v>
      </c>
      <c r="G477" s="24">
        <f>IF(C477="استحداث بند جديد", "", IF(D477&lt;&gt;"", IFERROR(INDEX('بنود العقد'!E$3:E$388,D477), 0), ""))</f>
        <v>7200</v>
      </c>
      <c r="H477" s="7">
        <v>-1</v>
      </c>
      <c r="I477" s="8">
        <v>0</v>
      </c>
      <c r="J477" s="10">
        <f t="shared" si="3"/>
        <v>-7200</v>
      </c>
      <c r="K477" s="76" t="str">
        <f>IF(C477="استحداث بند جديد", "", IF(D477&lt;&gt;"", IFERROR(INDEX('بنود العقد'!C$3:C$388,D477), ""), ""))</f>
        <v>تكييف</v>
      </c>
      <c r="L477" s="76" t="str">
        <f>IF(C477="استحداث بند جديد", IF(K477&lt;&gt;"","CMH_01-"&amp;IFERROR(VLOOKUP(K477,مراجع!$A$3:$B$14,2,FALSE),"?")&amp;"-NEW-"&amp;TEXT(A477,"000"),""), IF(D477&lt;&gt;"", IFERROR(INDEX('بنود العقد'!I$3:I$388,D477), ""), ""))</f>
        <v>CMH_01-HV-224</v>
      </c>
      <c r="M477" s="19"/>
    </row>
    <row r="478" spans="1:13" s="76" customFormat="1" ht="28.2" customHeight="1">
      <c r="A478" s="12">
        <v>476</v>
      </c>
      <c r="B478" s="6">
        <v>5</v>
      </c>
      <c r="C478" s="6" t="s">
        <v>250</v>
      </c>
      <c r="D478" s="6">
        <v>225</v>
      </c>
      <c r="E478" s="22" t="str">
        <f>IF(C478="استحداث بند جديد", "", IF(D478&lt;&gt;"", IFERROR(INDEX('بنود العقد'!B$3:B$388,D478),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05-VAV ، اجمالي الهواء 0-1500 ) ق/د( استطاعة التخزين 5.3 )ك/و(</v>
      </c>
      <c r="F478" s="23" t="str">
        <f>IF(C478="استحداث بند جديد", "", IF(D478&lt;&gt;"", IFERROR(INDEX('بنود العقد'!D$3:D$388,D478), ""), ""))</f>
        <v>عدد</v>
      </c>
      <c r="G478" s="24">
        <f>IF(C478="استحداث بند جديد", "", IF(D478&lt;&gt;"", IFERROR(INDEX('بنود العقد'!E$3:E$388,D478), 0), ""))</f>
        <v>9000</v>
      </c>
      <c r="H478" s="7">
        <v>-10</v>
      </c>
      <c r="I478" s="8">
        <v>0</v>
      </c>
      <c r="J478" s="10">
        <f t="shared" si="3"/>
        <v>-90000</v>
      </c>
      <c r="K478" s="76" t="str">
        <f>IF(C478="استحداث بند جديد", "", IF(D478&lt;&gt;"", IFERROR(INDEX('بنود العقد'!C$3:C$388,D478), ""), ""))</f>
        <v>تكييف</v>
      </c>
      <c r="L478" s="76" t="str">
        <f>IF(C478="استحداث بند جديد", IF(K478&lt;&gt;"","CMH_01-"&amp;IFERROR(VLOOKUP(K478,مراجع!$A$3:$B$14,2,FALSE),"?")&amp;"-NEW-"&amp;TEXT(A478,"000"),""), IF(D478&lt;&gt;"", IFERROR(INDEX('بنود العقد'!I$3:I$388,D478), ""), ""))</f>
        <v>CMH_01-HV-225</v>
      </c>
      <c r="M478" s="19"/>
    </row>
    <row r="479" spans="1:13" s="76" customFormat="1" ht="28.2" customHeight="1">
      <c r="A479" s="12">
        <v>477</v>
      </c>
      <c r="B479" s="6">
        <v>5</v>
      </c>
      <c r="C479" s="6" t="s">
        <v>175</v>
      </c>
      <c r="D479" s="6">
        <v>226</v>
      </c>
      <c r="E479" s="22" t="str">
        <f>IF(C479="استحداث بند جديد", "", IF(D479&lt;&gt;"", IFERROR(INDEX('بنود العقد'!B$3:B$388,D479),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06-VAV ، اجمالي الهواء 0-2000 ) ق/د( استطاعة التخزين 6.3 )ك/و(</v>
      </c>
      <c r="F479" s="23" t="str">
        <f>IF(C479="استحداث بند جديد", "", IF(D479&lt;&gt;"", IFERROR(INDEX('بنود العقد'!D$3:D$388,D479), ""), ""))</f>
        <v>عدد</v>
      </c>
      <c r="G479" s="24">
        <f>IF(C479="استحداث بند جديد", "", IF(D479&lt;&gt;"", IFERROR(INDEX('بنود العقد'!E$3:E$388,D479), 0), ""))</f>
        <v>10200</v>
      </c>
      <c r="H479" s="7">
        <v>8</v>
      </c>
      <c r="I479" s="8">
        <v>0</v>
      </c>
      <c r="J479" s="10">
        <f t="shared" si="3"/>
        <v>81600</v>
      </c>
      <c r="K479" s="76" t="str">
        <f>IF(C479="استحداث بند جديد", "", IF(D479&lt;&gt;"", IFERROR(INDEX('بنود العقد'!C$3:C$388,D479), ""), ""))</f>
        <v>تكييف</v>
      </c>
      <c r="L479" s="76" t="str">
        <f>IF(C479="استحداث بند جديد", IF(K479&lt;&gt;"","CMH_01-"&amp;IFERROR(VLOOKUP(K479,مراجع!$A$3:$B$14,2,FALSE),"?")&amp;"-NEW-"&amp;TEXT(A479,"000"),""), IF(D479&lt;&gt;"", IFERROR(INDEX('بنود العقد'!I$3:I$388,D479), ""), ""))</f>
        <v>CMH_01-HV-226</v>
      </c>
      <c r="M479" s="19"/>
    </row>
    <row r="480" spans="1:13" s="76" customFormat="1" ht="28.2" customHeight="1">
      <c r="A480" s="12">
        <v>478</v>
      </c>
      <c r="B480" s="6">
        <v>5</v>
      </c>
      <c r="C480" s="6" t="s">
        <v>175</v>
      </c>
      <c r="D480" s="6">
        <v>227</v>
      </c>
      <c r="E480" s="22" t="str">
        <f>IF(C480="استحداث بند جديد", "", IF(D480&lt;&gt;"", IFERROR(INDEX('بنود العقد'!B$3:B$388,D480), "⚠"), ""))</f>
        <v>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07-VAV ، اجمالي الهواء 0-2500 ) ق/د( استطاعة التخزين 7.3 )ك/و(</v>
      </c>
      <c r="F480" s="23" t="str">
        <f>IF(C480="استحداث بند جديد", "", IF(D480&lt;&gt;"", IFERROR(INDEX('بنود العقد'!D$3:D$388,D480), ""), ""))</f>
        <v>عدد</v>
      </c>
      <c r="G480" s="24">
        <f>IF(C480="استحداث بند جديد", "", IF(D480&lt;&gt;"", IFERROR(INDEX('بنود العقد'!E$3:E$388,D480), 0), ""))</f>
        <v>10800</v>
      </c>
      <c r="H480" s="7">
        <v>3</v>
      </c>
      <c r="I480" s="8">
        <v>0</v>
      </c>
      <c r="J480" s="10">
        <f t="shared" si="3"/>
        <v>32400</v>
      </c>
      <c r="K480" s="76" t="str">
        <f>IF(C480="استحداث بند جديد", "", IF(D480&lt;&gt;"", IFERROR(INDEX('بنود العقد'!C$3:C$388,D480), ""), ""))</f>
        <v>تكييف</v>
      </c>
      <c r="L480" s="76" t="str">
        <f>IF(C480="استحداث بند جديد", IF(K480&lt;&gt;"","CMH_01-"&amp;IFERROR(VLOOKUP(K480,مراجع!$A$3:$B$14,2,FALSE),"?")&amp;"-NEW-"&amp;TEXT(A480,"000"),""), IF(D480&lt;&gt;"", IFERROR(INDEX('بنود العقد'!I$3:I$388,D480), ""), ""))</f>
        <v>CMH_01-HV-227</v>
      </c>
      <c r="M480" s="19"/>
    </row>
    <row r="481" spans="1:13" s="76" customFormat="1" ht="28.2" customHeight="1">
      <c r="A481" s="12">
        <v>479</v>
      </c>
      <c r="B481" s="6">
        <v>5</v>
      </c>
      <c r="C481" s="6" t="s">
        <v>175</v>
      </c>
      <c r="D481" s="6">
        <v>230</v>
      </c>
      <c r="E481" s="22" t="str">
        <f>IF(C481="استحداث بند جديد", "", IF(D481&lt;&gt;"", IFERROR(INDEX('بنود العقد'!B$3:B$388,D481), "⚠"), ""))</f>
        <v>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v>
      </c>
      <c r="F481" s="23" t="str">
        <f>IF(C481="استحداث بند جديد", "", IF(D481&lt;&gt;"", IFERROR(INDEX('بنود العقد'!D$3:D$388,D481), ""), ""))</f>
        <v>م.ط</v>
      </c>
      <c r="G481" s="24">
        <f>IF(C481="استحداث بند جديد", "", IF(D481&lt;&gt;"", IFERROR(INDEX('بنود العقد'!E$3:E$388,D481), 0), ""))</f>
        <v>300</v>
      </c>
      <c r="H481" s="7">
        <v>1320.45</v>
      </c>
      <c r="I481" s="8">
        <v>0</v>
      </c>
      <c r="J481" s="10">
        <f t="shared" si="3"/>
        <v>396135</v>
      </c>
      <c r="K481" s="76" t="str">
        <f>IF(C481="استحداث بند جديد", "", IF(D481&lt;&gt;"", IFERROR(INDEX('بنود العقد'!C$3:C$388,D481), ""), ""))</f>
        <v>تكييف</v>
      </c>
      <c r="L481" s="76" t="str">
        <f>IF(C481="استحداث بند جديد", IF(K481&lt;&gt;"","CMH_01-"&amp;IFERROR(VLOOKUP(K481,مراجع!$A$3:$B$14,2,FALSE),"?")&amp;"-NEW-"&amp;TEXT(A481,"000"),""), IF(D481&lt;&gt;"", IFERROR(INDEX('بنود العقد'!I$3:I$388,D481), ""), ""))</f>
        <v>CMH_01-HV-230</v>
      </c>
      <c r="M481" s="19"/>
    </row>
    <row r="482" spans="1:13" s="76" customFormat="1" ht="28.2" customHeight="1">
      <c r="A482" s="12">
        <v>480</v>
      </c>
      <c r="B482" s="6">
        <v>5</v>
      </c>
      <c r="C482" s="6" t="s">
        <v>250</v>
      </c>
      <c r="D482" s="6">
        <v>231</v>
      </c>
      <c r="E482" s="22" t="str">
        <f>IF(C482="استحداث بند جديد", "", IF(D482&lt;&gt;"", IFERROR(INDEX('بنود العقد'!B$3:B$388,D482), "⚠"), ""))</f>
        <v>ناشرة هواء ذات فتحات طولية  للهواء الداخل مصنعة من الألمنيوم المشكل بالبثق ومطلية بمسحوق البولستركاملة، مخمدات صوت ذات أرياش متضادّة ،وصندوق حجمى معزول من الداخل بعازل صوتى وميكانيزم للتحكم فى الهواء من واجهة الناشر وكل قطع الأكسسوار حسب المواصفات والمخططات مع توفير عينات للاعتماد من مهندس المشرف. ثلاثة فتحات / ثقب 25مم عرض</v>
      </c>
      <c r="F482" s="23" t="str">
        <f>IF(C482="استحداث بند جديد", "", IF(D482&lt;&gt;"", IFERROR(INDEX('بنود العقد'!D$3:D$388,D482), ""), ""))</f>
        <v>م.ط</v>
      </c>
      <c r="G482" s="24">
        <f>IF(C482="استحداث بند جديد", "", IF(D482&lt;&gt;"", IFERROR(INDEX('بنود العقد'!E$3:E$388,D482), 0), ""))</f>
        <v>480</v>
      </c>
      <c r="H482" s="7">
        <v>-63</v>
      </c>
      <c r="I482" s="8">
        <v>0</v>
      </c>
      <c r="J482" s="10">
        <f t="shared" si="3"/>
        <v>-30240</v>
      </c>
      <c r="K482" s="76" t="str">
        <f>IF(C482="استحداث بند جديد", "", IF(D482&lt;&gt;"", IFERROR(INDEX('بنود العقد'!C$3:C$388,D482), ""), ""))</f>
        <v>تكييف</v>
      </c>
      <c r="L482" s="76" t="str">
        <f>IF(C482="استحداث بند جديد", IF(K482&lt;&gt;"","CMH_01-"&amp;IFERROR(VLOOKUP(K482,مراجع!$A$3:$B$14,2,FALSE),"?")&amp;"-NEW-"&amp;TEXT(A482,"000"),""), IF(D482&lt;&gt;"", IFERROR(INDEX('بنود العقد'!I$3:I$388,D482), ""), ""))</f>
        <v>CMH_01-HV-231</v>
      </c>
      <c r="M482" s="19"/>
    </row>
    <row r="483" spans="1:13" s="76" customFormat="1" ht="28.2" customHeight="1">
      <c r="A483" s="12">
        <v>481</v>
      </c>
      <c r="B483" s="6">
        <v>5</v>
      </c>
      <c r="C483" s="6" t="s">
        <v>175</v>
      </c>
      <c r="D483" s="6">
        <v>232</v>
      </c>
      <c r="E483" s="22" t="str">
        <f>IF(C483="استحداث بند جديد", "", IF(D483&lt;&gt;"", IFERROR(INDEX('بنود العقد'!B$3:B$388,D483), "⚠"), ""))</f>
        <v>ناشرة هواء ذات فتحات طولية للهواء الراجع مصنعة من الألمنيوم المشكل بالبثق ومطلية بمسحوق البولستركاملة، وكل قطع الأكسسوار حسب المواصفات والمخططات مع توفير عينات للاعتماد من مهندس المشرف. ثلاثة فتحات / ثقب 25مم عرض</v>
      </c>
      <c r="F483" s="23" t="str">
        <f>IF(C483="استحداث بند جديد", "", IF(D483&lt;&gt;"", IFERROR(INDEX('بنود العقد'!D$3:D$388,D483), ""), ""))</f>
        <v>م.ط</v>
      </c>
      <c r="G483" s="24">
        <f>IF(C483="استحداث بند جديد", "", IF(D483&lt;&gt;"", IFERROR(INDEX('بنود العقد'!E$3:E$388,D483), 0), ""))</f>
        <v>480</v>
      </c>
      <c r="H483" s="7">
        <v>45</v>
      </c>
      <c r="I483" s="8">
        <v>0</v>
      </c>
      <c r="J483" s="10">
        <f t="shared" si="3"/>
        <v>21600</v>
      </c>
      <c r="K483" s="76" t="str">
        <f>IF(C483="استحداث بند جديد", "", IF(D483&lt;&gt;"", IFERROR(INDEX('بنود العقد'!C$3:C$388,D483), ""), ""))</f>
        <v>تكييف</v>
      </c>
      <c r="L483" s="76" t="str">
        <f>IF(C483="استحداث بند جديد", IF(K483&lt;&gt;"","CMH_01-"&amp;IFERROR(VLOOKUP(K483,مراجع!$A$3:$B$14,2,FALSE),"?")&amp;"-NEW-"&amp;TEXT(A483,"000"),""), IF(D483&lt;&gt;"", IFERROR(INDEX('بنود العقد'!I$3:I$388,D483), ""), ""))</f>
        <v>CMH_01-HV-232</v>
      </c>
      <c r="M483" s="19"/>
    </row>
    <row r="484" spans="1:13" s="76" customFormat="1" ht="28.2" customHeight="1">
      <c r="A484" s="12">
        <v>482</v>
      </c>
      <c r="B484" s="6">
        <v>5</v>
      </c>
      <c r="C484" s="6" t="s">
        <v>250</v>
      </c>
      <c r="D484" s="6">
        <v>233</v>
      </c>
      <c r="E484" s="22" t="str">
        <f>IF(C484="استحداث بند جديد", "", IF(D484&lt;&gt;"", IFERROR(INDEX('بنود العقد'!B$3:B$388,D484), "⚠"), ""))</f>
        <v xml:space="preserve"> جريلات تغذية من الالومينيوم مغطاة ببودرة البوليستر كاملة وجميع الملحقات حسب المخططات..والمواصفات مع توفير عينات للاعتماد من مهندس المشرف 600mm X 600mm</v>
      </c>
      <c r="F484" s="23" t="str">
        <f>IF(C484="استحداث بند جديد", "", IF(D484&lt;&gt;"", IFERROR(INDEX('بنود العقد'!D$3:D$388,D484), ""), ""))</f>
        <v>عدد</v>
      </c>
      <c r="G484" s="24">
        <f>IF(C484="استحداث بند جديد", "", IF(D484&lt;&gt;"", IFERROR(INDEX('بنود العقد'!E$3:E$388,D484), 0), ""))</f>
        <v>456</v>
      </c>
      <c r="H484" s="7">
        <v>-67</v>
      </c>
      <c r="I484" s="8">
        <v>0</v>
      </c>
      <c r="J484" s="10">
        <f t="shared" si="3"/>
        <v>-30552</v>
      </c>
      <c r="K484" s="76" t="str">
        <f>IF(C484="استحداث بند جديد", "", IF(D484&lt;&gt;"", IFERROR(INDEX('بنود العقد'!C$3:C$388,D484), ""), ""))</f>
        <v>تكييف</v>
      </c>
      <c r="L484" s="76" t="str">
        <f>IF(C484="استحداث بند جديد", IF(K484&lt;&gt;"","CMH_01-"&amp;IFERROR(VLOOKUP(K484,مراجع!$A$3:$B$14,2,FALSE),"?")&amp;"-NEW-"&amp;TEXT(A484,"000"),""), IF(D484&lt;&gt;"", IFERROR(INDEX('بنود العقد'!I$3:I$388,D484), ""), ""))</f>
        <v>CMH_01-HV-233</v>
      </c>
      <c r="M484" s="19"/>
    </row>
    <row r="485" spans="1:13" s="76" customFormat="1" ht="28.2" customHeight="1">
      <c r="A485" s="12">
        <v>483</v>
      </c>
      <c r="B485" s="6">
        <v>5</v>
      </c>
      <c r="C485" s="6" t="s">
        <v>250</v>
      </c>
      <c r="D485" s="6">
        <v>234</v>
      </c>
      <c r="E485" s="22" t="str">
        <f>IF(C485="استحداث بند جديد", "", IF(D485&lt;&gt;"", IFERROR(INDEX('بنود العقد'!B$3:B$388,D485), "⚠"), ""))</f>
        <v xml:space="preserve"> جريلات رجوع من الالومينيوم مغطاة ببودرة البوليستر كاملة وجميع الملحقات حسب المخططات.والمواصفات مع توفير عينات للاعتماد من مهندس المشرف 600mm X 600mm</v>
      </c>
      <c r="F485" s="23" t="str">
        <f>IF(C485="استحداث بند جديد", "", IF(D485&lt;&gt;"", IFERROR(INDEX('بنود العقد'!D$3:D$388,D485), ""), ""))</f>
        <v>عدد</v>
      </c>
      <c r="G485" s="24">
        <f>IF(C485="استحداث بند جديد", "", IF(D485&lt;&gt;"", IFERROR(INDEX('بنود العقد'!E$3:E$388,D485), 0), ""))</f>
        <v>264</v>
      </c>
      <c r="H485" s="7">
        <v>-160</v>
      </c>
      <c r="I485" s="8">
        <v>0</v>
      </c>
      <c r="J485" s="10">
        <f t="shared" si="3"/>
        <v>-42240</v>
      </c>
      <c r="K485" s="76" t="str">
        <f>IF(C485="استحداث بند جديد", "", IF(D485&lt;&gt;"", IFERROR(INDEX('بنود العقد'!C$3:C$388,D485), ""), ""))</f>
        <v>تكييف</v>
      </c>
      <c r="L485" s="76" t="str">
        <f>IF(C485="استحداث بند جديد", IF(K485&lt;&gt;"","CMH_01-"&amp;IFERROR(VLOOKUP(K485,مراجع!$A$3:$B$14,2,FALSE),"?")&amp;"-NEW-"&amp;TEXT(A485,"000"),""), IF(D485&lt;&gt;"", IFERROR(INDEX('بنود العقد'!I$3:I$388,D485), ""), ""))</f>
        <v>CMH_01-HV-234</v>
      </c>
      <c r="M485" s="19"/>
    </row>
    <row r="486" spans="1:13" s="76" customFormat="1" ht="28.2" customHeight="1">
      <c r="A486" s="12">
        <v>484</v>
      </c>
      <c r="B486" s="6">
        <v>5</v>
      </c>
      <c r="C486" s="6" t="s">
        <v>175</v>
      </c>
      <c r="D486" s="6">
        <v>235</v>
      </c>
      <c r="E486" s="22" t="str">
        <f>IF(C486="استحداث بند جديد", "", IF(D486&lt;&gt;"", IFERROR(INDEX('بنود العقد'!B$3:B$388,D486), "⚠"), ""))</f>
        <v xml:space="preserve"> جريلات لسحب الهواء من الالمونيوم مغطاة ببودرة البوليستر كاملة بجميع ملحقات التركيب وحسب.المخططات والمواصفات مع توفير عينات للاعتماد من مهندس المشرف 150mm X 150MM</v>
      </c>
      <c r="F486" s="23" t="str">
        <f>IF(C486="استحداث بند جديد", "", IF(D486&lt;&gt;"", IFERROR(INDEX('بنود العقد'!D$3:D$388,D486), ""), ""))</f>
        <v>عدد</v>
      </c>
      <c r="G486" s="24">
        <f>IF(C486="استحداث بند جديد", "", IF(D486&lt;&gt;"", IFERROR(INDEX('بنود العقد'!E$3:E$388,D486), 0), ""))</f>
        <v>210</v>
      </c>
      <c r="H486" s="7">
        <v>76</v>
      </c>
      <c r="I486" s="8">
        <v>0</v>
      </c>
      <c r="J486" s="10">
        <f t="shared" si="3"/>
        <v>15960</v>
      </c>
      <c r="K486" s="76" t="str">
        <f>IF(C486="استحداث بند جديد", "", IF(D486&lt;&gt;"", IFERROR(INDEX('بنود العقد'!C$3:C$388,D486), ""), ""))</f>
        <v>تكييف</v>
      </c>
      <c r="L486" s="76" t="str">
        <f>IF(C486="استحداث بند جديد", IF(K486&lt;&gt;"","CMH_01-"&amp;IFERROR(VLOOKUP(K486,مراجع!$A$3:$B$14,2,FALSE),"?")&amp;"-NEW-"&amp;TEXT(A486,"000"),""), IF(D486&lt;&gt;"", IFERROR(INDEX('بنود العقد'!I$3:I$388,D486), ""), ""))</f>
        <v>CMH_01-HV-235</v>
      </c>
      <c r="M486" s="19"/>
    </row>
    <row r="487" spans="1:13" s="76" customFormat="1" ht="28.2" customHeight="1">
      <c r="A487" s="12">
        <v>485</v>
      </c>
      <c r="B487" s="6">
        <v>5</v>
      </c>
      <c r="C487" s="6" t="s">
        <v>250</v>
      </c>
      <c r="D487" s="6">
        <v>236</v>
      </c>
      <c r="E487" s="22" t="str">
        <f>IF(C487="استحداث بند جديد", "", IF(D487&lt;&gt;"", IFERROR(INDEX('بنود العقد'!B$3:B$388,D487),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المشرف.Dia 150 mm</v>
      </c>
      <c r="F487" s="23" t="str">
        <f>IF(C487="استحداث بند جديد", "", IF(D487&lt;&gt;"", IFERROR(INDEX('بنود العقد'!D$3:D$388,D487), ""), ""))</f>
        <v>م.ط</v>
      </c>
      <c r="G487" s="24">
        <f>IF(C487="استحداث بند جديد", "", IF(D487&lt;&gt;"", IFERROR(INDEX('بنود العقد'!E$3:E$388,D487), 0), ""))</f>
        <v>45.6</v>
      </c>
      <c r="H487" s="7">
        <v>-19.399999999999999</v>
      </c>
      <c r="I487" s="8">
        <v>0</v>
      </c>
      <c r="J487" s="10">
        <f t="shared" si="3"/>
        <v>-884.64</v>
      </c>
      <c r="K487" s="76" t="str">
        <f>IF(C487="استحداث بند جديد", "", IF(D487&lt;&gt;"", IFERROR(INDEX('بنود العقد'!C$3:C$388,D487), ""), ""))</f>
        <v>تكييف</v>
      </c>
      <c r="L487" s="76" t="str">
        <f>IF(C487="استحداث بند جديد", IF(K487&lt;&gt;"","CMH_01-"&amp;IFERROR(VLOOKUP(K487,مراجع!$A$3:$B$14,2,FALSE),"?")&amp;"-NEW-"&amp;TEXT(A487,"000"),""), IF(D487&lt;&gt;"", IFERROR(INDEX('بنود العقد'!I$3:I$388,D487), ""), ""))</f>
        <v>CMH_01-HV-236</v>
      </c>
      <c r="M487" s="19"/>
    </row>
    <row r="488" spans="1:13" s="76" customFormat="1" ht="28.2" customHeight="1">
      <c r="A488" s="12">
        <v>486</v>
      </c>
      <c r="B488" s="6">
        <v>5</v>
      </c>
      <c r="C488" s="6" t="s">
        <v>175</v>
      </c>
      <c r="D488" s="6">
        <v>237</v>
      </c>
      <c r="E488" s="22" t="str">
        <f>IF(C488="استحداث بند جديد", "", IF(D488&lt;&gt;"", IFERROR(INDEX('بنود العقد'!B$3:B$388,D488),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200 mm</v>
      </c>
      <c r="F488" s="23" t="str">
        <f>IF(C488="استحداث بند جديد", "", IF(D488&lt;&gt;"", IFERROR(INDEX('بنود العقد'!D$3:D$388,D488), ""), ""))</f>
        <v>م.ط</v>
      </c>
      <c r="G488" s="24">
        <f>IF(C488="استحداث بند جديد", "", IF(D488&lt;&gt;"", IFERROR(INDEX('بنود العقد'!E$3:E$388,D488), 0), ""))</f>
        <v>54</v>
      </c>
      <c r="H488" s="7">
        <v>229</v>
      </c>
      <c r="I488" s="8">
        <v>0</v>
      </c>
      <c r="J488" s="10">
        <f t="shared" si="3"/>
        <v>12366</v>
      </c>
      <c r="K488" s="76" t="str">
        <f>IF(C488="استحداث بند جديد", "", IF(D488&lt;&gt;"", IFERROR(INDEX('بنود العقد'!C$3:C$388,D488), ""), ""))</f>
        <v>تكييف</v>
      </c>
      <c r="L488" s="76" t="str">
        <f>IF(C488="استحداث بند جديد", IF(K488&lt;&gt;"","CMH_01-"&amp;IFERROR(VLOOKUP(K488,مراجع!$A$3:$B$14,2,FALSE),"?")&amp;"-NEW-"&amp;TEXT(A488,"000"),""), IF(D488&lt;&gt;"", IFERROR(INDEX('بنود العقد'!I$3:I$388,D488), ""), ""))</f>
        <v>CMH_01-HV-237</v>
      </c>
      <c r="M488" s="19"/>
    </row>
    <row r="489" spans="1:13" s="76" customFormat="1" ht="28.2" customHeight="1">
      <c r="A489" s="12">
        <v>487</v>
      </c>
      <c r="B489" s="6">
        <v>5</v>
      </c>
      <c r="C489" s="6" t="s">
        <v>250</v>
      </c>
      <c r="D489" s="6">
        <v>238</v>
      </c>
      <c r="E489" s="22" t="str">
        <f>IF(C489="استحداث بند جديد", "", IF(D489&lt;&gt;"", IFERROR(INDEX('بنود العقد'!B$3:B$388,D489), "⚠"), ""))</f>
        <v>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250 mm</v>
      </c>
      <c r="F489" s="23" t="str">
        <f>IF(C489="استحداث بند جديد", "", IF(D489&lt;&gt;"", IFERROR(INDEX('بنود العقد'!D$3:D$388,D489), ""), ""))</f>
        <v>م.ط</v>
      </c>
      <c r="G489" s="24">
        <f>IF(C489="استحداث بند جديد", "", IF(D489&lt;&gt;"", IFERROR(INDEX('بنود العقد'!E$3:E$388,D489), 0), ""))</f>
        <v>66</v>
      </c>
      <c r="H489" s="7">
        <v>-760.4</v>
      </c>
      <c r="I489" s="8">
        <v>0</v>
      </c>
      <c r="J489" s="10">
        <f t="shared" si="3"/>
        <v>-50186.400000000001</v>
      </c>
      <c r="K489" s="76" t="str">
        <f>IF(C489="استحداث بند جديد", "", IF(D489&lt;&gt;"", IFERROR(INDEX('بنود العقد'!C$3:C$388,D489), ""), ""))</f>
        <v>تكييف</v>
      </c>
      <c r="L489" s="76" t="str">
        <f>IF(C489="استحداث بند جديد", IF(K489&lt;&gt;"","CMH_01-"&amp;IFERROR(VLOOKUP(K489,مراجع!$A$3:$B$14,2,FALSE),"?")&amp;"-NEW-"&amp;TEXT(A489,"000"),""), IF(D489&lt;&gt;"", IFERROR(INDEX('بنود العقد'!I$3:I$388,D489), ""), ""))</f>
        <v>CMH_01-HV-238</v>
      </c>
      <c r="M489" s="19"/>
    </row>
    <row r="490" spans="1:13" s="76" customFormat="1" ht="28.2" customHeight="1">
      <c r="A490" s="12">
        <v>488</v>
      </c>
      <c r="B490" s="6">
        <v>5</v>
      </c>
      <c r="C490" s="6" t="s">
        <v>175</v>
      </c>
      <c r="D490" s="6">
        <v>239</v>
      </c>
      <c r="E490" s="22" t="str">
        <f>IF(C490="استحداث بند جديد", "", IF(D490&lt;&gt;"", IFERROR(INDEX('بنود العقد'!B$3:B$388,D490), "⚠"), ""))</f>
        <v xml:space="preserve"> توريد و تركيب مراوح سحب الهواء )طرد مركزي فوق السطح ( تشمل عمليات الاختبار و الموازنة : تشمل عمليات التوريد و التركيب و الاختبار و التثبيت مراوح سحب الهواء )طرد مركزي فوق السطح ( سعة 6500 قدم مكعب بالدقيقة</v>
      </c>
      <c r="F490" s="23" t="str">
        <f>IF(C490="استحداث بند جديد", "", IF(D490&lt;&gt;"", IFERROR(INDEX('بنود العقد'!D$3:D$388,D490), ""), ""))</f>
        <v>عدد</v>
      </c>
      <c r="G490" s="24">
        <f>IF(C490="استحداث بند جديد", "", IF(D490&lt;&gt;"", IFERROR(INDEX('بنود العقد'!E$3:E$388,D490), 0), ""))</f>
        <v>18000</v>
      </c>
      <c r="H490" s="7">
        <v>3</v>
      </c>
      <c r="I490" s="8">
        <v>0</v>
      </c>
      <c r="J490" s="10">
        <f t="shared" si="3"/>
        <v>54000</v>
      </c>
      <c r="K490" s="76" t="str">
        <f>IF(C490="استحداث بند جديد", "", IF(D490&lt;&gt;"", IFERROR(INDEX('بنود العقد'!C$3:C$388,D490), ""), ""))</f>
        <v>تكييف</v>
      </c>
      <c r="L490" s="76" t="str">
        <f>IF(C490="استحداث بند جديد", IF(K490&lt;&gt;"","CMH_01-"&amp;IFERROR(VLOOKUP(K490,مراجع!$A$3:$B$14,2,FALSE),"?")&amp;"-NEW-"&amp;TEXT(A490,"000"),""), IF(D490&lt;&gt;"", IFERROR(INDEX('بنود العقد'!I$3:I$388,D490), ""), ""))</f>
        <v>CMH_01-HV-239</v>
      </c>
      <c r="M490" s="19"/>
    </row>
    <row r="491" spans="1:13" s="76" customFormat="1" ht="28.2" customHeight="1">
      <c r="A491" s="12">
        <v>489</v>
      </c>
      <c r="B491" s="6">
        <v>5</v>
      </c>
      <c r="C491" s="6" t="s">
        <v>250</v>
      </c>
      <c r="D491" s="6">
        <v>240</v>
      </c>
      <c r="E491" s="22" t="str">
        <f>IF(C491="استحداث بند جديد", "", IF(D491&lt;&gt;"", IFERROR(INDEX('بنود العقد'!B$3:B$388,D491), "⚠"), ""))</f>
        <v xml:space="preserve"> توريد و تركيب مراوح سحب الهواء )طرد مركزي فوق السطح ( تشمل عمليات الاختبار و الموازنة : تشمل عمليات التوريد و التركيب و الاختبار و التثبيت مراوح سحب الهواء )طرد مركزي فوق السطح ( سعة 7500 قدم مكعب بالدقيقة</v>
      </c>
      <c r="F491" s="23" t="str">
        <f>IF(C491="استحداث بند جديد", "", IF(D491&lt;&gt;"", IFERROR(INDEX('بنود العقد'!D$3:D$388,D491), ""), ""))</f>
        <v>عدد</v>
      </c>
      <c r="G491" s="24">
        <f>IF(C491="استحداث بند جديد", "", IF(D491&lt;&gt;"", IFERROR(INDEX('بنود العقد'!E$3:E$388,D491), 0), ""))</f>
        <v>24000</v>
      </c>
      <c r="H491" s="7">
        <v>-1</v>
      </c>
      <c r="I491" s="8">
        <v>0</v>
      </c>
      <c r="J491" s="10">
        <f t="shared" si="3"/>
        <v>-24000</v>
      </c>
      <c r="K491" s="76" t="str">
        <f>IF(C491="استحداث بند جديد", "", IF(D491&lt;&gt;"", IFERROR(INDEX('بنود العقد'!C$3:C$388,D491), ""), ""))</f>
        <v>تكييف</v>
      </c>
      <c r="L491" s="76" t="str">
        <f>IF(C491="استحداث بند جديد", IF(K491&lt;&gt;"","CMH_01-"&amp;IFERROR(VLOOKUP(K491,مراجع!$A$3:$B$14,2,FALSE),"?")&amp;"-NEW-"&amp;TEXT(A491,"000"),""), IF(D491&lt;&gt;"", IFERROR(INDEX('بنود العقد'!I$3:I$388,D491), ""), ""))</f>
        <v>CMH_01-HV-240</v>
      </c>
      <c r="M491" s="19"/>
    </row>
    <row r="492" spans="1:13" s="76" customFormat="1" ht="28.2" customHeight="1">
      <c r="A492" s="12">
        <v>490</v>
      </c>
      <c r="B492" s="6">
        <v>5</v>
      </c>
      <c r="C492" s="6" t="s">
        <v>250</v>
      </c>
      <c r="D492" s="6">
        <v>241</v>
      </c>
      <c r="E492" s="22" t="str">
        <f>IF(C492="استحداث بند جديد", "", IF(D492&lt;&gt;"", IFERROR(INDEX('بنود العقد'!B$3:B$388,D492), "⚠"), ""))</f>
        <v xml:space="preserve"> توريد و تركيب مراوح سحب الهواء )طرد مركزي فوق السطح ( تشمل عمليات الاختبار و الموازنة : تشمل عمليات التوريد و التركيب و الاختبار و التثبيت مراوح سحب الهواء )طرد مركزي فوق السطح ( سعة9000  قدم مكعب بالدقيقة</v>
      </c>
      <c r="F492" s="23" t="str">
        <f>IF(C492="استحداث بند جديد", "", IF(D492&lt;&gt;"", IFERROR(INDEX('بنود العقد'!D$3:D$388,D492), ""), ""))</f>
        <v>عدد</v>
      </c>
      <c r="G492" s="24">
        <f>IF(C492="استحداث بند جديد", "", IF(D492&lt;&gt;"", IFERROR(INDEX('بنود العقد'!E$3:E$388,D492), 0), ""))</f>
        <v>30000</v>
      </c>
      <c r="H492" s="7">
        <v>-2</v>
      </c>
      <c r="I492" s="8">
        <v>0</v>
      </c>
      <c r="J492" s="10">
        <f t="shared" si="3"/>
        <v>-60000</v>
      </c>
      <c r="K492" s="76" t="str">
        <f>IF(C492="استحداث بند جديد", "", IF(D492&lt;&gt;"", IFERROR(INDEX('بنود العقد'!C$3:C$388,D492), ""), ""))</f>
        <v>تكييف</v>
      </c>
      <c r="L492" s="76" t="str">
        <f>IF(C492="استحداث بند جديد", IF(K492&lt;&gt;"","CMH_01-"&amp;IFERROR(VLOOKUP(K492,مراجع!$A$3:$B$14,2,FALSE),"?")&amp;"-NEW-"&amp;TEXT(A492,"000"),""), IF(D492&lt;&gt;"", IFERROR(INDEX('بنود العقد'!I$3:I$388,D492), ""), ""))</f>
        <v>CMH_01-HV-241</v>
      </c>
      <c r="M492" s="19"/>
    </row>
    <row r="493" spans="1:13" s="76" customFormat="1" ht="28.2" customHeight="1">
      <c r="A493" s="12">
        <v>491</v>
      </c>
      <c r="B493" s="6">
        <v>5</v>
      </c>
      <c r="C493" s="6" t="s">
        <v>250</v>
      </c>
      <c r="D493" s="6">
        <v>242</v>
      </c>
      <c r="E493" s="22" t="str">
        <f>IF(C493="استحداث بند جديد", "", IF(D493&lt;&gt;"", IFERROR(INDEX('بنود العقد'!B$3:B$388,D493), "⚠"), ""))</f>
        <v>الموازنة والضبط والتهيئة لتشغيل أنظمة تكييف الهواء ،و يجب ان تحتوي على جميع التجهيزات والادوات المطلوبة لإجراء الاختبار والتهيئة للتشغيل والتشغيل مع ضبط كميات الهواء وموازنة الهواء  لنظام التكييف، ويجب ايضا ان تكون مد ة الاختبار حسب متطلبات المنظمات العالمية مثل )NEBB( كما هو  مطلوب بالكود السعودي و اشري ASHREE ويجب ان يكون المقاول المختص عضوا فى احد المنظمات مع تقديم الشهادة لذلك.</v>
      </c>
      <c r="F493" s="23" t="str">
        <f>IF(C493="استحداث بند جديد", "", IF(D493&lt;&gt;"", IFERROR(INDEX('بنود العقد'!D$3:D$388,D493), ""), ""))</f>
        <v>عدد</v>
      </c>
      <c r="G493" s="24">
        <f>IF(C493="استحداث بند جديد", "", IF(D493&lt;&gt;"", IFERROR(INDEX('بنود العقد'!E$3:E$388,D493), 0), ""))</f>
        <v>216000</v>
      </c>
      <c r="H493" s="7">
        <v>-0.83</v>
      </c>
      <c r="I493" s="8">
        <v>0</v>
      </c>
      <c r="J493" s="10">
        <f t="shared" si="3"/>
        <v>-179280</v>
      </c>
      <c r="K493" s="76" t="str">
        <f>IF(C493="استحداث بند جديد", "", IF(D493&lt;&gt;"", IFERROR(INDEX('بنود العقد'!C$3:C$388,D493), ""), ""))</f>
        <v>تكييف</v>
      </c>
      <c r="L493" s="76" t="str">
        <f>IF(C493="استحداث بند جديد", IF(K493&lt;&gt;"","CMH_01-"&amp;IFERROR(VLOOKUP(K493,مراجع!$A$3:$B$14,2,FALSE),"?")&amp;"-NEW-"&amp;TEXT(A493,"000"),""), IF(D493&lt;&gt;"", IFERROR(INDEX('بنود العقد'!I$3:I$388,D493), ""), ""))</f>
        <v>CMH_01-HV-242</v>
      </c>
      <c r="M493" s="19"/>
    </row>
    <row r="494" spans="1:13" s="76" customFormat="1" ht="28.2" customHeight="1">
      <c r="A494" s="12">
        <v>492</v>
      </c>
      <c r="B494" s="6">
        <v>5</v>
      </c>
      <c r="C494" s="6" t="s">
        <v>175</v>
      </c>
      <c r="D494" s="6">
        <v>244</v>
      </c>
      <c r="E494" s="22" t="str">
        <f>IF(C494="استحداث بند جديد", "", IF(D494&lt;&gt;"", IFERROR(INDEX('بنود العقد'!B$3:B$388,D494),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اللازمة.PP-1,  200 A ,MCCB</v>
      </c>
      <c r="F494" s="23" t="str">
        <f>IF(C494="استحداث بند جديد", "", IF(D494&lt;&gt;"", IFERROR(INDEX('بنود العقد'!D$3:D$388,D494), ""), ""))</f>
        <v>عدد</v>
      </c>
      <c r="G494" s="24">
        <f>IF(C494="استحداث بند جديد", "", IF(D494&lt;&gt;"", IFERROR(INDEX('بنود العقد'!E$3:E$388,D494), 0), ""))</f>
        <v>9600</v>
      </c>
      <c r="H494" s="7">
        <v>10</v>
      </c>
      <c r="I494" s="8">
        <v>0</v>
      </c>
      <c r="J494" s="10">
        <f t="shared" si="3"/>
        <v>96000</v>
      </c>
      <c r="K494" s="76" t="str">
        <f>IF(C494="استحداث بند جديد", "", IF(D494&lt;&gt;"", IFERROR(INDEX('بنود العقد'!C$3:C$388,D494), ""), ""))</f>
        <v>كهرباء</v>
      </c>
      <c r="L494" s="76" t="str">
        <f>IF(C494="استحداث بند جديد", IF(K494&lt;&gt;"","CMH_01-"&amp;IFERROR(VLOOKUP(K494,مراجع!$A$3:$B$14,2,FALSE),"?")&amp;"-NEW-"&amp;TEXT(A494,"000"),""), IF(D494&lt;&gt;"", IFERROR(INDEX('بنود العقد'!I$3:I$388,D494), ""), ""))</f>
        <v>CMH_01-EE-244</v>
      </c>
      <c r="M494" s="19"/>
    </row>
    <row r="495" spans="1:13" s="76" customFormat="1" ht="28.2" customHeight="1">
      <c r="A495" s="12">
        <v>493</v>
      </c>
      <c r="B495" s="6">
        <v>5</v>
      </c>
      <c r="C495" s="6" t="s">
        <v>175</v>
      </c>
      <c r="D495" s="6">
        <v>245</v>
      </c>
      <c r="E495" s="22" t="str">
        <f>IF(C495="استحداث بند جديد", "", IF(D495&lt;&gt;"", IFERROR(INDEX('بنود العقد'!B$3:B$388,D495),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 PP-2, 200 A , MCCB</v>
      </c>
      <c r="F495" s="23" t="str">
        <f>IF(C495="استحداث بند جديد", "", IF(D495&lt;&gt;"", IFERROR(INDEX('بنود العقد'!D$3:D$388,D495), ""), ""))</f>
        <v>عدد</v>
      </c>
      <c r="G495" s="24">
        <f>IF(C495="استحداث بند جديد", "", IF(D495&lt;&gt;"", IFERROR(INDEX('بنود العقد'!E$3:E$388,D495), 0), ""))</f>
        <v>9600</v>
      </c>
      <c r="H495" s="7">
        <v>6</v>
      </c>
      <c r="I495" s="8">
        <v>0</v>
      </c>
      <c r="J495" s="10">
        <f t="shared" si="3"/>
        <v>57600</v>
      </c>
      <c r="K495" s="76" t="str">
        <f>IF(C495="استحداث بند جديد", "", IF(D495&lt;&gt;"", IFERROR(INDEX('بنود العقد'!C$3:C$388,D495), ""), ""))</f>
        <v>كهرباء</v>
      </c>
      <c r="L495" s="76" t="str">
        <f>IF(C495="استحداث بند جديد", IF(K495&lt;&gt;"","CMH_01-"&amp;IFERROR(VLOOKUP(K495,مراجع!$A$3:$B$14,2,FALSE),"?")&amp;"-NEW-"&amp;TEXT(A495,"000"),""), IF(D495&lt;&gt;"", IFERROR(INDEX('بنود العقد'!I$3:I$388,D495), ""), ""))</f>
        <v>CMH_01-EE-245</v>
      </c>
      <c r="M495" s="19"/>
    </row>
    <row r="496" spans="1:13" s="76" customFormat="1" ht="28.2" customHeight="1">
      <c r="A496" s="12">
        <v>494</v>
      </c>
      <c r="B496" s="6">
        <v>5</v>
      </c>
      <c r="C496" s="6" t="s">
        <v>175</v>
      </c>
      <c r="D496" s="6">
        <v>246</v>
      </c>
      <c r="E496" s="22" t="str">
        <f>IF(C496="استحداث بند جديد", "", IF(D496&lt;&gt;"", IFERROR(INDEX('بنود العقد'!B$3:B$388,D496),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 PP-3, 200 A , MCCB</v>
      </c>
      <c r="F496" s="23" t="str">
        <f>IF(C496="استحداث بند جديد", "", IF(D496&lt;&gt;"", IFERROR(INDEX('بنود العقد'!D$3:D$388,D496), ""), ""))</f>
        <v>عدد</v>
      </c>
      <c r="G496" s="24">
        <f>IF(C496="استحداث بند جديد", "", IF(D496&lt;&gt;"", IFERROR(INDEX('بنود العقد'!E$3:E$388,D496), 0), ""))</f>
        <v>9600</v>
      </c>
      <c r="H496" s="7">
        <v>9</v>
      </c>
      <c r="I496" s="8">
        <v>0</v>
      </c>
      <c r="J496" s="10">
        <f t="shared" si="3"/>
        <v>86400</v>
      </c>
      <c r="K496" s="76" t="str">
        <f>IF(C496="استحداث بند جديد", "", IF(D496&lt;&gt;"", IFERROR(INDEX('بنود العقد'!C$3:C$388,D496), ""), ""))</f>
        <v>كهرباء</v>
      </c>
      <c r="L496" s="76" t="str">
        <f>IF(C496="استحداث بند جديد", IF(K496&lt;&gt;"","CMH_01-"&amp;IFERROR(VLOOKUP(K496,مراجع!$A$3:$B$14,2,FALSE),"?")&amp;"-NEW-"&amp;TEXT(A496,"000"),""), IF(D496&lt;&gt;"", IFERROR(INDEX('بنود العقد'!I$3:I$388,D496), ""), ""))</f>
        <v>CMH_01-EE-246</v>
      </c>
      <c r="M496" s="19"/>
    </row>
    <row r="497" spans="1:13" s="76" customFormat="1" ht="28.2" customHeight="1">
      <c r="A497" s="12">
        <v>495</v>
      </c>
      <c r="B497" s="6">
        <v>5</v>
      </c>
      <c r="C497" s="6" t="s">
        <v>175</v>
      </c>
      <c r="D497" s="6">
        <v>247</v>
      </c>
      <c r="E497" s="22" t="str">
        <f>IF(C497="استحداث بند جديد", "", IF(D497&lt;&gt;"", IFERROR(INDEX('بنود العقد'!B$3:B$388,D497), "⚠"), ""))</f>
        <v>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اللازمة.PP-4, 200 A , MCCB</v>
      </c>
      <c r="F497" s="23" t="str">
        <f>IF(C497="استحداث بند جديد", "", IF(D497&lt;&gt;"", IFERROR(INDEX('بنود العقد'!D$3:D$388,D497), ""), ""))</f>
        <v>عدد</v>
      </c>
      <c r="G497" s="24">
        <f>IF(C497="استحداث بند جديد", "", IF(D497&lt;&gt;"", IFERROR(INDEX('بنود العقد'!E$3:E$388,D497), 0), ""))</f>
        <v>9600</v>
      </c>
      <c r="H497" s="7">
        <v>11</v>
      </c>
      <c r="I497" s="8">
        <v>0</v>
      </c>
      <c r="J497" s="10">
        <f t="shared" si="3"/>
        <v>105600</v>
      </c>
      <c r="K497" s="76" t="str">
        <f>IF(C497="استحداث بند جديد", "", IF(D497&lt;&gt;"", IFERROR(INDEX('بنود العقد'!C$3:C$388,D497), ""), ""))</f>
        <v>كهرباء</v>
      </c>
      <c r="L497" s="76" t="str">
        <f>IF(C497="استحداث بند جديد", IF(K497&lt;&gt;"","CMH_01-"&amp;IFERROR(VLOOKUP(K497,مراجع!$A$3:$B$14,2,FALSE),"?")&amp;"-NEW-"&amp;TEXT(A497,"000"),""), IF(D497&lt;&gt;"", IFERROR(INDEX('بنود العقد'!I$3:I$388,D497), ""), ""))</f>
        <v>CMH_01-EE-247</v>
      </c>
      <c r="M497" s="19"/>
    </row>
    <row r="498" spans="1:13" s="76" customFormat="1" ht="28.2" customHeight="1">
      <c r="A498" s="12">
        <v>496</v>
      </c>
      <c r="B498" s="6">
        <v>5</v>
      </c>
      <c r="C498" s="6" t="s">
        <v>175</v>
      </c>
      <c r="D498" s="6">
        <v>248</v>
      </c>
      <c r="E498" s="22" t="str">
        <f>IF(C498="استحداث بند جديد", "", IF(D498&lt;&gt;"", IFERROR(INDEX('بنود العقد'!B$3:B$388,D498),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v>
      </c>
      <c r="F498" s="23" t="str">
        <f>IF(C498="استحداث بند جديد", "", IF(D498&lt;&gt;"", IFERROR(INDEX('بنود العقد'!D$3:D$388,D498), ""), ""))</f>
        <v>عدد</v>
      </c>
      <c r="G498" s="24">
        <f>IF(C498="استحداث بند جديد", "", IF(D498&lt;&gt;"", IFERROR(INDEX('بنود العقد'!E$3:E$388,D498), 0), ""))</f>
        <v>216</v>
      </c>
      <c r="H498" s="7">
        <v>106</v>
      </c>
      <c r="I498" s="8">
        <v>0</v>
      </c>
      <c r="J498" s="10">
        <f t="shared" si="3"/>
        <v>22896</v>
      </c>
      <c r="K498" s="76" t="str">
        <f>IF(C498="استحداث بند جديد", "", IF(D498&lt;&gt;"", IFERROR(INDEX('بنود العقد'!C$3:C$388,D498), ""), ""))</f>
        <v>كهرباء</v>
      </c>
      <c r="L498" s="76" t="str">
        <f>IF(C498="استحداث بند جديد", IF(K498&lt;&gt;"","CMH_01-"&amp;IFERROR(VLOOKUP(K498,مراجع!$A$3:$B$14,2,FALSE),"?")&amp;"-NEW-"&amp;TEXT(A498,"000"),""), IF(D498&lt;&gt;"", IFERROR(INDEX('بنود العقد'!I$3:I$388,D498), ""), ""))</f>
        <v>CMH_01-EE-248</v>
      </c>
      <c r="M498" s="19"/>
    </row>
    <row r="499" spans="1:13" s="76" customFormat="1" ht="28.2" customHeight="1">
      <c r="A499" s="12">
        <v>497</v>
      </c>
      <c r="B499" s="6">
        <v>5</v>
      </c>
      <c r="C499" s="6" t="s">
        <v>175</v>
      </c>
      <c r="D499" s="6">
        <v>249</v>
      </c>
      <c r="E499" s="22" t="str">
        <f>IF(C499="استحداث بند جديد", "", IF(D499&lt;&gt;"", IFERROR(INDEX('بنود العقد'!B$3:B$388,D499), "⚠"), ""))</f>
        <v>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مقبس ثنائي سقفى، من النوع المؤرض، 15 أمبير، 230 فولت، طور واحد، قطبين، 3 أسلاك.</v>
      </c>
      <c r="F499" s="23" t="str">
        <f>IF(C499="استحداث بند جديد", "", IF(D499&lt;&gt;"", IFERROR(INDEX('بنود العقد'!D$3:D$388,D499), ""), ""))</f>
        <v>عدد</v>
      </c>
      <c r="G499" s="24">
        <f>IF(C499="استحداث بند جديد", "", IF(D499&lt;&gt;"", IFERROR(INDEX('بنود العقد'!E$3:E$388,D499), 0), ""))</f>
        <v>216</v>
      </c>
      <c r="H499" s="7">
        <v>67</v>
      </c>
      <c r="I499" s="8">
        <v>0</v>
      </c>
      <c r="J499" s="10">
        <f t="shared" si="3"/>
        <v>14472</v>
      </c>
      <c r="K499" s="76" t="str">
        <f>IF(C499="استحداث بند جديد", "", IF(D499&lt;&gt;"", IFERROR(INDEX('بنود العقد'!C$3:C$388,D499), ""), ""))</f>
        <v>كهرباء</v>
      </c>
      <c r="L499" s="76" t="str">
        <f>IF(C499="استحداث بند جديد", IF(K499&lt;&gt;"","CMH_01-"&amp;IFERROR(VLOOKUP(K499,مراجع!$A$3:$B$14,2,FALSE),"?")&amp;"-NEW-"&amp;TEXT(A499,"000"),""), IF(D499&lt;&gt;"", IFERROR(INDEX('بنود العقد'!I$3:I$388,D499), ""), ""))</f>
        <v>CMH_01-EE-249</v>
      </c>
      <c r="M499" s="19"/>
    </row>
    <row r="500" spans="1:13" s="76" customFormat="1" ht="28.2" customHeight="1">
      <c r="A500" s="12">
        <v>498</v>
      </c>
      <c r="B500" s="6">
        <v>5</v>
      </c>
      <c r="C500" s="6" t="s">
        <v>175</v>
      </c>
      <c r="D500" s="6">
        <v>251</v>
      </c>
      <c r="E500" s="22" t="str">
        <f>IF(C500="استحداث بند جديد", "", IF(D500&lt;&gt;"", IFERROR(INDEX('بنود العقد'!B$3:B$388,D500), "⚠"), ""))</f>
        <v xml:space="preserve">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 RESIDUAL CURRENT DEVICE, 30mA TRIPPING( </v>
      </c>
      <c r="F500" s="23" t="str">
        <f>IF(C500="استحداث بند جديد", "", IF(D500&lt;&gt;"", IFERROR(INDEX('بنود العقد'!D$3:D$388,D500), ""), ""))</f>
        <v>عدد</v>
      </c>
      <c r="G500" s="24">
        <f>IF(C500="استحداث بند جديد", "", IF(D500&lt;&gt;"", IFERROR(INDEX('بنود العقد'!E$3:E$388,D500), 0), ""))</f>
        <v>504</v>
      </c>
      <c r="H500" s="7">
        <v>26</v>
      </c>
      <c r="I500" s="8">
        <v>0</v>
      </c>
      <c r="J500" s="10">
        <f t="shared" si="3"/>
        <v>13104</v>
      </c>
      <c r="K500" s="76" t="str">
        <f>IF(C500="استحداث بند جديد", "", IF(D500&lt;&gt;"", IFERROR(INDEX('بنود العقد'!C$3:C$388,D500), ""), ""))</f>
        <v>كهرباء</v>
      </c>
      <c r="L500" s="76" t="str">
        <f>IF(C500="استحداث بند جديد", IF(K500&lt;&gt;"","CMH_01-"&amp;IFERROR(VLOOKUP(K500,مراجع!$A$3:$B$14,2,FALSE),"?")&amp;"-NEW-"&amp;TEXT(A500,"000"),""), IF(D500&lt;&gt;"", IFERROR(INDEX('بنود العقد'!I$3:I$388,D500), ""), ""))</f>
        <v>CMH_01-EE-251</v>
      </c>
      <c r="M500" s="19"/>
    </row>
    <row r="501" spans="1:13" s="76" customFormat="1" ht="28.2" customHeight="1">
      <c r="A501" s="12">
        <v>499</v>
      </c>
      <c r="B501" s="6">
        <v>5</v>
      </c>
      <c r="C501" s="6" t="s">
        <v>175</v>
      </c>
      <c r="D501" s="6">
        <v>253</v>
      </c>
      <c r="E501" s="22" t="str">
        <f>IF(C501="استحداث بند جديد", "", IF(D501&lt;&gt;"", IFERROR(INDEX('بنود العقد'!B$3:B$388,D501), "⚠"), ""))</f>
        <v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المشرفمخرج  ومؤرض 30 أمبير ، 230 فولت 3 أسلاك ، 1 فاز لمجفف الأيدي</v>
      </c>
      <c r="F501" s="23" t="str">
        <f>IF(C501="استحداث بند جديد", "", IF(D501&lt;&gt;"", IFERROR(INDEX('بنود العقد'!D$3:D$388,D501), ""), ""))</f>
        <v>عدد</v>
      </c>
      <c r="G501" s="24">
        <f>IF(C501="استحداث بند جديد", "", IF(D501&lt;&gt;"", IFERROR(INDEX('بنود العقد'!E$3:E$388,D501), 0), ""))</f>
        <v>264</v>
      </c>
      <c r="H501" s="7">
        <v>26</v>
      </c>
      <c r="I501" s="8">
        <v>0</v>
      </c>
      <c r="J501" s="10">
        <f t="shared" si="3"/>
        <v>6864</v>
      </c>
      <c r="K501" s="76" t="str">
        <f>IF(C501="استحداث بند جديد", "", IF(D501&lt;&gt;"", IFERROR(INDEX('بنود العقد'!C$3:C$388,D501), ""), ""))</f>
        <v>كهرباء</v>
      </c>
      <c r="L501" s="76" t="str">
        <f>IF(C501="استحداث بند جديد", IF(K501&lt;&gt;"","CMH_01-"&amp;IFERROR(VLOOKUP(K501,مراجع!$A$3:$B$14,2,FALSE),"?")&amp;"-NEW-"&amp;TEXT(A501,"000"),""), IF(D501&lt;&gt;"", IFERROR(INDEX('بنود العقد'!I$3:I$388,D501), ""), ""))</f>
        <v>CMH_01-EE-253</v>
      </c>
      <c r="M501" s="19"/>
    </row>
    <row r="502" spans="1:13" s="76" customFormat="1" ht="28.2" customHeight="1">
      <c r="A502" s="12">
        <v>500</v>
      </c>
      <c r="B502" s="6">
        <v>5</v>
      </c>
      <c r="C502" s="6" t="s">
        <v>175</v>
      </c>
      <c r="D502" s="6">
        <v>254</v>
      </c>
      <c r="E502" s="22" t="str">
        <f>IF(C502="استحداث بند جديد", "", IF(D502&lt;&gt;"", IFERROR(INDEX('بنود العقد'!B$3:B$388,D502),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)A(  )تحتوى على  4 قوى &amp; 4 داتا (</v>
      </c>
      <c r="F502" s="23" t="str">
        <f>IF(C502="استحداث بند جديد", "", IF(D502&lt;&gt;"", IFERROR(INDEX('بنود العقد'!D$3:D$388,D502), ""), ""))</f>
        <v>عدد</v>
      </c>
      <c r="G502" s="24">
        <f>IF(C502="استحداث بند جديد", "", IF(D502&lt;&gt;"", IFERROR(INDEX('بنود العقد'!E$3:E$388,D502), 0), ""))</f>
        <v>2160</v>
      </c>
      <c r="H502" s="7">
        <v>129</v>
      </c>
      <c r="I502" s="8">
        <v>0</v>
      </c>
      <c r="J502" s="10">
        <f t="shared" si="3"/>
        <v>278640</v>
      </c>
      <c r="K502" s="76" t="str">
        <f>IF(C502="استحداث بند جديد", "", IF(D502&lt;&gt;"", IFERROR(INDEX('بنود العقد'!C$3:C$388,D502), ""), ""))</f>
        <v>كهرباء</v>
      </c>
      <c r="L502" s="76" t="str">
        <f>IF(C502="استحداث بند جديد", IF(K502&lt;&gt;"","CMH_01-"&amp;IFERROR(VLOOKUP(K502,مراجع!$A$3:$B$14,2,FALSE),"?")&amp;"-NEW-"&amp;TEXT(A502,"000"),""), IF(D502&lt;&gt;"", IFERROR(INDEX('بنود العقد'!I$3:I$388,D502), ""), ""))</f>
        <v>CMH_01-EE-254</v>
      </c>
      <c r="M502" s="19"/>
    </row>
    <row r="503" spans="1:13" s="76" customFormat="1" ht="28.2" customHeight="1">
      <c r="A503" s="12">
        <v>501</v>
      </c>
      <c r="B503" s="6">
        <v>5</v>
      </c>
      <c r="C503" s="6" t="s">
        <v>175</v>
      </c>
      <c r="D503" s="6">
        <v>255</v>
      </c>
      <c r="E503" s="22" t="str">
        <f>IF(C503="استحداث بند جديد", "", IF(D503&lt;&gt;"", IFERROR(INDEX('بنود العقد'!B$3:B$388,D503),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)B(   )تحتوى على 2 قوى &amp; 2 داتا (</v>
      </c>
      <c r="F503" s="23" t="str">
        <f>IF(C503="استحداث بند جديد", "", IF(D503&lt;&gt;"", IFERROR(INDEX('بنود العقد'!D$3:D$388,D503), ""), ""))</f>
        <v>عدد</v>
      </c>
      <c r="G503" s="24">
        <f>IF(C503="استحداث بند جديد", "", IF(D503&lt;&gt;"", IFERROR(INDEX('بنود العقد'!E$3:E$388,D503), 0), ""))</f>
        <v>1800</v>
      </c>
      <c r="H503" s="7">
        <v>155</v>
      </c>
      <c r="I503" s="8">
        <v>0</v>
      </c>
      <c r="J503" s="10">
        <f t="shared" si="3"/>
        <v>279000</v>
      </c>
      <c r="K503" s="76" t="str">
        <f>IF(C503="استحداث بند جديد", "", IF(D503&lt;&gt;"", IFERROR(INDEX('بنود العقد'!C$3:C$388,D503), ""), ""))</f>
        <v>كهرباء</v>
      </c>
      <c r="L503" s="76" t="str">
        <f>IF(C503="استحداث بند جديد", IF(K503&lt;&gt;"","CMH_01-"&amp;IFERROR(VLOOKUP(K503,مراجع!$A$3:$B$14,2,FALSE),"?")&amp;"-NEW-"&amp;TEXT(A503,"000"),""), IF(D503&lt;&gt;"", IFERROR(INDEX('بنود العقد'!I$3:I$388,D503), ""), ""))</f>
        <v>CMH_01-EE-255</v>
      </c>
      <c r="M503" s="19"/>
    </row>
    <row r="504" spans="1:13" s="76" customFormat="1" ht="28.2" customHeight="1">
      <c r="A504" s="12">
        <v>502</v>
      </c>
      <c r="B504" s="6">
        <v>5</v>
      </c>
      <c r="C504" s="6" t="s">
        <v>175</v>
      </c>
      <c r="D504" s="6">
        <v>256</v>
      </c>
      <c r="E504" s="22" t="str">
        <f>IF(C504="استحداث بند جديد", "", IF(D504&lt;&gt;"", IFERROR(INDEX('بنود العقد'!B$3:B$388,D504),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)1FB(   )تحتوى على 1 قوى (</v>
      </c>
      <c r="F504" s="23" t="str">
        <f>IF(C504="استحداث بند جديد", "", IF(D504&lt;&gt;"", IFERROR(INDEX('بنود العقد'!D$3:D$388,D504), ""), ""))</f>
        <v>عدد</v>
      </c>
      <c r="G504" s="24">
        <f>IF(C504="استحداث بند جديد", "", IF(D504&lt;&gt;"", IFERROR(INDEX('بنود العقد'!E$3:E$388,D504), 0), ""))</f>
        <v>720</v>
      </c>
      <c r="H504" s="7">
        <v>9</v>
      </c>
      <c r="I504" s="8">
        <v>0</v>
      </c>
      <c r="J504" s="10">
        <f t="shared" si="3"/>
        <v>6480</v>
      </c>
      <c r="K504" s="76" t="str">
        <f>IF(C504="استحداث بند جديد", "", IF(D504&lt;&gt;"", IFERROR(INDEX('بنود العقد'!C$3:C$388,D504), ""), ""))</f>
        <v>كهرباء</v>
      </c>
      <c r="L504" s="76" t="str">
        <f>IF(C504="استحداث بند جديد", IF(K504&lt;&gt;"","CMH_01-"&amp;IFERROR(VLOOKUP(K504,مراجع!$A$3:$B$14,2,FALSE),"?")&amp;"-NEW-"&amp;TEXT(A504,"000"),""), IF(D504&lt;&gt;"", IFERROR(INDEX('بنود العقد'!I$3:I$388,D504), ""), ""))</f>
        <v>CMH_01-EE-256</v>
      </c>
      <c r="M504" s="19"/>
    </row>
    <row r="505" spans="1:13" s="76" customFormat="1" ht="28.2" customHeight="1">
      <c r="A505" s="12">
        <v>503</v>
      </c>
      <c r="B505" s="6">
        <v>5</v>
      </c>
      <c r="C505" s="6" t="s">
        <v>250</v>
      </c>
      <c r="D505" s="6">
        <v>257</v>
      </c>
      <c r="E505" s="22" t="str">
        <f>IF(C505="استحداث بند جديد", "", IF(D505&lt;&gt;"", IFERROR(INDEX('بنود العقد'!B$3:B$388,D505), "⚠"), ""))</f>
        <v>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)2FB(   )تحتوى على 2 قوى (</v>
      </c>
      <c r="F505" s="23" t="str">
        <f>IF(C505="استحداث بند جديد", "", IF(D505&lt;&gt;"", IFERROR(INDEX('بنود العقد'!D$3:D$388,D505), ""), ""))</f>
        <v>عدد</v>
      </c>
      <c r="G505" s="24">
        <f>IF(C505="استحداث بند جديد", "", IF(D505&lt;&gt;"", IFERROR(INDEX('بنود العقد'!E$3:E$388,D505), 0), ""))</f>
        <v>960</v>
      </c>
      <c r="H505" s="7">
        <v>-2</v>
      </c>
      <c r="I505" s="8">
        <v>0</v>
      </c>
      <c r="J505" s="10">
        <f t="shared" si="3"/>
        <v>-1920</v>
      </c>
      <c r="K505" s="76" t="str">
        <f>IF(C505="استحداث بند جديد", "", IF(D505&lt;&gt;"", IFERROR(INDEX('بنود العقد'!C$3:C$388,D505), ""), ""))</f>
        <v>كهرباء</v>
      </c>
      <c r="L505" s="76" t="str">
        <f>IF(C505="استحداث بند جديد", IF(K505&lt;&gt;"","CMH_01-"&amp;IFERROR(VLOOKUP(K505,مراجع!$A$3:$B$14,2,FALSE),"?")&amp;"-NEW-"&amp;TEXT(A505,"000"),""), IF(D505&lt;&gt;"", IFERROR(INDEX('بنود العقد'!I$3:I$388,D505), ""), ""))</f>
        <v>CMH_01-EE-257</v>
      </c>
      <c r="M505" s="19"/>
    </row>
    <row r="506" spans="1:13" s="76" customFormat="1" ht="28.2" customHeight="1">
      <c r="A506" s="12">
        <v>504</v>
      </c>
      <c r="B506" s="6">
        <v>5</v>
      </c>
      <c r="C506" s="6" t="s">
        <v>175</v>
      </c>
      <c r="D506" s="6">
        <v>261</v>
      </c>
      <c r="E506" s="22" t="str">
        <f>IF(C506="استحداث بند جديد", "", IF(D506&lt;&gt;"", IFERROR(INDEX('بنود العقد'!B$3:B$388,D506), "⚠"), ""))</f>
        <v xml:space="preserve"> توريد وتركيب واختبار والتشغيل التجريبي لمفاتيح فصل على الحمل من النوع عالية التحمل مع ماسورة  التثبيت المعدنية المرنة والمانعة لنفاذ السوائل، وقطع الإكسسوارعلى المقاول المعاينة و فحص الشبكة الحالية و الاستفادة من التمديدات الحالية و دمجها مع التركيبات الجديدة بعد عمل الاختبارات اللازمة و بعدالموافقة من مهندس المشرف  وبالإستطاعات التالية 30 A, 250 V, 2P</v>
      </c>
      <c r="F506" s="23" t="str">
        <f>IF(C506="استحداث بند جديد", "", IF(D506&lt;&gt;"", IFERROR(INDEX('بنود العقد'!D$3:D$388,D506), ""), ""))</f>
        <v>عدد</v>
      </c>
      <c r="G506" s="24">
        <f>IF(C506="استحداث بند جديد", "", IF(D506&lt;&gt;"", IFERROR(INDEX('بنود العقد'!E$3:E$388,D506), 0), ""))</f>
        <v>384</v>
      </c>
      <c r="H506" s="7">
        <v>98</v>
      </c>
      <c r="I506" s="8">
        <v>0</v>
      </c>
      <c r="J506" s="10">
        <f t="shared" si="3"/>
        <v>37632</v>
      </c>
      <c r="K506" s="76" t="str">
        <f>IF(C506="استحداث بند جديد", "", IF(D506&lt;&gt;"", IFERROR(INDEX('بنود العقد'!C$3:C$388,D506), ""), ""))</f>
        <v>كهرباء</v>
      </c>
      <c r="L506" s="76" t="str">
        <f>IF(C506="استحداث بند جديد", IF(K506&lt;&gt;"","CMH_01-"&amp;IFERROR(VLOOKUP(K506,مراجع!$A$3:$B$14,2,FALSE),"?")&amp;"-NEW-"&amp;TEXT(A506,"000"),""), IF(D506&lt;&gt;"", IFERROR(INDEX('بنود العقد'!I$3:I$388,D506), ""), ""))</f>
        <v>CMH_01-EE-261</v>
      </c>
      <c r="M506" s="19"/>
    </row>
    <row r="507" spans="1:13" s="76" customFormat="1" ht="28.2" customHeight="1">
      <c r="A507" s="12">
        <v>505</v>
      </c>
      <c r="B507" s="6">
        <v>5</v>
      </c>
      <c r="C507" s="6" t="s">
        <v>250</v>
      </c>
      <c r="D507" s="6">
        <v>262</v>
      </c>
      <c r="E507" s="22" t="str">
        <f>IF(C507="استحداث بند جديد", "", IF(D507&lt;&gt;"", IFERROR(INDEX('بنود العقد'!B$3:B$388,D507),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v>
      </c>
      <c r="F507" s="23" t="str">
        <f>IF(C507="استحداث بند جديد", "", IF(D507&lt;&gt;"", IFERROR(INDEX('بنود العقد'!D$3:D$388,D507), ""), ""))</f>
        <v>عدد</v>
      </c>
      <c r="G507" s="24">
        <f>IF(C507="استحداث بند جديد", "", IF(D507&lt;&gt;"", IFERROR(INDEX('بنود العقد'!E$3:E$388,D507), 0), ""))</f>
        <v>348</v>
      </c>
      <c r="H507" s="7">
        <v>-141</v>
      </c>
      <c r="I507" s="8">
        <v>0</v>
      </c>
      <c r="J507" s="10">
        <f t="shared" si="3"/>
        <v>-49068</v>
      </c>
      <c r="K507" s="76" t="str">
        <f>IF(C507="استحداث بند جديد", "", IF(D507&lt;&gt;"", IFERROR(INDEX('بنود العقد'!C$3:C$388,D507), ""), ""))</f>
        <v>كهرباء</v>
      </c>
      <c r="L507" s="76" t="str">
        <f>IF(C507="استحداث بند جديد", IF(K507&lt;&gt;"","CMH_01-"&amp;IFERROR(VLOOKUP(K507,مراجع!$A$3:$B$14,2,FALSE),"?")&amp;"-NEW-"&amp;TEXT(A507,"000"),""), IF(D507&lt;&gt;"", IFERROR(INDEX('بنود العقد'!I$3:I$388,D507), ""), ""))</f>
        <v>CMH_01-EE-262</v>
      </c>
      <c r="M507" s="19"/>
    </row>
    <row r="508" spans="1:13" s="76" customFormat="1" ht="28.2" customHeight="1">
      <c r="A508" s="12">
        <v>506</v>
      </c>
      <c r="B508" s="6">
        <v>5</v>
      </c>
      <c r="C508" s="6" t="s">
        <v>250</v>
      </c>
      <c r="D508" s="6">
        <v>263</v>
      </c>
      <c r="E508" s="22" t="str">
        <f>IF(C508="استحداث بند جديد", "", IF(D508&lt;&gt;"", IFERROR(INDEX('بنود العقد'!B$3:B$388,D508),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A1E</v>
      </c>
      <c r="F508" s="23" t="str">
        <f>IF(C508="استحداث بند جديد", "", IF(D508&lt;&gt;"", IFERROR(INDEX('بنود العقد'!D$3:D$388,D508), ""), ""))</f>
        <v>عدد</v>
      </c>
      <c r="G508" s="24">
        <f>IF(C508="استحداث بند جديد", "", IF(D508&lt;&gt;"", IFERROR(INDEX('بنود العقد'!E$3:E$388,D508), 0), ""))</f>
        <v>660</v>
      </c>
      <c r="H508" s="7">
        <v>-14</v>
      </c>
      <c r="I508" s="8">
        <v>0</v>
      </c>
      <c r="J508" s="10">
        <f t="shared" si="3"/>
        <v>-9240</v>
      </c>
      <c r="K508" s="76" t="str">
        <f>IF(C508="استحداث بند جديد", "", IF(D508&lt;&gt;"", IFERROR(INDEX('بنود العقد'!C$3:C$388,D508), ""), ""))</f>
        <v>كهرباء</v>
      </c>
      <c r="L508" s="76" t="str">
        <f>IF(C508="استحداث بند جديد", IF(K508&lt;&gt;"","CMH_01-"&amp;IFERROR(VLOOKUP(K508,مراجع!$A$3:$B$14,2,FALSE),"?")&amp;"-NEW-"&amp;TEXT(A508,"000"),""), IF(D508&lt;&gt;"", IFERROR(INDEX('بنود العقد'!I$3:I$388,D508), ""), ""))</f>
        <v>CMH_01-EE-263</v>
      </c>
      <c r="M508" s="19"/>
    </row>
    <row r="509" spans="1:13" s="76" customFormat="1" ht="28.2" customHeight="1">
      <c r="A509" s="12">
        <v>507</v>
      </c>
      <c r="B509" s="6">
        <v>5</v>
      </c>
      <c r="C509" s="6" t="s">
        <v>175</v>
      </c>
      <c r="D509" s="6">
        <v>264</v>
      </c>
      <c r="E509" s="22" t="str">
        <f>IF(C509="استحداث بند جديد", "", IF(D509&lt;&gt;"", IFERROR(INDEX('بنود العقد'!B$3:B$388,D509),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A2</v>
      </c>
      <c r="F509" s="23" t="str">
        <f>IF(C509="استحداث بند جديد", "", IF(D509&lt;&gt;"", IFERROR(INDEX('بنود العقد'!D$3:D$388,D509), ""), ""))</f>
        <v>عدد</v>
      </c>
      <c r="G509" s="24">
        <f>IF(C509="استحداث بند جديد", "", IF(D509&lt;&gt;"", IFERROR(INDEX('بنود العقد'!E$3:E$388,D509), 0), ""))</f>
        <v>1044</v>
      </c>
      <c r="H509" s="7">
        <v>53</v>
      </c>
      <c r="I509" s="8">
        <v>0</v>
      </c>
      <c r="J509" s="10">
        <f t="shared" si="3"/>
        <v>55332</v>
      </c>
      <c r="K509" s="76" t="str">
        <f>IF(C509="استحداث بند جديد", "", IF(D509&lt;&gt;"", IFERROR(INDEX('بنود العقد'!C$3:C$388,D509), ""), ""))</f>
        <v>كهرباء</v>
      </c>
      <c r="L509" s="76" t="str">
        <f>IF(C509="استحداث بند جديد", IF(K509&lt;&gt;"","CMH_01-"&amp;IFERROR(VLOOKUP(K509,مراجع!$A$3:$B$14,2,FALSE),"?")&amp;"-NEW-"&amp;TEXT(A509,"000"),""), IF(D509&lt;&gt;"", IFERROR(INDEX('بنود العقد'!I$3:I$388,D509), ""), ""))</f>
        <v>CMH_01-EE-264</v>
      </c>
      <c r="M509" s="19"/>
    </row>
    <row r="510" spans="1:13" s="76" customFormat="1" ht="28.2" customHeight="1">
      <c r="A510" s="12">
        <v>508</v>
      </c>
      <c r="B510" s="6">
        <v>5</v>
      </c>
      <c r="C510" s="6" t="s">
        <v>250</v>
      </c>
      <c r="D510" s="6">
        <v>265</v>
      </c>
      <c r="E510" s="22" t="str">
        <f>IF(C510="استحداث بند جديد", "", IF(D510&lt;&gt;"", IFERROR(INDEX('بنود العقد'!B$3:B$388,D510),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A3</v>
      </c>
      <c r="F510" s="23" t="str">
        <f>IF(C510="استحداث بند جديد", "", IF(D510&lt;&gt;"", IFERROR(INDEX('بنود العقد'!D$3:D$388,D510), ""), ""))</f>
        <v>عدد</v>
      </c>
      <c r="G510" s="24">
        <f>IF(C510="استحداث بند جديد", "", IF(D510&lt;&gt;"", IFERROR(INDEX('بنود العقد'!E$3:E$388,D510), 0), ""))</f>
        <v>1044</v>
      </c>
      <c r="H510" s="7">
        <v>-8</v>
      </c>
      <c r="I510" s="8">
        <v>0</v>
      </c>
      <c r="J510" s="10">
        <f t="shared" si="3"/>
        <v>-8352</v>
      </c>
      <c r="K510" s="76" t="str">
        <f>IF(C510="استحداث بند جديد", "", IF(D510&lt;&gt;"", IFERROR(INDEX('بنود العقد'!C$3:C$388,D510), ""), ""))</f>
        <v>كهرباء</v>
      </c>
      <c r="L510" s="76" t="str">
        <f>IF(C510="استحداث بند جديد", IF(K510&lt;&gt;"","CMH_01-"&amp;IFERROR(VLOOKUP(K510,مراجع!$A$3:$B$14,2,FALSE),"?")&amp;"-NEW-"&amp;TEXT(A510,"000"),""), IF(D510&lt;&gt;"", IFERROR(INDEX('بنود العقد'!I$3:I$388,D510), ""), ""))</f>
        <v>CMH_01-EE-265</v>
      </c>
      <c r="M510" s="19"/>
    </row>
    <row r="511" spans="1:13" s="76" customFormat="1" ht="28.2" customHeight="1">
      <c r="A511" s="12">
        <v>509</v>
      </c>
      <c r="B511" s="6">
        <v>5</v>
      </c>
      <c r="C511" s="6" t="s">
        <v>250</v>
      </c>
      <c r="D511" s="6">
        <v>267</v>
      </c>
      <c r="E511" s="22" t="str">
        <f>IF(C511="استحداث بند جديد", "", IF(D511&lt;&gt;"", IFERROR(INDEX('بنود العقد'!B$3:B$388,D511),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A5</v>
      </c>
      <c r="F511" s="23" t="str">
        <f>IF(C511="استحداث بند جديد", "", IF(D511&lt;&gt;"", IFERROR(INDEX('بنود العقد'!D$3:D$388,D511), ""), ""))</f>
        <v>عدد</v>
      </c>
      <c r="G511" s="24">
        <f>IF(C511="استحداث بند جديد", "", IF(D511&lt;&gt;"", IFERROR(INDEX('بنود العقد'!E$3:E$388,D511), 0), ""))</f>
        <v>1044</v>
      </c>
      <c r="H511" s="7">
        <v>-4</v>
      </c>
      <c r="I511" s="8">
        <v>0</v>
      </c>
      <c r="J511" s="10">
        <f t="shared" si="3"/>
        <v>-4176</v>
      </c>
      <c r="K511" s="76" t="str">
        <f>IF(C511="استحداث بند جديد", "", IF(D511&lt;&gt;"", IFERROR(INDEX('بنود العقد'!C$3:C$388,D511), ""), ""))</f>
        <v>كهرباء</v>
      </c>
      <c r="L511" s="76" t="str">
        <f>IF(C511="استحداث بند جديد", IF(K511&lt;&gt;"","CMH_01-"&amp;IFERROR(VLOOKUP(K511,مراجع!$A$3:$B$14,2,FALSE),"?")&amp;"-NEW-"&amp;TEXT(A511,"000"),""), IF(D511&lt;&gt;"", IFERROR(INDEX('بنود العقد'!I$3:I$388,D511), ""), ""))</f>
        <v>CMH_01-EE-267</v>
      </c>
      <c r="M511" s="19"/>
    </row>
    <row r="512" spans="1:13" s="76" customFormat="1" ht="28.2" customHeight="1">
      <c r="A512" s="12">
        <v>510</v>
      </c>
      <c r="B512" s="6">
        <v>5</v>
      </c>
      <c r="C512" s="6" t="s">
        <v>250</v>
      </c>
      <c r="D512" s="6">
        <v>268</v>
      </c>
      <c r="E512" s="22" t="str">
        <f>IF(C512="استحداث بند جديد", "", IF(D512&lt;&gt;"", IFERROR(INDEX('بنود العقد'!B$3:B$388,D512),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A6</v>
      </c>
      <c r="F512" s="23" t="str">
        <f>IF(C512="استحداث بند جديد", "", IF(D512&lt;&gt;"", IFERROR(INDEX('بنود العقد'!D$3:D$388,D512), ""), ""))</f>
        <v>عدد</v>
      </c>
      <c r="G512" s="24">
        <f>IF(C512="استحداث بند جديد", "", IF(D512&lt;&gt;"", IFERROR(INDEX('بنود العقد'!E$3:E$388,D512), 0), ""))</f>
        <v>1044</v>
      </c>
      <c r="H512" s="7">
        <v>-3</v>
      </c>
      <c r="I512" s="8">
        <v>0</v>
      </c>
      <c r="J512" s="10">
        <f t="shared" si="3"/>
        <v>-3132</v>
      </c>
      <c r="K512" s="76" t="str">
        <f>IF(C512="استحداث بند جديد", "", IF(D512&lt;&gt;"", IFERROR(INDEX('بنود العقد'!C$3:C$388,D512), ""), ""))</f>
        <v>كهرباء</v>
      </c>
      <c r="L512" s="76" t="str">
        <f>IF(C512="استحداث بند جديد", IF(K512&lt;&gt;"","CMH_01-"&amp;IFERROR(VLOOKUP(K512,مراجع!$A$3:$B$14,2,FALSE),"?")&amp;"-NEW-"&amp;TEXT(A512,"000"),""), IF(D512&lt;&gt;"", IFERROR(INDEX('بنود العقد'!I$3:I$388,D512), ""), ""))</f>
        <v>CMH_01-EE-268</v>
      </c>
      <c r="M512" s="19"/>
    </row>
    <row r="513" spans="1:13" s="76" customFormat="1" ht="28.2" customHeight="1">
      <c r="A513" s="12">
        <v>511</v>
      </c>
      <c r="B513" s="6">
        <v>5</v>
      </c>
      <c r="C513" s="6" t="s">
        <v>250</v>
      </c>
      <c r="D513" s="6">
        <v>269</v>
      </c>
      <c r="E513" s="22" t="str">
        <f>IF(C513="استحداث بند جديد", "", IF(D513&lt;&gt;"", IFERROR(INDEX('بنود العقد'!B$3:B$388,D513),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A7</v>
      </c>
      <c r="F513" s="23" t="str">
        <f>IF(C513="استحداث بند جديد", "", IF(D513&lt;&gt;"", IFERROR(INDEX('بنود العقد'!D$3:D$388,D513), ""), ""))</f>
        <v>عدد</v>
      </c>
      <c r="G513" s="24">
        <f>IF(C513="استحداث بند جديد", "", IF(D513&lt;&gt;"", IFERROR(INDEX('بنود العقد'!E$3:E$388,D513), 0), ""))</f>
        <v>1044</v>
      </c>
      <c r="H513" s="7">
        <v>-4</v>
      </c>
      <c r="I513" s="8">
        <v>0</v>
      </c>
      <c r="J513" s="10">
        <f t="shared" si="3"/>
        <v>-4176</v>
      </c>
      <c r="K513" s="76" t="str">
        <f>IF(C513="استحداث بند جديد", "", IF(D513&lt;&gt;"", IFERROR(INDEX('بنود العقد'!C$3:C$388,D513), ""), ""))</f>
        <v>كهرباء</v>
      </c>
      <c r="L513" s="76" t="str">
        <f>IF(C513="استحداث بند جديد", IF(K513&lt;&gt;"","CMH_01-"&amp;IFERROR(VLOOKUP(K513,مراجع!$A$3:$B$14,2,FALSE),"?")&amp;"-NEW-"&amp;TEXT(A513,"000"),""), IF(D513&lt;&gt;"", IFERROR(INDEX('بنود العقد'!I$3:I$388,D513), ""), ""))</f>
        <v>CMH_01-EE-269</v>
      </c>
      <c r="M513" s="19"/>
    </row>
    <row r="514" spans="1:13" s="76" customFormat="1" ht="28.2" customHeight="1">
      <c r="A514" s="12">
        <v>512</v>
      </c>
      <c r="B514" s="6">
        <v>5</v>
      </c>
      <c r="C514" s="6" t="s">
        <v>250</v>
      </c>
      <c r="D514" s="6">
        <v>270</v>
      </c>
      <c r="E514" s="22" t="str">
        <f>IF(C514="استحداث بند جديد", "", IF(D514&lt;&gt;"", IFERROR(INDEX('بنود العقد'!B$3:B$388,D514),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A8</v>
      </c>
      <c r="F514" s="23" t="str">
        <f>IF(C514="استحداث بند جديد", "", IF(D514&lt;&gt;"", IFERROR(INDEX('بنود العقد'!D$3:D$388,D514), ""), ""))</f>
        <v>عدد</v>
      </c>
      <c r="G514" s="24">
        <f>IF(C514="استحداث بند جديد", "", IF(D514&lt;&gt;"", IFERROR(INDEX('بنود العقد'!E$3:E$388,D514), 0), ""))</f>
        <v>1044</v>
      </c>
      <c r="H514" s="7">
        <v>-1</v>
      </c>
      <c r="I514" s="8">
        <v>0</v>
      </c>
      <c r="J514" s="10">
        <f t="shared" si="3"/>
        <v>-1044</v>
      </c>
      <c r="K514" s="76" t="str">
        <f>IF(C514="استحداث بند جديد", "", IF(D514&lt;&gt;"", IFERROR(INDEX('بنود العقد'!C$3:C$388,D514), ""), ""))</f>
        <v>كهرباء</v>
      </c>
      <c r="L514" s="76" t="str">
        <f>IF(C514="استحداث بند جديد", IF(K514&lt;&gt;"","CMH_01-"&amp;IFERROR(VLOOKUP(K514,مراجع!$A$3:$B$14,2,FALSE),"?")&amp;"-NEW-"&amp;TEXT(A514,"000"),""), IF(D514&lt;&gt;"", IFERROR(INDEX('بنود العقد'!I$3:I$388,D514), ""), ""))</f>
        <v>CMH_01-EE-270</v>
      </c>
      <c r="M514" s="19"/>
    </row>
    <row r="515" spans="1:13" s="76" customFormat="1" ht="28.2" customHeight="1">
      <c r="A515" s="12">
        <v>513</v>
      </c>
      <c r="B515" s="6">
        <v>5</v>
      </c>
      <c r="C515" s="6" t="s">
        <v>250</v>
      </c>
      <c r="D515" s="6">
        <v>272</v>
      </c>
      <c r="E515" s="22" t="str">
        <f>IF(C515="استحداث بند جديد", "", IF(D515&lt;&gt;"", IFERROR(INDEX('بنود العقد'!B$3:B$388,D515),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B1</v>
      </c>
      <c r="F515" s="23" t="str">
        <f>IF(C515="استحداث بند جديد", "", IF(D515&lt;&gt;"", IFERROR(INDEX('بنود العقد'!D$3:D$388,D515), ""), ""))</f>
        <v>عدد</v>
      </c>
      <c r="G515" s="24">
        <f>IF(C515="استحداث بند جديد", "", IF(D515&lt;&gt;"", IFERROR(INDEX('بنود العقد'!E$3:E$388,D515), 0), ""))</f>
        <v>720</v>
      </c>
      <c r="H515" s="7">
        <v>-6</v>
      </c>
      <c r="I515" s="8">
        <v>0</v>
      </c>
      <c r="J515" s="10">
        <f t="shared" si="3"/>
        <v>-4320</v>
      </c>
      <c r="K515" s="76" t="str">
        <f>IF(C515="استحداث بند جديد", "", IF(D515&lt;&gt;"", IFERROR(INDEX('بنود العقد'!C$3:C$388,D515), ""), ""))</f>
        <v>كهرباء</v>
      </c>
      <c r="L515" s="76" t="str">
        <f>IF(C515="استحداث بند جديد", IF(K515&lt;&gt;"","CMH_01-"&amp;IFERROR(VLOOKUP(K515,مراجع!$A$3:$B$14,2,FALSE),"?")&amp;"-NEW-"&amp;TEXT(A515,"000"),""), IF(D515&lt;&gt;"", IFERROR(INDEX('بنود العقد'!I$3:I$388,D515), ""), ""))</f>
        <v>CMH_01-EE-272</v>
      </c>
      <c r="M515" s="19"/>
    </row>
    <row r="516" spans="1:13" s="76" customFormat="1" ht="28.2" customHeight="1">
      <c r="A516" s="12">
        <v>514</v>
      </c>
      <c r="B516" s="6">
        <v>5</v>
      </c>
      <c r="C516" s="6" t="s">
        <v>250</v>
      </c>
      <c r="D516" s="6">
        <v>273</v>
      </c>
      <c r="E516" s="22" t="str">
        <f>IF(C516="استحداث بند جديد", "", IF(D516&lt;&gt;"", IFERROR(INDEX('بنود العقد'!B$3:B$388,D516),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B2</v>
      </c>
      <c r="F516" s="23" t="str">
        <f>IF(C516="استحداث بند جديد", "", IF(D516&lt;&gt;"", IFERROR(INDEX('بنود العقد'!D$3:D$388,D516), ""), ""))</f>
        <v>عدد</v>
      </c>
      <c r="G516" s="24">
        <f>IF(C516="استحداث بند جديد", "", IF(D516&lt;&gt;"", IFERROR(INDEX('بنود العقد'!E$3:E$388,D516), 0), ""))</f>
        <v>780</v>
      </c>
      <c r="H516" s="7">
        <v>-8</v>
      </c>
      <c r="I516" s="8">
        <v>0</v>
      </c>
      <c r="J516" s="10">
        <f t="shared" si="3"/>
        <v>-6240</v>
      </c>
      <c r="K516" s="76" t="str">
        <f>IF(C516="استحداث بند جديد", "", IF(D516&lt;&gt;"", IFERROR(INDEX('بنود العقد'!C$3:C$388,D516), ""), ""))</f>
        <v>كهرباء</v>
      </c>
      <c r="L516" s="76" t="str">
        <f>IF(C516="استحداث بند جديد", IF(K516&lt;&gt;"","CMH_01-"&amp;IFERROR(VLOOKUP(K516,مراجع!$A$3:$B$14,2,FALSE),"?")&amp;"-NEW-"&amp;TEXT(A516,"000"),""), IF(D516&lt;&gt;"", IFERROR(INDEX('بنود العقد'!I$3:I$388,D516), ""), ""))</f>
        <v>CMH_01-EE-273</v>
      </c>
      <c r="M516" s="19"/>
    </row>
    <row r="517" spans="1:13" s="76" customFormat="1" ht="28.2" customHeight="1">
      <c r="A517" s="12">
        <v>515</v>
      </c>
      <c r="B517" s="6">
        <v>5</v>
      </c>
      <c r="C517" s="6" t="s">
        <v>175</v>
      </c>
      <c r="D517" s="6">
        <v>274</v>
      </c>
      <c r="E517" s="22" t="str">
        <f>IF(C517="استحداث بند جديد", "", IF(D517&lt;&gt;"", IFERROR(INDEX('بنود العقد'!B$3:B$388,D517),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C1</v>
      </c>
      <c r="F517" s="23" t="str">
        <f>IF(C517="استحداث بند جديد", "", IF(D517&lt;&gt;"", IFERROR(INDEX('بنود العقد'!D$3:D$388,D517), ""), ""))</f>
        <v>عدد</v>
      </c>
      <c r="G517" s="24">
        <f>IF(C517="استحداث بند جديد", "", IF(D517&lt;&gt;"", IFERROR(INDEX('بنود العقد'!E$3:E$388,D517), 0), ""))</f>
        <v>1128</v>
      </c>
      <c r="H517" s="7">
        <v>23</v>
      </c>
      <c r="I517" s="8">
        <v>0</v>
      </c>
      <c r="J517" s="10">
        <f t="shared" si="3"/>
        <v>25944</v>
      </c>
      <c r="K517" s="76" t="str">
        <f>IF(C517="استحداث بند جديد", "", IF(D517&lt;&gt;"", IFERROR(INDEX('بنود العقد'!C$3:C$388,D517), ""), ""))</f>
        <v>كهرباء</v>
      </c>
      <c r="L517" s="76" t="str">
        <f>IF(C517="استحداث بند جديد", IF(K517&lt;&gt;"","CMH_01-"&amp;IFERROR(VLOOKUP(K517,مراجع!$A$3:$B$14,2,FALSE),"?")&amp;"-NEW-"&amp;TEXT(A517,"000"),""), IF(D517&lt;&gt;"", IFERROR(INDEX('بنود العقد'!I$3:I$388,D517), ""), ""))</f>
        <v>CMH_01-EE-274</v>
      </c>
      <c r="M517" s="19"/>
    </row>
    <row r="518" spans="1:13" s="76" customFormat="1" ht="28.2" customHeight="1">
      <c r="A518" s="12">
        <v>516</v>
      </c>
      <c r="B518" s="6">
        <v>5</v>
      </c>
      <c r="C518" s="6" t="s">
        <v>175</v>
      </c>
      <c r="D518" s="6">
        <v>275</v>
      </c>
      <c r="E518" s="22" t="str">
        <f>IF(C518="استحداث بند جديد", "", IF(D518&lt;&gt;"", IFERROR(INDEX('بنود العقد'!B$3:B$388,D518),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v>
      </c>
      <c r="F518" s="23" t="str">
        <f>IF(C518="استحداث بند جديد", "", IF(D518&lt;&gt;"", IFERROR(INDEX('بنود العقد'!D$3:D$388,D518), ""), ""))</f>
        <v>عدد</v>
      </c>
      <c r="G518" s="24">
        <f>IF(C518="استحداث بند جديد", "", IF(D518&lt;&gt;"", IFERROR(INDEX('بنود العقد'!E$3:E$388,D518), 0), ""))</f>
        <v>420</v>
      </c>
      <c r="H518" s="7">
        <v>274</v>
      </c>
      <c r="I518" s="8">
        <v>0</v>
      </c>
      <c r="J518" s="10">
        <f t="shared" si="3"/>
        <v>115080</v>
      </c>
      <c r="K518" s="76" t="str">
        <f>IF(C518="استحداث بند جديد", "", IF(D518&lt;&gt;"", IFERROR(INDEX('بنود العقد'!C$3:C$388,D518), ""), ""))</f>
        <v>كهرباء</v>
      </c>
      <c r="L518" s="76" t="str">
        <f>IF(C518="استحداث بند جديد", IF(K518&lt;&gt;"","CMH_01-"&amp;IFERROR(VLOOKUP(K518,مراجع!$A$3:$B$14,2,FALSE),"?")&amp;"-NEW-"&amp;TEXT(A518,"000"),""), IF(D518&lt;&gt;"", IFERROR(INDEX('بنود العقد'!I$3:I$388,D518), ""), ""))</f>
        <v>CMH_01-EE-275</v>
      </c>
      <c r="M518" s="19"/>
    </row>
    <row r="519" spans="1:13" s="76" customFormat="1" ht="28.2" customHeight="1">
      <c r="A519" s="12">
        <v>517</v>
      </c>
      <c r="B519" s="6">
        <v>5</v>
      </c>
      <c r="C519" s="6" t="s">
        <v>250</v>
      </c>
      <c r="D519" s="6">
        <v>276</v>
      </c>
      <c r="E519" s="22" t="str">
        <f>IF(C519="استحداث بند جديد", "", IF(D519&lt;&gt;"", IFERROR(INDEX('بنود العقد'!B$3:B$388,D519),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v>
      </c>
      <c r="F519" s="23" t="str">
        <f>IF(C519="استحداث بند جديد", "", IF(D519&lt;&gt;"", IFERROR(INDEX('بنود العقد'!D$3:D$388,D519), ""), ""))</f>
        <v>عدد</v>
      </c>
      <c r="G519" s="24">
        <f>IF(C519="استحداث بند جديد", "", IF(D519&lt;&gt;"", IFERROR(INDEX('بنود العقد'!E$3:E$388,D519), 0), ""))</f>
        <v>444</v>
      </c>
      <c r="H519" s="7">
        <v>-139</v>
      </c>
      <c r="I519" s="8">
        <v>0</v>
      </c>
      <c r="J519" s="10">
        <f t="shared" si="3"/>
        <v>-61716</v>
      </c>
      <c r="K519" s="76" t="str">
        <f>IF(C519="استحداث بند جديد", "", IF(D519&lt;&gt;"", IFERROR(INDEX('بنود العقد'!C$3:C$388,D519), ""), ""))</f>
        <v>كهرباء</v>
      </c>
      <c r="L519" s="76" t="str">
        <f>IF(C519="استحداث بند جديد", IF(K519&lt;&gt;"","CMH_01-"&amp;IFERROR(VLOOKUP(K519,مراجع!$A$3:$B$14,2,FALSE),"?")&amp;"-NEW-"&amp;TEXT(A519,"000"),""), IF(D519&lt;&gt;"", IFERROR(INDEX('بنود العقد'!I$3:I$388,D519), ""), ""))</f>
        <v>CMH_01-EE-276</v>
      </c>
      <c r="M519" s="19"/>
    </row>
    <row r="520" spans="1:13" s="76" customFormat="1" ht="28.2" customHeight="1">
      <c r="A520" s="12">
        <v>518</v>
      </c>
      <c r="B520" s="6">
        <v>5</v>
      </c>
      <c r="C520" s="6" t="s">
        <v>250</v>
      </c>
      <c r="D520" s="6">
        <v>277</v>
      </c>
      <c r="E520" s="22" t="str">
        <f>IF(C520="استحداث بند جديد", "", IF(D520&lt;&gt;"", IFERROR(INDEX('بنود العقد'!B$3:B$388,D520),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v>
      </c>
      <c r="F520" s="23" t="str">
        <f>IF(C520="استحداث بند جديد", "", IF(D520&lt;&gt;"", IFERROR(INDEX('بنود العقد'!D$3:D$388,D520), ""), ""))</f>
        <v>عدد</v>
      </c>
      <c r="G520" s="24">
        <f>IF(C520="استحداث بند جديد", "", IF(D520&lt;&gt;"", IFERROR(INDEX('بنود العقد'!E$3:E$388,D520), 0), ""))</f>
        <v>300</v>
      </c>
      <c r="H520" s="7">
        <v>-11</v>
      </c>
      <c r="I520" s="8">
        <v>0</v>
      </c>
      <c r="J520" s="10">
        <f t="shared" si="3"/>
        <v>-3300</v>
      </c>
      <c r="K520" s="76" t="str">
        <f>IF(C520="استحداث بند جديد", "", IF(D520&lt;&gt;"", IFERROR(INDEX('بنود العقد'!C$3:C$388,D520), ""), ""))</f>
        <v>كهرباء</v>
      </c>
      <c r="L520" s="76" t="str">
        <f>IF(C520="استحداث بند جديد", IF(K520&lt;&gt;"","CMH_01-"&amp;IFERROR(VLOOKUP(K520,مراجع!$A$3:$B$14,2,FALSE),"?")&amp;"-NEW-"&amp;TEXT(A520,"000"),""), IF(D520&lt;&gt;"", IFERROR(INDEX('بنود العقد'!I$3:I$388,D520), ""), ""))</f>
        <v>CMH_01-EE-277</v>
      </c>
      <c r="M520" s="19"/>
    </row>
    <row r="521" spans="1:13" s="76" customFormat="1" ht="28.2" customHeight="1">
      <c r="A521" s="12">
        <v>519</v>
      </c>
      <c r="B521" s="6">
        <v>5</v>
      </c>
      <c r="C521" s="6" t="s">
        <v>175</v>
      </c>
      <c r="D521" s="6">
        <v>278</v>
      </c>
      <c r="E521" s="22" t="str">
        <f>IF(C521="استحداث بند جديد", "", IF(D521&lt;&gt;"", IFERROR(INDEX('بنود العقد'!B$3:B$388,D521),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C5</v>
      </c>
      <c r="F521" s="23" t="str">
        <f>IF(C521="استحداث بند جديد", "", IF(D521&lt;&gt;"", IFERROR(INDEX('بنود العقد'!D$3:D$388,D521), ""), ""))</f>
        <v>عدد</v>
      </c>
      <c r="G521" s="24">
        <f>IF(C521="استحداث بند جديد", "", IF(D521&lt;&gt;"", IFERROR(INDEX('بنود العقد'!E$3:E$388,D521), 0), ""))</f>
        <v>438</v>
      </c>
      <c r="H521" s="7">
        <v>153</v>
      </c>
      <c r="I521" s="8">
        <v>0</v>
      </c>
      <c r="J521" s="10">
        <f t="shared" si="3"/>
        <v>67014</v>
      </c>
      <c r="K521" s="76" t="str">
        <f>IF(C521="استحداث بند جديد", "", IF(D521&lt;&gt;"", IFERROR(INDEX('بنود العقد'!C$3:C$388,D521), ""), ""))</f>
        <v>كهرباء</v>
      </c>
      <c r="L521" s="76" t="str">
        <f>IF(C521="استحداث بند جديد", IF(K521&lt;&gt;"","CMH_01-"&amp;IFERROR(VLOOKUP(K521,مراجع!$A$3:$B$14,2,FALSE),"?")&amp;"-NEW-"&amp;TEXT(A521,"000"),""), IF(D521&lt;&gt;"", IFERROR(INDEX('بنود العقد'!I$3:I$388,D521), ""), ""))</f>
        <v>CMH_01-EE-278</v>
      </c>
      <c r="M521" s="19"/>
    </row>
    <row r="522" spans="1:13" s="76" customFormat="1" ht="28.2" customHeight="1">
      <c r="A522" s="12">
        <v>520</v>
      </c>
      <c r="B522" s="6">
        <v>5</v>
      </c>
      <c r="C522" s="6" t="s">
        <v>175</v>
      </c>
      <c r="D522" s="6">
        <v>279</v>
      </c>
      <c r="E522" s="22" t="str">
        <f>IF(C522="استحداث بند جديد", "", IF(D522&lt;&gt;"", IFERROR(INDEX('بنود العقد'!B$3:B$388,D522),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C6</v>
      </c>
      <c r="F522" s="23" t="str">
        <f>IF(C522="استحداث بند جديد", "", IF(D522&lt;&gt;"", IFERROR(INDEX('بنود العقد'!D$3:D$388,D522), ""), ""))</f>
        <v>عدد</v>
      </c>
      <c r="G522" s="24">
        <f>IF(C522="استحداث بند جديد", "", IF(D522&lt;&gt;"", IFERROR(INDEX('بنود العقد'!E$3:E$388,D522), 0), ""))</f>
        <v>288</v>
      </c>
      <c r="H522" s="7">
        <v>8</v>
      </c>
      <c r="I522" s="8">
        <v>0</v>
      </c>
      <c r="J522" s="10">
        <f t="shared" si="3"/>
        <v>2304</v>
      </c>
      <c r="K522" s="76" t="str">
        <f>IF(C522="استحداث بند جديد", "", IF(D522&lt;&gt;"", IFERROR(INDEX('بنود العقد'!C$3:C$388,D522), ""), ""))</f>
        <v>كهرباء</v>
      </c>
      <c r="L522" s="76" t="str">
        <f>IF(C522="استحداث بند جديد", IF(K522&lt;&gt;"","CMH_01-"&amp;IFERROR(VLOOKUP(K522,مراجع!$A$3:$B$14,2,FALSE),"?")&amp;"-NEW-"&amp;TEXT(A522,"000"),""), IF(D522&lt;&gt;"", IFERROR(INDEX('بنود العقد'!I$3:I$388,D522), ""), ""))</f>
        <v>CMH_01-EE-279</v>
      </c>
      <c r="M522" s="19"/>
    </row>
    <row r="523" spans="1:13" s="76" customFormat="1" ht="28.2" customHeight="1">
      <c r="A523" s="12">
        <v>521</v>
      </c>
      <c r="B523" s="6">
        <v>5</v>
      </c>
      <c r="C523" s="6" t="s">
        <v>175</v>
      </c>
      <c r="D523" s="6">
        <v>280</v>
      </c>
      <c r="E523" s="22" t="str">
        <f>IF(C523="استحداث بند جديد", "", IF(D523&lt;&gt;"", IFERROR(INDEX('بنود العقد'!B$3:B$388,D523),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C7</v>
      </c>
      <c r="F523" s="23" t="str">
        <f>IF(C523="استحداث بند جديد", "", IF(D523&lt;&gt;"", IFERROR(INDEX('بنود العقد'!D$3:D$388,D523), ""), ""))</f>
        <v>عدد</v>
      </c>
      <c r="G523" s="24">
        <f>IF(C523="استحداث بند جديد", "", IF(D523&lt;&gt;"", IFERROR(INDEX('بنود العقد'!E$3:E$388,D523), 0), ""))</f>
        <v>336</v>
      </c>
      <c r="H523" s="7">
        <v>5</v>
      </c>
      <c r="I523" s="8">
        <v>0</v>
      </c>
      <c r="J523" s="10">
        <f t="shared" si="3"/>
        <v>1680</v>
      </c>
      <c r="K523" s="76" t="str">
        <f>IF(C523="استحداث بند جديد", "", IF(D523&lt;&gt;"", IFERROR(INDEX('بنود العقد'!C$3:C$388,D523), ""), ""))</f>
        <v>كهرباء</v>
      </c>
      <c r="L523" s="76" t="str">
        <f>IF(C523="استحداث بند جديد", IF(K523&lt;&gt;"","CMH_01-"&amp;IFERROR(VLOOKUP(K523,مراجع!$A$3:$B$14,2,FALSE),"?")&amp;"-NEW-"&amp;TEXT(A523,"000"),""), IF(D523&lt;&gt;"", IFERROR(INDEX('بنود العقد'!I$3:I$388,D523), ""), ""))</f>
        <v>CMH_01-EE-280</v>
      </c>
      <c r="M523" s="19"/>
    </row>
    <row r="524" spans="1:13" s="76" customFormat="1" ht="28.2" customHeight="1">
      <c r="A524" s="12">
        <v>522</v>
      </c>
      <c r="B524" s="6">
        <v>5</v>
      </c>
      <c r="C524" s="6" t="s">
        <v>250</v>
      </c>
      <c r="D524" s="6">
        <v>281</v>
      </c>
      <c r="E524" s="22" t="str">
        <f>IF(C524="استحداث بند جديد", "", IF(D524&lt;&gt;"", IFERROR(INDEX('بنود العقد'!B$3:B$388,D524),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D1</v>
      </c>
      <c r="F524" s="23" t="str">
        <f>IF(C524="استحداث بند جديد", "", IF(D524&lt;&gt;"", IFERROR(INDEX('بنود العقد'!D$3:D$388,D524), ""), ""))</f>
        <v>عدد</v>
      </c>
      <c r="G524" s="24">
        <f>IF(C524="استحداث بند جديد", "", IF(D524&lt;&gt;"", IFERROR(INDEX('بنود العقد'!E$3:E$388,D524), 0), ""))</f>
        <v>936</v>
      </c>
      <c r="H524" s="7">
        <v>-30</v>
      </c>
      <c r="I524" s="8">
        <v>0</v>
      </c>
      <c r="J524" s="10">
        <f t="shared" si="3"/>
        <v>-28080</v>
      </c>
      <c r="K524" s="76" t="str">
        <f>IF(C524="استحداث بند جديد", "", IF(D524&lt;&gt;"", IFERROR(INDEX('بنود العقد'!C$3:C$388,D524), ""), ""))</f>
        <v>كهرباء</v>
      </c>
      <c r="L524" s="76" t="str">
        <f>IF(C524="استحداث بند جديد", IF(K524&lt;&gt;"","CMH_01-"&amp;IFERROR(VLOOKUP(K524,مراجع!$A$3:$B$14,2,FALSE),"?")&amp;"-NEW-"&amp;TEXT(A524,"000"),""), IF(D524&lt;&gt;"", IFERROR(INDEX('بنود العقد'!I$3:I$388,D524), ""), ""))</f>
        <v>CMH_01-EE-281</v>
      </c>
      <c r="M524" s="19"/>
    </row>
    <row r="525" spans="1:13" s="76" customFormat="1" ht="28.2" customHeight="1">
      <c r="A525" s="12">
        <v>523</v>
      </c>
      <c r="B525" s="6">
        <v>5</v>
      </c>
      <c r="C525" s="6" t="s">
        <v>250</v>
      </c>
      <c r="D525" s="6">
        <v>282</v>
      </c>
      <c r="E525" s="22" t="str">
        <f>IF(C525="استحداث بند جديد", "", IF(D525&lt;&gt;"", IFERROR(INDEX('بنود العقد'!B$3:B$388,D525),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D2</v>
      </c>
      <c r="F525" s="23" t="str">
        <f>IF(C525="استحداث بند جديد", "", IF(D525&lt;&gt;"", IFERROR(INDEX('بنود العقد'!D$3:D$388,D525), ""), ""))</f>
        <v>عدد</v>
      </c>
      <c r="G525" s="24">
        <f>IF(C525="استحداث بند جديد", "", IF(D525&lt;&gt;"", IFERROR(INDEX('بنود العقد'!E$3:E$388,D525), 0), ""))</f>
        <v>936</v>
      </c>
      <c r="H525" s="7">
        <v>-10</v>
      </c>
      <c r="I525" s="8">
        <v>0</v>
      </c>
      <c r="J525" s="10">
        <f t="shared" si="3"/>
        <v>-9360</v>
      </c>
      <c r="K525" s="76" t="str">
        <f>IF(C525="استحداث بند جديد", "", IF(D525&lt;&gt;"", IFERROR(INDEX('بنود العقد'!C$3:C$388,D525), ""), ""))</f>
        <v>كهرباء</v>
      </c>
      <c r="L525" s="76" t="str">
        <f>IF(C525="استحداث بند جديد", IF(K525&lt;&gt;"","CMH_01-"&amp;IFERROR(VLOOKUP(K525,مراجع!$A$3:$B$14,2,FALSE),"?")&amp;"-NEW-"&amp;TEXT(A525,"000"),""), IF(D525&lt;&gt;"", IFERROR(INDEX('بنود العقد'!I$3:I$388,D525), ""), ""))</f>
        <v>CMH_01-EE-282</v>
      </c>
      <c r="M525" s="19"/>
    </row>
    <row r="526" spans="1:13" s="76" customFormat="1" ht="28.2" customHeight="1">
      <c r="A526" s="12">
        <v>524</v>
      </c>
      <c r="B526" s="6">
        <v>5</v>
      </c>
      <c r="C526" s="6" t="s">
        <v>250</v>
      </c>
      <c r="D526" s="6">
        <v>283</v>
      </c>
      <c r="E526" s="22" t="str">
        <f>IF(C526="استحداث بند جديد", "", IF(D526&lt;&gt;"", IFERROR(INDEX('بنود العقد'!B$3:B$388,D526),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D3</v>
      </c>
      <c r="F526" s="23" t="str">
        <f>IF(C526="استحداث بند جديد", "", IF(D526&lt;&gt;"", IFERROR(INDEX('بنود العقد'!D$3:D$388,D526), ""), ""))</f>
        <v>عدد</v>
      </c>
      <c r="G526" s="24">
        <f>IF(C526="استحداث بند جديد", "", IF(D526&lt;&gt;"", IFERROR(INDEX('بنود العقد'!E$3:E$388,D526), 0), ""))</f>
        <v>288</v>
      </c>
      <c r="H526" s="7">
        <v>-196</v>
      </c>
      <c r="I526" s="8">
        <v>0</v>
      </c>
      <c r="J526" s="10">
        <f t="shared" si="3"/>
        <v>-56448</v>
      </c>
      <c r="K526" s="76" t="str">
        <f>IF(C526="استحداث بند جديد", "", IF(D526&lt;&gt;"", IFERROR(INDEX('بنود العقد'!C$3:C$388,D526), ""), ""))</f>
        <v>كهرباء</v>
      </c>
      <c r="L526" s="76" t="str">
        <f>IF(C526="استحداث بند جديد", IF(K526&lt;&gt;"","CMH_01-"&amp;IFERROR(VLOOKUP(K526,مراجع!$A$3:$B$14,2,FALSE),"?")&amp;"-NEW-"&amp;TEXT(A526,"000"),""), IF(D526&lt;&gt;"", IFERROR(INDEX('بنود العقد'!I$3:I$388,D526), ""), ""))</f>
        <v>CMH_01-EE-283</v>
      </c>
      <c r="M526" s="19"/>
    </row>
    <row r="527" spans="1:13" s="76" customFormat="1" ht="28.2" customHeight="1">
      <c r="A527" s="12">
        <v>525</v>
      </c>
      <c r="B527" s="6">
        <v>5</v>
      </c>
      <c r="C527" s="6" t="s">
        <v>250</v>
      </c>
      <c r="D527" s="6">
        <v>284</v>
      </c>
      <c r="E527" s="22" t="str">
        <f>IF(C527="استحداث بند جديد", "", IF(D527&lt;&gt;"", IFERROR(INDEX('بنود العقد'!B$3:B$388,D527),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D4</v>
      </c>
      <c r="F527" s="23" t="str">
        <f>IF(C527="استحداث بند جديد", "", IF(D527&lt;&gt;"", IFERROR(INDEX('بنود العقد'!D$3:D$388,D527), ""), ""))</f>
        <v>عدد</v>
      </c>
      <c r="G527" s="24">
        <f>IF(C527="استحداث بند جديد", "", IF(D527&lt;&gt;"", IFERROR(INDEX('بنود العقد'!E$3:E$388,D527), 0), ""))</f>
        <v>5400</v>
      </c>
      <c r="H527" s="7">
        <v>-3</v>
      </c>
      <c r="I527" s="8">
        <v>0</v>
      </c>
      <c r="J527" s="10">
        <f t="shared" si="3"/>
        <v>-16200</v>
      </c>
      <c r="K527" s="76" t="str">
        <f>IF(C527="استحداث بند جديد", "", IF(D527&lt;&gt;"", IFERROR(INDEX('بنود العقد'!C$3:C$388,D527), ""), ""))</f>
        <v>كهرباء</v>
      </c>
      <c r="L527" s="76" t="str">
        <f>IF(C527="استحداث بند جديد", IF(K527&lt;&gt;"","CMH_01-"&amp;IFERROR(VLOOKUP(K527,مراجع!$A$3:$B$14,2,FALSE),"?")&amp;"-NEW-"&amp;TEXT(A527,"000"),""), IF(D527&lt;&gt;"", IFERROR(INDEX('بنود العقد'!I$3:I$388,D527), ""), ""))</f>
        <v>CMH_01-EE-284</v>
      </c>
      <c r="M527" s="19"/>
    </row>
    <row r="528" spans="1:13" s="76" customFormat="1" ht="28.2" customHeight="1">
      <c r="A528" s="12">
        <v>526</v>
      </c>
      <c r="B528" s="6">
        <v>5</v>
      </c>
      <c r="C528" s="6" t="s">
        <v>250</v>
      </c>
      <c r="D528" s="6">
        <v>285</v>
      </c>
      <c r="E528" s="22" t="str">
        <f>IF(C528="استحداث بند جديد", "", IF(D528&lt;&gt;"", IFERROR(INDEX('بنود العقد'!B$3:B$388,D528),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E1</v>
      </c>
      <c r="F528" s="23" t="str">
        <f>IF(C528="استحداث بند جديد", "", IF(D528&lt;&gt;"", IFERROR(INDEX('بنود العقد'!D$3:D$388,D528), ""), ""))</f>
        <v>عدد</v>
      </c>
      <c r="G528" s="24">
        <f>IF(C528="استحداث بند جديد", "", IF(D528&lt;&gt;"", IFERROR(INDEX('بنود العقد'!E$3:E$388,D528), 0), ""))</f>
        <v>540</v>
      </c>
      <c r="H528" s="7">
        <v>-4</v>
      </c>
      <c r="I528" s="8">
        <v>0</v>
      </c>
      <c r="J528" s="10">
        <f t="shared" si="3"/>
        <v>-2160</v>
      </c>
      <c r="K528" s="76" t="str">
        <f>IF(C528="استحداث بند جديد", "", IF(D528&lt;&gt;"", IFERROR(INDEX('بنود العقد'!C$3:C$388,D528), ""), ""))</f>
        <v>كهرباء</v>
      </c>
      <c r="L528" s="76" t="str">
        <f>IF(C528="استحداث بند جديد", IF(K528&lt;&gt;"","CMH_01-"&amp;IFERROR(VLOOKUP(K528,مراجع!$A$3:$B$14,2,FALSE),"?")&amp;"-NEW-"&amp;TEXT(A528,"000"),""), IF(D528&lt;&gt;"", IFERROR(INDEX('بنود العقد'!I$3:I$388,D528), ""), ""))</f>
        <v>CMH_01-EE-285</v>
      </c>
      <c r="M528" s="19"/>
    </row>
    <row r="529" spans="1:13" s="76" customFormat="1" ht="28.2" customHeight="1">
      <c r="A529" s="12">
        <v>527</v>
      </c>
      <c r="B529" s="6">
        <v>5</v>
      </c>
      <c r="C529" s="6" t="s">
        <v>175</v>
      </c>
      <c r="D529" s="6">
        <v>286</v>
      </c>
      <c r="E529" s="22" t="str">
        <f>IF(C529="استحداث بند جديد", "", IF(D529&lt;&gt;"", IFERROR(INDEX('بنود العقد'!B$3:B$388,D529),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E2</v>
      </c>
      <c r="F529" s="23" t="str">
        <f>IF(C529="استحداث بند جديد", "", IF(D529&lt;&gt;"", IFERROR(INDEX('بنود العقد'!D$3:D$388,D529), ""), ""))</f>
        <v>عدد</v>
      </c>
      <c r="G529" s="24">
        <f>IF(C529="استحداث بند جديد", "", IF(D529&lt;&gt;"", IFERROR(INDEX('بنود العقد'!E$3:E$388,D529), 0), ""))</f>
        <v>504</v>
      </c>
      <c r="H529" s="7">
        <v>7</v>
      </c>
      <c r="I529" s="8">
        <v>0</v>
      </c>
      <c r="J529" s="10">
        <f t="shared" si="3"/>
        <v>3528</v>
      </c>
      <c r="K529" s="76" t="str">
        <f>IF(C529="استحداث بند جديد", "", IF(D529&lt;&gt;"", IFERROR(INDEX('بنود العقد'!C$3:C$388,D529), ""), ""))</f>
        <v>كهرباء</v>
      </c>
      <c r="L529" s="76" t="str">
        <f>IF(C529="استحداث بند جديد", IF(K529&lt;&gt;"","CMH_01-"&amp;IFERROR(VLOOKUP(K529,مراجع!$A$3:$B$14,2,FALSE),"?")&amp;"-NEW-"&amp;TEXT(A529,"000"),""), IF(D529&lt;&gt;"", IFERROR(INDEX('بنود العقد'!I$3:I$388,D529), ""), ""))</f>
        <v>CMH_01-EE-286</v>
      </c>
      <c r="M529" s="19"/>
    </row>
    <row r="530" spans="1:13" s="76" customFormat="1" ht="28.2" customHeight="1">
      <c r="A530" s="12">
        <v>528</v>
      </c>
      <c r="B530" s="6">
        <v>5</v>
      </c>
      <c r="C530" s="6" t="s">
        <v>250</v>
      </c>
      <c r="D530" s="6">
        <v>287</v>
      </c>
      <c r="E530" s="22" t="str">
        <f>IF(C530="استحداث بند جديد", "", IF(D530&lt;&gt;"", IFERROR(INDEX('بنود العقد'!B$3:B$388,D530),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E3</v>
      </c>
      <c r="F530" s="23" t="str">
        <f>IF(C530="استحداث بند جديد", "", IF(D530&lt;&gt;"", IFERROR(INDEX('بنود العقد'!D$3:D$388,D530), ""), ""))</f>
        <v>عدد</v>
      </c>
      <c r="G530" s="24">
        <f>IF(C530="استحداث بند جديد", "", IF(D530&lt;&gt;"", IFERROR(INDEX('بنود العقد'!E$3:E$388,D530), 0), ""))</f>
        <v>744</v>
      </c>
      <c r="H530" s="7">
        <v>-190</v>
      </c>
      <c r="I530" s="8">
        <v>0</v>
      </c>
      <c r="J530" s="10">
        <f t="shared" si="3"/>
        <v>-141360</v>
      </c>
      <c r="K530" s="76" t="str">
        <f>IF(C530="استحداث بند جديد", "", IF(D530&lt;&gt;"", IFERROR(INDEX('بنود العقد'!C$3:C$388,D530), ""), ""))</f>
        <v>كهرباء</v>
      </c>
      <c r="L530" s="76" t="str">
        <f>IF(C530="استحداث بند جديد", IF(K530&lt;&gt;"","CMH_01-"&amp;IFERROR(VLOOKUP(K530,مراجع!$A$3:$B$14,2,FALSE),"?")&amp;"-NEW-"&amp;TEXT(A530,"000"),""), IF(D530&lt;&gt;"", IFERROR(INDEX('بنود العقد'!I$3:I$388,D530), ""), ""))</f>
        <v>CMH_01-EE-287</v>
      </c>
      <c r="M530" s="19"/>
    </row>
    <row r="531" spans="1:13" s="76" customFormat="1" ht="28.2" customHeight="1">
      <c r="A531" s="12">
        <v>529</v>
      </c>
      <c r="B531" s="6">
        <v>5</v>
      </c>
      <c r="C531" s="6" t="s">
        <v>175</v>
      </c>
      <c r="D531" s="6">
        <v>288</v>
      </c>
      <c r="E531" s="22" t="str">
        <f>IF(C531="استحداث بند جديد", "", IF(D531&lt;&gt;"", IFERROR(INDEX('بنود العقد'!B$3:B$388,D531),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LB1</v>
      </c>
      <c r="F531" s="23" t="str">
        <f>IF(C531="استحداث بند جديد", "", IF(D531&lt;&gt;"", IFERROR(INDEX('بنود العقد'!D$3:D$388,D531), ""), ""))</f>
        <v>م.ط</v>
      </c>
      <c r="G531" s="24">
        <f>IF(C531="استحداث بند جديد", "", IF(D531&lt;&gt;"", IFERROR(INDEX('بنود العقد'!E$3:E$388,D531), 0), ""))</f>
        <v>170.4</v>
      </c>
      <c r="H531" s="7">
        <v>1569.85</v>
      </c>
      <c r="I531" s="8">
        <v>0</v>
      </c>
      <c r="J531" s="10">
        <f t="shared" si="3"/>
        <v>267502.44</v>
      </c>
      <c r="K531" s="76" t="str">
        <f>IF(C531="استحداث بند جديد", "", IF(D531&lt;&gt;"", IFERROR(INDEX('بنود العقد'!C$3:C$388,D531), ""), ""))</f>
        <v>كهرباء</v>
      </c>
      <c r="L531" s="76" t="str">
        <f>IF(C531="استحداث بند جديد", IF(K531&lt;&gt;"","CMH_01-"&amp;IFERROR(VLOOKUP(K531,مراجع!$A$3:$B$14,2,FALSE),"?")&amp;"-NEW-"&amp;TEXT(A531,"000"),""), IF(D531&lt;&gt;"", IFERROR(INDEX('بنود العقد'!I$3:I$388,D531), ""), ""))</f>
        <v>CMH_01-EE-288</v>
      </c>
      <c r="M531" s="19"/>
    </row>
    <row r="532" spans="1:13" s="76" customFormat="1" ht="28.2" customHeight="1">
      <c r="A532" s="12">
        <v>530</v>
      </c>
      <c r="B532" s="6">
        <v>5</v>
      </c>
      <c r="C532" s="6" t="s">
        <v>250</v>
      </c>
      <c r="D532" s="6">
        <v>289</v>
      </c>
      <c r="E532" s="22" t="str">
        <f>IF(C532="استحداث بند جديد", "", IF(D532&lt;&gt;"", IFERROR(INDEX('بنود العقد'!B$3:B$388,D532),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LB2</v>
      </c>
      <c r="F532" s="23" t="str">
        <f>IF(C532="استحداث بند جديد", "", IF(D532&lt;&gt;"", IFERROR(INDEX('بنود العقد'!D$3:D$388,D532), ""), ""))</f>
        <v>عدد</v>
      </c>
      <c r="G532" s="24">
        <f>IF(C532="استحداث بند جديد", "", IF(D532&lt;&gt;"", IFERROR(INDEX('بنود العقد'!E$3:E$388,D532), 0), ""))</f>
        <v>13800</v>
      </c>
      <c r="H532" s="7">
        <v>-2</v>
      </c>
      <c r="I532" s="8">
        <v>0</v>
      </c>
      <c r="J532" s="10">
        <f t="shared" si="3"/>
        <v>-27600</v>
      </c>
      <c r="K532" s="76" t="str">
        <f>IF(C532="استحداث بند جديد", "", IF(D532&lt;&gt;"", IFERROR(INDEX('بنود العقد'!C$3:C$388,D532), ""), ""))</f>
        <v>كهرباء</v>
      </c>
      <c r="L532" s="76" t="str">
        <f>IF(C532="استحداث بند جديد", IF(K532&lt;&gt;"","CMH_01-"&amp;IFERROR(VLOOKUP(K532,مراجع!$A$3:$B$14,2,FALSE),"?")&amp;"-NEW-"&amp;TEXT(A532,"000"),""), IF(D532&lt;&gt;"", IFERROR(INDEX('بنود العقد'!I$3:I$388,D532), ""), ""))</f>
        <v>CMH_01-EE-289</v>
      </c>
      <c r="M532" s="19"/>
    </row>
    <row r="533" spans="1:13" s="76" customFormat="1" ht="28.2" customHeight="1">
      <c r="A533" s="12">
        <v>531</v>
      </c>
      <c r="B533" s="6">
        <v>5</v>
      </c>
      <c r="C533" s="6" t="s">
        <v>250</v>
      </c>
      <c r="D533" s="6">
        <v>290</v>
      </c>
      <c r="E533" s="22" t="str">
        <f>IF(C533="استحداث بند جديد", "", IF(D533&lt;&gt;"", IFERROR(INDEX('بنود العقد'!B$3:B$388,D533),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LB3</v>
      </c>
      <c r="F533" s="23" t="str">
        <f>IF(C533="استحداث بند جديد", "", IF(D533&lt;&gt;"", IFERROR(INDEX('بنود العقد'!D$3:D$388,D533), ""), ""))</f>
        <v>عدد</v>
      </c>
      <c r="G533" s="24">
        <f>IF(C533="استحداث بند جديد", "", IF(D533&lt;&gt;"", IFERROR(INDEX('بنود العقد'!E$3:E$388,D533), 0), ""))</f>
        <v>900</v>
      </c>
      <c r="H533" s="7">
        <v>-50</v>
      </c>
      <c r="I533" s="8">
        <v>0</v>
      </c>
      <c r="J533" s="10">
        <f t="shared" si="3"/>
        <v>-45000</v>
      </c>
      <c r="K533" s="76" t="str">
        <f>IF(C533="استحداث بند جديد", "", IF(D533&lt;&gt;"", IFERROR(INDEX('بنود العقد'!C$3:C$388,D533), ""), ""))</f>
        <v>كهرباء</v>
      </c>
      <c r="L533" s="76" t="str">
        <f>IF(C533="استحداث بند جديد", IF(K533&lt;&gt;"","CMH_01-"&amp;IFERROR(VLOOKUP(K533,مراجع!$A$3:$B$14,2,FALSE),"?")&amp;"-NEW-"&amp;TEXT(A533,"000"),""), IF(D533&lt;&gt;"", IFERROR(INDEX('بنود العقد'!I$3:I$388,D533), ""), ""))</f>
        <v>CMH_01-EE-290</v>
      </c>
      <c r="M533" s="19"/>
    </row>
    <row r="534" spans="1:13" s="76" customFormat="1" ht="28.2" customHeight="1">
      <c r="A534" s="12">
        <v>532</v>
      </c>
      <c r="B534" s="6">
        <v>5</v>
      </c>
      <c r="C534" s="6" t="s">
        <v>175</v>
      </c>
      <c r="D534" s="6">
        <v>291</v>
      </c>
      <c r="E534" s="22" t="str">
        <f>IF(C534="استحداث بند جديد", "", IF(D534&lt;&gt;"", IFERROR(INDEX('بنود العقد'!B$3:B$388,D534),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LB4</v>
      </c>
      <c r="F534" s="23" t="str">
        <f>IF(C534="استحداث بند جديد", "", IF(D534&lt;&gt;"", IFERROR(INDEX('بنود العقد'!D$3:D$388,D534), ""), ""))</f>
        <v>عدد</v>
      </c>
      <c r="G534" s="24">
        <f>IF(C534="استحداث بند جديد", "", IF(D534&lt;&gt;"", IFERROR(INDEX('بنود العقد'!E$3:E$388,D534), 0), ""))</f>
        <v>1104</v>
      </c>
      <c r="H534" s="7">
        <v>8</v>
      </c>
      <c r="I534" s="8">
        <v>0</v>
      </c>
      <c r="J534" s="10">
        <f t="shared" si="3"/>
        <v>8832</v>
      </c>
      <c r="K534" s="76" t="str">
        <f>IF(C534="استحداث بند جديد", "", IF(D534&lt;&gt;"", IFERROR(INDEX('بنود العقد'!C$3:C$388,D534), ""), ""))</f>
        <v>كهرباء</v>
      </c>
      <c r="L534" s="76" t="str">
        <f>IF(C534="استحداث بند جديد", IF(K534&lt;&gt;"","CMH_01-"&amp;IFERROR(VLOOKUP(K534,مراجع!$A$3:$B$14,2,FALSE),"?")&amp;"-NEW-"&amp;TEXT(A534,"000"),""), IF(D534&lt;&gt;"", IFERROR(INDEX('بنود العقد'!I$3:I$388,D534), ""), ""))</f>
        <v>CMH_01-EE-291</v>
      </c>
      <c r="M534" s="19"/>
    </row>
    <row r="535" spans="1:13" s="76" customFormat="1" ht="28.2" customHeight="1">
      <c r="A535" s="12">
        <v>533</v>
      </c>
      <c r="B535" s="6">
        <v>5</v>
      </c>
      <c r="C535" s="6" t="s">
        <v>250</v>
      </c>
      <c r="D535" s="6">
        <v>292</v>
      </c>
      <c r="E535" s="22" t="str">
        <f>IF(C535="استحداث بند جديد", "", IF(D535&lt;&gt;"", IFERROR(INDEX('بنود العقد'!B$3:B$388,D535), "⚠"), ""))</f>
        <v xml:space="preserve"> توريد وتركيب وتوصيل وإختبار وفحص اجهزة الإنارة ويشمل اللمبات وأقواس التركيب وحبال التعليق وعلبEMT أو PVC  وقطع الأكسسوار و ايضا نقاط الانارة متضمنة مواسير/أقنية قاسية عالية التحمل ذات أسلاك لاتقل عن 0.4 مم2 لنقطة الإنارة وتوصيل أطراف أسلاك التأريض،وكل الأعمال المساعدة كما.هو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LB5</v>
      </c>
      <c r="F535" s="23" t="str">
        <f>IF(C535="استحداث بند جديد", "", IF(D535&lt;&gt;"", IFERROR(INDEX('بنود العقد'!D$3:D$388,D535), ""), ""))</f>
        <v>م.ط</v>
      </c>
      <c r="G535" s="24">
        <f>IF(C535="استحداث بند جديد", "", IF(D535&lt;&gt;"", IFERROR(INDEX('بنود العقد'!E$3:E$388,D535), 0), ""))</f>
        <v>174</v>
      </c>
      <c r="H535" s="7">
        <v>-603.9</v>
      </c>
      <c r="I535" s="8">
        <v>0</v>
      </c>
      <c r="J535" s="10">
        <f t="shared" si="3"/>
        <v>-105078.59999999999</v>
      </c>
      <c r="K535" s="76" t="str">
        <f>IF(C535="استحداث بند جديد", "", IF(D535&lt;&gt;"", IFERROR(INDEX('بنود العقد'!C$3:C$388,D535), ""), ""))</f>
        <v>كهرباء</v>
      </c>
      <c r="L535" s="76" t="str">
        <f>IF(C535="استحداث بند جديد", IF(K535&lt;&gt;"","CMH_01-"&amp;IFERROR(VLOOKUP(K535,مراجع!$A$3:$B$14,2,FALSE),"?")&amp;"-NEW-"&amp;TEXT(A535,"000"),""), IF(D535&lt;&gt;"", IFERROR(INDEX('بنود العقد'!I$3:I$388,D535), ""), ""))</f>
        <v>CMH_01-EE-292</v>
      </c>
      <c r="M535" s="19"/>
    </row>
    <row r="536" spans="1:13" s="76" customFormat="1" ht="28.2" customHeight="1">
      <c r="A536" s="12">
        <v>534</v>
      </c>
      <c r="B536" s="6">
        <v>5</v>
      </c>
      <c r="C536" s="6" t="s">
        <v>250</v>
      </c>
      <c r="D536" s="6">
        <v>293</v>
      </c>
      <c r="E536" s="22" t="str">
        <f>IF(C536="استحداث بند جديد", "", IF(D536&lt;&gt;"", IFERROR(INDEX('بنود العقد'!B$3:B$388,D536),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LB6</v>
      </c>
      <c r="F536" s="23" t="str">
        <f>IF(C536="استحداث بند جديد", "", IF(D536&lt;&gt;"", IFERROR(INDEX('بنود العقد'!D$3:D$388,D536), ""), ""))</f>
        <v>م.ط</v>
      </c>
      <c r="G536" s="24">
        <f>IF(C536="استحداث بند جديد", "", IF(D536&lt;&gt;"", IFERROR(INDEX('بنود العقد'!E$3:E$388,D536), 0), ""))</f>
        <v>174</v>
      </c>
      <c r="H536" s="7">
        <v>-109.8</v>
      </c>
      <c r="I536" s="8">
        <v>0</v>
      </c>
      <c r="J536" s="10">
        <f t="shared" si="3"/>
        <v>-19105.2</v>
      </c>
      <c r="K536" s="76" t="str">
        <f>IF(C536="استحداث بند جديد", "", IF(D536&lt;&gt;"", IFERROR(INDEX('بنود العقد'!C$3:C$388,D536), ""), ""))</f>
        <v>كهرباء</v>
      </c>
      <c r="L536" s="76" t="str">
        <f>IF(C536="استحداث بند جديد", IF(K536&lt;&gt;"","CMH_01-"&amp;IFERROR(VLOOKUP(K536,مراجع!$A$3:$B$14,2,FALSE),"?")&amp;"-NEW-"&amp;TEXT(A536,"000"),""), IF(D536&lt;&gt;"", IFERROR(INDEX('بنود العقد'!I$3:I$388,D536), ""), ""))</f>
        <v>CMH_01-EE-293</v>
      </c>
      <c r="M536" s="19"/>
    </row>
    <row r="537" spans="1:13" s="76" customFormat="1" ht="28.2" customHeight="1">
      <c r="A537" s="12">
        <v>535</v>
      </c>
      <c r="B537" s="6">
        <v>5</v>
      </c>
      <c r="C537" s="6" t="s">
        <v>250</v>
      </c>
      <c r="D537" s="6">
        <v>294</v>
      </c>
      <c r="E537" s="22" t="str">
        <f>IF(C537="استحداث بند جديد", "", IF(D537&lt;&gt;"", IFERROR(INDEX('بنود العقد'!B$3:B$388,D537),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LB7</v>
      </c>
      <c r="F537" s="23" t="str">
        <f>IF(C537="استحداث بند جديد", "", IF(D537&lt;&gt;"", IFERROR(INDEX('بنود العقد'!D$3:D$388,D537), ""), ""))</f>
        <v>عدد</v>
      </c>
      <c r="G537" s="24">
        <f>IF(C537="استحداث بند جديد", "", IF(D537&lt;&gt;"", IFERROR(INDEX('بنود العقد'!E$3:E$388,D537), 0), ""))</f>
        <v>174</v>
      </c>
      <c r="H537" s="7">
        <v>-4</v>
      </c>
      <c r="I537" s="8">
        <v>0</v>
      </c>
      <c r="J537" s="10">
        <f t="shared" si="3"/>
        <v>-696</v>
      </c>
      <c r="K537" s="76" t="str">
        <f>IF(C537="استحداث بند جديد", "", IF(D537&lt;&gt;"", IFERROR(INDEX('بنود العقد'!C$3:C$388,D537), ""), ""))</f>
        <v>كهرباء</v>
      </c>
      <c r="L537" s="76" t="str">
        <f>IF(C537="استحداث بند جديد", IF(K537&lt;&gt;"","CMH_01-"&amp;IFERROR(VLOOKUP(K537,مراجع!$A$3:$B$14,2,FALSE),"?")&amp;"-NEW-"&amp;TEXT(A537,"000"),""), IF(D537&lt;&gt;"", IFERROR(INDEX('بنود العقد'!I$3:I$388,D537), ""), ""))</f>
        <v>CMH_01-EE-294</v>
      </c>
      <c r="M537" s="19"/>
    </row>
    <row r="538" spans="1:13" s="76" customFormat="1" ht="28.2" customHeight="1">
      <c r="A538" s="12">
        <v>536</v>
      </c>
      <c r="B538" s="6">
        <v>5</v>
      </c>
      <c r="C538" s="6" t="s">
        <v>175</v>
      </c>
      <c r="D538" s="6">
        <v>295</v>
      </c>
      <c r="E538" s="22" t="str">
        <f>IF(C538="استحداث بند جديد", "", IF(D538&lt;&gt;"", IFERROR(INDEX('بنود العقد'!B$3:B$388,D538),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ES-1</v>
      </c>
      <c r="F538" s="23" t="str">
        <f>IF(C538="استحداث بند جديد", "", IF(D538&lt;&gt;"", IFERROR(INDEX('بنود العقد'!D$3:D$388,D538), ""), ""))</f>
        <v>عدد</v>
      </c>
      <c r="G538" s="24">
        <f>IF(C538="استحداث بند جديد", "", IF(D538&lt;&gt;"", IFERROR(INDEX('بنود العقد'!E$3:E$388,D538), 0), ""))</f>
        <v>360</v>
      </c>
      <c r="H538" s="7">
        <v>22</v>
      </c>
      <c r="I538" s="8">
        <v>0</v>
      </c>
      <c r="J538" s="10">
        <f t="shared" si="3"/>
        <v>7920</v>
      </c>
      <c r="K538" s="76" t="str">
        <f>IF(C538="استحداث بند جديد", "", IF(D538&lt;&gt;"", IFERROR(INDEX('بنود العقد'!C$3:C$388,D538), ""), ""))</f>
        <v>كهرباء</v>
      </c>
      <c r="L538" s="76" t="str">
        <f>IF(C538="استحداث بند جديد", IF(K538&lt;&gt;"","CMH_01-"&amp;IFERROR(VLOOKUP(K538,مراجع!$A$3:$B$14,2,FALSE),"?")&amp;"-NEW-"&amp;TEXT(A538,"000"),""), IF(D538&lt;&gt;"", IFERROR(INDEX('بنود العقد'!I$3:I$388,D538), ""), ""))</f>
        <v>CMH_01-EE-295</v>
      </c>
      <c r="M538" s="19"/>
    </row>
    <row r="539" spans="1:13" s="76" customFormat="1" ht="28.2" customHeight="1">
      <c r="A539" s="12">
        <v>537</v>
      </c>
      <c r="B539" s="6">
        <v>5</v>
      </c>
      <c r="C539" s="6" t="s">
        <v>250</v>
      </c>
      <c r="D539" s="6">
        <v>298</v>
      </c>
      <c r="E539" s="22" t="str">
        <f>IF(C539="استحداث بند جديد", "", IF(D539&lt;&gt;"", IFERROR(INDEX('بنود العقد'!B$3:B$388,D539),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P1</v>
      </c>
      <c r="F539" s="23" t="str">
        <f>IF(C539="استحداث بند جديد", "", IF(D539&lt;&gt;"", IFERROR(INDEX('بنود العقد'!D$3:D$388,D539), ""), ""))</f>
        <v>عدد</v>
      </c>
      <c r="G539" s="24">
        <f>IF(C539="استحداث بند جديد", "", IF(D539&lt;&gt;"", IFERROR(INDEX('بنود العقد'!E$3:E$388,D539), 0), ""))</f>
        <v>420</v>
      </c>
      <c r="H539" s="7">
        <v>-8</v>
      </c>
      <c r="I539" s="8">
        <v>0</v>
      </c>
      <c r="J539" s="10">
        <f t="shared" si="3"/>
        <v>-3360</v>
      </c>
      <c r="K539" s="76" t="str">
        <f>IF(C539="استحداث بند جديد", "", IF(D539&lt;&gt;"", IFERROR(INDEX('بنود العقد'!C$3:C$388,D539), ""), ""))</f>
        <v>كهرباء</v>
      </c>
      <c r="L539" s="76" t="str">
        <f>IF(C539="استحداث بند جديد", IF(K539&lt;&gt;"","CMH_01-"&amp;IFERROR(VLOOKUP(K539,مراجع!$A$3:$B$14,2,FALSE),"?")&amp;"-NEW-"&amp;TEXT(A539,"000"),""), IF(D539&lt;&gt;"", IFERROR(INDEX('بنود العقد'!I$3:I$388,D539), ""), ""))</f>
        <v>CMH_01-EE-298</v>
      </c>
      <c r="M539" s="19"/>
    </row>
    <row r="540" spans="1:13" s="76" customFormat="1" ht="28.2" customHeight="1">
      <c r="A540" s="12">
        <v>538</v>
      </c>
      <c r="B540" s="6">
        <v>5</v>
      </c>
      <c r="C540" s="6" t="s">
        <v>250</v>
      </c>
      <c r="D540" s="6">
        <v>299</v>
      </c>
      <c r="E540" s="22" t="str">
        <f>IF(C540="استحداث بند جديد", "", IF(D540&lt;&gt;"", IFERROR(INDEX('بنود العقد'!B$3:B$388,D540),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T1</v>
      </c>
      <c r="F540" s="23" t="str">
        <f>IF(C540="استحداث بند جديد", "", IF(D540&lt;&gt;"", IFERROR(INDEX('بنود العقد'!D$3:D$388,D540), ""), ""))</f>
        <v>عدد</v>
      </c>
      <c r="G540" s="24">
        <f>IF(C540="استحداث بند جديد", "", IF(D540&lt;&gt;"", IFERROR(INDEX('بنود العقد'!E$3:E$388,D540), 0), ""))</f>
        <v>744</v>
      </c>
      <c r="H540" s="7">
        <v>-157</v>
      </c>
      <c r="I540" s="8">
        <v>0</v>
      </c>
      <c r="J540" s="10">
        <f t="shared" si="3"/>
        <v>-116808</v>
      </c>
      <c r="K540" s="76" t="str">
        <f>IF(C540="استحداث بند جديد", "", IF(D540&lt;&gt;"", IFERROR(INDEX('بنود العقد'!C$3:C$388,D540), ""), ""))</f>
        <v>كهرباء</v>
      </c>
      <c r="L540" s="76" t="str">
        <f>IF(C540="استحداث بند جديد", IF(K540&lt;&gt;"","CMH_01-"&amp;IFERROR(VLOOKUP(K540,مراجع!$A$3:$B$14,2,FALSE),"?")&amp;"-NEW-"&amp;TEXT(A540,"000"),""), IF(D540&lt;&gt;"", IFERROR(INDEX('بنود العقد'!I$3:I$388,D540), ""), ""))</f>
        <v>CMH_01-EE-299</v>
      </c>
      <c r="M540" s="19"/>
    </row>
    <row r="541" spans="1:13" s="76" customFormat="1" ht="28.2" customHeight="1">
      <c r="A541" s="12">
        <v>539</v>
      </c>
      <c r="B541" s="6">
        <v>5</v>
      </c>
      <c r="C541" s="6" t="s">
        <v>250</v>
      </c>
      <c r="D541" s="6">
        <v>302</v>
      </c>
      <c r="E541" s="22" t="str">
        <f>IF(C541="استحداث بند جديد", "", IF(D541&lt;&gt;"", IFERROR(INDEX('بنود العقد'!B$3:B$388,D541), "⚠"), ""))</f>
        <v>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CH-3</v>
      </c>
      <c r="F541" s="23" t="str">
        <f>IF(C541="استحداث بند جديد", "", IF(D541&lt;&gt;"", IFERROR(INDEX('بنود العقد'!D$3:D$388,D541), ""), ""))</f>
        <v>عدد</v>
      </c>
      <c r="G541" s="24">
        <f>IF(C541="استحداث بند جديد", "", IF(D541&lt;&gt;"", IFERROR(INDEX('بنود العقد'!E$3:E$388,D541), 0), ""))</f>
        <v>18000</v>
      </c>
      <c r="H541" s="7">
        <v>-1</v>
      </c>
      <c r="I541" s="8">
        <v>0</v>
      </c>
      <c r="J541" s="10">
        <f t="shared" si="3"/>
        <v>-18000</v>
      </c>
      <c r="K541" s="76" t="str">
        <f>IF(C541="استحداث بند جديد", "", IF(D541&lt;&gt;"", IFERROR(INDEX('بنود العقد'!C$3:C$388,D541), ""), ""))</f>
        <v>كهرباء</v>
      </c>
      <c r="L541" s="76" t="str">
        <f>IF(C541="استحداث بند جديد", IF(K541&lt;&gt;"","CMH_01-"&amp;IFERROR(VLOOKUP(K541,مراجع!$A$3:$B$14,2,FALSE),"?")&amp;"-NEW-"&amp;TEXT(A541,"000"),""), IF(D541&lt;&gt;"", IFERROR(INDEX('بنود العقد'!I$3:I$388,D541), ""), ""))</f>
        <v>CMH_01-EE-302</v>
      </c>
      <c r="M541" s="19"/>
    </row>
    <row r="542" spans="1:13" s="76" customFormat="1" ht="28.2" customHeight="1">
      <c r="A542" s="12">
        <v>540</v>
      </c>
      <c r="B542" s="6">
        <v>5</v>
      </c>
      <c r="C542" s="6" t="s">
        <v>250</v>
      </c>
      <c r="D542" s="6">
        <v>303</v>
      </c>
      <c r="E542" s="22" t="str">
        <f>IF(C542="استحداث بند جديد", "", IF(D542&lt;&gt;"", IFERROR(INDEX('بنود العقد'!B$3:B$388,D542),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مفتاح أحادي ، أحادي الكباّس، 10 أمبير</v>
      </c>
      <c r="F542" s="23" t="str">
        <f>IF(C542="استحداث بند جديد", "", IF(D542&lt;&gt;"", IFERROR(INDEX('بنود العقد'!D$3:D$388,D542), ""), ""))</f>
        <v>عدد</v>
      </c>
      <c r="G542" s="24">
        <f>IF(C542="استحداث بند جديد", "", IF(D542&lt;&gt;"", IFERROR(INDEX('بنود العقد'!E$3:E$388,D542), 0), ""))</f>
        <v>216</v>
      </c>
      <c r="H542" s="7">
        <v>-141</v>
      </c>
      <c r="I542" s="8">
        <v>0</v>
      </c>
      <c r="J542" s="10">
        <f t="shared" si="3"/>
        <v>-30456</v>
      </c>
      <c r="K542" s="76" t="str">
        <f>IF(C542="استحداث بند جديد", "", IF(D542&lt;&gt;"", IFERROR(INDEX('بنود العقد'!C$3:C$388,D542), ""), ""))</f>
        <v>كهرباء</v>
      </c>
      <c r="L542" s="76" t="str">
        <f>IF(C542="استحداث بند جديد", IF(K542&lt;&gt;"","CMH_01-"&amp;IFERROR(VLOOKUP(K542,مراجع!$A$3:$B$14,2,FALSE),"?")&amp;"-NEW-"&amp;TEXT(A542,"000"),""), IF(D542&lt;&gt;"", IFERROR(INDEX('بنود العقد'!I$3:I$388,D542), ""), ""))</f>
        <v>CMH_01-EE-303</v>
      </c>
      <c r="M542" s="19"/>
    </row>
    <row r="543" spans="1:13" s="76" customFormat="1" ht="28.2" customHeight="1">
      <c r="A543" s="12">
        <v>541</v>
      </c>
      <c r="B543" s="6">
        <v>5</v>
      </c>
      <c r="C543" s="6" t="s">
        <v>250</v>
      </c>
      <c r="D543" s="6">
        <v>304</v>
      </c>
      <c r="E543" s="22" t="str">
        <f>IF(C543="استحداث بند جديد", "", IF(D543&lt;&gt;"", IFERROR(INDEX('بنود العقد'!B$3:B$388,D543),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أحادي ، ثنائي الكباّس، 10 أمبير</v>
      </c>
      <c r="F543" s="23" t="str">
        <f>IF(C543="استحداث بند جديد", "", IF(D543&lt;&gt;"", IFERROR(INDEX('بنود العقد'!D$3:D$388,D543), ""), ""))</f>
        <v>عدد</v>
      </c>
      <c r="G543" s="24">
        <f>IF(C543="استحداث بند جديد", "", IF(D543&lt;&gt;"", IFERROR(INDEX('بنود العقد'!E$3:E$388,D543), 0), ""))</f>
        <v>216</v>
      </c>
      <c r="H543" s="7">
        <v>-95</v>
      </c>
      <c r="I543" s="8">
        <v>0</v>
      </c>
      <c r="J543" s="10">
        <f t="shared" si="3"/>
        <v>-20520</v>
      </c>
      <c r="K543" s="76" t="str">
        <f>IF(C543="استحداث بند جديد", "", IF(D543&lt;&gt;"", IFERROR(INDEX('بنود العقد'!C$3:C$388,D543), ""), ""))</f>
        <v>كهرباء</v>
      </c>
      <c r="L543" s="76" t="str">
        <f>IF(C543="استحداث بند جديد", IF(K543&lt;&gt;"","CMH_01-"&amp;IFERROR(VLOOKUP(K543,مراجع!$A$3:$B$14,2,FALSE),"?")&amp;"-NEW-"&amp;TEXT(A543,"000"),""), IF(D543&lt;&gt;"", IFERROR(INDEX('بنود العقد'!I$3:I$388,D543), ""), ""))</f>
        <v>CMH_01-EE-304</v>
      </c>
      <c r="M543" s="19"/>
    </row>
    <row r="544" spans="1:13" s="76" customFormat="1" ht="28.2" customHeight="1">
      <c r="A544" s="12">
        <v>542</v>
      </c>
      <c r="B544" s="6">
        <v>5</v>
      </c>
      <c r="C544" s="6" t="s">
        <v>175</v>
      </c>
      <c r="D544" s="6">
        <v>305</v>
      </c>
      <c r="E544" s="22" t="str">
        <f>IF(C544="استحداث بند جديد", "", IF(D544&lt;&gt;"", IFERROR(INDEX('بنود العقد'!B$3:B$388,D544),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ثلاثي ، ثلاثي الكباّس، 10 أمبير</v>
      </c>
      <c r="F544" s="23" t="str">
        <f>IF(C544="استحداث بند جديد", "", IF(D544&lt;&gt;"", IFERROR(INDEX('بنود العقد'!D$3:D$388,D544), ""), ""))</f>
        <v>عدد</v>
      </c>
      <c r="G544" s="24">
        <f>IF(C544="استحداث بند جديد", "", IF(D544&lt;&gt;"", IFERROR(INDEX('بنود العقد'!E$3:E$388,D544), 0), ""))</f>
        <v>120</v>
      </c>
      <c r="H544" s="7">
        <v>67</v>
      </c>
      <c r="I544" s="8">
        <v>0</v>
      </c>
      <c r="J544" s="10">
        <f t="shared" si="3"/>
        <v>8040</v>
      </c>
      <c r="K544" s="76" t="str">
        <f>IF(C544="استحداث بند جديد", "", IF(D544&lt;&gt;"", IFERROR(INDEX('بنود العقد'!C$3:C$388,D544), ""), ""))</f>
        <v>كهرباء</v>
      </c>
      <c r="L544" s="76" t="str">
        <f>IF(C544="استحداث بند جديد", IF(K544&lt;&gt;"","CMH_01-"&amp;IFERROR(VLOOKUP(K544,مراجع!$A$3:$B$14,2,FALSE),"?")&amp;"-NEW-"&amp;TEXT(A544,"000"),""), IF(D544&lt;&gt;"", IFERROR(INDEX('بنود العقد'!I$3:I$388,D544), ""), ""))</f>
        <v>CMH_01-EE-305</v>
      </c>
      <c r="M544" s="19"/>
    </row>
    <row r="545" spans="1:13" s="76" customFormat="1" ht="28.2" customHeight="1">
      <c r="A545" s="12">
        <v>543</v>
      </c>
      <c r="B545" s="6">
        <v>5</v>
      </c>
      <c r="C545" s="6" t="s">
        <v>250</v>
      </c>
      <c r="D545" s="6">
        <v>306</v>
      </c>
      <c r="E545" s="22" t="str">
        <f>IF(C545="استحداث بند جديد", "", IF(D545&lt;&gt;"", IFERROR(INDEX('بنود العقد'!B$3:B$388,D545), "⚠"), ""))</f>
        <v>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ثنائي ، ثنائي الكباّس، 10 أمبير</v>
      </c>
      <c r="F545" s="23" t="str">
        <f>IF(C545="استحداث بند جديد", "", IF(D545&lt;&gt;"", IFERROR(INDEX('بنود العقد'!D$3:D$388,D545), ""), ""))</f>
        <v>عدد</v>
      </c>
      <c r="G545" s="24">
        <f>IF(C545="استحداث بند جديد", "", IF(D545&lt;&gt;"", IFERROR(INDEX('بنود العقد'!E$3:E$388,D545), 0), ""))</f>
        <v>216</v>
      </c>
      <c r="H545" s="7">
        <v>-270</v>
      </c>
      <c r="I545" s="8">
        <v>0</v>
      </c>
      <c r="J545" s="10">
        <f t="shared" si="3"/>
        <v>-58320</v>
      </c>
      <c r="K545" s="76" t="str">
        <f>IF(C545="استحداث بند جديد", "", IF(D545&lt;&gt;"", IFERROR(INDEX('بنود العقد'!C$3:C$388,D545), ""), ""))</f>
        <v>كهرباء</v>
      </c>
      <c r="L545" s="76" t="str">
        <f>IF(C545="استحداث بند جديد", IF(K545&lt;&gt;"","CMH_01-"&amp;IFERROR(VLOOKUP(K545,مراجع!$A$3:$B$14,2,FALSE),"?")&amp;"-NEW-"&amp;TEXT(A545,"000"),""), IF(D545&lt;&gt;"", IFERROR(INDEX('بنود العقد'!I$3:I$388,D545), ""), ""))</f>
        <v>CMH_01-EE-306</v>
      </c>
      <c r="M545" s="19"/>
    </row>
    <row r="546" spans="1:13" s="76" customFormat="1" ht="28.2" customHeight="1">
      <c r="A546" s="12">
        <v>544</v>
      </c>
      <c r="B546" s="6">
        <v>5</v>
      </c>
      <c r="C546" s="6" t="s">
        <v>175</v>
      </c>
      <c r="D546" s="6">
        <v>307</v>
      </c>
      <c r="E546" s="22" t="str">
        <f>IF(C546="استحداث بند جديد", "", IF(D546&lt;&gt;"", IFERROR(INDEX('بنود العقد'!B$3:B$388,D546), "⚠"), ""))</f>
        <v xml:space="preserve"> توريد وتركيب وتوصيل وتجريب مفاتيح ذات أضواء دليلية وتشمل الماسورة والأسلاك حسب المبيّن على.المخططات و ذلك لسخانات المياه  وحسب المواصفات 20 Amp., 230 V, 1PH</v>
      </c>
      <c r="F546" s="23" t="str">
        <f>IF(C546="استحداث بند جديد", "", IF(D546&lt;&gt;"", IFERROR(INDEX('بنود العقد'!D$3:D$388,D546), ""), ""))</f>
        <v>عدد</v>
      </c>
      <c r="G546" s="24">
        <f>IF(C546="استحداث بند جديد", "", IF(D546&lt;&gt;"", IFERROR(INDEX('بنود العقد'!E$3:E$388,D546), 0), ""))</f>
        <v>300</v>
      </c>
      <c r="H546" s="7">
        <v>25</v>
      </c>
      <c r="I546" s="8">
        <v>0</v>
      </c>
      <c r="J546" s="10">
        <f t="shared" si="3"/>
        <v>7500</v>
      </c>
      <c r="K546" s="76" t="str">
        <f>IF(C546="استحداث بند جديد", "", IF(D546&lt;&gt;"", IFERROR(INDEX('بنود العقد'!C$3:C$388,D546), ""), ""))</f>
        <v>كهرباء</v>
      </c>
      <c r="L546" s="76" t="str">
        <f>IF(C546="استحداث بند جديد", IF(K546&lt;&gt;"","CMH_01-"&amp;IFERROR(VLOOKUP(K546,مراجع!$A$3:$B$14,2,FALSE),"?")&amp;"-NEW-"&amp;TEXT(A546,"000"),""), IF(D546&lt;&gt;"", IFERROR(INDEX('بنود العقد'!I$3:I$388,D546), ""), ""))</f>
        <v>CMH_01-EE-307</v>
      </c>
      <c r="M546" s="19"/>
    </row>
    <row r="547" spans="1:13" s="76" customFormat="1" ht="28.2" customHeight="1">
      <c r="A547" s="12">
        <v>545</v>
      </c>
      <c r="B547" s="6">
        <v>5</v>
      </c>
      <c r="C547" s="6" t="s">
        <v>175</v>
      </c>
      <c r="D547" s="6">
        <v>309</v>
      </c>
      <c r="E547" s="22" t="str">
        <f>IF(C547="استحداث بند جديد", "", IF(D547&lt;&gt;"", IFERROR(INDEX('بنود العقد'!B$3:B$388,D547), "⚠"), ""))</f>
        <v xml:space="preserve"> كاشف انذار دخان من النوع المعنون طبقا للمخططات  ومواصفات المشروع</v>
      </c>
      <c r="F547" s="23" t="str">
        <f>IF(C547="استحداث بند جديد", "", IF(D547&lt;&gt;"", IFERROR(INDEX('بنود العقد'!D$3:D$388,D547), ""), ""))</f>
        <v>عدد</v>
      </c>
      <c r="G547" s="24">
        <f>IF(C547="استحداث بند جديد", "", IF(D547&lt;&gt;"", IFERROR(INDEX('بنود العقد'!E$3:E$388,D547), 0), ""))</f>
        <v>276</v>
      </c>
      <c r="H547" s="7">
        <v>174</v>
      </c>
      <c r="I547" s="8">
        <v>0</v>
      </c>
      <c r="J547" s="10">
        <f t="shared" si="3"/>
        <v>48024</v>
      </c>
      <c r="K547" s="76" t="str">
        <f>IF(C547="استحداث بند جديد", "", IF(D547&lt;&gt;"", IFERROR(INDEX('بنود العقد'!C$3:C$388,D547), ""), ""))</f>
        <v>كهرباء</v>
      </c>
      <c r="L547" s="76" t="str">
        <f>IF(C547="استحداث بند جديد", IF(K547&lt;&gt;"","CMH_01-"&amp;IFERROR(VLOOKUP(K547,مراجع!$A$3:$B$14,2,FALSE),"?")&amp;"-NEW-"&amp;TEXT(A547,"000"),""), IF(D547&lt;&gt;"", IFERROR(INDEX('بنود العقد'!I$3:I$388,D547), ""), ""))</f>
        <v>CMH_01-EE-309</v>
      </c>
      <c r="M547" s="19"/>
    </row>
    <row r="548" spans="1:13" s="76" customFormat="1" ht="28.2" customHeight="1">
      <c r="A548" s="12">
        <v>546</v>
      </c>
      <c r="B548" s="6">
        <v>5</v>
      </c>
      <c r="C548" s="6" t="s">
        <v>250</v>
      </c>
      <c r="D548" s="6">
        <v>310</v>
      </c>
      <c r="E548" s="22" t="str">
        <f>IF(C548="استحداث بند جديد", "", IF(D548&lt;&gt;"", IFERROR(INDEX('بنود العقد'!B$3:B$388,D548), "⚠"), ""))</f>
        <v>كاشف إنذار حراري من النوع المعنون طبقا للمخططات  ومواصفات المشروع</v>
      </c>
      <c r="F548" s="23" t="str">
        <f>IF(C548="استحداث بند جديد", "", IF(D548&lt;&gt;"", IFERROR(INDEX('بنود العقد'!D$3:D$388,D548), ""), ""))</f>
        <v>عدد</v>
      </c>
      <c r="G548" s="24">
        <f>IF(C548="استحداث بند جديد", "", IF(D548&lt;&gt;"", IFERROR(INDEX('بنود العقد'!E$3:E$388,D548), 0), ""))</f>
        <v>300</v>
      </c>
      <c r="H548" s="7">
        <v>-1</v>
      </c>
      <c r="I548" s="8">
        <v>0</v>
      </c>
      <c r="J548" s="10">
        <f t="shared" si="3"/>
        <v>-300</v>
      </c>
      <c r="K548" s="76" t="str">
        <f>IF(C548="استحداث بند جديد", "", IF(D548&lt;&gt;"", IFERROR(INDEX('بنود العقد'!C$3:C$388,D548), ""), ""))</f>
        <v>كهرباء</v>
      </c>
      <c r="L548" s="76" t="str">
        <f>IF(C548="استحداث بند جديد", IF(K548&lt;&gt;"","CMH_01-"&amp;IFERROR(VLOOKUP(K548,مراجع!$A$3:$B$14,2,FALSE),"?")&amp;"-NEW-"&amp;TEXT(A548,"000"),""), IF(D548&lt;&gt;"", IFERROR(INDEX('بنود العقد'!I$3:I$388,D548), ""), ""))</f>
        <v>CMH_01-EE-310</v>
      </c>
      <c r="M548" s="19"/>
    </row>
    <row r="549" spans="1:13" s="76" customFormat="1" ht="28.2" customHeight="1">
      <c r="A549" s="12">
        <v>547</v>
      </c>
      <c r="B549" s="6">
        <v>5</v>
      </c>
      <c r="C549" s="6" t="s">
        <v>175</v>
      </c>
      <c r="D549" s="6">
        <v>311</v>
      </c>
      <c r="E549" s="22" t="str">
        <f>IF(C549="استحداث بند جديد", "", IF(D549&lt;&gt;"", IFERROR(INDEX('بنود العقد'!B$3:B$388,D549), "⚠"), ""))</f>
        <v xml:space="preserve"> وحدة إنذار حريق يدوية من النوع المعنون طبقا للمخططات  ومواصفات المشروع</v>
      </c>
      <c r="F549" s="23" t="str">
        <f>IF(C549="استحداث بند جديد", "", IF(D549&lt;&gt;"", IFERROR(INDEX('بنود العقد'!D$3:D$388,D549), ""), ""))</f>
        <v>عدد</v>
      </c>
      <c r="G549" s="24">
        <f>IF(C549="استحداث بند جديد", "", IF(D549&lt;&gt;"", IFERROR(INDEX('بنود العقد'!E$3:E$388,D549), 0), ""))</f>
        <v>384</v>
      </c>
      <c r="H549" s="7">
        <v>4</v>
      </c>
      <c r="I549" s="8">
        <v>0</v>
      </c>
      <c r="J549" s="10">
        <f t="shared" si="3"/>
        <v>1536</v>
      </c>
      <c r="K549" s="76" t="str">
        <f>IF(C549="استحداث بند جديد", "", IF(D549&lt;&gt;"", IFERROR(INDEX('بنود العقد'!C$3:C$388,D549), ""), ""))</f>
        <v>كهرباء</v>
      </c>
      <c r="L549" s="76" t="str">
        <f>IF(C549="استحداث بند جديد", IF(K549&lt;&gt;"","CMH_01-"&amp;IFERROR(VLOOKUP(K549,مراجع!$A$3:$B$14,2,FALSE),"?")&amp;"-NEW-"&amp;TEXT(A549,"000"),""), IF(D549&lt;&gt;"", IFERROR(INDEX('بنود العقد'!I$3:I$388,D549), ""), ""))</f>
        <v>CMH_01-EE-311</v>
      </c>
      <c r="M549" s="19"/>
    </row>
    <row r="550" spans="1:13" s="76" customFormat="1" ht="28.2" customHeight="1">
      <c r="A550" s="12">
        <v>548</v>
      </c>
      <c r="B550" s="6">
        <v>5</v>
      </c>
      <c r="C550" s="6" t="s">
        <v>175</v>
      </c>
      <c r="D550" s="6">
        <v>313</v>
      </c>
      <c r="E550" s="22" t="str">
        <f>IF(C550="استحداث بند جديد", "", IF(D550&lt;&gt;"", IFERROR(INDEX('بنود العقد'!B$3:B$388,D550), "⚠"), ""))</f>
        <v>وحدة تحكم  )Control module( من النوع المعنون طبقا للمخططات  ومواصفات المشروع</v>
      </c>
      <c r="F550" s="23" t="str">
        <f>IF(C550="استحداث بند جديد", "", IF(D550&lt;&gt;"", IFERROR(INDEX('بنود العقد'!D$3:D$388,D550), ""), ""))</f>
        <v>عدد</v>
      </c>
      <c r="G550" s="24">
        <f>IF(C550="استحداث بند جديد", "", IF(D550&lt;&gt;"", IFERROR(INDEX('بنود العقد'!E$3:E$388,D550), 0), ""))</f>
        <v>420</v>
      </c>
      <c r="H550" s="7">
        <v>149</v>
      </c>
      <c r="I550" s="8">
        <v>0</v>
      </c>
      <c r="J550" s="10">
        <f t="shared" si="3"/>
        <v>62580</v>
      </c>
      <c r="K550" s="76" t="str">
        <f>IF(C550="استحداث بند جديد", "", IF(D550&lt;&gt;"", IFERROR(INDEX('بنود العقد'!C$3:C$388,D550), ""), ""))</f>
        <v>كهرباء</v>
      </c>
      <c r="L550" s="76" t="str">
        <f>IF(C550="استحداث بند جديد", IF(K550&lt;&gt;"","CMH_01-"&amp;IFERROR(VLOOKUP(K550,مراجع!$A$3:$B$14,2,FALSE),"?")&amp;"-NEW-"&amp;TEXT(A550,"000"),""), IF(D550&lt;&gt;"", IFERROR(INDEX('بنود العقد'!I$3:I$388,D550), ""), ""))</f>
        <v>CMH_01-EE-313</v>
      </c>
      <c r="M550" s="19"/>
    </row>
    <row r="551" spans="1:13" s="76" customFormat="1" ht="28.2" customHeight="1">
      <c r="A551" s="12">
        <v>549</v>
      </c>
      <c r="B551" s="6">
        <v>5</v>
      </c>
      <c r="C551" s="6" t="s">
        <v>175</v>
      </c>
      <c r="D551" s="6">
        <v>314</v>
      </c>
      <c r="E551" s="22" t="str">
        <f>IF(C551="استحداث بند جديد", "", IF(D551&lt;&gt;"", IFERROR(INDEX('بنود العقد'!B$3:B$388,D551), "⚠"), ""))</f>
        <v>وحدة جرس إنذار حريق داخلى طبقا للمخططات  ومواصفات المشروع</v>
      </c>
      <c r="F551" s="23" t="str">
        <f>IF(C551="استحداث بند جديد", "", IF(D551&lt;&gt;"", IFERROR(INDEX('بنود العقد'!D$3:D$388,D551), ""), ""))</f>
        <v>عدد</v>
      </c>
      <c r="G551" s="24">
        <f>IF(C551="استحداث بند جديد", "", IF(D551&lt;&gt;"", IFERROR(INDEX('بنود العقد'!E$3:E$388,D551), 0), ""))</f>
        <v>576</v>
      </c>
      <c r="H551" s="7">
        <v>22</v>
      </c>
      <c r="I551" s="8">
        <v>0</v>
      </c>
      <c r="J551" s="10">
        <f t="shared" si="3"/>
        <v>12672</v>
      </c>
      <c r="K551" s="76" t="str">
        <f>IF(C551="استحداث بند جديد", "", IF(D551&lt;&gt;"", IFERROR(INDEX('بنود العقد'!C$3:C$388,D551), ""), ""))</f>
        <v>كهرباء</v>
      </c>
      <c r="L551" s="76" t="str">
        <f>IF(C551="استحداث بند جديد", IF(K551&lt;&gt;"","CMH_01-"&amp;IFERROR(VLOOKUP(K551,مراجع!$A$3:$B$14,2,FALSE),"?")&amp;"-NEW-"&amp;TEXT(A551,"000"),""), IF(D551&lt;&gt;"", IFERROR(INDEX('بنود العقد'!I$3:I$388,D551), ""), ""))</f>
        <v>CMH_01-EE-314</v>
      </c>
      <c r="M551" s="19"/>
    </row>
    <row r="552" spans="1:13" s="76" customFormat="1" ht="28.2" customHeight="1">
      <c r="A552" s="12">
        <v>550</v>
      </c>
      <c r="B552" s="6">
        <v>5</v>
      </c>
      <c r="C552" s="6" t="s">
        <v>250</v>
      </c>
      <c r="D552" s="6">
        <v>315</v>
      </c>
      <c r="E552" s="22" t="str">
        <f>IF(C552="استحداث بند جديد", "", IF(D552&lt;&gt;"", IFERROR(INDEX('بنود العقد'!B$3:B$388,D552), "⚠"), ""))</f>
        <v>وحدة هاتف رجل الاطفاء حريق داخلى )fireman telephone Jack ( طبقا للمخططات  ومواصفات المشروع</v>
      </c>
      <c r="F552" s="23" t="str">
        <f>IF(C552="استحداث بند جديد", "", IF(D552&lt;&gt;"", IFERROR(INDEX('بنود العقد'!D$3:D$388,D552), ""), ""))</f>
        <v>عدد</v>
      </c>
      <c r="G552" s="24">
        <f>IF(C552="استحداث بند جديد", "", IF(D552&lt;&gt;"", IFERROR(INDEX('بنود العقد'!E$3:E$388,D552), 0), ""))</f>
        <v>960</v>
      </c>
      <c r="H552" s="7">
        <v>-19</v>
      </c>
      <c r="I552" s="8">
        <v>0</v>
      </c>
      <c r="J552" s="10">
        <f t="shared" si="3"/>
        <v>-18240</v>
      </c>
      <c r="K552" s="76" t="str">
        <f>IF(C552="استحداث بند جديد", "", IF(D552&lt;&gt;"", IFERROR(INDEX('بنود العقد'!C$3:C$388,D552), ""), ""))</f>
        <v>كهرباء</v>
      </c>
      <c r="L552" s="76" t="str">
        <f>IF(C552="استحداث بند جديد", IF(K552&lt;&gt;"","CMH_01-"&amp;IFERROR(VLOOKUP(K552,مراجع!$A$3:$B$14,2,FALSE),"?")&amp;"-NEW-"&amp;TEXT(A552,"000"),""), IF(D552&lt;&gt;"", IFERROR(INDEX('بنود العقد'!I$3:I$388,D552), ""), ""))</f>
        <v>CMH_01-EE-315</v>
      </c>
      <c r="M552" s="19"/>
    </row>
    <row r="553" spans="1:13" s="76" customFormat="1" ht="28.2" customHeight="1">
      <c r="A553" s="12">
        <v>551</v>
      </c>
      <c r="B553" s="6">
        <v>5</v>
      </c>
      <c r="C553" s="6" t="s">
        <v>250</v>
      </c>
      <c r="D553" s="6">
        <v>316</v>
      </c>
      <c r="E553" s="22" t="str">
        <f>IF(C553="استحداث بند جديد", "", IF(D553&lt;&gt;"", IFERROR(INDEX('بنود العقد'!B$3:B$388,D553), "⚠"), ""))</f>
        <v>وحدات لاسلكية لتوفير خدمة شبكة المعلومات )Wireless Access Points(</v>
      </c>
      <c r="F553" s="23" t="str">
        <f>IF(C553="استحداث بند جديد", "", IF(D553&lt;&gt;"", IFERROR(INDEX('بنود العقد'!D$3:D$388,D553), ""), ""))</f>
        <v>عدد</v>
      </c>
      <c r="G553" s="24">
        <f>IF(C553="استحداث بند جديد", "", IF(D553&lt;&gt;"", IFERROR(INDEX('بنود العقد'!E$3:E$388,D553), 0), ""))</f>
        <v>1080</v>
      </c>
      <c r="H553" s="7">
        <v>-6</v>
      </c>
      <c r="I553" s="8">
        <v>0</v>
      </c>
      <c r="J553" s="10">
        <f t="shared" si="3"/>
        <v>-6480</v>
      </c>
      <c r="K553" s="76" t="str">
        <f>IF(C553="استحداث بند جديد", "", IF(D553&lt;&gt;"", IFERROR(INDEX('بنود العقد'!C$3:C$388,D553), ""), ""))</f>
        <v>كهرباء</v>
      </c>
      <c r="L553" s="76" t="str">
        <f>IF(C553="استحداث بند جديد", IF(K553&lt;&gt;"","CMH_01-"&amp;IFERROR(VLOOKUP(K553,مراجع!$A$3:$B$14,2,FALSE),"?")&amp;"-NEW-"&amp;TEXT(A553,"000"),""), IF(D553&lt;&gt;"", IFERROR(INDEX('بنود العقد'!I$3:I$388,D553), ""), ""))</f>
        <v>CMH_01-EE-316</v>
      </c>
      <c r="M553" s="19"/>
    </row>
    <row r="554" spans="1:13" s="76" customFormat="1" ht="28.2" customHeight="1">
      <c r="A554" s="12">
        <v>552</v>
      </c>
      <c r="B554" s="6">
        <v>5</v>
      </c>
      <c r="C554" s="6" t="s">
        <v>250</v>
      </c>
      <c r="D554" s="6">
        <v>317</v>
      </c>
      <c r="E554" s="22" t="str">
        <f>IF(C554="استحداث بند جديد", "", IF(D554&lt;&gt;"", IFERROR(INDEX('بنود العقد'!B$3:B$388,D554), "⚠"), ""))</f>
        <v>عن طريق مقاول متخصص ذو خبرة كبيرة في هذا المجال ويقدم للاعتماد من إدارة الـ IT بالوزارة و يربط النظام مع الانظمة المعنية بالتحكم و الموازنة و يشمل البند جميع الوصلات و الكابلات و غيرها من المتطلبات الخاصة بنهو النظام كاملا توريد وتركيب واختبارنقاط كاميرا مراقبة داخلية سقفية و جميع ما يلزم من توصيلات و تركيبات و خلافة  لنهو النظام .</v>
      </c>
      <c r="F554" s="23" t="str">
        <f>IF(C554="استحداث بند جديد", "", IF(D554&lt;&gt;"", IFERROR(INDEX('بنود العقد'!D$3:D$388,D554), ""), ""))</f>
        <v>عدد</v>
      </c>
      <c r="G554" s="24">
        <f>IF(C554="استحداث بند جديد", "", IF(D554&lt;&gt;"", IFERROR(INDEX('بنود العقد'!E$3:E$388,D554), 0), ""))</f>
        <v>2640</v>
      </c>
      <c r="H554" s="7">
        <v>-3</v>
      </c>
      <c r="I554" s="8">
        <v>0</v>
      </c>
      <c r="J554" s="10">
        <f t="shared" si="3"/>
        <v>-7920</v>
      </c>
      <c r="K554" s="76" t="str">
        <f>IF(C554="استحداث بند جديد", "", IF(D554&lt;&gt;"", IFERROR(INDEX('بنود العقد'!C$3:C$388,D554), ""), ""))</f>
        <v>كهرباء</v>
      </c>
      <c r="L554" s="76" t="str">
        <f>IF(C554="استحداث بند جديد", IF(K554&lt;&gt;"","CMH_01-"&amp;IFERROR(VLOOKUP(K554,مراجع!$A$3:$B$14,2,FALSE),"?")&amp;"-NEW-"&amp;TEXT(A554,"000"),""), IF(D554&lt;&gt;"", IFERROR(INDEX('بنود العقد'!I$3:I$388,D554), ""), ""))</f>
        <v>CMH_01-EE-317</v>
      </c>
      <c r="M554" s="19"/>
    </row>
    <row r="555" spans="1:13" s="76" customFormat="1" ht="28.2" customHeight="1">
      <c r="A555" s="12">
        <v>553</v>
      </c>
      <c r="B555" s="6">
        <v>5</v>
      </c>
      <c r="C555" s="6" t="s">
        <v>175</v>
      </c>
      <c r="D555" s="6">
        <v>318</v>
      </c>
      <c r="E555" s="22" t="str">
        <f>IF(C555="استحداث بند جديد", "", IF(D555&lt;&gt;"", IFERROR(INDEX('بنود العقد'!B$3:B$388,D555), "⚠"), ""))</f>
        <v>توريد وتركيب واختبار نظام التحكم فى الدخول بروتوكول IP  مع البرامج الخاصة بنظام التحكم بتقنية dual RFID integration ، مع المواسير والكابلات وكل الملحقات لضمان عمل النظام على الوجه الاكمل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لوحة التحكم الرئيسية فى الابواب )IASC( ذات دارة خرج  )poE - ( IP</v>
      </c>
      <c r="F555" s="23" t="str">
        <f>IF(C555="استحداث بند جديد", "", IF(D555&lt;&gt;"", IFERROR(INDEX('بنود العقد'!D$3:D$388,D555), ""), ""))</f>
        <v>عدد</v>
      </c>
      <c r="G555" s="24">
        <f>IF(C555="استحداث بند جديد", "", IF(D555&lt;&gt;"", IFERROR(INDEX('بنود العقد'!E$3:E$388,D555), 0), ""))</f>
        <v>2904</v>
      </c>
      <c r="H555" s="7">
        <v>12</v>
      </c>
      <c r="I555" s="8">
        <v>0</v>
      </c>
      <c r="J555" s="10">
        <f t="shared" si="3"/>
        <v>34848</v>
      </c>
      <c r="K555" s="76" t="str">
        <f>IF(C555="استحداث بند جديد", "", IF(D555&lt;&gt;"", IFERROR(INDEX('بنود العقد'!C$3:C$388,D555), ""), ""))</f>
        <v>كهرباء</v>
      </c>
      <c r="L555" s="76" t="str">
        <f>IF(C555="استحداث بند جديد", IF(K555&lt;&gt;"","CMH_01-"&amp;IFERROR(VLOOKUP(K555,مراجع!$A$3:$B$14,2,FALSE),"?")&amp;"-NEW-"&amp;TEXT(A555,"000"),""), IF(D555&lt;&gt;"", IFERROR(INDEX('بنود العقد'!I$3:I$388,D555), ""), ""))</f>
        <v>CMH_01-EE-318</v>
      </c>
      <c r="M555" s="19"/>
    </row>
    <row r="556" spans="1:13" s="76" customFormat="1" ht="28.2" customHeight="1">
      <c r="A556" s="12">
        <v>554</v>
      </c>
      <c r="B556" s="6">
        <v>5</v>
      </c>
      <c r="C556" s="6" t="s">
        <v>175</v>
      </c>
      <c r="D556" s="6">
        <v>320</v>
      </c>
      <c r="E556" s="22" t="str">
        <f>IF(C556="استحداث بند جديد", "", IF(D556&lt;&gt;"", IFERROR(INDEX('بنود العقد'!B$3:B$388,D556), "⚠"),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بطاقات تعريف ذكية</v>
      </c>
      <c r="F556" s="23" t="str">
        <f>IF(C556="استحداث بند جديد", "", IF(D556&lt;&gt;"", IFERROR(INDEX('بنود العقد'!D$3:D$388,D556), ""), ""))</f>
        <v>عدد</v>
      </c>
      <c r="G556" s="24">
        <f>IF(C556="استحداث بند جديد", "", IF(D556&lt;&gt;"", IFERROR(INDEX('بنود العقد'!E$3:E$388,D556), 0), ""))</f>
        <v>72</v>
      </c>
      <c r="H556" s="7">
        <v>8</v>
      </c>
      <c r="I556" s="8">
        <v>0</v>
      </c>
      <c r="J556" s="10">
        <f t="shared" si="3"/>
        <v>576</v>
      </c>
      <c r="K556" s="76" t="str">
        <f>IF(C556="استحداث بند جديد", "", IF(D556&lt;&gt;"", IFERROR(INDEX('بنود العقد'!C$3:C$388,D556), ""), ""))</f>
        <v>كهرباء</v>
      </c>
      <c r="L556" s="76" t="str">
        <f>IF(C556="استحداث بند جديد", IF(K556&lt;&gt;"","CMH_01-"&amp;IFERROR(VLOOKUP(K556,مراجع!$A$3:$B$14,2,FALSE),"?")&amp;"-NEW-"&amp;TEXT(A556,"000"),""), IF(D556&lt;&gt;"", IFERROR(INDEX('بنود العقد'!I$3:I$388,D556), ""), ""))</f>
        <v>CMH_01-EE-320</v>
      </c>
      <c r="M556" s="19"/>
    </row>
    <row r="557" spans="1:13" s="76" customFormat="1" ht="28.2" customHeight="1">
      <c r="A557" s="12">
        <v>555</v>
      </c>
      <c r="B557" s="6">
        <v>5</v>
      </c>
      <c r="C557" s="6" t="s">
        <v>175</v>
      </c>
      <c r="D557" s="6">
        <v>322</v>
      </c>
      <c r="E557" s="22" t="str">
        <f>IF(C557="استحداث بند جديد", "", IF(D557&lt;&gt;"", IFERROR(INDEX('بنود العقد'!B$3:B$388,D557), "⚠"),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قفل كهربائى لبابين      locks( door magnetic )Electro</v>
      </c>
      <c r="F557" s="23" t="str">
        <f>IF(C557="استحداث بند جديد", "", IF(D557&lt;&gt;"", IFERROR(INDEX('بنود العقد'!D$3:D$388,D557), ""), ""))</f>
        <v>عدد</v>
      </c>
      <c r="G557" s="24">
        <f>IF(C557="استحداث بند جديد", "", IF(D557&lt;&gt;"", IFERROR(INDEX('بنود العقد'!E$3:E$388,D557), 0), ""))</f>
        <v>1380</v>
      </c>
      <c r="H557" s="7">
        <v>8</v>
      </c>
      <c r="I557" s="8">
        <v>0</v>
      </c>
      <c r="J557" s="10">
        <f t="shared" si="3"/>
        <v>11040</v>
      </c>
      <c r="K557" s="76" t="str">
        <f>IF(C557="استحداث بند جديد", "", IF(D557&lt;&gt;"", IFERROR(INDEX('بنود العقد'!C$3:C$388,D557), ""), ""))</f>
        <v>كهرباء</v>
      </c>
      <c r="L557" s="76" t="str">
        <f>IF(C557="استحداث بند جديد", IF(K557&lt;&gt;"","CMH_01-"&amp;IFERROR(VLOOKUP(K557,مراجع!$A$3:$B$14,2,FALSE),"?")&amp;"-NEW-"&amp;TEXT(A557,"000"),""), IF(D557&lt;&gt;"", IFERROR(INDEX('بنود العقد'!I$3:I$388,D557), ""), ""))</f>
        <v>CMH_01-EE-322</v>
      </c>
      <c r="M557" s="19"/>
    </row>
    <row r="558" spans="1:13" s="76" customFormat="1" ht="28.2" customHeight="1">
      <c r="A558" s="12">
        <v>556</v>
      </c>
      <c r="B558" s="6">
        <v>5</v>
      </c>
      <c r="C558" s="6" t="s">
        <v>175</v>
      </c>
      <c r="D558" s="6">
        <v>323</v>
      </c>
      <c r="E558" s="22" t="str">
        <f>IF(C558="استحداث بند جديد", "", IF(D558&lt;&gt;"", IFERROR(INDEX('بنود العقد'!B$3:B$388,D558), "⚠"), ""))</f>
        <v>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زر خروج من النوع button( )Push</v>
      </c>
      <c r="F558" s="23" t="str">
        <f>IF(C558="استحداث بند جديد", "", IF(D558&lt;&gt;"", IFERROR(INDEX('بنود العقد'!D$3:D$388,D558), ""), ""))</f>
        <v>عدد</v>
      </c>
      <c r="G558" s="24">
        <f>IF(C558="استحداث بند جديد", "", IF(D558&lt;&gt;"", IFERROR(INDEX('بنود العقد'!E$3:E$388,D558), 0), ""))</f>
        <v>606</v>
      </c>
      <c r="H558" s="7">
        <v>15</v>
      </c>
      <c r="I558" s="8">
        <v>0</v>
      </c>
      <c r="J558" s="10">
        <f t="shared" si="3"/>
        <v>9090</v>
      </c>
      <c r="K558" s="76" t="str">
        <f>IF(C558="استحداث بند جديد", "", IF(D558&lt;&gt;"", IFERROR(INDEX('بنود العقد'!C$3:C$388,D558), ""), ""))</f>
        <v>كهرباء</v>
      </c>
      <c r="L558" s="76" t="str">
        <f>IF(C558="استحداث بند جديد", IF(K558&lt;&gt;"","CMH_01-"&amp;IFERROR(VLOOKUP(K558,مراجع!$A$3:$B$14,2,FALSE),"?")&amp;"-NEW-"&amp;TEXT(A558,"000"),""), IF(D558&lt;&gt;"", IFERROR(INDEX('بنود العقد'!I$3:I$388,D558), ""), ""))</f>
        <v>CMH_01-EE-323</v>
      </c>
      <c r="M558" s="19"/>
    </row>
    <row r="559" spans="1:13" s="76" customFormat="1" ht="28.2" customHeight="1">
      <c r="A559" s="12">
        <v>557</v>
      </c>
      <c r="B559" s="6">
        <v>5</v>
      </c>
      <c r="C559" s="6" t="s">
        <v>250</v>
      </c>
      <c r="D559" s="6">
        <v>324</v>
      </c>
      <c r="E559" s="22" t="str">
        <f>IF(C559="استحداث بند جديد", "", IF(D559&lt;&gt;"", IFERROR(INDEX('بنود العقد'!B$3:B$388,D559), "⚠"), ""))</f>
        <v xml:space="preserve">توريد وتركيب وإختبار نظام النداء الصوتي العام يتضمن كافة الكابالت و المواسير و العلب و النهايات مع كامل اكسسوارات التركيب الالزمة وتشغيل تجهيزات الصوت و تركيب المعدات الرئيسية بغرفة التحكم حسب المخططات و المواصفات وتعليمات الشركة المصنعة مشتمال على كل ما يلزم التمام العمل
و ربطه مع نظام الحريق و ادارة المبنى و يتكون من االتي -:
سماعة سقفية 6 وات
</v>
      </c>
      <c r="F559" s="23" t="str">
        <f>IF(C559="استحداث بند جديد", "", IF(D559&lt;&gt;"", IFERROR(INDEX('بنود العقد'!D$3:D$388,D559), ""), ""))</f>
        <v>عدد</v>
      </c>
      <c r="G559" s="24">
        <f>IF(C559="استحداث بند جديد", "", IF(D559&lt;&gt;"", IFERROR(INDEX('بنود العقد'!E$3:E$388,D559), 0), ""))</f>
        <v>420</v>
      </c>
      <c r="H559" s="7">
        <v>-59</v>
      </c>
      <c r="I559" s="8">
        <v>0</v>
      </c>
      <c r="J559" s="10">
        <f t="shared" si="3"/>
        <v>-24780</v>
      </c>
      <c r="K559" s="76" t="str">
        <f>IF(C559="استحداث بند جديد", "", IF(D559&lt;&gt;"", IFERROR(INDEX('بنود العقد'!C$3:C$388,D559), ""), ""))</f>
        <v>كهرباء</v>
      </c>
      <c r="L559" s="76" t="str">
        <f>IF(C559="استحداث بند جديد", IF(K559&lt;&gt;"","CMH_01-"&amp;IFERROR(VLOOKUP(K559,مراجع!$A$3:$B$14,2,FALSE),"?")&amp;"-NEW-"&amp;TEXT(A559,"000"),""), IF(D559&lt;&gt;"", IFERROR(INDEX('بنود العقد'!I$3:I$388,D559), ""), ""))</f>
        <v>CMH_01-EE-324</v>
      </c>
      <c r="M559" s="19"/>
    </row>
    <row r="560" spans="1:13" s="76" customFormat="1" ht="28.2" customHeight="1">
      <c r="A560" s="12">
        <v>558</v>
      </c>
      <c r="B560" s="6">
        <v>5</v>
      </c>
      <c r="C560" s="6" t="s">
        <v>175</v>
      </c>
      <c r="D560" s="6">
        <v>327</v>
      </c>
      <c r="E560" s="22" t="str">
        <f>IF(C560="استحداث بند جديد", "", IF(D560&lt;&gt;"", IFERROR(INDEX('بنود العقد'!B$3:B$388,D560), "⚠"), ""))</f>
        <v xml:space="preserve">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فردي حائطي مزود بعدد واحد مأخذ RJ-45
</v>
      </c>
      <c r="F560" s="23" t="str">
        <f>IF(C560="استحداث بند جديد", "", IF(D560&lt;&gt;"", IFERROR(INDEX('بنود العقد'!D$3:D$388,D560), ""), ""))</f>
        <v>عدد</v>
      </c>
      <c r="G560" s="24">
        <f>IF(C560="استحداث بند جديد", "", IF(D560&lt;&gt;"", IFERROR(INDEX('بنود العقد'!E$3:E$388,D560), 0), ""))</f>
        <v>432</v>
      </c>
      <c r="H560" s="7">
        <v>67</v>
      </c>
      <c r="I560" s="8">
        <v>0</v>
      </c>
      <c r="J560" s="10">
        <f t="shared" si="3"/>
        <v>28944</v>
      </c>
      <c r="K560" s="76" t="str">
        <f>IF(C560="استحداث بند جديد", "", IF(D560&lt;&gt;"", IFERROR(INDEX('بنود العقد'!C$3:C$388,D560), ""), ""))</f>
        <v>كهرباء</v>
      </c>
      <c r="L560" s="76" t="str">
        <f>IF(C560="استحداث بند جديد", IF(K560&lt;&gt;"","CMH_01-"&amp;IFERROR(VLOOKUP(K560,مراجع!$A$3:$B$14,2,FALSE),"?")&amp;"-NEW-"&amp;TEXT(A560,"000"),""), IF(D560&lt;&gt;"", IFERROR(INDEX('بنود العقد'!I$3:I$388,D560), ""), ""))</f>
        <v>CMH_01-EE-327</v>
      </c>
      <c r="M560" s="19"/>
    </row>
    <row r="561" spans="1:13" s="76" customFormat="1" ht="28.2" customHeight="1">
      <c r="A561" s="12">
        <v>559</v>
      </c>
      <c r="B561" s="6">
        <v>5</v>
      </c>
      <c r="C561" s="6" t="s">
        <v>175</v>
      </c>
      <c r="D561" s="6">
        <v>328</v>
      </c>
      <c r="E561" s="22" t="str">
        <f>IF(C561="استحداث بند جديد", "", IF(D561&lt;&gt;"", IFERROR(INDEX('بنود العقد'!B$3:B$388,D561), "⚠"), ""))</f>
        <v>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HDMI مع الكوابل اللازمة</v>
      </c>
      <c r="F561" s="23" t="str">
        <f>IF(C561="استحداث بند جديد", "", IF(D561&lt;&gt;"", IFERROR(INDEX('بنود العقد'!D$3:D$388,D561), ""), ""))</f>
        <v>عدد</v>
      </c>
      <c r="G561" s="24">
        <f>IF(C561="استحداث بند جديد", "", IF(D561&lt;&gt;"", IFERROR(INDEX('بنود العقد'!E$3:E$388,D561), 0), ""))</f>
        <v>540</v>
      </c>
      <c r="H561" s="7">
        <v>16</v>
      </c>
      <c r="I561" s="8">
        <v>0</v>
      </c>
      <c r="J561" s="10">
        <f t="shared" si="3"/>
        <v>8640</v>
      </c>
      <c r="K561" s="76" t="str">
        <f>IF(C561="استحداث بند جديد", "", IF(D561&lt;&gt;"", IFERROR(INDEX('بنود العقد'!C$3:C$388,D561), ""), ""))</f>
        <v>كهرباء</v>
      </c>
      <c r="L561" s="76" t="str">
        <f>IF(C561="استحداث بند جديد", IF(K561&lt;&gt;"","CMH_01-"&amp;IFERROR(VLOOKUP(K561,مراجع!$A$3:$B$14,2,FALSE),"?")&amp;"-NEW-"&amp;TEXT(A561,"000"),""), IF(D561&lt;&gt;"", IFERROR(INDEX('بنود العقد'!I$3:I$388,D561), ""), ""))</f>
        <v>CMH_01-EE-328</v>
      </c>
      <c r="M561" s="19"/>
    </row>
    <row r="562" spans="1:13" s="76" customFormat="1" ht="28.2" customHeight="1">
      <c r="A562" s="12">
        <v>560</v>
      </c>
      <c r="B562" s="6">
        <v>5</v>
      </c>
      <c r="C562" s="6" t="s">
        <v>250</v>
      </c>
      <c r="D562" s="6">
        <v>332</v>
      </c>
      <c r="E562" s="22" t="str">
        <f>IF(C562="استحداث بند جديد", "", IF(D562&lt;&gt;"", IFERROR(INDEX('بنود العقد'!B$3:B$388,D562), "⚠"), ""))</f>
        <v>لوحات توزيع كابالت نحاسية Panel Patch a 6 CAT مع الوصالت لعدد 24 مخرج</v>
      </c>
      <c r="F562" s="23" t="str">
        <f>IF(C562="استحداث بند جديد", "", IF(D562&lt;&gt;"", IFERROR(INDEX('بنود العقد'!D$3:D$388,D562), ""), ""))</f>
        <v>عدد</v>
      </c>
      <c r="G562" s="24">
        <f>IF(C562="استحداث بند جديد", "", IF(D562&lt;&gt;"", IFERROR(INDEX('بنود العقد'!E$3:E$388,D562), 0), ""))</f>
        <v>2400</v>
      </c>
      <c r="H562" s="7">
        <v>-7</v>
      </c>
      <c r="I562" s="8">
        <v>0</v>
      </c>
      <c r="J562" s="10">
        <f t="shared" si="3"/>
        <v>-16800</v>
      </c>
      <c r="K562" s="76" t="str">
        <f>IF(C562="استحداث بند جديد", "", IF(D562&lt;&gt;"", IFERROR(INDEX('بنود العقد'!C$3:C$388,D562), ""), ""))</f>
        <v>كهرباء</v>
      </c>
      <c r="L562" s="76" t="str">
        <f>IF(C562="استحداث بند جديد", IF(K562&lt;&gt;"","CMH_01-"&amp;IFERROR(VLOOKUP(K562,مراجع!$A$3:$B$14,2,FALSE),"?")&amp;"-NEW-"&amp;TEXT(A562,"000"),""), IF(D562&lt;&gt;"", IFERROR(INDEX('بنود العقد'!I$3:I$388,D562), ""), ""))</f>
        <v>CMH_01-EE-332</v>
      </c>
      <c r="M562" s="19"/>
    </row>
    <row r="563" spans="1:13" s="76" customFormat="1" ht="28.2" customHeight="1">
      <c r="A563" s="12">
        <v>561</v>
      </c>
      <c r="B563" s="6">
        <v>5</v>
      </c>
      <c r="C563" s="6" t="s">
        <v>175</v>
      </c>
      <c r="D563" s="6">
        <v>334</v>
      </c>
      <c r="E563" s="22" t="str">
        <f>IF(C563="استحداث بند جديد", "", IF(D563&lt;&gt;"", IFERROR(INDEX('بنود العقد'!B$3:B$388,D563), "⚠"), ""))</f>
        <v xml:space="preserve">فك و تقطيع وتنزيل و ترحيل مواسير شبكة الصرف و التغذية القائمة و البند يشمل فك القطع والترحيل خارج الموقع وتسليم جميع مكونات شبكة الصرف و التغذية للجهة مالكة المشروع </v>
      </c>
      <c r="F563" s="23" t="str">
        <f>IF(C563="استحداث بند جديد", "", IF(D563&lt;&gt;"", IFERROR(INDEX('بنود العقد'!D$3:D$388,D563), ""), ""))</f>
        <v>م.ط</v>
      </c>
      <c r="G563" s="24">
        <f>IF(C563="استحداث بند جديد", "", IF(D563&lt;&gt;"", IFERROR(INDEX('بنود العقد'!E$3:E$388,D563), 0), ""))</f>
        <v>16.523</v>
      </c>
      <c r="H563" s="7">
        <v>765.9</v>
      </c>
      <c r="I563" s="8">
        <v>0</v>
      </c>
      <c r="J563" s="10">
        <f t="shared" si="3"/>
        <v>12654.965699999999</v>
      </c>
      <c r="K563" s="76" t="str">
        <f>IF(C563="استحداث بند جديد", "", IF(D563&lt;&gt;"", IFERROR(INDEX('بنود العقد'!C$3:C$388,D563), ""), ""))</f>
        <v>معماري</v>
      </c>
      <c r="L563" s="76" t="str">
        <f>IF(C563="استحداث بند جديد", IF(K563&lt;&gt;"","CMH_01-"&amp;IFERROR(VLOOKUP(K563,مراجع!$A$3:$B$14,2,FALSE),"?")&amp;"-NEW-"&amp;TEXT(A563,"000"),""), IF(D563&lt;&gt;"", IFERROR(INDEX('بنود العقد'!I$3:I$388,D563), ""), ""))</f>
        <v>CMH_01-A-334</v>
      </c>
      <c r="M563" s="19"/>
    </row>
    <row r="564" spans="1:13" s="76" customFormat="1" ht="28.2" customHeight="1">
      <c r="A564" s="12">
        <v>562</v>
      </c>
      <c r="B564" s="6">
        <v>5</v>
      </c>
      <c r="C564" s="6" t="s">
        <v>175</v>
      </c>
      <c r="D564" s="6">
        <v>335</v>
      </c>
      <c r="E564" s="22" t="str">
        <f>IF(C564="استحداث بند جديد", "", IF(D564&lt;&gt;"", IFERROR(INDEX('بنود العقد'!B$3:B$388,D564), "⚠"), ""))</f>
        <v xml:space="preserve"> توريد و تركيب خرسانة مسلحة ، لا يقل إجهاد كسرها عن 35 ميجا باسكال لزوم خرسانات  الأسقف ، بأسمنت من النوع (أ)، طبقاً للمخططات . ويشمل السعر القوالب  وحديد التسليح  و الربط مع الكمرات الحالية بالتكسير و المضافات الخرسانية و الخلط والنقل والصب والمعالجة والاختبار حسب المخططات لإنهاء الأعمال حسب اصول الصنع وتوجيهات المهندس المشرف </v>
      </c>
      <c r="F564" s="23" t="str">
        <f>IF(C564="استحداث بند جديد", "", IF(D564&lt;&gt;"", IFERROR(INDEX('بنود العقد'!D$3:D$388,D564), ""), ""))</f>
        <v>م³</v>
      </c>
      <c r="G564" s="24">
        <f>IF(C564="استحداث بند جديد", "", IF(D564&lt;&gt;"", IFERROR(INDEX('بنود العقد'!E$3:E$388,D564), 0), ""))</f>
        <v>1600</v>
      </c>
      <c r="H564" s="7">
        <v>24.54</v>
      </c>
      <c r="I564" s="8">
        <v>0</v>
      </c>
      <c r="J564" s="10">
        <f t="shared" si="3"/>
        <v>39264</v>
      </c>
      <c r="K564" s="76" t="str">
        <f>IF(C564="استحداث بند جديد", "", IF(D564&lt;&gt;"", IFERROR(INDEX('بنود العقد'!C$3:C$388,D564), ""), ""))</f>
        <v>مدني</v>
      </c>
      <c r="L564" s="76" t="str">
        <f>IF(C564="استحداث بند جديد", IF(K564&lt;&gt;"","CMH_01-"&amp;IFERROR(VLOOKUP(K564,مراجع!$A$3:$B$14,2,FALSE),"?")&amp;"-NEW-"&amp;TEXT(A564,"000"),""), IF(D564&lt;&gt;"", IFERROR(INDEX('بنود العقد'!I$3:I$388,D564), ""), ""))</f>
        <v>CMH_01-C-335</v>
      </c>
      <c r="M564" s="19"/>
    </row>
    <row r="565" spans="1:13" s="76" customFormat="1" ht="28.2" customHeight="1">
      <c r="A565" s="12">
        <v>563</v>
      </c>
      <c r="B565" s="6">
        <v>5</v>
      </c>
      <c r="C565" s="6" t="s">
        <v>250</v>
      </c>
      <c r="D565" s="6">
        <v>340</v>
      </c>
      <c r="E565" s="22" t="str">
        <f>IF(C565="استحداث بند جديد", "", IF(D565&lt;&gt;"", IFERROR(INDEX('بنود العقد'!B$3:B$388,D565), "⚠"), ""))</f>
        <v>ازالة وتكسير وترحيل ارضيات الخرسانة</v>
      </c>
      <c r="F565" s="23" t="str">
        <f>IF(C565="استحداث بند جديد", "", IF(D565&lt;&gt;"", IFERROR(INDEX('بنود العقد'!D$3:D$388,D565), ""), ""))</f>
        <v>م²</v>
      </c>
      <c r="G565" s="24">
        <f>IF(C565="استحداث بند جديد", "", IF(D565&lt;&gt;"", IFERROR(INDEX('بنود العقد'!E$3:E$388,D565), 0), ""))</f>
        <v>69.42</v>
      </c>
      <c r="H565" s="7">
        <v>-60</v>
      </c>
      <c r="I565" s="8">
        <v>0</v>
      </c>
      <c r="J565" s="10">
        <f t="shared" si="3"/>
        <v>-4165.2</v>
      </c>
      <c r="K565" s="76" t="str">
        <f>IF(C565="استحداث بند جديد", "", IF(D565&lt;&gt;"", IFERROR(INDEX('بنود العقد'!C$3:C$388,D565), ""), ""))</f>
        <v>مدني</v>
      </c>
      <c r="L565" s="76" t="str">
        <f>IF(C565="استحداث بند جديد", IF(K565&lt;&gt;"","CMH_01-"&amp;IFERROR(VLOOKUP(K565,مراجع!$A$3:$B$14,2,FALSE),"?")&amp;"-NEW-"&amp;TEXT(A565,"000"),""), IF(D565&lt;&gt;"", IFERROR(INDEX('بنود العقد'!I$3:I$388,D565), ""), ""))</f>
        <v>CMH_01-C-340</v>
      </c>
      <c r="M565" s="19"/>
    </row>
    <row r="566" spans="1:13" s="76" customFormat="1" ht="28.2" customHeight="1">
      <c r="A566" s="12">
        <v>564</v>
      </c>
      <c r="B566" s="6">
        <v>5</v>
      </c>
      <c r="C566" s="6" t="s">
        <v>250</v>
      </c>
      <c r="D566" s="6">
        <v>341</v>
      </c>
      <c r="E566" s="22" t="str">
        <f>IF(C566="استحداث بند جديد", "", IF(D566&lt;&gt;"", IFERROR(INDEX('بنود العقد'!B$3:B$388,D566), "⚠"), ""))</f>
        <v xml:space="preserve">فك و تقطيع وتنزيل و ترحيل مواسير شبكة مكافحة الحريق القائمة و البند يشمل فك الرشاشات والترحيل خارج الموقع وتسليم جميع مكونات شبكة الحريق للجهة مالكة المشروع </v>
      </c>
      <c r="F566" s="23" t="str">
        <f>IF(C566="استحداث بند جديد", "", IF(D566&lt;&gt;"", IFERROR(INDEX('بنود العقد'!D$3:D$388,D566), ""), ""))</f>
        <v>م.ط</v>
      </c>
      <c r="G566" s="24">
        <f>IF(C566="استحداث بند جديد", "", IF(D566&lt;&gt;"", IFERROR(INDEX('بنود العقد'!E$3:E$388,D566), 0), ""))</f>
        <v>20.88</v>
      </c>
      <c r="H566" s="7">
        <v>-701.09</v>
      </c>
      <c r="I566" s="8">
        <v>0</v>
      </c>
      <c r="J566" s="10">
        <f t="shared" si="3"/>
        <v>-14638.7592</v>
      </c>
      <c r="K566" s="76" t="str">
        <f>IF(C566="استحداث بند جديد", "", IF(D566&lt;&gt;"", IFERROR(INDEX('بنود العقد'!C$3:C$388,D566), ""), ""))</f>
        <v>ميكانيكا</v>
      </c>
      <c r="L566" s="76" t="str">
        <f>IF(C566="استحداث بند جديد", IF(K566&lt;&gt;"","CMH_01-"&amp;IFERROR(VLOOKUP(K566,مراجع!$A$3:$B$14,2,FALSE),"?")&amp;"-NEW-"&amp;TEXT(A566,"000"),""), IF(D566&lt;&gt;"", IFERROR(INDEX('بنود العقد'!I$3:I$388,D566), ""), ""))</f>
        <v>CMH_01-ME-341</v>
      </c>
      <c r="M566" s="19"/>
    </row>
    <row r="567" spans="1:13" s="76" customFormat="1" ht="28.2" customHeight="1">
      <c r="A567" s="12">
        <v>565</v>
      </c>
      <c r="B567" s="6">
        <v>5</v>
      </c>
      <c r="C567" s="6" t="s">
        <v>175</v>
      </c>
      <c r="D567" s="6">
        <v>343</v>
      </c>
      <c r="E567" s="22" t="str">
        <f>IF(C567="استحداث بند جديد", "", IF(D567&lt;&gt;"", IFERROR(INDEX('بنود العقد'!B$3:B$388,D567), "⚠"), ""))</f>
        <v xml:space="preserve">فك و إزالة  مجاري الهواء من الصفائح المعدنية المجلفنة شامل الاكواع و التفريعات و التحويله و العامة وحاملة التعليق و الترحيل إلى مستودعات الجهة مالكة المشروع بمدينة الرياض  </v>
      </c>
      <c r="F567" s="23" t="str">
        <f>IF(C567="استحداث بند جديد", "", IF(D567&lt;&gt;"", IFERROR(INDEX('بنود العقد'!D$3:D$388,D567), ""), ""))</f>
        <v>م.ط</v>
      </c>
      <c r="G567" s="24">
        <f>IF(C567="استحداث بند جديد", "", IF(D567&lt;&gt;"", IFERROR(INDEX('بنود العقد'!E$3:E$388,D567), 0), ""))</f>
        <v>106</v>
      </c>
      <c r="H567" s="7">
        <v>1793.88</v>
      </c>
      <c r="I567" s="8">
        <v>0</v>
      </c>
      <c r="J567" s="10">
        <f t="shared" si="3"/>
        <v>190151.28</v>
      </c>
      <c r="K567" s="76" t="str">
        <f>IF(C567="استحداث بند جديد", "", IF(D567&lt;&gt;"", IFERROR(INDEX('بنود العقد'!C$3:C$388,D567), ""), ""))</f>
        <v>صحي</v>
      </c>
      <c r="L567" s="76" t="str">
        <f>IF(C567="استحداث بند جديد", IF(K567&lt;&gt;"","CMH_01-"&amp;IFERROR(VLOOKUP(K567,مراجع!$A$3:$B$14,2,FALSE),"?")&amp;"-NEW-"&amp;TEXT(A567,"000"),""), IF(D567&lt;&gt;"", IFERROR(INDEX('بنود العقد'!I$3:I$388,D567), ""), ""))</f>
        <v>CMH_01-PL-343</v>
      </c>
      <c r="M567" s="19"/>
    </row>
    <row r="568" spans="1:13" s="76" customFormat="1" ht="28.2" customHeight="1">
      <c r="A568" s="12">
        <v>566</v>
      </c>
      <c r="B568" s="6">
        <v>5</v>
      </c>
      <c r="C568" s="6" t="s">
        <v>250</v>
      </c>
      <c r="D568" s="6">
        <v>345</v>
      </c>
      <c r="E568" s="22" t="str">
        <f>IF(C568="استحداث بند جديد", "", IF(D568&lt;&gt;"", IFERROR(INDEX('بنود العقد'!B$3:B$388,D568), "⚠"), ""))</f>
        <v xml:space="preserve">تصنيع و توريد و تركيب شباك دبل أكشن (Tilt &amp;turn)مقاس
 1.0 متر * 4.40متر ) ثابت مع مفصلات </v>
      </c>
      <c r="F568" s="23" t="str">
        <f>IF(C568="استحداث بند جديد", "", IF(D568&lt;&gt;"", IFERROR(INDEX('بنود العقد'!D$3:D$388,D568), ""), ""))</f>
        <v>م²</v>
      </c>
      <c r="G568" s="24">
        <f>IF(C568="استحداث بند جديد", "", IF(D568&lt;&gt;"", IFERROR(INDEX('بنود العقد'!E$3:E$388,D568), 0), ""))</f>
        <v>1665</v>
      </c>
      <c r="H568" s="7">
        <v>-4.4000000000000004</v>
      </c>
      <c r="I568" s="8">
        <v>0</v>
      </c>
      <c r="J568" s="10">
        <f t="shared" si="3"/>
        <v>-7326.0000000000009</v>
      </c>
      <c r="K568" s="76" t="str">
        <f>IF(C568="استحداث بند جديد", "", IF(D568&lt;&gt;"", IFERROR(INDEX('بنود العقد'!C$3:C$388,D568), ""), ""))</f>
        <v>معماري</v>
      </c>
      <c r="L568" s="76" t="str">
        <f>IF(C568="استحداث بند جديد", IF(K568&lt;&gt;"","CMH_01-"&amp;IFERROR(VLOOKUP(K568,مراجع!$A$3:$B$14,2,FALSE),"?")&amp;"-NEW-"&amp;TEXT(A568,"000"),""), IF(D568&lt;&gt;"", IFERROR(INDEX('بنود العقد'!I$3:I$388,D568), ""), ""))</f>
        <v>CMH_01-A-345</v>
      </c>
      <c r="M568" s="19"/>
    </row>
    <row r="569" spans="1:13" s="76" customFormat="1" ht="28.2" customHeight="1">
      <c r="A569" s="12">
        <v>567</v>
      </c>
      <c r="B569" s="6">
        <v>5</v>
      </c>
      <c r="C569" s="6" t="s">
        <v>250</v>
      </c>
      <c r="D569" s="6">
        <v>346</v>
      </c>
      <c r="E569" s="22" t="str">
        <f>IF(C569="استحداث بند جديد", "", IF(D569&lt;&gt;"", IFERROR(INDEX('بنود العقد'!B$3:B$388,D569), "⚠"), ""))</f>
        <v xml:space="preserve">
توريد وتركيب مرحاض افرنجي مثبت على الحائط  مع محبس دفق (Flush valve)  مع زر دفق من الكروم ، مع غطاء للمرحاض مقاوم للبكتريا من نوع soft closing</v>
      </c>
      <c r="F569" s="23" t="str">
        <f>IF(C569="استحداث بند جديد", "", IF(D569&lt;&gt;"", IFERROR(INDEX('بنود العقد'!D$3:D$388,D569), ""), ""))</f>
        <v>عدد</v>
      </c>
      <c r="G569" s="24">
        <f>IF(C569="استحداث بند جديد", "", IF(D569&lt;&gt;"", IFERROR(INDEX('بنود العقد'!E$3:E$388,D569), 0), ""))</f>
        <v>2408.39</v>
      </c>
      <c r="H569" s="7">
        <v>-8</v>
      </c>
      <c r="I569" s="8">
        <v>0</v>
      </c>
      <c r="J569" s="10">
        <f t="shared" si="3"/>
        <v>-19267.12</v>
      </c>
      <c r="K569" s="76" t="str">
        <f>IF(C569="استحداث بند جديد", "", IF(D569&lt;&gt;"", IFERROR(INDEX('بنود العقد'!C$3:C$388,D569), ""), ""))</f>
        <v>صحي</v>
      </c>
      <c r="L569" s="76" t="str">
        <f>IF(C569="استحداث بند جديد", IF(K569&lt;&gt;"","CMH_01-"&amp;IFERROR(VLOOKUP(K569,مراجع!$A$3:$B$14,2,FALSE),"?")&amp;"-NEW-"&amp;TEXT(A569,"000"),""), IF(D569&lt;&gt;"", IFERROR(INDEX('بنود العقد'!I$3:I$388,D569), ""), ""))</f>
        <v>CMH_01-PL-346</v>
      </c>
      <c r="M569" s="19"/>
    </row>
    <row r="570" spans="1:13" s="76" customFormat="1" ht="28.2" customHeight="1">
      <c r="A570" s="12">
        <v>568</v>
      </c>
      <c r="B570" s="6">
        <v>5</v>
      </c>
      <c r="C570" s="6" t="s">
        <v>250</v>
      </c>
      <c r="D570" s="6">
        <v>347</v>
      </c>
      <c r="E570" s="22" t="str">
        <f>IF(C570="استحداث بند جديد", "", IF(D570&lt;&gt;"", IFERROR(INDEX('بنود العقد'!B$3:B$388,D570), "⚠"), ""))</f>
        <v xml:space="preserve">
توريد وتركيب مرحاض افرنجي مثبت على الحائط  مع محبس دفق (Flush valve) مزود بحساس مع زر دفق من الكروم، مع غطاء للمرحاض مقاوم للبكتريا من نوع soft closing</v>
      </c>
      <c r="F570" s="23" t="str">
        <f>IF(C570="استحداث بند جديد", "", IF(D570&lt;&gt;"", IFERROR(INDEX('بنود العقد'!D$3:D$388,D570), ""), ""))</f>
        <v>عدد</v>
      </c>
      <c r="G570" s="24">
        <f>IF(C570="استحداث بند جديد", "", IF(D570&lt;&gt;"", IFERROR(INDEX('بنود العقد'!E$3:E$388,D570), 0), ""))</f>
        <v>4186.79</v>
      </c>
      <c r="H570" s="7">
        <v>-1</v>
      </c>
      <c r="I570" s="8">
        <v>0</v>
      </c>
      <c r="J570" s="10">
        <f t="shared" si="3"/>
        <v>-4186.79</v>
      </c>
      <c r="K570" s="76" t="str">
        <f>IF(C570="استحداث بند جديد", "", IF(D570&lt;&gt;"", IFERROR(INDEX('بنود العقد'!C$3:C$388,D570), ""), ""))</f>
        <v>صحي</v>
      </c>
      <c r="L570" s="76" t="str">
        <f>IF(C570="استحداث بند جديد", IF(K570&lt;&gt;"","CMH_01-"&amp;IFERROR(VLOOKUP(K570,مراجع!$A$3:$B$14,2,FALSE),"?")&amp;"-NEW-"&amp;TEXT(A570,"000"),""), IF(D570&lt;&gt;"", IFERROR(INDEX('بنود العقد'!I$3:I$388,D570), ""), ""))</f>
        <v>CMH_01-PL-347</v>
      </c>
      <c r="M570" s="19"/>
    </row>
    <row r="571" spans="1:13" s="76" customFormat="1" ht="28.2" customHeight="1">
      <c r="A571" s="12">
        <v>569</v>
      </c>
      <c r="B571" s="6">
        <v>5</v>
      </c>
      <c r="C571" s="6" t="s">
        <v>250</v>
      </c>
      <c r="D571" s="6">
        <v>349</v>
      </c>
      <c r="E571" s="22" t="str">
        <f>IF(C571="استحداث بند جديد", "", IF(D571&lt;&gt;"", IFERROR(INDEX('بنود العقد'!B$3:B$388,D571), "⚠"), ""))</f>
        <v xml:space="preserve"> توريد و تركيب مراوح سحب الهواء (AXIAL INLINE FAN)  تشمل عمليات التوريد و التركيب و الاختبار و التثبيت  سعة 100 قدم مكعب بالدقيقة بالدور الثالث والرابع والخامس</v>
      </c>
      <c r="F571" s="23" t="str">
        <f>IF(C571="استحداث بند جديد", "", IF(D571&lt;&gt;"", IFERROR(INDEX('بنود العقد'!D$3:D$388,D571), ""), ""))</f>
        <v>عدد</v>
      </c>
      <c r="G571" s="24">
        <f>IF(C571="استحداث بند جديد", "", IF(D571&lt;&gt;"", IFERROR(INDEX('بنود العقد'!E$3:E$388,D571), 0), ""))</f>
        <v>1160.4000000000001</v>
      </c>
      <c r="H571" s="7">
        <v>-3</v>
      </c>
      <c r="I571" s="8">
        <v>0</v>
      </c>
      <c r="J571" s="10">
        <f t="shared" si="3"/>
        <v>-3481.2000000000003</v>
      </c>
      <c r="K571" s="76" t="str">
        <f>IF(C571="استحداث بند جديد", "", IF(D571&lt;&gt;"", IFERROR(INDEX('بنود العقد'!C$3:C$388,D571), ""), ""))</f>
        <v>تكييف</v>
      </c>
      <c r="L571" s="76" t="str">
        <f>IF(C571="استحداث بند جديد", IF(K571&lt;&gt;"","CMH_01-"&amp;IFERROR(VLOOKUP(K571,مراجع!$A$3:$B$14,2,FALSE),"?")&amp;"-NEW-"&amp;TEXT(A571,"000"),""), IF(D571&lt;&gt;"", IFERROR(INDEX('بنود العقد'!I$3:I$388,D571), ""), ""))</f>
        <v>CMH_01-HV-349</v>
      </c>
      <c r="M571" s="19"/>
    </row>
    <row r="572" spans="1:13" s="76" customFormat="1" ht="28.2" customHeight="1">
      <c r="A572" s="12">
        <v>570</v>
      </c>
      <c r="B572" s="6">
        <v>5</v>
      </c>
      <c r="C572" s="6" t="s">
        <v>175</v>
      </c>
      <c r="D572" s="6">
        <v>351</v>
      </c>
      <c r="E572" s="22" t="str">
        <f>IF(C572="استحداث بند جديد", "", IF(D572&lt;&gt;"", IFERROR(INDEX('بنود العقد'!B$3:B$388,D572), "⚠"), ""))</f>
        <v>توريد وتركيب وفرد دهان ايبوكسي لزوم الدربزينات بالفناء الوسطي و البهو الداخلي بين الادوار و المدخل ويتم التركيب طبقاً للمخططات والمواصفات الفنية و المواد المعتمدة  .</v>
      </c>
      <c r="F572" s="23" t="str">
        <f>IF(C572="استحداث بند جديد", "", IF(D572&lt;&gt;"", IFERROR(INDEX('بنود العقد'!D$3:D$388,D572), ""), ""))</f>
        <v>م.ط</v>
      </c>
      <c r="G572" s="24">
        <f>IF(C572="استحداث بند جديد", "", IF(D572&lt;&gt;"", IFERROR(INDEX('بنود العقد'!E$3:E$388,D572), 0), ""))</f>
        <v>45</v>
      </c>
      <c r="H572" s="7">
        <v>24.48</v>
      </c>
      <c r="I572" s="8">
        <v>0</v>
      </c>
      <c r="J572" s="10">
        <f t="shared" si="3"/>
        <v>1101.5999999999999</v>
      </c>
      <c r="K572" s="76" t="str">
        <f>IF(C572="استحداث بند جديد", "", IF(D572&lt;&gt;"", IFERROR(INDEX('بنود العقد'!C$3:C$388,D572), ""), ""))</f>
        <v>معماري</v>
      </c>
      <c r="L572" s="76" t="str">
        <f>IF(C572="استحداث بند جديد", IF(K572&lt;&gt;"","CMH_01-"&amp;IFERROR(VLOOKUP(K572,مراجع!$A$3:$B$14,2,FALSE),"?")&amp;"-NEW-"&amp;TEXT(A572,"000"),""), IF(D572&lt;&gt;"", IFERROR(INDEX('بنود العقد'!I$3:I$388,D572), ""), ""))</f>
        <v>CMH_01-A-351</v>
      </c>
      <c r="M572" s="19"/>
    </row>
    <row r="573" spans="1:13" s="76" customFormat="1" ht="28.2" customHeight="1">
      <c r="A573" s="12">
        <v>571</v>
      </c>
      <c r="B573" s="6">
        <v>5</v>
      </c>
      <c r="C573" s="6" t="s">
        <v>250</v>
      </c>
      <c r="D573" s="6">
        <v>352</v>
      </c>
      <c r="E573" s="22" t="str">
        <f>IF(C573="استحداث بند جديد", "", IF(D573&lt;&gt;"", IFERROR(INDEX('بنود العقد'!B$3:B$388,D573), "⚠"), ""))</f>
        <v>توريد وتركيب ابواب خشبيةWD02 حسب العينة المعتمدة ويتم التركيب طبقاً للمخططات والمواصفات الفنية وبحسب توجيهات واعتماد المهندس المشرف.</v>
      </c>
      <c r="F573" s="23" t="str">
        <f>IF(C573="استحداث بند جديد", "", IF(D573&lt;&gt;"", IFERROR(INDEX('بنود العقد'!D$3:D$388,D573), ""), ""))</f>
        <v>عدد</v>
      </c>
      <c r="G573" s="24">
        <f>IF(C573="استحداث بند جديد", "", IF(D573&lt;&gt;"", IFERROR(INDEX('بنود العقد'!E$3:E$388,D573), 0), ""))</f>
        <v>16800</v>
      </c>
      <c r="H573" s="7">
        <v>-11</v>
      </c>
      <c r="I573" s="8">
        <v>0</v>
      </c>
      <c r="J573" s="10">
        <f t="shared" si="3"/>
        <v>-184800</v>
      </c>
      <c r="K573" s="76" t="str">
        <f>IF(C573="استحداث بند جديد", "", IF(D573&lt;&gt;"", IFERROR(INDEX('بنود العقد'!C$3:C$388,D573), ""), ""))</f>
        <v>معماري</v>
      </c>
      <c r="L573" s="76" t="str">
        <f>IF(C573="استحداث بند جديد", IF(K573&lt;&gt;"","CMH_01-"&amp;IFERROR(VLOOKUP(K573,مراجع!$A$3:$B$14,2,FALSE),"?")&amp;"-NEW-"&amp;TEXT(A573,"000"),""), IF(D573&lt;&gt;"", IFERROR(INDEX('بنود العقد'!I$3:I$388,D573), ""), ""))</f>
        <v>CMH_01-A-352</v>
      </c>
      <c r="M573" s="19"/>
    </row>
    <row r="574" spans="1:13" s="76" customFormat="1" ht="28.2" customHeight="1">
      <c r="A574" s="12">
        <v>572</v>
      </c>
      <c r="B574" s="6">
        <v>5</v>
      </c>
      <c r="C574" s="6" t="s">
        <v>250</v>
      </c>
      <c r="D574" s="6">
        <v>353</v>
      </c>
      <c r="E574" s="22" t="str">
        <f>IF(C574="استحداث بند جديد", "", IF(D574&lt;&gt;"", IFERROR(INDEX('بنود العقد'!B$3:B$388,D574), "⚠"), ""))</f>
        <v>للمواسير داخل المبنى من مواسير متعددة الطبقات بولي بروبلين كما هو موصف تشمل كافة القطع التركيبية مثل القارنات من الحديد الصلب الغير قابل للصدأ والأكواع والمنحنيات والتفريعات والدعامات ، كما هو مبين في المخططات لتركيب مايلي من الأقطار الداخلية مع ربطه بالشبكة الحالية لاقرب نقطة و على المقاول تقديم المخططات التنفيذية و الحسابات الهيدروليكية و اعتمادها قبل البدأ بتنفيذ الاعمال من المهندس المشرف للاقطار  الداخلية :
قطر 75 مم</v>
      </c>
      <c r="F574" s="23" t="str">
        <f>IF(C574="استحداث بند جديد", "", IF(D574&lt;&gt;"", IFERROR(INDEX('بنود العقد'!D$3:D$388,D574), ""), ""))</f>
        <v>م.ط</v>
      </c>
      <c r="G574" s="24">
        <f>IF(C574="استحداث بند جديد", "", IF(D574&lt;&gt;"", IFERROR(INDEX('بنود العقد'!E$3:E$388,D574), 0), ""))</f>
        <v>298</v>
      </c>
      <c r="H574" s="7">
        <v>-48</v>
      </c>
      <c r="I574" s="8">
        <v>0</v>
      </c>
      <c r="J574" s="10">
        <f t="shared" si="3"/>
        <v>-14304</v>
      </c>
      <c r="K574" s="76" t="str">
        <f>IF(C574="استحداث بند جديد", "", IF(D574&lt;&gt;"", IFERROR(INDEX('بنود العقد'!C$3:C$388,D574), ""), ""))</f>
        <v>ميكانيكا</v>
      </c>
      <c r="L574" s="76" t="str">
        <f>IF(C574="استحداث بند جديد", IF(K574&lt;&gt;"","CMH_01-"&amp;IFERROR(VLOOKUP(K574,مراجع!$A$3:$B$14,2,FALSE),"?")&amp;"-NEW-"&amp;TEXT(A574,"000"),""), IF(D574&lt;&gt;"", IFERROR(INDEX('بنود العقد'!I$3:I$388,D574), ""), ""))</f>
        <v>CMH_01-ME-353</v>
      </c>
      <c r="M574" s="19"/>
    </row>
    <row r="575" spans="1:13" s="76" customFormat="1" ht="28.2" customHeight="1">
      <c r="A575" s="12">
        <v>573</v>
      </c>
      <c r="B575" s="6">
        <v>5</v>
      </c>
      <c r="C575" s="6" t="s">
        <v>175</v>
      </c>
      <c r="D575" s="6">
        <v>356</v>
      </c>
      <c r="E575" s="22" t="str">
        <f>IF(C575="استحداث بند جديد", "", IF(D575&lt;&gt;"", IFERROR(INDEX('بنود العقد'!B$3:B$388,D575), "⚠"), ""))</f>
        <v>توريد وتركيب محبس بوابة (GATE VALVE) يركب علي شبكة المواسير داخل المبني ، والبند يشمل جميع القطع والتوصيلات اللازمة للتركيب وذلك للأقطار التالية:
قطر 2.5 بوصة</v>
      </c>
      <c r="F575" s="23" t="str">
        <f>IF(C575="استحداث بند جديد", "", IF(D575&lt;&gt;"", IFERROR(INDEX('بنود العقد'!D$3:D$388,D575), ""), ""))</f>
        <v>عدد</v>
      </c>
      <c r="G575" s="24">
        <f>IF(C575="استحداث بند جديد", "", IF(D575&lt;&gt;"", IFERROR(INDEX('بنود العقد'!E$3:E$388,D575), 0), ""))</f>
        <v>1663</v>
      </c>
      <c r="H575" s="7">
        <v>5</v>
      </c>
      <c r="I575" s="8">
        <v>0</v>
      </c>
      <c r="J575" s="10">
        <f t="shared" si="3"/>
        <v>8315</v>
      </c>
      <c r="K575" s="76" t="str">
        <f>IF(C575="استحداث بند جديد", "", IF(D575&lt;&gt;"", IFERROR(INDEX('بنود العقد'!C$3:C$388,D575), ""), ""))</f>
        <v>ميكانيكا</v>
      </c>
      <c r="L575" s="76" t="str">
        <f>IF(C575="استحداث بند جديد", IF(K575&lt;&gt;"","CMH_01-"&amp;IFERROR(VLOOKUP(K575,مراجع!$A$3:$B$14,2,FALSE),"?")&amp;"-NEW-"&amp;TEXT(A575,"000"),""), IF(D575&lt;&gt;"", IFERROR(INDEX('بنود العقد'!I$3:I$388,D575), ""), ""))</f>
        <v>CMH_01-ME-356</v>
      </c>
      <c r="M575" s="19"/>
    </row>
    <row r="576" spans="1:13" s="76" customFormat="1" ht="28.2" customHeight="1">
      <c r="A576" s="12">
        <v>574</v>
      </c>
      <c r="B576" s="6">
        <v>5</v>
      </c>
      <c r="C576" s="6" t="s">
        <v>250</v>
      </c>
      <c r="D576" s="6">
        <v>357</v>
      </c>
      <c r="E576" s="22" t="str">
        <f>IF(C576="استحداث بند جديد", "", IF(D576&lt;&gt;"", IFERROR(INDEX('بنود العقد'!B$3:B$388,D576), "⚠"), ""))</f>
        <v>توريد وتركيب محبس بوابة (GATE VALVE) يركب علي شبكة المواسير داخل المبني ، والبند يشمل جميع القطع والتوصيلات اللازمة للتركيب وذلك للأقطار التالية:
قطر 1.25 بوصة</v>
      </c>
      <c r="F576" s="23" t="str">
        <f>IF(C576="استحداث بند جديد", "", IF(D576&lt;&gt;"", IFERROR(INDEX('بنود العقد'!D$3:D$388,D576), ""), ""))</f>
        <v>عدد</v>
      </c>
      <c r="G576" s="24">
        <f>IF(C576="استحداث بند جديد", "", IF(D576&lt;&gt;"", IFERROR(INDEX('بنود العقد'!E$3:E$388,D576), 0), ""))</f>
        <v>621</v>
      </c>
      <c r="H576" s="7">
        <v>-1</v>
      </c>
      <c r="I576" s="8">
        <v>0</v>
      </c>
      <c r="J576" s="10">
        <f t="shared" si="3"/>
        <v>-621</v>
      </c>
      <c r="K576" s="76" t="str">
        <f>IF(C576="استحداث بند جديد", "", IF(D576&lt;&gt;"", IFERROR(INDEX('بنود العقد'!C$3:C$388,D576), ""), ""))</f>
        <v>ميكانيكا</v>
      </c>
      <c r="L576" s="76" t="str">
        <f>IF(C576="استحداث بند جديد", IF(K576&lt;&gt;"","CMH_01-"&amp;IFERROR(VLOOKUP(K576,مراجع!$A$3:$B$14,2,FALSE),"?")&amp;"-NEW-"&amp;TEXT(A576,"000"),""), IF(D576&lt;&gt;"", IFERROR(INDEX('بنود العقد'!I$3:I$388,D576), ""), ""))</f>
        <v>CMH_01-ME-357</v>
      </c>
      <c r="M576" s="19"/>
    </row>
    <row r="577" spans="1:13" s="76" customFormat="1" ht="28.2" customHeight="1">
      <c r="A577" s="12">
        <v>575</v>
      </c>
      <c r="B577" s="6">
        <v>5</v>
      </c>
      <c r="C577" s="6" t="s">
        <v>250</v>
      </c>
      <c r="D577" s="6">
        <v>358</v>
      </c>
      <c r="E577" s="22" t="str">
        <f>IF(C577="استحداث بند جديد", "", IF(D577&lt;&gt;"", IFERROR(INDEX('بنود العقد'!B$3:B$388,D577), "⚠"), ""))</f>
        <v>توريد وتركيب محبس تخفيض ضغط (PRV) يركب علي شبكة المواسير داخل المبني ، والبند يشمل جميع القطع والتوصيلات اللازمة للتركيب وذلك للأقطار التالية:
قطر 2 بوصة</v>
      </c>
      <c r="F577" s="23" t="str">
        <f>IF(C577="استحداث بند جديد", "", IF(D577&lt;&gt;"", IFERROR(INDEX('بنود العقد'!D$3:D$388,D577), ""), ""))</f>
        <v>عدد</v>
      </c>
      <c r="G577" s="24">
        <f>IF(C577="استحداث بند جديد", "", IF(D577&lt;&gt;"", IFERROR(INDEX('بنود العقد'!E$3:E$388,D577), 0), ""))</f>
        <v>1772</v>
      </c>
      <c r="H577" s="7">
        <v>-1</v>
      </c>
      <c r="I577" s="8">
        <v>0</v>
      </c>
      <c r="J577" s="10">
        <f t="shared" si="3"/>
        <v>-1772</v>
      </c>
      <c r="K577" s="76" t="str">
        <f>IF(C577="استحداث بند جديد", "", IF(D577&lt;&gt;"", IFERROR(INDEX('بنود العقد'!C$3:C$388,D577), ""), ""))</f>
        <v>ميكانيكا</v>
      </c>
      <c r="L577" s="76" t="str">
        <f>IF(C577="استحداث بند جديد", IF(K577&lt;&gt;"","CMH_01-"&amp;IFERROR(VLOOKUP(K577,مراجع!$A$3:$B$14,2,FALSE),"?")&amp;"-NEW-"&amp;TEXT(A577,"000"),""), IF(D577&lt;&gt;"", IFERROR(INDEX('بنود العقد'!I$3:I$388,D577), ""), ""))</f>
        <v>CMH_01-ME-358</v>
      </c>
      <c r="M577" s="19"/>
    </row>
    <row r="578" spans="1:13" s="76" customFormat="1" ht="28.2" customHeight="1">
      <c r="A578" s="12">
        <v>576</v>
      </c>
      <c r="B578" s="6">
        <v>5</v>
      </c>
      <c r="C578" s="6" t="s">
        <v>250</v>
      </c>
      <c r="D578" s="6">
        <v>359</v>
      </c>
      <c r="E578" s="22" t="str">
        <f>IF(C578="استحداث بند جديد", "", IF(D578&lt;&gt;"", IFERROR(INDEX('بنود العقد'!B$3:B$388,D578), "⚠"), ""))</f>
        <v>توريد وتركيب محبس تخفيض ضغط (PRV) يركب علي شبكة المواسير داخل المبني ، والبند يشمل جميع القطع والتوصيلات اللازمة للتركيب وذلك للأقطار التالية:
قطر 1.25 بوصة</v>
      </c>
      <c r="F578" s="23" t="str">
        <f>IF(C578="استحداث بند جديد", "", IF(D578&lt;&gt;"", IFERROR(INDEX('بنود العقد'!D$3:D$388,D578), ""), ""))</f>
        <v>عدد</v>
      </c>
      <c r="G578" s="24">
        <f>IF(C578="استحداث بند جديد", "", IF(D578&lt;&gt;"", IFERROR(INDEX('بنود العقد'!E$3:E$388,D578), 0), ""))</f>
        <v>772</v>
      </c>
      <c r="H578" s="7">
        <v>-1</v>
      </c>
      <c r="I578" s="8">
        <v>0</v>
      </c>
      <c r="J578" s="10">
        <f t="shared" si="3"/>
        <v>-772</v>
      </c>
      <c r="K578" s="76" t="str">
        <f>IF(C578="استحداث بند جديد", "", IF(D578&lt;&gt;"", IFERROR(INDEX('بنود العقد'!C$3:C$388,D578), ""), ""))</f>
        <v>ميكانيكا</v>
      </c>
      <c r="L578" s="76" t="str">
        <f>IF(C578="استحداث بند جديد", IF(K578&lt;&gt;"","CMH_01-"&amp;IFERROR(VLOOKUP(K578,مراجع!$A$3:$B$14,2,FALSE),"?")&amp;"-NEW-"&amp;TEXT(A578,"000"),""), IF(D578&lt;&gt;"", IFERROR(INDEX('بنود العقد'!I$3:I$388,D578), ""), ""))</f>
        <v>CMH_01-ME-359</v>
      </c>
      <c r="M578" s="19"/>
    </row>
    <row r="579" spans="1:13" s="76" customFormat="1" ht="28.2" customHeight="1">
      <c r="A579" s="12">
        <v>577</v>
      </c>
      <c r="B579" s="6">
        <v>5</v>
      </c>
      <c r="C579" s="6" t="s">
        <v>175</v>
      </c>
      <c r="D579" s="6">
        <v>360</v>
      </c>
      <c r="E579" s="22" t="str">
        <f>IF(C579="استحداث بند جديد", "", IF(D579&lt;&gt;"", IFERROR(INDEX('بنود العقد'!B$3:B$388,D579), "⚠"), ""))</f>
        <v>توريد وتركيب محبس تنفيس الهواء (AUTOMATIC AIR VENT) يركب علي شبكة المواسير داخل المبني ، والبند يشمل جميع القطع والتوصيلات اللازمة للتركيب وذلك للأقطار التالية:
قطر 1 بوصة</v>
      </c>
      <c r="F579" s="23" t="str">
        <f>IF(C579="استحداث بند جديد", "", IF(D579&lt;&gt;"", IFERROR(INDEX('بنود العقد'!D$3:D$388,D579), ""), ""))</f>
        <v>عدد</v>
      </c>
      <c r="G579" s="24">
        <f>IF(C579="استحداث بند جديد", "", IF(D579&lt;&gt;"", IFERROR(INDEX('بنود العقد'!E$3:E$388,D579), 0), ""))</f>
        <v>90</v>
      </c>
      <c r="H579" s="7">
        <v>4</v>
      </c>
      <c r="I579" s="8">
        <v>0</v>
      </c>
      <c r="J579" s="10">
        <f t="shared" si="3"/>
        <v>360</v>
      </c>
      <c r="K579" s="76" t="str">
        <f>IF(C579="استحداث بند جديد", "", IF(D579&lt;&gt;"", IFERROR(INDEX('بنود العقد'!C$3:C$388,D579), ""), ""))</f>
        <v>ميكانيكا</v>
      </c>
      <c r="L579" s="76" t="str">
        <f>IF(C579="استحداث بند جديد", IF(K579&lt;&gt;"","CMH_01-"&amp;IFERROR(VLOOKUP(K579,مراجع!$A$3:$B$14,2,FALSE),"?")&amp;"-NEW-"&amp;TEXT(A579,"000"),""), IF(D579&lt;&gt;"", IFERROR(INDEX('بنود العقد'!I$3:I$388,D579), ""), ""))</f>
        <v>CMH_01-ME-360</v>
      </c>
      <c r="M579" s="19"/>
    </row>
    <row r="580" spans="1:13" s="76" customFormat="1" ht="28.2" customHeight="1">
      <c r="A580" s="12">
        <v>578</v>
      </c>
      <c r="B580" s="6">
        <v>5</v>
      </c>
      <c r="C580" s="6" t="s">
        <v>175</v>
      </c>
      <c r="D580" s="6">
        <v>361</v>
      </c>
      <c r="E580" s="22" t="str">
        <f>IF(C580="استحداث بند جديد", "", IF(D580&lt;&gt;"", IFERROR(INDEX('بنود العقد'!B$3:B$388,D580), "⚠"), ""))</f>
        <v>01-MT 02&amp; MT رخام مون ستون غراي رمادي فاتح و رمادي غامق 
مقاس  1200× 300 مم لمنطقة القهوة و المدخل سماكة 16مم .</v>
      </c>
      <c r="F580" s="23" t="str">
        <f>IF(C580="استحداث بند جديد", "", IF(D580&lt;&gt;"", IFERROR(INDEX('بنود العقد'!D$3:D$388,D580), ""), ""))</f>
        <v>م²</v>
      </c>
      <c r="G580" s="24">
        <f>IF(C580="استحداث بند جديد", "", IF(D580&lt;&gt;"", IFERROR(INDEX('بنود العقد'!E$3:E$388,D580), 0), ""))</f>
        <v>454</v>
      </c>
      <c r="H580" s="7">
        <v>697</v>
      </c>
      <c r="I580" s="8">
        <v>0</v>
      </c>
      <c r="J580" s="10">
        <f t="shared" si="3"/>
        <v>316438</v>
      </c>
      <c r="K580" s="76" t="str">
        <f>IF(C580="استحداث بند جديد", "", IF(D580&lt;&gt;"", IFERROR(INDEX('بنود العقد'!C$3:C$388,D580), ""), ""))</f>
        <v>معماري</v>
      </c>
      <c r="L580" s="76" t="str">
        <f>IF(C580="استحداث بند جديد", IF(K580&lt;&gt;"","CMH_01-"&amp;IFERROR(VLOOKUP(K580,مراجع!$A$3:$B$14,2,FALSE),"?")&amp;"-NEW-"&amp;TEXT(A580,"000"),""), IF(D580&lt;&gt;"", IFERROR(INDEX('بنود العقد'!I$3:I$388,D580), ""), ""))</f>
        <v>CMH_01-A-361</v>
      </c>
      <c r="M580" s="19"/>
    </row>
    <row r="581" spans="1:13" s="76" customFormat="1" ht="28.2" customHeight="1">
      <c r="A581" s="12">
        <v>579</v>
      </c>
      <c r="B581" s="6">
        <v>5</v>
      </c>
      <c r="C581" s="6" t="s">
        <v>250</v>
      </c>
      <c r="D581" s="6">
        <v>362</v>
      </c>
      <c r="E581" s="22" t="str">
        <f>IF(C581="استحداث بند جديد", "", IF(D581&lt;&gt;"", IFERROR(INDEX('بنود العقد'!B$3:B$388,D581), "⚠"), ""))</f>
        <v>01-MT 02&amp; MT رخام مون ستون غراي رمادي فاتح و رمادي غامق 
مقاس  1200× 300 مم لمنطقة القهوة و المدخل سماكة 30مم .</v>
      </c>
      <c r="F581" s="23" t="str">
        <f>IF(C581="استحداث بند جديد", "", IF(D581&lt;&gt;"", IFERROR(INDEX('بنود العقد'!D$3:D$388,D581), ""), ""))</f>
        <v>م²</v>
      </c>
      <c r="G581" s="24">
        <f>IF(C581="استحداث بند جديد", "", IF(D581&lt;&gt;"", IFERROR(INDEX('بنود العقد'!E$3:E$388,D581), 0), ""))</f>
        <v>609</v>
      </c>
      <c r="H581" s="7">
        <v>-545.78</v>
      </c>
      <c r="I581" s="8">
        <v>0</v>
      </c>
      <c r="J581" s="10">
        <f t="shared" si="3"/>
        <v>-332380.01999999996</v>
      </c>
      <c r="K581" s="76" t="str">
        <f>IF(C581="استحداث بند جديد", "", IF(D581&lt;&gt;"", IFERROR(INDEX('بنود العقد'!C$3:C$388,D581), ""), ""))</f>
        <v>معماري</v>
      </c>
      <c r="L581" s="76" t="str">
        <f>IF(C581="استحداث بند جديد", IF(K581&lt;&gt;"","CMH_01-"&amp;IFERROR(VLOOKUP(K581,مراجع!$A$3:$B$14,2,FALSE),"?")&amp;"-NEW-"&amp;TEXT(A581,"000"),""), IF(D581&lt;&gt;"", IFERROR(INDEX('بنود العقد'!I$3:I$388,D581), ""), ""))</f>
        <v>CMH_01-A-362</v>
      </c>
      <c r="M581" s="19"/>
    </row>
    <row r="582" spans="1:13" s="76" customFormat="1" ht="28.2" customHeight="1">
      <c r="A582" s="12">
        <v>580</v>
      </c>
      <c r="B582" s="6">
        <v>5</v>
      </c>
      <c r="C582" s="6" t="s">
        <v>250</v>
      </c>
      <c r="D582" s="6">
        <v>363</v>
      </c>
      <c r="E582" s="22" t="str">
        <f>IF(C582="استحداث بند جديد", "", IF(D582&lt;&gt;"", IFERROR(INDEX('بنود العقد'!B$3:B$388,D582), "⚠"), ""))</f>
        <v>رخام مون ستون غراي رمادي فاتح  الواح مقاس 1000× 1000 مم بحسب اعتماد المهندس المشرف للممرات  سماكة 30مم</v>
      </c>
      <c r="F582" s="23" t="str">
        <f>IF(C582="استحداث بند جديد", "", IF(D582&lt;&gt;"", IFERROR(INDEX('بنود العقد'!D$3:D$388,D582), ""), ""))</f>
        <v>م²</v>
      </c>
      <c r="G582" s="24">
        <f>IF(C582="استحداث بند جديد", "", IF(D582&lt;&gt;"", IFERROR(INDEX('بنود العقد'!E$3:E$388,D582), 0), ""))</f>
        <v>703</v>
      </c>
      <c r="H582" s="7">
        <v>-100</v>
      </c>
      <c r="I582" s="8">
        <v>0</v>
      </c>
      <c r="J582" s="10">
        <f t="shared" si="3"/>
        <v>-70300</v>
      </c>
      <c r="K582" s="76" t="str">
        <f>IF(C582="استحداث بند جديد", "", IF(D582&lt;&gt;"", IFERROR(INDEX('بنود العقد'!C$3:C$388,D582), ""), ""))</f>
        <v>معماري</v>
      </c>
      <c r="L582" s="76" t="str">
        <f>IF(C582="استحداث بند جديد", IF(K582&lt;&gt;"","CMH_01-"&amp;IFERROR(VLOOKUP(K582,مراجع!$A$3:$B$14,2,FALSE),"?")&amp;"-NEW-"&amp;TEXT(A582,"000"),""), IF(D582&lt;&gt;"", IFERROR(INDEX('بنود العقد'!I$3:I$388,D582), ""), ""))</f>
        <v>CMH_01-A-363</v>
      </c>
      <c r="M582" s="19"/>
    </row>
    <row r="583" spans="1:13" s="76" customFormat="1" ht="28.2" customHeight="1">
      <c r="A583" s="12">
        <v>581</v>
      </c>
      <c r="B583" s="6">
        <v>5</v>
      </c>
      <c r="C583" s="6" t="s">
        <v>175</v>
      </c>
      <c r="D583" s="6">
        <v>364</v>
      </c>
      <c r="E583" s="22" t="str">
        <f>IF(C583="استحداث بند جديد", "", IF(D583&lt;&gt;"", IFERROR(INDEX('بنود العقد'!B$3:B$388,D583), "⚠"), ""))</f>
        <v>رخام رمادي بيترا غراي للدور السادس ألواح مقاس 1000× 1000 مم بحسب اعتماد المهندس سماكة 30مم</v>
      </c>
      <c r="F583" s="23" t="str">
        <f>IF(C583="استحداث بند جديد", "", IF(D583&lt;&gt;"", IFERROR(INDEX('بنود العقد'!D$3:D$388,D583), ""), ""))</f>
        <v>م²</v>
      </c>
      <c r="G583" s="24">
        <f>IF(C583="استحداث بند جديد", "", IF(D583&lt;&gt;"", IFERROR(INDEX('بنود العقد'!E$3:E$388,D583), 0), ""))</f>
        <v>717</v>
      </c>
      <c r="H583" s="7">
        <v>553</v>
      </c>
      <c r="I583" s="8">
        <v>0</v>
      </c>
      <c r="J583" s="10">
        <f t="shared" si="3"/>
        <v>396501</v>
      </c>
      <c r="K583" s="76" t="str">
        <f>IF(C583="استحداث بند جديد", "", IF(D583&lt;&gt;"", IFERROR(INDEX('بنود العقد'!C$3:C$388,D583), ""), ""))</f>
        <v>معماري</v>
      </c>
      <c r="L583" s="76" t="str">
        <f>IF(C583="استحداث بند جديد", IF(K583&lt;&gt;"","CMH_01-"&amp;IFERROR(VLOOKUP(K583,مراجع!$A$3:$B$14,2,FALSE),"?")&amp;"-NEW-"&amp;TEXT(A583,"000"),""), IF(D583&lt;&gt;"", IFERROR(INDEX('بنود العقد'!I$3:I$388,D583), ""), ""))</f>
        <v>CMH_01-A-364</v>
      </c>
      <c r="M583" s="19"/>
    </row>
    <row r="584" spans="1:13" s="76" customFormat="1" ht="28.2" customHeight="1">
      <c r="A584" s="12">
        <v>582</v>
      </c>
      <c r="B584" s="6">
        <v>5</v>
      </c>
      <c r="C584" s="6" t="s">
        <v>250</v>
      </c>
      <c r="D584" s="6">
        <v>365</v>
      </c>
      <c r="E584" s="22" t="str">
        <f>IF(C584="استحداث بند جديد", "", IF(D584&lt;&gt;"", IFERROR(INDEX('بنود العقد'!B$3:B$388,D584), "⚠"), ""))</f>
        <v>رخام مون ستون غراي فاتح للدرج في الفناء الوسطي ب عرض 30 سم وارتفاع 15 سم وطول 800 سم.</v>
      </c>
      <c r="F584" s="23" t="str">
        <f>IF(C584="استحداث بند جديد", "", IF(D584&lt;&gt;"", IFERROR(INDEX('بنود العقد'!D$3:D$388,D584), ""), ""))</f>
        <v>م²</v>
      </c>
      <c r="G584" s="24">
        <f>IF(C584="استحداث بند جديد", "", IF(D584&lt;&gt;"", IFERROR(INDEX('بنود العقد'!E$3:E$388,D584), 0), ""))</f>
        <v>2475</v>
      </c>
      <c r="H584" s="7">
        <v>-16</v>
      </c>
      <c r="I584" s="8">
        <v>0</v>
      </c>
      <c r="J584" s="10">
        <f t="shared" si="3"/>
        <v>-39600</v>
      </c>
      <c r="K584" s="76" t="str">
        <f>IF(C584="استحداث بند جديد", "", IF(D584&lt;&gt;"", IFERROR(INDEX('بنود العقد'!C$3:C$388,D584), ""), ""))</f>
        <v>معماري</v>
      </c>
      <c r="L584" s="76" t="str">
        <f>IF(C584="استحداث بند جديد", IF(K584&lt;&gt;"","CMH_01-"&amp;IFERROR(VLOOKUP(K584,مراجع!$A$3:$B$14,2,FALSE),"?")&amp;"-NEW-"&amp;TEXT(A584,"000"),""), IF(D584&lt;&gt;"", IFERROR(INDEX('بنود العقد'!I$3:I$388,D584), ""), ""))</f>
        <v>CMH_01-A-365</v>
      </c>
      <c r="M584" s="19"/>
    </row>
    <row r="585" spans="1:13" s="76" customFormat="1" ht="28.2" customHeight="1">
      <c r="A585" s="12">
        <v>583</v>
      </c>
      <c r="B585" s="6">
        <v>5</v>
      </c>
      <c r="C585" s="6" t="s">
        <v>250</v>
      </c>
      <c r="D585" s="6">
        <v>366</v>
      </c>
      <c r="E585" s="22" t="str">
        <f>IF(C585="استحداث بند جديد", "", IF(D585&lt;&gt;"", IFERROR(INDEX('بنود العقد'!B$3:B$388,D585), "⚠"), ""))</f>
        <v>رخام مقله  ألواح مقاس 600× 600 مم بحسب اعتماد المهندس سماكة 20مم</v>
      </c>
      <c r="F585" s="23" t="str">
        <f>IF(C585="استحداث بند جديد", "", IF(D585&lt;&gt;"", IFERROR(INDEX('بنود العقد'!D$3:D$388,D585), ""), ""))</f>
        <v>م²</v>
      </c>
      <c r="G585" s="24">
        <f>IF(C585="استحداث بند جديد", "", IF(D585&lt;&gt;"", IFERROR(INDEX('بنود العقد'!E$3:E$388,D585), 0), ""))</f>
        <v>180</v>
      </c>
      <c r="H585" s="7">
        <v>-120</v>
      </c>
      <c r="I585" s="8">
        <v>0</v>
      </c>
      <c r="J585" s="10">
        <f t="shared" si="3"/>
        <v>-21600</v>
      </c>
      <c r="K585" s="76" t="str">
        <f>IF(C585="استحداث بند جديد", "", IF(D585&lt;&gt;"", IFERROR(INDEX('بنود العقد'!C$3:C$388,D585), ""), ""))</f>
        <v>معماري</v>
      </c>
      <c r="L585" s="76" t="str">
        <f>IF(C585="استحداث بند جديد", IF(K585&lt;&gt;"","CMH_01-"&amp;IFERROR(VLOOKUP(K585,مراجع!$A$3:$B$14,2,FALSE),"?")&amp;"-NEW-"&amp;TEXT(A585,"000"),""), IF(D585&lt;&gt;"", IFERROR(INDEX('بنود العقد'!I$3:I$388,D585), ""), ""))</f>
        <v>CMH_01-A-366</v>
      </c>
      <c r="M585" s="19"/>
    </row>
    <row r="586" spans="1:13" s="76" customFormat="1" ht="28.2" customHeight="1">
      <c r="A586" s="12">
        <v>584</v>
      </c>
      <c r="B586" s="6">
        <v>5</v>
      </c>
      <c r="C586" s="6" t="s">
        <v>250</v>
      </c>
      <c r="D586" s="6">
        <v>367</v>
      </c>
      <c r="E586" s="22" t="str">
        <f>IF(C586="استحداث بند جديد", "", IF(D586&lt;&gt;"", IFERROR(INDEX('بنود العقد'!B$3:B$388,D586), "⚠"), ""))</f>
        <v xml:space="preserve"> توريد و تركيب حوض خدمة  (JANITOR SINK) والبند يشمل كوع الصرف والخلاط وجميع ما يلزم للتركيب والتثبيت</v>
      </c>
      <c r="F586" s="23" t="str">
        <f>IF(C586="استحداث بند جديد", "", IF(D586&lt;&gt;"", IFERROR(INDEX('بنود العقد'!D$3:D$388,D586), ""), ""))</f>
        <v>عدد</v>
      </c>
      <c r="G586" s="24">
        <f>IF(C586="استحداث بند جديد", "", IF(D586&lt;&gt;"", IFERROR(INDEX('بنود العقد'!E$3:E$388,D586), 0), ""))</f>
        <v>2445</v>
      </c>
      <c r="H586" s="7">
        <v>-2</v>
      </c>
      <c r="I586" s="8">
        <v>0</v>
      </c>
      <c r="J586" s="10">
        <f t="shared" si="3"/>
        <v>-4890</v>
      </c>
      <c r="K586" s="76" t="str">
        <f>IF(C586="استحداث بند جديد", "", IF(D586&lt;&gt;"", IFERROR(INDEX('بنود العقد'!C$3:C$388,D586), ""), ""))</f>
        <v>ميكانيكا</v>
      </c>
      <c r="L586" s="76" t="str">
        <f>IF(C586="استحداث بند جديد", IF(K586&lt;&gt;"","CMH_01-"&amp;IFERROR(VLOOKUP(K586,مراجع!$A$3:$B$14,2,FALSE),"?")&amp;"-NEW-"&amp;TEXT(A586,"000"),""), IF(D586&lt;&gt;"", IFERROR(INDEX('بنود العقد'!I$3:I$388,D586), ""), ""))</f>
        <v>CMH_01-ME-367</v>
      </c>
      <c r="M586" s="19"/>
    </row>
    <row r="587" spans="1:13" s="76" customFormat="1" ht="28.2" customHeight="1">
      <c r="A587" s="12">
        <v>585</v>
      </c>
      <c r="B587" s="6">
        <v>5</v>
      </c>
      <c r="C587" s="6" t="s">
        <v>175</v>
      </c>
      <c r="D587" s="6">
        <v>368</v>
      </c>
      <c r="E587" s="22" t="str">
        <f>IF(C587="استحداث بند جديد", "", IF(D587&lt;&gt;"", IFERROR(INDEX('بنود العقد'!B$3:B$388,D587), "⚠"), ""))</f>
        <v>توريد وتركيب واختبار محبس LANDING VALVE مزود بمخفض ضغط داخلي قطر 2.5 بوصة</v>
      </c>
      <c r="F587" s="23" t="str">
        <f>IF(C587="استحداث بند جديد", "", IF(D587&lt;&gt;"", IFERROR(INDEX('بنود العقد'!D$3:D$388,D587), ""), ""))</f>
        <v>عدد</v>
      </c>
      <c r="G587" s="24">
        <f>IF(C587="استحداث بند جديد", "", IF(D587&lt;&gt;"", IFERROR(INDEX('بنود العقد'!E$3:E$388,D587), 0), ""))</f>
        <v>1380</v>
      </c>
      <c r="H587" s="7">
        <v>5</v>
      </c>
      <c r="I587" s="8">
        <v>0</v>
      </c>
      <c r="J587" s="10">
        <f t="shared" si="3"/>
        <v>6900</v>
      </c>
      <c r="K587" s="76" t="str">
        <f>IF(C587="استحداث بند جديد", "", IF(D587&lt;&gt;"", IFERROR(INDEX('بنود العقد'!C$3:C$388,D587), ""), ""))</f>
        <v>ميكانيكا</v>
      </c>
      <c r="L587" s="76" t="str">
        <f>IF(C587="استحداث بند جديد", IF(K587&lt;&gt;"","CMH_01-"&amp;IFERROR(VLOOKUP(K587,مراجع!$A$3:$B$14,2,FALSE),"?")&amp;"-NEW-"&amp;TEXT(A587,"000"),""), IF(D587&lt;&gt;"", IFERROR(INDEX('بنود العقد'!I$3:I$388,D587), ""), ""))</f>
        <v>CMH_01-ME-368</v>
      </c>
      <c r="M587" s="19"/>
    </row>
    <row r="588" spans="1:13" s="76" customFormat="1" ht="28.2" customHeight="1">
      <c r="A588" s="12">
        <v>586</v>
      </c>
      <c r="B588" s="6">
        <v>5</v>
      </c>
      <c r="C588" s="6" t="s">
        <v>175</v>
      </c>
      <c r="D588" s="6">
        <v>369</v>
      </c>
      <c r="E588" s="22" t="str">
        <f>IF(C588="استحداث بند جديد", "", IF(D588&lt;&gt;"", IFERROR(INDEX('بنود العقد'!B$3:B$388,D588), "⚠"), ""))</f>
        <v xml:space="preserve">توريد وتركيب صندوق غاطس يوضع بداخله محبس 
LANDING VALVE </v>
      </c>
      <c r="F588" s="23" t="str">
        <f>IF(C588="استحداث بند جديد", "", IF(D588&lt;&gt;"", IFERROR(INDEX('بنود العقد'!D$3:D$388,D588), ""), ""))</f>
        <v>عدد</v>
      </c>
      <c r="G588" s="24">
        <f>IF(C588="استحداث بند جديد", "", IF(D588&lt;&gt;"", IFERROR(INDEX('بنود العقد'!E$3:E$388,D588), 0), ""))</f>
        <v>1176</v>
      </c>
      <c r="H588" s="7">
        <v>5</v>
      </c>
      <c r="I588" s="8">
        <v>0</v>
      </c>
      <c r="J588" s="10">
        <f t="shared" si="3"/>
        <v>5880</v>
      </c>
      <c r="K588" s="76" t="str">
        <f>IF(C588="استحداث بند جديد", "", IF(D588&lt;&gt;"", IFERROR(INDEX('بنود العقد'!C$3:C$388,D588), ""), ""))</f>
        <v>ميكانيكا</v>
      </c>
      <c r="L588" s="76" t="str">
        <f>IF(C588="استحداث بند جديد", IF(K588&lt;&gt;"","CMH_01-"&amp;IFERROR(VLOOKUP(K588,مراجع!$A$3:$B$14,2,FALSE),"?")&amp;"-NEW-"&amp;TEXT(A588,"000"),""), IF(D588&lt;&gt;"", IFERROR(INDEX('بنود العقد'!I$3:I$388,D588), ""), ""))</f>
        <v>CMH_01-ME-369</v>
      </c>
      <c r="M588" s="19"/>
    </row>
    <row r="589" spans="1:13" s="74" customFormat="1" ht="28.2" customHeight="1">
      <c r="A589" s="12">
        <v>587</v>
      </c>
      <c r="B589" s="6">
        <v>3</v>
      </c>
      <c r="C589" s="6" t="s">
        <v>175</v>
      </c>
      <c r="D589" s="6">
        <v>370</v>
      </c>
      <c r="E589" s="22" t="str">
        <f>IF(C589="استحداث بند جديد", "", IF(D589&lt;&gt;"", IFERROR(INDEX('بنود العقد'!B$3:B$388,D589), "⚠"), ""))</f>
        <v xml:space="preserve">توريد وتركيب جدار خشبى مقاوم للحريق </v>
      </c>
      <c r="F589" s="23" t="str">
        <f>IF(C589="استحداث بند جديد", "", IF(D589&lt;&gt;"", IFERROR(INDEX('بنود العقد'!D$3:D$388,D589), ""), ""))</f>
        <v>م²</v>
      </c>
      <c r="G589" s="24">
        <f>IF(C589="استحداث بند جديد", "", IF(D589&lt;&gt;"", IFERROR(INDEX('بنود العقد'!E$3:E$388,D589), 0), ""))</f>
        <v>2634.65</v>
      </c>
      <c r="H589" s="7">
        <v>117</v>
      </c>
      <c r="I589" s="8">
        <v>90</v>
      </c>
      <c r="J589" s="10">
        <f t="shared" si="0"/>
        <v>308254.05</v>
      </c>
      <c r="K589" s="74" t="str">
        <f>IF(C589="استحداث بند جديد", "", IF(D589&lt;&gt;"", IFERROR(INDEX('بنود العقد'!C$3:C$388,D589), ""), ""))</f>
        <v>معماري</v>
      </c>
      <c r="L589" s="74" t="str">
        <f>IF(C589="استحداث بند جديد", IF(K589&lt;&gt;"","CMH_01-"&amp;IFERROR(VLOOKUP(K589,مراجع!$A$3:$B$14,2,FALSE),"?")&amp;"-NEW-"&amp;TEXT(A589,"000"),""), IF(D589&lt;&gt;"", IFERROR(INDEX('بنود العقد'!I$3:I$388,D589), ""), ""))</f>
        <v>CMH_01-A-370</v>
      </c>
      <c r="M589" s="19"/>
    </row>
    <row r="590" spans="1:13" s="74" customFormat="1" ht="28.2" customHeight="1">
      <c r="A590" s="12">
        <v>588</v>
      </c>
      <c r="B590" s="6">
        <v>3</v>
      </c>
      <c r="C590" s="6" t="s">
        <v>175</v>
      </c>
      <c r="D590" s="6">
        <v>371</v>
      </c>
      <c r="E590" s="22" t="str">
        <f>IF(C590="استحداث بند جديد", "", IF(D590&lt;&gt;"", IFERROR(INDEX('بنود العقد'!B$3:B$388,D590), "⚠"), ""))</f>
        <v xml:space="preserve">توريد وتركيب باب خشبى مقاوم للحريق </v>
      </c>
      <c r="F590" s="23" t="str">
        <f>IF(C590="استحداث بند جديد", "", IF(D590&lt;&gt;"", IFERROR(INDEX('بنود العقد'!D$3:D$388,D590), ""), ""))</f>
        <v>عدد</v>
      </c>
      <c r="G590" s="24">
        <f>IF(C590="استحداث بند جديد", "", IF(D590&lt;&gt;"", IFERROR(INDEX('بنود العقد'!E$3:E$388,D590), 0), ""))</f>
        <v>9368.5499999999993</v>
      </c>
      <c r="H590" s="7">
        <v>13</v>
      </c>
      <c r="I590" s="8">
        <v>90</v>
      </c>
      <c r="J590" s="10">
        <f t="shared" si="0"/>
        <v>121791.15</v>
      </c>
      <c r="K590" s="74" t="str">
        <f>IF(C590="استحداث بند جديد", "", IF(D590&lt;&gt;"", IFERROR(INDEX('بنود العقد'!C$3:C$388,D590), ""), ""))</f>
        <v>معماري</v>
      </c>
      <c r="L590" s="74" t="str">
        <f>IF(C590="استحداث بند جديد", IF(K590&lt;&gt;"","CMH_01-"&amp;IFERROR(VLOOKUP(K590,مراجع!$A$3:$B$14,2,FALSE),"?")&amp;"-NEW-"&amp;TEXT(A590,"000"),""), IF(D590&lt;&gt;"", IFERROR(INDEX('بنود العقد'!I$3:I$388,D590), ""), ""))</f>
        <v>CMH_01-A-371</v>
      </c>
      <c r="M590" s="19"/>
    </row>
    <row r="591" spans="1:13" s="74" customFormat="1" ht="28.2" customHeight="1">
      <c r="A591" s="12">
        <v>589</v>
      </c>
      <c r="B591" s="6">
        <v>3</v>
      </c>
      <c r="C591" s="6" t="s">
        <v>175</v>
      </c>
      <c r="D591" s="6">
        <v>372</v>
      </c>
      <c r="E591" s="22" t="str">
        <f>IF(C591="استحداث بند جديد", "", IF(D591&lt;&gt;"", IFERROR(INDEX('بنود العقد'!B$3:B$388,D591), "⚠"), ""))</f>
        <v>توريد وتركيب بورسلان للمبنى PW-01(A)-SUTILEGRIS PULIDO</v>
      </c>
      <c r="F591" s="23" t="str">
        <f>IF(C591="استحداث بند جديد", "", IF(D591&lt;&gt;"", IFERROR(INDEX('بنود العقد'!D$3:D$388,D591), ""), ""))</f>
        <v>م²</v>
      </c>
      <c r="G591" s="24">
        <f>IF(C591="استحداث بند جديد", "", IF(D591&lt;&gt;"", IFERROR(INDEX('بنود العقد'!E$3:E$388,D591), 0), ""))</f>
        <v>186.63</v>
      </c>
      <c r="H591" s="7">
        <v>921</v>
      </c>
      <c r="I591" s="8">
        <v>90</v>
      </c>
      <c r="J591" s="10">
        <f t="shared" si="0"/>
        <v>171886.22999999998</v>
      </c>
      <c r="K591" s="74" t="str">
        <f>IF(C591="استحداث بند جديد", "", IF(D591&lt;&gt;"", IFERROR(INDEX('بنود العقد'!C$3:C$388,D591), ""), ""))</f>
        <v>معماري</v>
      </c>
      <c r="L591" s="74" t="str">
        <f>IF(C591="استحداث بند جديد", IF(K591&lt;&gt;"","CMH_01-"&amp;IFERROR(VLOOKUP(K591,مراجع!$A$3:$B$14,2,FALSE),"?")&amp;"-NEW-"&amp;TEXT(A591,"000"),""), IF(D591&lt;&gt;"", IFERROR(INDEX('بنود العقد'!I$3:I$388,D591), ""), ""))</f>
        <v>CMH_01-A-372</v>
      </c>
      <c r="M591" s="19"/>
    </row>
    <row r="592" spans="1:13" ht="28.2" customHeight="1">
      <c r="A592" s="12">
        <v>590</v>
      </c>
      <c r="B592" s="6">
        <v>3</v>
      </c>
      <c r="C592" s="6" t="s">
        <v>175</v>
      </c>
      <c r="D592" s="6">
        <v>373</v>
      </c>
      <c r="E592" s="22" t="str">
        <f>IF(C592="استحداث بند جديد", "", IF(D592&lt;&gt;"", IFERROR(INDEX('بنود العقد'!B$3:B$388,D592), "⚠"), ""))</f>
        <v>توريد وتركيب بورسلان للمبنى PW-02-A(VANGLISH PULIDO)</v>
      </c>
      <c r="F592" s="23" t="str">
        <f>IF(C592="استحداث بند جديد", "", IF(D592&lt;&gt;"", IFERROR(INDEX('بنود العقد'!D$3:D$388,D592), ""), ""))</f>
        <v>م²</v>
      </c>
      <c r="G592" s="24">
        <f>IF(C592="استحداث بند جديد", "", IF(D592&lt;&gt;"", IFERROR(INDEX('بنود العقد'!E$3:E$388,D592), 0), ""))</f>
        <v>186.63</v>
      </c>
      <c r="H592" s="7">
        <v>782</v>
      </c>
      <c r="I592" s="8">
        <v>90</v>
      </c>
      <c r="J592" s="10">
        <f t="shared" si="0"/>
        <v>145944.66</v>
      </c>
      <c r="K592" s="74" t="str">
        <f>IF(C592="استحداث بند جديد", "", IF(D592&lt;&gt;"", IFERROR(INDEX('بنود العقد'!C$3:C$388,D592), ""), ""))</f>
        <v>معماري</v>
      </c>
      <c r="L592" s="74" t="str">
        <f>IF(C592="استحداث بند جديد", IF(K592&lt;&gt;"","CMH_01-"&amp;IFERROR(VLOOKUP(K592,مراجع!$A$3:$B$14,2,FALSE),"?")&amp;"-NEW-"&amp;TEXT(A592,"000"),""), IF(D592&lt;&gt;"", IFERROR(INDEX('بنود العقد'!I$3:I$388,D592), ""), ""))</f>
        <v>CMH_01-A-373</v>
      </c>
      <c r="M592" s="19"/>
    </row>
    <row r="593" spans="1:13" ht="28.2" customHeight="1">
      <c r="A593" s="12">
        <v>591</v>
      </c>
      <c r="B593" s="6">
        <v>3</v>
      </c>
      <c r="C593" s="6" t="s">
        <v>175</v>
      </c>
      <c r="D593" s="6">
        <v>374</v>
      </c>
      <c r="E593" s="22" t="str">
        <f>IF(C593="استحداث بند جديد", "", IF(D593&lt;&gt;"", IFERROR(INDEX('بنود العقد'!B$3:B$388,D593), "⚠"), ""))</f>
        <v>توريد وتركيب بورسلان للمبنى PW-03-B(ATLANTIDA)</v>
      </c>
      <c r="F593" s="23" t="str">
        <f>IF(C593="استحداث بند جديد", "", IF(D593&lt;&gt;"", IFERROR(INDEX('بنود العقد'!D$3:D$388,D593), ""), ""))</f>
        <v>م²</v>
      </c>
      <c r="G593" s="24">
        <f>IF(C593="استحداث بند جديد", "", IF(D593&lt;&gt;"", IFERROR(INDEX('بنود العقد'!E$3:E$388,D593), 0), ""))</f>
        <v>232.88</v>
      </c>
      <c r="H593" s="7">
        <v>130</v>
      </c>
      <c r="I593" s="8">
        <v>90</v>
      </c>
      <c r="J593" s="10">
        <f t="shared" si="0"/>
        <v>30274.399999999998</v>
      </c>
      <c r="K593" s="74" t="str">
        <f>IF(C593="استحداث بند جديد", "", IF(D593&lt;&gt;"", IFERROR(INDEX('بنود العقد'!C$3:C$388,D593), ""), ""))</f>
        <v>معماري</v>
      </c>
      <c r="L593" s="74" t="str">
        <f>IF(C593="استحداث بند جديد", IF(K593&lt;&gt;"","CMH_01-"&amp;IFERROR(VLOOKUP(K593,مراجع!$A$3:$B$14,2,FALSE),"?")&amp;"-NEW-"&amp;TEXT(A593,"000"),""), IF(D593&lt;&gt;"", IFERROR(INDEX('بنود العقد'!I$3:I$388,D593), ""), ""))</f>
        <v>CMH_01-A-374</v>
      </c>
      <c r="M593" s="19"/>
    </row>
    <row r="594" spans="1:13" ht="28.2" customHeight="1">
      <c r="A594" s="12">
        <v>592</v>
      </c>
      <c r="B594" s="6">
        <v>3</v>
      </c>
      <c r="C594" s="6" t="s">
        <v>175</v>
      </c>
      <c r="D594" s="6">
        <v>375</v>
      </c>
      <c r="E594" s="22" t="str">
        <f>IF(C594="استحداث بند جديد", "", IF(D594&lt;&gt;"", IFERROR(INDEX('بنود العقد'!B$3:B$388,D594), "⚠"), ""))</f>
        <v xml:space="preserve">توريد وتركيب  SHOWER SET </v>
      </c>
      <c r="F594" s="23" t="str">
        <f>IF(C594="استحداث بند جديد", "", IF(D594&lt;&gt;"", IFERROR(INDEX('بنود العقد'!D$3:D$388,D594), ""), ""))</f>
        <v>عدد</v>
      </c>
      <c r="G594" s="24">
        <f>IF(C594="استحداث بند جديد", "", IF(D594&lt;&gt;"", IFERROR(INDEX('بنود العقد'!E$3:E$388,D594), 0), ""))</f>
        <v>2080.8000000000002</v>
      </c>
      <c r="H594" s="7">
        <v>14</v>
      </c>
      <c r="I594" s="8">
        <v>90</v>
      </c>
      <c r="J594" s="10">
        <f t="shared" si="0"/>
        <v>29131.200000000004</v>
      </c>
      <c r="K594" s="74" t="str">
        <f>IF(C594="استحداث بند جديد", "", IF(D594&lt;&gt;"", IFERROR(INDEX('بنود العقد'!C$3:C$388,D594), ""), ""))</f>
        <v>ميكانيكا</v>
      </c>
      <c r="L594" s="74" t="str">
        <f>IF(C594="استحداث بند جديد", IF(K594&lt;&gt;"","CMH_01-"&amp;IFERROR(VLOOKUP(K594,مراجع!$A$3:$B$14,2,FALSE),"?")&amp;"-NEW-"&amp;TEXT(A594,"000"),""), IF(D594&lt;&gt;"", IFERROR(INDEX('بنود العقد'!I$3:I$388,D594), ""), ""))</f>
        <v>CMH_01-ME-375</v>
      </c>
      <c r="M594" s="19"/>
    </row>
    <row r="595" spans="1:13" ht="28.2" customHeight="1">
      <c r="A595" s="12">
        <v>593</v>
      </c>
      <c r="B595" s="6">
        <v>3</v>
      </c>
      <c r="C595" s="6" t="s">
        <v>175</v>
      </c>
      <c r="D595" s="6">
        <v>376</v>
      </c>
      <c r="E595" s="22" t="str">
        <f>IF(C595="استحداث بند جديد", "", IF(D595&lt;&gt;"", IFERROR(INDEX('بنود العقد'!B$3:B$388,D595), "⚠"), ""))</f>
        <v>توريد وتركيب واختبار وتشغيل DUCT SMOKE DEECTORS</v>
      </c>
      <c r="F595" s="23" t="str">
        <f>IF(C595="استحداث بند جديد", "", IF(D595&lt;&gt;"", IFERROR(INDEX('بنود العقد'!D$3:D$388,D595), ""), ""))</f>
        <v>عدد</v>
      </c>
      <c r="G595" s="24">
        <f>IF(C595="استحداث بند جديد", "", IF(D595&lt;&gt;"", IFERROR(INDEX('بنود العقد'!E$3:E$388,D595), 0), ""))</f>
        <v>1471.34</v>
      </c>
      <c r="H595" s="7">
        <v>24</v>
      </c>
      <c r="I595" s="8">
        <v>90</v>
      </c>
      <c r="J595" s="10">
        <f t="shared" si="0"/>
        <v>35312.159999999996</v>
      </c>
      <c r="K595" s="74" t="str">
        <f>IF(C595="استحداث بند جديد", "", IF(D595&lt;&gt;"", IFERROR(INDEX('بنود العقد'!C$3:C$388,D595), ""), ""))</f>
        <v>ميكانيكا</v>
      </c>
      <c r="L595" s="74" t="str">
        <f>IF(C595="استحداث بند جديد", IF(K595&lt;&gt;"","CMH_01-"&amp;IFERROR(VLOOKUP(K595,مراجع!$A$3:$B$14,2,FALSE),"?")&amp;"-NEW-"&amp;TEXT(A595,"000"),""), IF(D595&lt;&gt;"", IFERROR(INDEX('بنود العقد'!I$3:I$388,D595), ""), ""))</f>
        <v>CMH_01-ME-376</v>
      </c>
      <c r="M595" s="19"/>
    </row>
    <row r="596" spans="1:13" ht="28.2" customHeight="1">
      <c r="A596" s="12">
        <v>594</v>
      </c>
      <c r="B596" s="6">
        <v>3</v>
      </c>
      <c r="C596" s="6" t="s">
        <v>175</v>
      </c>
      <c r="D596" s="6">
        <v>377</v>
      </c>
      <c r="E596" s="22" t="str">
        <f>IF(C596="استحداث بند جديد", "", IF(D596&lt;&gt;"", IFERROR(INDEX('بنود العقد'!B$3:B$388,D596), "⚠"), ""))</f>
        <v>توريد وتركيب واختبار وتشغيل MULTIDEECTORS</v>
      </c>
      <c r="F596" s="23" t="str">
        <f>IF(C596="استحداث بند جديد", "", IF(D596&lt;&gt;"", IFERROR(INDEX('بنود العقد'!D$3:D$388,D596), ""), ""))</f>
        <v>عدد</v>
      </c>
      <c r="G596" s="24">
        <f>IF(C596="استحداث بند جديد", "", IF(D596&lt;&gt;"", IFERROR(INDEX('بنود العقد'!E$3:E$388,D596), 0), ""))</f>
        <v>761</v>
      </c>
      <c r="H596" s="7">
        <v>36</v>
      </c>
      <c r="I596" s="8">
        <v>90</v>
      </c>
      <c r="J596" s="10">
        <f t="shared" si="0"/>
        <v>27396</v>
      </c>
      <c r="K596" s="74" t="str">
        <f>IF(C596="استحداث بند جديد", "", IF(D596&lt;&gt;"", IFERROR(INDEX('بنود العقد'!C$3:C$388,D596), ""), ""))</f>
        <v>ميكانيكا</v>
      </c>
      <c r="L596" s="74" t="str">
        <f>IF(C596="استحداث بند جديد", IF(K596&lt;&gt;"","CMH_01-"&amp;IFERROR(VLOOKUP(K596,مراجع!$A$3:$B$14,2,FALSE),"?")&amp;"-NEW-"&amp;TEXT(A596,"000"),""), IF(D596&lt;&gt;"", IFERROR(INDEX('بنود العقد'!I$3:I$388,D596), ""), ""))</f>
        <v>CMH_01-ME-377</v>
      </c>
      <c r="M596" s="19"/>
    </row>
    <row r="597" spans="1:13" s="74" customFormat="1" ht="28.2" customHeight="1">
      <c r="A597" s="12">
        <v>595</v>
      </c>
      <c r="B597" s="6">
        <v>3</v>
      </c>
      <c r="C597" s="6" t="s">
        <v>175</v>
      </c>
      <c r="D597" s="6">
        <v>378</v>
      </c>
      <c r="E597" s="22" t="str">
        <f>IF(C597="استحداث بند جديد", "", IF(D597&lt;&gt;"", IFERROR(INDEX('بنود العقد'!B$3:B$388,D597), "⚠"), ""))</f>
        <v xml:space="preserve">بالمتر المسطح توريد وتركيب قماش ستائر(Roller Blind)والسعر يشمل التوريد والتركيب </v>
      </c>
      <c r="F597" s="23" t="str">
        <f>IF(C597="استحداث بند جديد", "", IF(D597&lt;&gt;"", IFERROR(INDEX('بنود العقد'!D$3:D$388,D597), ""), ""))</f>
        <v>م²</v>
      </c>
      <c r="G597" s="24">
        <f>IF(C597="استحداث بند جديد", "", IF(D597&lt;&gt;"", IFERROR(INDEX('بنود العقد'!E$3:E$388,D597), 0), ""))</f>
        <v>77.099999999999994</v>
      </c>
      <c r="H597" s="7">
        <v>1180</v>
      </c>
      <c r="I597" s="8">
        <v>90</v>
      </c>
      <c r="J597" s="10">
        <f t="shared" si="0"/>
        <v>90978</v>
      </c>
      <c r="K597" s="74" t="str">
        <f>IF(C597="استحداث بند جديد", "", IF(D597&lt;&gt;"", IFERROR(INDEX('بنود العقد'!C$3:C$388,D597), ""), ""))</f>
        <v>معماري</v>
      </c>
      <c r="L597" s="74" t="str">
        <f>IF(C597="استحداث بند جديد", IF(K597&lt;&gt;"","CMH_01-"&amp;IFERROR(VLOOKUP(K597,مراجع!$A$3:$B$14,2,FALSE),"?")&amp;"-NEW-"&amp;TEXT(A597,"000"),""), IF(D597&lt;&gt;"", IFERROR(INDEX('بنود العقد'!I$3:I$388,D597), ""), ""))</f>
        <v>CMH_01-A-378</v>
      </c>
      <c r="M597" s="19"/>
    </row>
    <row r="598" spans="1:13" s="74" customFormat="1" ht="28.2" customHeight="1">
      <c r="A598" s="12">
        <v>596</v>
      </c>
      <c r="B598" s="6">
        <v>3</v>
      </c>
      <c r="C598" s="6" t="s">
        <v>175</v>
      </c>
      <c r="D598" s="6">
        <v>379</v>
      </c>
      <c r="E598" s="22" t="str">
        <f>IF(C598="استحداث بند جديد", "", IF(D598&lt;&gt;"", IFERROR(INDEX('بنود العقد'!B$3:B$388,D598), "⚠"), ""))</f>
        <v xml:space="preserve">بالعدد توريد موتور سومفي فرنسي والسعر يشعمل التوريد والتركيب </v>
      </c>
      <c r="F598" s="23" t="str">
        <f>IF(C598="استحداث بند جديد", "", IF(D598&lt;&gt;"", IFERROR(INDEX('بنود العقد'!D$3:D$388,D598), ""), ""))</f>
        <v>عدد</v>
      </c>
      <c r="G598" s="24">
        <f>IF(C598="استحداث بند جديد", "", IF(D598&lt;&gt;"", IFERROR(INDEX('بنود العقد'!E$3:E$388,D598), 0), ""))</f>
        <v>1409.26</v>
      </c>
      <c r="H598" s="7">
        <v>52</v>
      </c>
      <c r="I598" s="8">
        <v>90</v>
      </c>
      <c r="J598" s="10">
        <f t="shared" si="0"/>
        <v>73281.52</v>
      </c>
      <c r="K598" s="74" t="str">
        <f>IF(C598="استحداث بند جديد", "", IF(D598&lt;&gt;"", IFERROR(INDEX('بنود العقد'!C$3:C$388,D598), ""), ""))</f>
        <v>كهرباء</v>
      </c>
      <c r="L598" s="74" t="str">
        <f>IF(C598="استحداث بند جديد", IF(K598&lt;&gt;"","CMH_01-"&amp;IFERROR(VLOOKUP(K598,مراجع!$A$3:$B$14,2,FALSE),"?")&amp;"-NEW-"&amp;TEXT(A598,"000"),""), IF(D598&lt;&gt;"", IFERROR(INDEX('بنود العقد'!I$3:I$388,D598), ""), ""))</f>
        <v>CMH_01-EE-379</v>
      </c>
      <c r="M598" s="19"/>
    </row>
    <row r="599" spans="1:13" s="74" customFormat="1" ht="28.2" customHeight="1">
      <c r="A599" s="12">
        <v>597</v>
      </c>
      <c r="B599" s="6">
        <v>3</v>
      </c>
      <c r="C599" s="6" t="s">
        <v>175</v>
      </c>
      <c r="D599" s="6">
        <v>380</v>
      </c>
      <c r="E599" s="22" t="str">
        <f>IF(C599="استحداث بند جديد", "", IF(D599&lt;&gt;"", IFERROR(INDEX('بنود العقد'!B$3:B$388,D599), "⚠"), ""))</f>
        <v xml:space="preserve">بالعدد توريدریموت سومفي  5قناه والسعر يشعمل التوريد والتركيب </v>
      </c>
      <c r="F599" s="23" t="str">
        <f>IF(C599="استحداث بند جديد", "", IF(D599&lt;&gt;"", IFERROR(INDEX('بنود العقد'!D$3:D$388,D599), ""), ""))</f>
        <v>عدد</v>
      </c>
      <c r="G599" s="24">
        <f>IF(C599="استحداث بند جديد", "", IF(D599&lt;&gt;"", IFERROR(INDEX('بنود العقد'!E$3:E$388,D599), 0), ""))</f>
        <v>338.83</v>
      </c>
      <c r="H599" s="7">
        <v>13</v>
      </c>
      <c r="I599" s="8">
        <v>90</v>
      </c>
      <c r="J599" s="10">
        <f t="shared" si="0"/>
        <v>4404.79</v>
      </c>
      <c r="K599" s="74" t="str">
        <f>IF(C599="استحداث بند جديد", "", IF(D599&lt;&gt;"", IFERROR(INDEX('بنود العقد'!C$3:C$388,D599), ""), ""))</f>
        <v>كهرباء</v>
      </c>
      <c r="L599" s="74" t="str">
        <f>IF(C599="استحداث بند جديد", IF(K599&lt;&gt;"","CMH_01-"&amp;IFERROR(VLOOKUP(K599,مراجع!$A$3:$B$14,2,FALSE),"?")&amp;"-NEW-"&amp;TEXT(A599,"000"),""), IF(D599&lt;&gt;"", IFERROR(INDEX('بنود العقد'!I$3:I$388,D599), ""), ""))</f>
        <v>CMH_01-EE-380</v>
      </c>
      <c r="M599" s="19"/>
    </row>
    <row r="600" spans="1:13" s="74" customFormat="1" ht="28.2" customHeight="1">
      <c r="A600" s="12">
        <v>598</v>
      </c>
      <c r="B600" s="6">
        <v>3</v>
      </c>
      <c r="C600" s="6" t="s">
        <v>175</v>
      </c>
      <c r="D600" s="6">
        <v>381</v>
      </c>
      <c r="E600" s="22" t="str">
        <f>IF(C600="استحداث بند جديد", "", IF(D600&lt;&gt;"", IFERROR(INDEX('بنود العقد'!B$3:B$388,D600), "⚠"), ""))</f>
        <v xml:space="preserve">بالعدد توريدریموت سومفي  1قناه والسعر يشعمل التوريد والتركيب  </v>
      </c>
      <c r="F600" s="23" t="str">
        <f>IF(C600="استحداث بند جديد", "", IF(D600&lt;&gt;"", IFERROR(INDEX('بنود العقد'!D$3:D$388,D600), ""), ""))</f>
        <v>عدد</v>
      </c>
      <c r="G600" s="24">
        <f>IF(C600="استحداث بند جديد", "", IF(D600&lt;&gt;"", IFERROR(INDEX('بنود العقد'!E$3:E$388,D600), 0), ""))</f>
        <v>298.98</v>
      </c>
      <c r="H600" s="7">
        <v>13</v>
      </c>
      <c r="I600" s="8">
        <v>90</v>
      </c>
      <c r="J600" s="10">
        <f t="shared" si="0"/>
        <v>3886.7400000000002</v>
      </c>
      <c r="K600" s="74" t="str">
        <f>IF(C600="استحداث بند جديد", "", IF(D600&lt;&gt;"", IFERROR(INDEX('بنود العقد'!C$3:C$388,D600), ""), ""))</f>
        <v>كهرباء</v>
      </c>
      <c r="L600" s="74" t="str">
        <f>IF(C600="استحداث بند جديد", IF(K600&lt;&gt;"","CMH_01-"&amp;IFERROR(VLOOKUP(K600,مراجع!$A$3:$B$14,2,FALSE),"?")&amp;"-NEW-"&amp;TEXT(A600,"000"),""), IF(D600&lt;&gt;"", IFERROR(INDEX('بنود العقد'!I$3:I$388,D600), ""), ""))</f>
        <v>CMH_01-EE-381</v>
      </c>
      <c r="M600" s="19"/>
    </row>
    <row r="601" spans="1:13" s="74" customFormat="1" ht="28.2" customHeight="1">
      <c r="A601" s="12">
        <v>599</v>
      </c>
      <c r="B601" s="6">
        <v>4</v>
      </c>
      <c r="C601" s="6" t="s">
        <v>175</v>
      </c>
      <c r="D601" s="6">
        <v>382</v>
      </c>
      <c r="E601" s="22" t="str">
        <f>IF(C601="استحداث بند جديد", "", IF(D601&lt;&gt;"", IFERROR(INDEX('بنود العقد'!B$3:B$388,D601), "⚠"), ""))</f>
        <v xml:space="preserve">توريد وتركيب كوريان للمطابخ للدور الثالث </v>
      </c>
      <c r="F601" s="23" t="str">
        <f>IF(C601="استحداث بند جديد", "", IF(D601&lt;&gt;"", IFERROR(INDEX('بنود العقد'!D$3:D$388,D601), ""), ""))</f>
        <v>عدد</v>
      </c>
      <c r="G601" s="24">
        <f>IF(C601="استحداث بند جديد", "", IF(D601&lt;&gt;"", IFERROR(INDEX('بنود العقد'!E$3:E$388,D601), 0), ""))</f>
        <v>9000</v>
      </c>
      <c r="H601" s="7">
        <v>3</v>
      </c>
      <c r="I601" s="8">
        <v>120</v>
      </c>
      <c r="J601" s="10">
        <f t="shared" si="0"/>
        <v>27000</v>
      </c>
      <c r="K601" s="74" t="str">
        <f>IF(C601="استحداث بند جديد", "", IF(D601&lt;&gt;"", IFERROR(INDEX('بنود العقد'!C$3:C$388,D601), ""), ""))</f>
        <v>معماري</v>
      </c>
      <c r="L601" s="74" t="str">
        <f>IF(C601="استحداث بند جديد", IF(K601&lt;&gt;"","CMH_01-"&amp;IFERROR(VLOOKUP(K601,مراجع!$A$3:$B$14,2,FALSE),"?")&amp;"-NEW-"&amp;TEXT(A601,"000"),""), IF(D601&lt;&gt;"", IFERROR(INDEX('بنود العقد'!I$3:I$388,D601), ""), ""))</f>
        <v>CMH_01-A-382</v>
      </c>
      <c r="M601" s="19"/>
    </row>
    <row r="602" spans="1:13" s="74" customFormat="1" ht="28.2" customHeight="1">
      <c r="A602" s="12">
        <v>600</v>
      </c>
      <c r="B602" s="6">
        <v>4</v>
      </c>
      <c r="C602" s="6" t="s">
        <v>175</v>
      </c>
      <c r="D602" s="6">
        <v>383</v>
      </c>
      <c r="E602" s="22" t="str">
        <f>IF(C602="استحداث بند جديد", "", IF(D602&lt;&gt;"", IFERROR(INDEX('بنود العقد'!B$3:B$388,D602), "⚠"), ""))</f>
        <v xml:space="preserve">توريد وتركيب رخام بيترا جراى للمينى سماكة 20 مم </v>
      </c>
      <c r="F602" s="23" t="str">
        <f>IF(C602="استحداث بند جديد", "", IF(D602&lt;&gt;"", IFERROR(INDEX('بنود العقد'!D$3:D$388,D602), ""), ""))</f>
        <v>عدد</v>
      </c>
      <c r="G602" s="24">
        <f>IF(C602="استحداث بند جديد", "", IF(D602&lt;&gt;"", IFERROR(INDEX('بنود العقد'!E$3:E$388,D602), 0), ""))</f>
        <v>6600</v>
      </c>
      <c r="H602" s="7">
        <v>10</v>
      </c>
      <c r="I602" s="8">
        <v>120</v>
      </c>
      <c r="J602" s="10">
        <f t="shared" si="0"/>
        <v>66000</v>
      </c>
      <c r="K602" s="74" t="str">
        <f>IF(C602="استحداث بند جديد", "", IF(D602&lt;&gt;"", IFERROR(INDEX('بنود العقد'!C$3:C$388,D602), ""), ""))</f>
        <v>معماري</v>
      </c>
      <c r="L602" s="74" t="str">
        <f>IF(C602="استحداث بند جديد", IF(K602&lt;&gt;"","CMH_01-"&amp;IFERROR(VLOOKUP(K602,مراجع!$A$3:$B$14,2,FALSE),"?")&amp;"-NEW-"&amp;TEXT(A602,"000"),""), IF(D602&lt;&gt;"", IFERROR(INDEX('بنود العقد'!I$3:I$388,D602), ""), ""))</f>
        <v>CMH_01-A-383</v>
      </c>
      <c r="M602" s="19"/>
    </row>
    <row r="603" spans="1:13" ht="28.2" customHeight="1">
      <c r="A603" s="12">
        <v>601</v>
      </c>
      <c r="B603" s="6">
        <v>4</v>
      </c>
      <c r="C603" s="6" t="s">
        <v>175</v>
      </c>
      <c r="D603" s="6">
        <v>384</v>
      </c>
      <c r="E603" s="22" t="str">
        <f>IF(C603="استحداث بند جديد", "", IF(D603&lt;&gt;"", IFERROR(INDEX('بنود العقد'!B$3:B$388,D603), "⚠"), ""))</f>
        <v>توريد وتركيب واختبار كابل 4*10 مم2 مع عزل حرارى بلاستيك PVC/PVC</v>
      </c>
      <c r="F603" s="23" t="str">
        <f>IF(C603="استحداث بند جديد", "", IF(D603&lt;&gt;"", IFERROR(INDEX('بنود العقد'!D$3:D$388,D603), ""), ""))</f>
        <v>م.ط</v>
      </c>
      <c r="G603" s="24">
        <f>IF(C603="استحداث بند جديد", "", IF(D603&lt;&gt;"", IFERROR(INDEX('بنود العقد'!E$3:E$388,D603), 0), ""))</f>
        <v>55.37</v>
      </c>
      <c r="H603" s="7">
        <v>1190</v>
      </c>
      <c r="I603" s="8">
        <v>120</v>
      </c>
      <c r="J603" s="10">
        <f t="shared" si="0"/>
        <v>65890.3</v>
      </c>
      <c r="K603" s="74" t="str">
        <f>IF(C603="استحداث بند جديد", "", IF(D603&lt;&gt;"", IFERROR(INDEX('بنود العقد'!C$3:C$388,D603), ""), ""))</f>
        <v>كهرباء</v>
      </c>
      <c r="L603" s="74" t="str">
        <f>IF(C603="استحداث بند جديد", IF(K603&lt;&gt;"","CMH_01-"&amp;IFERROR(VLOOKUP(K603,مراجع!$A$3:$B$14,2,FALSE),"?")&amp;"-NEW-"&amp;TEXT(A603,"000"),""), IF(D603&lt;&gt;"", IFERROR(INDEX('بنود العقد'!I$3:I$388,D603), ""), ""))</f>
        <v>CMH_01-EE-384</v>
      </c>
      <c r="M603" s="19"/>
    </row>
    <row r="604" spans="1:13" ht="28.2" customHeight="1">
      <c r="A604" s="12">
        <v>602</v>
      </c>
      <c r="B604" s="6">
        <v>4</v>
      </c>
      <c r="C604" s="6" t="s">
        <v>175</v>
      </c>
      <c r="D604" s="6">
        <v>385</v>
      </c>
      <c r="E604" s="22" t="str">
        <f>IF(C604="استحداث بند جديد", "", IF(D604&lt;&gt;"", IFERROR(INDEX('بنود العقد'!B$3:B$388,D604), "⚠"), ""))</f>
        <v xml:space="preserve">توريد وتركيب ,واستبدال القواطع الخاصة بلوحة ال UPS </v>
      </c>
      <c r="F604" s="23" t="str">
        <f>IF(C604="استحداث بند جديد", "", IF(D604&lt;&gt;"", IFERROR(INDEX('بنود العقد'!D$3:D$388,D604), ""), ""))</f>
        <v>عدد</v>
      </c>
      <c r="G604" s="24">
        <f>IF(C604="استحداث بند جديد", "", IF(D604&lt;&gt;"", IFERROR(INDEX('بنود العقد'!E$3:E$388,D604), 0), ""))</f>
        <v>80</v>
      </c>
      <c r="H604" s="7">
        <v>34</v>
      </c>
      <c r="I604" s="8">
        <v>120</v>
      </c>
      <c r="J604" s="10">
        <f t="shared" si="0"/>
        <v>2720</v>
      </c>
      <c r="K604" s="74" t="str">
        <f>IF(C604="استحداث بند جديد", "", IF(D604&lt;&gt;"", IFERROR(INDEX('بنود العقد'!C$3:C$388,D604), ""), ""))</f>
        <v>كهرباء</v>
      </c>
      <c r="L604" s="74" t="str">
        <f>IF(C604="استحداث بند جديد", IF(K604&lt;&gt;"","CMH_01-"&amp;IFERROR(VLOOKUP(K604,مراجع!$A$3:$B$14,2,FALSE),"?")&amp;"-NEW-"&amp;TEXT(A604,"000"),""), IF(D604&lt;&gt;"", IFERROR(INDEX('بنود العقد'!I$3:I$388,D604), ""), ""))</f>
        <v>CMH_01-EE-385</v>
      </c>
      <c r="M604" s="19"/>
    </row>
    <row r="605" spans="1:13" ht="28.2" customHeight="1">
      <c r="A605" s="12">
        <v>603</v>
      </c>
      <c r="B605" s="6">
        <v>4</v>
      </c>
      <c r="C605" s="6" t="s">
        <v>175</v>
      </c>
      <c r="D605" s="6">
        <v>386</v>
      </c>
      <c r="E605" s="22" t="str">
        <f>IF(C605="استحداث بند جديد", "", IF(D605&lt;&gt;"", IFERROR(INDEX('بنود العقد'!B$3:B$388,D605), "⚠"), ""))</f>
        <v>توريد وتركيب فيش صناعى 32 أمبير 2P+E</v>
      </c>
      <c r="F605" s="23" t="str">
        <f>IF(C605="استحداث بند جديد", "", IF(D605&lt;&gt;"", IFERROR(INDEX('بنود العقد'!D$3:D$388,D605), ""), ""))</f>
        <v>عدد</v>
      </c>
      <c r="G605" s="24">
        <f>IF(C605="استحداث بند جديد", "", IF(D605&lt;&gt;"", IFERROR(INDEX('بنود العقد'!E$3:E$388,D605), 0), ""))</f>
        <v>190.8</v>
      </c>
      <c r="H605" s="7">
        <v>32</v>
      </c>
      <c r="I605" s="8">
        <v>120</v>
      </c>
      <c r="J605" s="10">
        <f t="shared" si="0"/>
        <v>6105.6</v>
      </c>
      <c r="K605" s="74" t="str">
        <f>IF(C605="استحداث بند جديد", "", IF(D605&lt;&gt;"", IFERROR(INDEX('بنود العقد'!C$3:C$388,D605), ""), ""))</f>
        <v>كهرباء</v>
      </c>
      <c r="L605" s="74" t="str">
        <f>IF(C605="استحداث بند جديد", IF(K605&lt;&gt;"","CMH_01-"&amp;IFERROR(VLOOKUP(K605,مراجع!$A$3:$B$14,2,FALSE),"?")&amp;"-NEW-"&amp;TEXT(A605,"000"),""), IF(D605&lt;&gt;"", IFERROR(INDEX('بنود العقد'!I$3:I$388,D605), ""), ""))</f>
        <v>CMH_01-EE-386</v>
      </c>
      <c r="M605" s="19"/>
    </row>
    <row r="606" spans="1:13" ht="28.2" customHeight="1">
      <c r="A606" s="12">
        <v>31</v>
      </c>
      <c r="B606" s="6"/>
      <c r="C606" s="6"/>
      <c r="D606" s="6"/>
      <c r="E606" s="22" t="str">
        <f>IF(C606="استحداث بند جديد", "", IF(D606&lt;&gt;"", IFERROR(INDEX('بنود العقد'!B$3:B$388,D606), "⚠"), ""))</f>
        <v/>
      </c>
      <c r="F606" s="23" t="str">
        <f>IF(C606="استحداث بند جديد", "", IF(D606&lt;&gt;"", IFERROR(INDEX('بنود العقد'!D$3:D$388,D606), ""), ""))</f>
        <v/>
      </c>
      <c r="G606" s="24" t="str">
        <f>IF(C606="استحداث بند جديد", "", IF(D606&lt;&gt;"", IFERROR(INDEX('بنود العقد'!E$3:E$388,D606), 0), ""))</f>
        <v/>
      </c>
      <c r="H606" s="7"/>
      <c r="I606" s="8"/>
      <c r="J606" s="10" t="str">
        <f t="shared" si="0"/>
        <v/>
      </c>
      <c r="K606" s="74" t="str">
        <f>IF(C606="استحداث بند جديد", "", IF(D606&lt;&gt;"", IFERROR(INDEX('بنود العقد'!C$3:C$388,D606), ""), ""))</f>
        <v/>
      </c>
      <c r="L606" t="str">
        <f>IF(C606="استحداث بند جديد", IF(K606&lt;&gt;"","CMH_01-"&amp;IFERROR(VLOOKUP(K606,مراجع!$A$3:$B$14,2,FALSE),"?")&amp;"-NEW-"&amp;TEXT(A606,"000"),""), IF(D606&lt;&gt;"", IFERROR(INDEX('بنود العقد'!I$3:I$388,D606), ""), ""))</f>
        <v/>
      </c>
      <c r="M606" s="19"/>
    </row>
    <row r="607" spans="1:13" ht="28.2" customHeight="1">
      <c r="A607" s="12">
        <v>32</v>
      </c>
      <c r="B607" s="6"/>
      <c r="C607" s="6"/>
      <c r="D607" s="6"/>
      <c r="E607" s="22" t="str">
        <f>IF(C607="استحداث بند جديد", "", IF(D607&lt;&gt;"", IFERROR(INDEX('بنود العقد'!B$3:B$388,D607), "⚠"), ""))</f>
        <v/>
      </c>
      <c r="F607" s="23" t="str">
        <f>IF(C607="استحداث بند جديد", "", IF(D607&lt;&gt;"", IFERROR(INDEX('بنود العقد'!D$3:D$388,D607), ""), ""))</f>
        <v/>
      </c>
      <c r="G607" s="24" t="str">
        <f>IF(C607="استحداث بند جديد", "", IF(D607&lt;&gt;"", IFERROR(INDEX('بنود العقد'!E$3:E$388,D607), 0), ""))</f>
        <v/>
      </c>
      <c r="H607" s="7"/>
      <c r="I607" s="8"/>
      <c r="J607" s="10" t="str">
        <f t="shared" si="0"/>
        <v/>
      </c>
      <c r="K607" s="74" t="str">
        <f>IF(C607="استحداث بند جديد", "", IF(D607&lt;&gt;"", IFERROR(INDEX('بنود العقد'!C$3:C$388,D607), ""), ""))</f>
        <v/>
      </c>
      <c r="L607" t="str">
        <f>IF(C607="استحداث بند جديد", IF(K607&lt;&gt;"","CMH_01-"&amp;IFERROR(VLOOKUP(K607,مراجع!$A$3:$B$14,2,FALSE),"?")&amp;"-NEW-"&amp;TEXT(A607,"000"),""), IF(D607&lt;&gt;"", IFERROR(INDEX('بنود العقد'!I$3:I$388,D607), ""), ""))</f>
        <v/>
      </c>
      <c r="M607" s="19"/>
    </row>
    <row r="608" spans="1:13" ht="28.2" customHeight="1">
      <c r="A608" s="12">
        <v>33</v>
      </c>
      <c r="B608" s="6"/>
      <c r="C608" s="6"/>
      <c r="D608" s="6"/>
      <c r="E608" s="22" t="str">
        <f>IF(C608="استحداث بند جديد", "", IF(D608&lt;&gt;"", IFERROR(INDEX('بنود العقد'!B$3:B$388,D608), "⚠"), ""))</f>
        <v/>
      </c>
      <c r="F608" s="23" t="str">
        <f>IF(C608="استحداث بند جديد", "", IF(D608&lt;&gt;"", IFERROR(INDEX('بنود العقد'!D$3:D$388,D608), ""), ""))</f>
        <v/>
      </c>
      <c r="G608" s="24" t="str">
        <f>IF(C608="استحداث بند جديد", "", IF(D608&lt;&gt;"", IFERROR(INDEX('بنود العقد'!E$3:E$388,D608), 0), ""))</f>
        <v/>
      </c>
      <c r="H608" s="7"/>
      <c r="I608" s="8"/>
      <c r="J608" s="10" t="str">
        <f t="shared" ref="J608:J639" si="4">IF(C608="تمديد مدة", 0, IF(AND(H608&lt;&gt;"",G608&lt;&gt;""), H608*G608, ""))</f>
        <v/>
      </c>
      <c r="K608" s="74" t="str">
        <f>IF(C608="استحداث بند جديد", "", IF(D608&lt;&gt;"", IFERROR(INDEX('بنود العقد'!C$3:C$388,D608), ""), ""))</f>
        <v/>
      </c>
      <c r="L608" t="str">
        <f>IF(C608="استحداث بند جديد", IF(K608&lt;&gt;"","CMH_01-"&amp;IFERROR(VLOOKUP(K608,مراجع!$A$3:$B$14,2,FALSE),"?")&amp;"-NEW-"&amp;TEXT(A608,"000"),""), IF(D608&lt;&gt;"", IFERROR(INDEX('بنود العقد'!I$3:I$388,D608), ""), ""))</f>
        <v/>
      </c>
      <c r="M608" s="19"/>
    </row>
    <row r="609" spans="1:13" ht="28.2" customHeight="1">
      <c r="A609" s="12">
        <v>34</v>
      </c>
      <c r="B609" s="6"/>
      <c r="C609" s="6"/>
      <c r="D609" s="6"/>
      <c r="E609" s="22" t="str">
        <f>IF(C609="استحداث بند جديد", "", IF(D609&lt;&gt;"", IFERROR(INDEX('بنود العقد'!B$3:B$388,D609), "⚠"), ""))</f>
        <v/>
      </c>
      <c r="F609" s="23" t="str">
        <f>IF(C609="استحداث بند جديد", "", IF(D609&lt;&gt;"", IFERROR(INDEX('بنود العقد'!D$3:D$388,D609), ""), ""))</f>
        <v/>
      </c>
      <c r="G609" s="24" t="str">
        <f>IF(C609="استحداث بند جديد", "", IF(D609&lt;&gt;"", IFERROR(INDEX('بنود العقد'!E$3:E$388,D609), 0), ""))</f>
        <v/>
      </c>
      <c r="H609" s="7"/>
      <c r="I609" s="8"/>
      <c r="J609" s="10" t="str">
        <f t="shared" si="4"/>
        <v/>
      </c>
      <c r="K609" s="74" t="str">
        <f>IF(C609="استحداث بند جديد", "", IF(D609&lt;&gt;"", IFERROR(INDEX('بنود العقد'!C$3:C$388,D609), ""), ""))</f>
        <v/>
      </c>
      <c r="L609" t="str">
        <f>IF(C609="استحداث بند جديد", IF(K609&lt;&gt;"","CMH_01-"&amp;IFERROR(VLOOKUP(K609,مراجع!$A$3:$B$14,2,FALSE),"?")&amp;"-NEW-"&amp;TEXT(A609,"000"),""), IF(D609&lt;&gt;"", IFERROR(INDEX('بنود العقد'!I$3:I$388,D609), ""), ""))</f>
        <v/>
      </c>
      <c r="M609" s="19"/>
    </row>
    <row r="610" spans="1:13" ht="28.2" customHeight="1">
      <c r="A610" s="12">
        <v>35</v>
      </c>
      <c r="B610" s="6"/>
      <c r="C610" s="6"/>
      <c r="D610" s="6"/>
      <c r="E610" s="22" t="str">
        <f>IF(C610="استحداث بند جديد", "", IF(D610&lt;&gt;"", IFERROR(INDEX('بنود العقد'!B$3:B$388,D610), "⚠"), ""))</f>
        <v/>
      </c>
      <c r="F610" s="23" t="str">
        <f>IF(C610="استحداث بند جديد", "", IF(D610&lt;&gt;"", IFERROR(INDEX('بنود العقد'!D$3:D$388,D610), ""), ""))</f>
        <v/>
      </c>
      <c r="G610" s="24" t="str">
        <f>IF(C610="استحداث بند جديد", "", IF(D610&lt;&gt;"", IFERROR(INDEX('بنود العقد'!E$3:E$388,D610), 0), ""))</f>
        <v/>
      </c>
      <c r="H610" s="7"/>
      <c r="I610" s="8"/>
      <c r="J610" s="10" t="str">
        <f t="shared" si="4"/>
        <v/>
      </c>
      <c r="K610" s="74" t="str">
        <f>IF(C610="استحداث بند جديد", "", IF(D610&lt;&gt;"", IFERROR(INDEX('بنود العقد'!C$3:C$388,D610), ""), ""))</f>
        <v/>
      </c>
      <c r="L610" t="str">
        <f>IF(C610="استحداث بند جديد", IF(K610&lt;&gt;"","CMH_01-"&amp;IFERROR(VLOOKUP(K610,مراجع!$A$3:$B$14,2,FALSE),"?")&amp;"-NEW-"&amp;TEXT(A610,"000"),""), IF(D610&lt;&gt;"", IFERROR(INDEX('بنود العقد'!I$3:I$388,D610), ""), ""))</f>
        <v/>
      </c>
      <c r="M610" s="19"/>
    </row>
    <row r="611" spans="1:13" ht="28.2" customHeight="1">
      <c r="A611" s="12">
        <v>36</v>
      </c>
      <c r="B611" s="6"/>
      <c r="C611" s="6"/>
      <c r="D611" s="6"/>
      <c r="E611" s="22" t="str">
        <f>IF(C611="استحداث بند جديد", "", IF(D611&lt;&gt;"", IFERROR(INDEX('بنود العقد'!B$3:B$388,D611), "⚠"), ""))</f>
        <v/>
      </c>
      <c r="F611" s="23" t="str">
        <f>IF(C611="استحداث بند جديد", "", IF(D611&lt;&gt;"", IFERROR(INDEX('بنود العقد'!D$3:D$388,D611), ""), ""))</f>
        <v/>
      </c>
      <c r="G611" s="24" t="str">
        <f>IF(C611="استحداث بند جديد", "", IF(D611&lt;&gt;"", IFERROR(INDEX('بنود العقد'!E$3:E$388,D611), 0), ""))</f>
        <v/>
      </c>
      <c r="H611" s="7"/>
      <c r="I611" s="8"/>
      <c r="J611" s="10" t="str">
        <f t="shared" si="4"/>
        <v/>
      </c>
      <c r="K611" s="74" t="str">
        <f>IF(C611="استحداث بند جديد", "", IF(D611&lt;&gt;"", IFERROR(INDEX('بنود العقد'!C$3:C$388,D611), ""), ""))</f>
        <v/>
      </c>
      <c r="L611" t="str">
        <f>IF(C611="استحداث بند جديد", IF(K611&lt;&gt;"","CMH_01-"&amp;IFERROR(VLOOKUP(K611,مراجع!$A$3:$B$14,2,FALSE),"?")&amp;"-NEW-"&amp;TEXT(A611,"000"),""), IF(D611&lt;&gt;"", IFERROR(INDEX('بنود العقد'!I$3:I$388,D611), ""), ""))</f>
        <v/>
      </c>
      <c r="M611" s="19"/>
    </row>
    <row r="612" spans="1:13" ht="28.2" customHeight="1">
      <c r="A612" s="12">
        <v>37</v>
      </c>
      <c r="B612" s="6"/>
      <c r="C612" s="6"/>
      <c r="D612" s="6"/>
      <c r="E612" s="22" t="str">
        <f>IF(C612="استحداث بند جديد", "", IF(D612&lt;&gt;"", IFERROR(INDEX('بنود العقد'!B$3:B$388,D612), "⚠"), ""))</f>
        <v/>
      </c>
      <c r="F612" s="23" t="str">
        <f>IF(C612="استحداث بند جديد", "", IF(D612&lt;&gt;"", IFERROR(INDEX('بنود العقد'!D$3:D$388,D612), ""), ""))</f>
        <v/>
      </c>
      <c r="G612" s="24" t="str">
        <f>IF(C612="استحداث بند جديد", "", IF(D612&lt;&gt;"", IFERROR(INDEX('بنود العقد'!E$3:E$388,D612), 0), ""))</f>
        <v/>
      </c>
      <c r="H612" s="7"/>
      <c r="I612" s="8"/>
      <c r="J612" s="10" t="str">
        <f t="shared" si="4"/>
        <v/>
      </c>
      <c r="K612" s="74" t="str">
        <f>IF(C612="استحداث بند جديد", "", IF(D612&lt;&gt;"", IFERROR(INDEX('بنود العقد'!C$3:C$388,D612), ""), ""))</f>
        <v/>
      </c>
      <c r="L612" t="str">
        <f>IF(C612="استحداث بند جديد", IF(K612&lt;&gt;"","CMH_01-"&amp;IFERROR(VLOOKUP(K612,مراجع!$A$3:$B$14,2,FALSE),"?")&amp;"-NEW-"&amp;TEXT(A612,"000"),""), IF(D612&lt;&gt;"", IFERROR(INDEX('بنود العقد'!I$3:I$388,D612), ""), ""))</f>
        <v/>
      </c>
      <c r="M612" s="19"/>
    </row>
    <row r="613" spans="1:13" ht="28.2" customHeight="1">
      <c r="A613" s="12">
        <v>38</v>
      </c>
      <c r="B613" s="6"/>
      <c r="C613" s="6"/>
      <c r="D613" s="6"/>
      <c r="E613" s="22" t="str">
        <f>IF(C613="استحداث بند جديد", "", IF(D613&lt;&gt;"", IFERROR(INDEX('بنود العقد'!B$3:B$388,D613), "⚠"), ""))</f>
        <v/>
      </c>
      <c r="F613" s="23" t="str">
        <f>IF(C613="استحداث بند جديد", "", IF(D613&lt;&gt;"", IFERROR(INDEX('بنود العقد'!D$3:D$388,D613), ""), ""))</f>
        <v/>
      </c>
      <c r="G613" s="24" t="str">
        <f>IF(C613="استحداث بند جديد", "", IF(D613&lt;&gt;"", IFERROR(INDEX('بنود العقد'!E$3:E$388,D613), 0), ""))</f>
        <v/>
      </c>
      <c r="H613" s="7"/>
      <c r="I613" s="8"/>
      <c r="J613" s="10" t="str">
        <f t="shared" si="4"/>
        <v/>
      </c>
      <c r="K613" s="74" t="str">
        <f>IF(C613="استحداث بند جديد", "", IF(D613&lt;&gt;"", IFERROR(INDEX('بنود العقد'!C$3:C$388,D613), ""), ""))</f>
        <v/>
      </c>
      <c r="L613" t="str">
        <f>IF(C613="استحداث بند جديد", IF(K613&lt;&gt;"","CMH_01-"&amp;IFERROR(VLOOKUP(K613,مراجع!$A$3:$B$14,2,FALSE),"?")&amp;"-NEW-"&amp;TEXT(A613,"000"),""), IF(D613&lt;&gt;"", IFERROR(INDEX('بنود العقد'!I$3:I$388,D613), ""), ""))</f>
        <v/>
      </c>
      <c r="M613" s="19"/>
    </row>
    <row r="614" spans="1:13" ht="28.2" customHeight="1">
      <c r="A614" s="12">
        <v>39</v>
      </c>
      <c r="B614" s="6"/>
      <c r="C614" s="6"/>
      <c r="D614" s="6"/>
      <c r="E614" s="22" t="str">
        <f>IF(C614="استحداث بند جديد", "", IF(D614&lt;&gt;"", IFERROR(INDEX('بنود العقد'!B$3:B$388,D614), "⚠"), ""))</f>
        <v/>
      </c>
      <c r="F614" s="23" t="str">
        <f>IF(C614="استحداث بند جديد", "", IF(D614&lt;&gt;"", IFERROR(INDEX('بنود العقد'!D$3:D$388,D614), ""), ""))</f>
        <v/>
      </c>
      <c r="G614" s="24" t="str">
        <f>IF(C614="استحداث بند جديد", "", IF(D614&lt;&gt;"", IFERROR(INDEX('بنود العقد'!E$3:E$388,D614), 0), ""))</f>
        <v/>
      </c>
      <c r="H614" s="7"/>
      <c r="I614" s="8"/>
      <c r="J614" s="10" t="str">
        <f t="shared" si="4"/>
        <v/>
      </c>
      <c r="K614" s="74" t="str">
        <f>IF(C614="استحداث بند جديد", "", IF(D614&lt;&gt;"", IFERROR(INDEX('بنود العقد'!C$3:C$388,D614), ""), ""))</f>
        <v/>
      </c>
      <c r="L614" t="str">
        <f>IF(C614="استحداث بند جديد", IF(K614&lt;&gt;"","CMH_01-"&amp;IFERROR(VLOOKUP(K614,مراجع!$A$3:$B$14,2,FALSE),"?")&amp;"-NEW-"&amp;TEXT(A614,"000"),""), IF(D614&lt;&gt;"", IFERROR(INDEX('بنود العقد'!I$3:I$388,D614), ""), ""))</f>
        <v/>
      </c>
      <c r="M614" s="19"/>
    </row>
    <row r="615" spans="1:13" ht="28.2" customHeight="1">
      <c r="A615" s="12">
        <v>40</v>
      </c>
      <c r="B615" s="6"/>
      <c r="C615" s="6"/>
      <c r="D615" s="6"/>
      <c r="E615" s="22" t="str">
        <f>IF(C615="استحداث بند جديد", "", IF(D615&lt;&gt;"", IFERROR(INDEX('بنود العقد'!B$3:B$388,D615), "⚠"), ""))</f>
        <v/>
      </c>
      <c r="F615" s="23" t="str">
        <f>IF(C615="استحداث بند جديد", "", IF(D615&lt;&gt;"", IFERROR(INDEX('بنود العقد'!D$3:D$388,D615), ""), ""))</f>
        <v/>
      </c>
      <c r="G615" s="24" t="str">
        <f>IF(C615="استحداث بند جديد", "", IF(D615&lt;&gt;"", IFERROR(INDEX('بنود العقد'!E$3:E$388,D615), 0), ""))</f>
        <v/>
      </c>
      <c r="H615" s="7"/>
      <c r="I615" s="8"/>
      <c r="J615" s="10" t="str">
        <f t="shared" si="4"/>
        <v/>
      </c>
      <c r="K615" s="74" t="str">
        <f>IF(C615="استحداث بند جديد", "", IF(D615&lt;&gt;"", IFERROR(INDEX('بنود العقد'!C$3:C$388,D615), ""), ""))</f>
        <v/>
      </c>
      <c r="L615" t="str">
        <f>IF(C615="استحداث بند جديد", IF(K615&lt;&gt;"","CMH_01-"&amp;IFERROR(VLOOKUP(K615,مراجع!$A$3:$B$14,2,FALSE),"?")&amp;"-NEW-"&amp;TEXT(A615,"000"),""), IF(D615&lt;&gt;"", IFERROR(INDEX('بنود العقد'!I$3:I$388,D615), ""), ""))</f>
        <v/>
      </c>
      <c r="M615" s="19"/>
    </row>
    <row r="616" spans="1:13" ht="28.2" customHeight="1">
      <c r="A616" s="12">
        <v>41</v>
      </c>
      <c r="B616" s="6"/>
      <c r="C616" s="6"/>
      <c r="D616" s="6"/>
      <c r="E616" s="22" t="str">
        <f>IF(C616="استحداث بند جديد", "", IF(D616&lt;&gt;"", IFERROR(INDEX('بنود العقد'!B$3:B$388,D616), "⚠"), ""))</f>
        <v/>
      </c>
      <c r="F616" s="23" t="str">
        <f>IF(C616="استحداث بند جديد", "", IF(D616&lt;&gt;"", IFERROR(INDEX('بنود العقد'!D$3:D$388,D616), ""), ""))</f>
        <v/>
      </c>
      <c r="G616" s="24" t="str">
        <f>IF(C616="استحداث بند جديد", "", IF(D616&lt;&gt;"", IFERROR(INDEX('بنود العقد'!E$3:E$388,D616), 0), ""))</f>
        <v/>
      </c>
      <c r="H616" s="7"/>
      <c r="I616" s="8"/>
      <c r="J616" s="10" t="str">
        <f t="shared" si="4"/>
        <v/>
      </c>
      <c r="K616" s="74" t="str">
        <f>IF(C616="استحداث بند جديد", "", IF(D616&lt;&gt;"", IFERROR(INDEX('بنود العقد'!C$3:C$388,D616), ""), ""))</f>
        <v/>
      </c>
      <c r="L616" t="str">
        <f>IF(C616="استحداث بند جديد", IF(K616&lt;&gt;"","CMH_01-"&amp;IFERROR(VLOOKUP(K616,مراجع!$A$3:$B$14,2,FALSE),"?")&amp;"-NEW-"&amp;TEXT(A616,"000"),""), IF(D616&lt;&gt;"", IFERROR(INDEX('بنود العقد'!I$3:I$388,D616), ""), ""))</f>
        <v/>
      </c>
      <c r="M616" s="19"/>
    </row>
    <row r="617" spans="1:13" ht="28.2" customHeight="1">
      <c r="A617" s="12">
        <v>42</v>
      </c>
      <c r="B617" s="6"/>
      <c r="C617" s="6"/>
      <c r="D617" s="6"/>
      <c r="E617" s="22" t="str">
        <f>IF(C617="استحداث بند جديد", "", IF(D617&lt;&gt;"", IFERROR(INDEX('بنود العقد'!B$3:B$388,D617), "⚠"), ""))</f>
        <v/>
      </c>
      <c r="F617" s="23" t="str">
        <f>IF(C617="استحداث بند جديد", "", IF(D617&lt;&gt;"", IFERROR(INDEX('بنود العقد'!D$3:D$388,D617), ""), ""))</f>
        <v/>
      </c>
      <c r="G617" s="24" t="str">
        <f>IF(C617="استحداث بند جديد", "", IF(D617&lt;&gt;"", IFERROR(INDEX('بنود العقد'!E$3:E$388,D617), 0), ""))</f>
        <v/>
      </c>
      <c r="H617" s="7"/>
      <c r="I617" s="8"/>
      <c r="J617" s="10" t="str">
        <f t="shared" si="4"/>
        <v/>
      </c>
      <c r="K617" s="74" t="str">
        <f>IF(C617="استحداث بند جديد", "", IF(D617&lt;&gt;"", IFERROR(INDEX('بنود العقد'!C$3:C$388,D617), ""), ""))</f>
        <v/>
      </c>
      <c r="L617" t="str">
        <f>IF(C617="استحداث بند جديد", IF(K617&lt;&gt;"","CMH_01-"&amp;IFERROR(VLOOKUP(K617,مراجع!$A$3:$B$14,2,FALSE),"?")&amp;"-NEW-"&amp;TEXT(A617,"000"),""), IF(D617&lt;&gt;"", IFERROR(INDEX('بنود العقد'!I$3:I$388,D617), ""), ""))</f>
        <v/>
      </c>
      <c r="M617" s="19"/>
    </row>
    <row r="618" spans="1:13" ht="28.2" customHeight="1">
      <c r="A618" s="12">
        <v>43</v>
      </c>
      <c r="B618" s="6"/>
      <c r="C618" s="6"/>
      <c r="D618" s="6"/>
      <c r="E618" s="22" t="str">
        <f>IF(C618="استحداث بند جديد", "", IF(D618&lt;&gt;"", IFERROR(INDEX('بنود العقد'!B$3:B$388,D618), "⚠"), ""))</f>
        <v/>
      </c>
      <c r="F618" s="23" t="str">
        <f>IF(C618="استحداث بند جديد", "", IF(D618&lt;&gt;"", IFERROR(INDEX('بنود العقد'!D$3:D$388,D618), ""), ""))</f>
        <v/>
      </c>
      <c r="G618" s="24" t="str">
        <f>IF(C618="استحداث بند جديد", "", IF(D618&lt;&gt;"", IFERROR(INDEX('بنود العقد'!E$3:E$388,D618), 0), ""))</f>
        <v/>
      </c>
      <c r="H618" s="7"/>
      <c r="I618" s="8"/>
      <c r="J618" s="10" t="str">
        <f t="shared" si="4"/>
        <v/>
      </c>
      <c r="K618" s="74" t="str">
        <f>IF(C618="استحداث بند جديد", "", IF(D618&lt;&gt;"", IFERROR(INDEX('بنود العقد'!C$3:C$388,D618), ""), ""))</f>
        <v/>
      </c>
      <c r="L618" t="str">
        <f>IF(C618="استحداث بند جديد", IF(K618&lt;&gt;"","CMH_01-"&amp;IFERROR(VLOOKUP(K618,مراجع!$A$3:$B$14,2,FALSE),"?")&amp;"-NEW-"&amp;TEXT(A618,"000"),""), IF(D618&lt;&gt;"", IFERROR(INDEX('بنود العقد'!I$3:I$388,D618), ""), ""))</f>
        <v/>
      </c>
      <c r="M618" s="19"/>
    </row>
    <row r="619" spans="1:13" ht="28.2" customHeight="1">
      <c r="A619" s="12">
        <v>44</v>
      </c>
      <c r="B619" s="6"/>
      <c r="C619" s="6"/>
      <c r="D619" s="6"/>
      <c r="E619" s="22" t="str">
        <f>IF(C619="استحداث بند جديد", "", IF(D619&lt;&gt;"", IFERROR(INDEX('بنود العقد'!B$3:B$388,D619), "⚠"), ""))</f>
        <v/>
      </c>
      <c r="F619" s="23" t="str">
        <f>IF(C619="استحداث بند جديد", "", IF(D619&lt;&gt;"", IFERROR(INDEX('بنود العقد'!D$3:D$388,D619), ""), ""))</f>
        <v/>
      </c>
      <c r="G619" s="24" t="str">
        <f>IF(C619="استحداث بند جديد", "", IF(D619&lt;&gt;"", IFERROR(INDEX('بنود العقد'!E$3:E$388,D619), 0), ""))</f>
        <v/>
      </c>
      <c r="H619" s="7"/>
      <c r="I619" s="8"/>
      <c r="J619" s="10" t="str">
        <f t="shared" si="4"/>
        <v/>
      </c>
      <c r="K619" s="74" t="str">
        <f>IF(C619="استحداث بند جديد", "", IF(D619&lt;&gt;"", IFERROR(INDEX('بنود العقد'!C$3:C$388,D619), ""), ""))</f>
        <v/>
      </c>
      <c r="L619" t="str">
        <f>IF(C619="استحداث بند جديد", IF(K619&lt;&gt;"","CMH_01-"&amp;IFERROR(VLOOKUP(K619,مراجع!$A$3:$B$14,2,FALSE),"?")&amp;"-NEW-"&amp;TEXT(A619,"000"),""), IF(D619&lt;&gt;"", IFERROR(INDEX('بنود العقد'!I$3:I$388,D619), ""), ""))</f>
        <v/>
      </c>
      <c r="M619" s="19"/>
    </row>
    <row r="620" spans="1:13" ht="28.2" customHeight="1">
      <c r="A620" s="12">
        <v>45</v>
      </c>
      <c r="B620" s="6"/>
      <c r="C620" s="6"/>
      <c r="D620" s="6"/>
      <c r="E620" s="22" t="str">
        <f>IF(C620="استحداث بند جديد", "", IF(D620&lt;&gt;"", IFERROR(INDEX('بنود العقد'!B$3:B$388,D620), "⚠"), ""))</f>
        <v/>
      </c>
      <c r="F620" s="23" t="str">
        <f>IF(C620="استحداث بند جديد", "", IF(D620&lt;&gt;"", IFERROR(INDEX('بنود العقد'!D$3:D$388,D620), ""), ""))</f>
        <v/>
      </c>
      <c r="G620" s="24" t="str">
        <f>IF(C620="استحداث بند جديد", "", IF(D620&lt;&gt;"", IFERROR(INDEX('بنود العقد'!E$3:E$388,D620), 0), ""))</f>
        <v/>
      </c>
      <c r="H620" s="7"/>
      <c r="I620" s="8"/>
      <c r="J620" s="10" t="str">
        <f t="shared" si="4"/>
        <v/>
      </c>
      <c r="K620" s="74" t="str">
        <f>IF(C620="استحداث بند جديد", "", IF(D620&lt;&gt;"", IFERROR(INDEX('بنود العقد'!C$3:C$388,D620), ""), ""))</f>
        <v/>
      </c>
      <c r="L620" t="str">
        <f>IF(C620="استحداث بند جديد", IF(K620&lt;&gt;"","CMH_01-"&amp;IFERROR(VLOOKUP(K620,مراجع!$A$3:$B$14,2,FALSE),"?")&amp;"-NEW-"&amp;TEXT(A620,"000"),""), IF(D620&lt;&gt;"", IFERROR(INDEX('بنود العقد'!I$3:I$388,D620), ""), ""))</f>
        <v/>
      </c>
      <c r="M620" s="19"/>
    </row>
    <row r="621" spans="1:13" ht="28.2" customHeight="1">
      <c r="A621" s="12">
        <v>46</v>
      </c>
      <c r="B621" s="6"/>
      <c r="C621" s="6"/>
      <c r="D621" s="6"/>
      <c r="E621" s="22" t="str">
        <f>IF(C621="استحداث بند جديد", "", IF(D621&lt;&gt;"", IFERROR(INDEX('بنود العقد'!B$3:B$388,D621), "⚠"), ""))</f>
        <v/>
      </c>
      <c r="F621" s="23" t="str">
        <f>IF(C621="استحداث بند جديد", "", IF(D621&lt;&gt;"", IFERROR(INDEX('بنود العقد'!D$3:D$388,D621), ""), ""))</f>
        <v/>
      </c>
      <c r="G621" s="24" t="str">
        <f>IF(C621="استحداث بند جديد", "", IF(D621&lt;&gt;"", IFERROR(INDEX('بنود العقد'!E$3:E$388,D621), 0), ""))</f>
        <v/>
      </c>
      <c r="H621" s="7"/>
      <c r="I621" s="8"/>
      <c r="J621" s="10" t="str">
        <f t="shared" si="4"/>
        <v/>
      </c>
      <c r="K621" s="74" t="str">
        <f>IF(C621="استحداث بند جديد", "", IF(D621&lt;&gt;"", IFERROR(INDEX('بنود العقد'!C$3:C$388,D621), ""), ""))</f>
        <v/>
      </c>
      <c r="L621" t="str">
        <f>IF(C621="استحداث بند جديد", IF(K621&lt;&gt;"","CMH_01-"&amp;IFERROR(VLOOKUP(K621,مراجع!$A$3:$B$14,2,FALSE),"?")&amp;"-NEW-"&amp;TEXT(A621,"000"),""), IF(D621&lt;&gt;"", IFERROR(INDEX('بنود العقد'!I$3:I$388,D621), ""), ""))</f>
        <v/>
      </c>
      <c r="M621" s="19"/>
    </row>
    <row r="622" spans="1:13" ht="28.2" customHeight="1">
      <c r="A622" s="12">
        <v>47</v>
      </c>
      <c r="B622" s="6"/>
      <c r="C622" s="6"/>
      <c r="D622" s="6"/>
      <c r="E622" s="22" t="str">
        <f>IF(C622="استحداث بند جديد", "", IF(D622&lt;&gt;"", IFERROR(INDEX('بنود العقد'!B$3:B$388,D622), "⚠"), ""))</f>
        <v/>
      </c>
      <c r="F622" s="23" t="str">
        <f>IF(C622="استحداث بند جديد", "", IF(D622&lt;&gt;"", IFERROR(INDEX('بنود العقد'!D$3:D$388,D622), ""), ""))</f>
        <v/>
      </c>
      <c r="G622" s="24" t="str">
        <f>IF(C622="استحداث بند جديد", "", IF(D622&lt;&gt;"", IFERROR(INDEX('بنود العقد'!E$3:E$388,D622), 0), ""))</f>
        <v/>
      </c>
      <c r="H622" s="7"/>
      <c r="I622" s="8"/>
      <c r="J622" s="10" t="str">
        <f t="shared" si="4"/>
        <v/>
      </c>
      <c r="K622" s="74" t="str">
        <f>IF(C622="استحداث بند جديد", "", IF(D622&lt;&gt;"", IFERROR(INDEX('بنود العقد'!C$3:C$388,D622), ""), ""))</f>
        <v/>
      </c>
      <c r="L622" t="str">
        <f>IF(C622="استحداث بند جديد", IF(K622&lt;&gt;"","CMH_01-"&amp;IFERROR(VLOOKUP(K622,مراجع!$A$3:$B$14,2,FALSE),"?")&amp;"-NEW-"&amp;TEXT(A622,"000"),""), IF(D622&lt;&gt;"", IFERROR(INDEX('بنود العقد'!I$3:I$388,D622), ""), ""))</f>
        <v/>
      </c>
      <c r="M622" s="19"/>
    </row>
    <row r="623" spans="1:13" ht="28.2" customHeight="1">
      <c r="A623" s="12">
        <v>48</v>
      </c>
      <c r="B623" s="6"/>
      <c r="C623" s="6"/>
      <c r="D623" s="6"/>
      <c r="E623" s="22" t="str">
        <f>IF(C623="استحداث بند جديد", "", IF(D623&lt;&gt;"", IFERROR(INDEX('بنود العقد'!B$3:B$388,D623), "⚠"), ""))</f>
        <v/>
      </c>
      <c r="F623" s="23" t="str">
        <f>IF(C623="استحداث بند جديد", "", IF(D623&lt;&gt;"", IFERROR(INDEX('بنود العقد'!D$3:D$388,D623), ""), ""))</f>
        <v/>
      </c>
      <c r="G623" s="24" t="str">
        <f>IF(C623="استحداث بند جديد", "", IF(D623&lt;&gt;"", IFERROR(INDEX('بنود العقد'!E$3:E$388,D623), 0), ""))</f>
        <v/>
      </c>
      <c r="H623" s="7"/>
      <c r="I623" s="8"/>
      <c r="J623" s="10" t="str">
        <f t="shared" si="4"/>
        <v/>
      </c>
      <c r="K623" s="74" t="str">
        <f>IF(C623="استحداث بند جديد", "", IF(D623&lt;&gt;"", IFERROR(INDEX('بنود العقد'!C$3:C$388,D623), ""), ""))</f>
        <v/>
      </c>
      <c r="L623" t="str">
        <f>IF(C623="استحداث بند جديد", IF(K623&lt;&gt;"","CMH_01-"&amp;IFERROR(VLOOKUP(K623,مراجع!$A$3:$B$14,2,FALSE),"?")&amp;"-NEW-"&amp;TEXT(A623,"000"),""), IF(D623&lt;&gt;"", IFERROR(INDEX('بنود العقد'!I$3:I$388,D623), ""), ""))</f>
        <v/>
      </c>
      <c r="M623" s="19"/>
    </row>
    <row r="624" spans="1:13" ht="28.2" customHeight="1">
      <c r="A624" s="12">
        <v>49</v>
      </c>
      <c r="B624" s="6"/>
      <c r="C624" s="6"/>
      <c r="D624" s="6"/>
      <c r="E624" s="22" t="str">
        <f>IF(C624="استحداث بند جديد", "", IF(D624&lt;&gt;"", IFERROR(INDEX('بنود العقد'!B$3:B$388,D624), "⚠"), ""))</f>
        <v/>
      </c>
      <c r="F624" s="23" t="str">
        <f>IF(C624="استحداث بند جديد", "", IF(D624&lt;&gt;"", IFERROR(INDEX('بنود العقد'!D$3:D$388,D624), ""), ""))</f>
        <v/>
      </c>
      <c r="G624" s="24" t="str">
        <f>IF(C624="استحداث بند جديد", "", IF(D624&lt;&gt;"", IFERROR(INDEX('بنود العقد'!E$3:E$388,D624), 0), ""))</f>
        <v/>
      </c>
      <c r="H624" s="7"/>
      <c r="I624" s="8"/>
      <c r="J624" s="10" t="str">
        <f t="shared" si="4"/>
        <v/>
      </c>
      <c r="K624" s="74" t="str">
        <f>IF(C624="استحداث بند جديد", "", IF(D624&lt;&gt;"", IFERROR(INDEX('بنود العقد'!C$3:C$388,D624), ""), ""))</f>
        <v/>
      </c>
      <c r="L624" t="str">
        <f>IF(C624="استحداث بند جديد", IF(K624&lt;&gt;"","CMH_01-"&amp;IFERROR(VLOOKUP(K624,مراجع!$A$3:$B$14,2,FALSE),"?")&amp;"-NEW-"&amp;TEXT(A624,"000"),""), IF(D624&lt;&gt;"", IFERROR(INDEX('بنود العقد'!I$3:I$388,D624), ""), ""))</f>
        <v/>
      </c>
      <c r="M624" s="19"/>
    </row>
    <row r="625" spans="1:13" ht="28.2" customHeight="1">
      <c r="A625" s="12">
        <v>50</v>
      </c>
      <c r="B625" s="6"/>
      <c r="C625" s="6"/>
      <c r="D625" s="6"/>
      <c r="E625" s="22" t="str">
        <f>IF(C625="استحداث بند جديد", "", IF(D625&lt;&gt;"", IFERROR(INDEX('بنود العقد'!B$3:B$388,D625), "⚠"), ""))</f>
        <v/>
      </c>
      <c r="F625" s="23" t="str">
        <f>IF(C625="استحداث بند جديد", "", IF(D625&lt;&gt;"", IFERROR(INDEX('بنود العقد'!D$3:D$388,D625), ""), ""))</f>
        <v/>
      </c>
      <c r="G625" s="24" t="str">
        <f>IF(C625="استحداث بند جديد", "", IF(D625&lt;&gt;"", IFERROR(INDEX('بنود العقد'!E$3:E$388,D625), 0), ""))</f>
        <v/>
      </c>
      <c r="H625" s="7"/>
      <c r="I625" s="8"/>
      <c r="J625" s="10" t="str">
        <f t="shared" si="4"/>
        <v/>
      </c>
      <c r="K625" s="74" t="str">
        <f>IF(C625="استحداث بند جديد", "", IF(D625&lt;&gt;"", IFERROR(INDEX('بنود العقد'!C$3:C$388,D625), ""), ""))</f>
        <v/>
      </c>
      <c r="L625" t="str">
        <f>IF(C625="استحداث بند جديد", IF(K625&lt;&gt;"","CMH_01-"&amp;IFERROR(VLOOKUP(K625,مراجع!$A$3:$B$14,2,FALSE),"?")&amp;"-NEW-"&amp;TEXT(A625,"000"),""), IF(D625&lt;&gt;"", IFERROR(INDEX('بنود العقد'!I$3:I$388,D625), ""), ""))</f>
        <v/>
      </c>
      <c r="M625" s="19"/>
    </row>
    <row r="626" spans="1:13" ht="28.2" customHeight="1">
      <c r="A626" s="12">
        <v>51</v>
      </c>
      <c r="B626" s="6"/>
      <c r="C626" s="6"/>
      <c r="D626" s="6"/>
      <c r="E626" s="22" t="str">
        <f>IF(C626="استحداث بند جديد", "", IF(D626&lt;&gt;"", IFERROR(INDEX('بنود العقد'!B$3:B$388,D626), "⚠"), ""))</f>
        <v/>
      </c>
      <c r="F626" s="23" t="str">
        <f>IF(C626="استحداث بند جديد", "", IF(D626&lt;&gt;"", IFERROR(INDEX('بنود العقد'!D$3:D$388,D626), ""), ""))</f>
        <v/>
      </c>
      <c r="G626" s="24" t="str">
        <f>IF(C626="استحداث بند جديد", "", IF(D626&lt;&gt;"", IFERROR(INDEX('بنود العقد'!E$3:E$388,D626), 0), ""))</f>
        <v/>
      </c>
      <c r="H626" s="7"/>
      <c r="I626" s="8"/>
      <c r="J626" s="10" t="str">
        <f t="shared" si="4"/>
        <v/>
      </c>
      <c r="K626" s="74" t="str">
        <f>IF(C626="استحداث بند جديد", "", IF(D626&lt;&gt;"", IFERROR(INDEX('بنود العقد'!C$3:C$388,D626), ""), ""))</f>
        <v/>
      </c>
      <c r="L626" t="str">
        <f>IF(C626="استحداث بند جديد", IF(K626&lt;&gt;"","CMH_01-"&amp;IFERROR(VLOOKUP(K626,مراجع!$A$3:$B$14,2,FALSE),"?")&amp;"-NEW-"&amp;TEXT(A626,"000"),""), IF(D626&lt;&gt;"", IFERROR(INDEX('بنود العقد'!I$3:I$388,D626), ""), ""))</f>
        <v/>
      </c>
      <c r="M626" s="19"/>
    </row>
    <row r="627" spans="1:13" ht="28.2" customHeight="1">
      <c r="A627" s="12">
        <v>52</v>
      </c>
      <c r="B627" s="6"/>
      <c r="C627" s="6"/>
      <c r="D627" s="6"/>
      <c r="E627" s="22" t="str">
        <f>IF(C627="استحداث بند جديد", "", IF(D627&lt;&gt;"", IFERROR(INDEX('بنود العقد'!B$3:B$388,D627), "⚠"), ""))</f>
        <v/>
      </c>
      <c r="F627" s="23" t="str">
        <f>IF(C627="استحداث بند جديد", "", IF(D627&lt;&gt;"", IFERROR(INDEX('بنود العقد'!D$3:D$388,D627), ""), ""))</f>
        <v/>
      </c>
      <c r="G627" s="24" t="str">
        <f>IF(C627="استحداث بند جديد", "", IF(D627&lt;&gt;"", IFERROR(INDEX('بنود العقد'!E$3:E$388,D627), 0), ""))</f>
        <v/>
      </c>
      <c r="H627" s="7"/>
      <c r="I627" s="8"/>
      <c r="J627" s="10" t="str">
        <f t="shared" si="4"/>
        <v/>
      </c>
      <c r="K627" s="74" t="str">
        <f>IF(C627="استحداث بند جديد", "", IF(D627&lt;&gt;"", IFERROR(INDEX('بنود العقد'!C$3:C$388,D627), ""), ""))</f>
        <v/>
      </c>
      <c r="L627" t="str">
        <f>IF(C627="استحداث بند جديد", IF(K627&lt;&gt;"","CMH_01-"&amp;IFERROR(VLOOKUP(K627,مراجع!$A$3:$B$14,2,FALSE),"?")&amp;"-NEW-"&amp;TEXT(A627,"000"),""), IF(D627&lt;&gt;"", IFERROR(INDEX('بنود العقد'!I$3:I$388,D627), ""), ""))</f>
        <v/>
      </c>
      <c r="M627" s="19"/>
    </row>
    <row r="628" spans="1:13" ht="28.2" customHeight="1">
      <c r="A628" s="12">
        <v>53</v>
      </c>
      <c r="B628" s="6"/>
      <c r="C628" s="6"/>
      <c r="D628" s="6"/>
      <c r="E628" s="22" t="str">
        <f>IF(C628="استحداث بند جديد", "", IF(D628&lt;&gt;"", IFERROR(INDEX('بنود العقد'!B$3:B$388,D628), "⚠"), ""))</f>
        <v/>
      </c>
      <c r="F628" s="23" t="str">
        <f>IF(C628="استحداث بند جديد", "", IF(D628&lt;&gt;"", IFERROR(INDEX('بنود العقد'!D$3:D$388,D628), ""), ""))</f>
        <v/>
      </c>
      <c r="G628" s="24" t="str">
        <f>IF(C628="استحداث بند جديد", "", IF(D628&lt;&gt;"", IFERROR(INDEX('بنود العقد'!E$3:E$388,D628), 0), ""))</f>
        <v/>
      </c>
      <c r="H628" s="7"/>
      <c r="I628" s="8"/>
      <c r="J628" s="10" t="str">
        <f t="shared" si="4"/>
        <v/>
      </c>
      <c r="K628" s="74" t="str">
        <f>IF(C628="استحداث بند جديد", "", IF(D628&lt;&gt;"", IFERROR(INDEX('بنود العقد'!C$3:C$388,D628), ""), ""))</f>
        <v/>
      </c>
      <c r="L628" t="str">
        <f>IF(C628="استحداث بند جديد", IF(K628&lt;&gt;"","CMH_01-"&amp;IFERROR(VLOOKUP(K628,مراجع!$A$3:$B$14,2,FALSE),"?")&amp;"-NEW-"&amp;TEXT(A628,"000"),""), IF(D628&lt;&gt;"", IFERROR(INDEX('بنود العقد'!I$3:I$388,D628), ""), ""))</f>
        <v/>
      </c>
      <c r="M628" s="19"/>
    </row>
    <row r="629" spans="1:13" ht="28.2" customHeight="1">
      <c r="A629" s="12">
        <v>54</v>
      </c>
      <c r="B629" s="6"/>
      <c r="C629" s="6"/>
      <c r="D629" s="6"/>
      <c r="E629" s="22" t="str">
        <f>IF(C629="استحداث بند جديد", "", IF(D629&lt;&gt;"", IFERROR(INDEX('بنود العقد'!B$3:B$388,D629), "⚠"), ""))</f>
        <v/>
      </c>
      <c r="F629" s="23" t="str">
        <f>IF(C629="استحداث بند جديد", "", IF(D629&lt;&gt;"", IFERROR(INDEX('بنود العقد'!D$3:D$388,D629), ""), ""))</f>
        <v/>
      </c>
      <c r="G629" s="24" t="str">
        <f>IF(C629="استحداث بند جديد", "", IF(D629&lt;&gt;"", IFERROR(INDEX('بنود العقد'!E$3:E$388,D629), 0), ""))</f>
        <v/>
      </c>
      <c r="H629" s="7"/>
      <c r="I629" s="8"/>
      <c r="J629" s="10" t="str">
        <f t="shared" si="4"/>
        <v/>
      </c>
      <c r="K629" s="74" t="str">
        <f>IF(C629="استحداث بند جديد", "", IF(D629&lt;&gt;"", IFERROR(INDEX('بنود العقد'!C$3:C$388,D629), ""), ""))</f>
        <v/>
      </c>
      <c r="L629" t="str">
        <f>IF(C629="استحداث بند جديد", IF(K629&lt;&gt;"","CMH_01-"&amp;IFERROR(VLOOKUP(K629,مراجع!$A$3:$B$14,2,FALSE),"?")&amp;"-NEW-"&amp;TEXT(A629,"000"),""), IF(D629&lt;&gt;"", IFERROR(INDEX('بنود العقد'!I$3:I$388,D629), ""), ""))</f>
        <v/>
      </c>
      <c r="M629" s="19"/>
    </row>
    <row r="630" spans="1:13" ht="28.2" customHeight="1">
      <c r="A630" s="12">
        <v>55</v>
      </c>
      <c r="B630" s="6"/>
      <c r="C630" s="6"/>
      <c r="D630" s="6"/>
      <c r="E630" s="22" t="str">
        <f>IF(C630="استحداث بند جديد", "", IF(D630&lt;&gt;"", IFERROR(INDEX('بنود العقد'!B$3:B$388,D630), "⚠"), ""))</f>
        <v/>
      </c>
      <c r="F630" s="23" t="str">
        <f>IF(C630="استحداث بند جديد", "", IF(D630&lt;&gt;"", IFERROR(INDEX('بنود العقد'!D$3:D$388,D630), ""), ""))</f>
        <v/>
      </c>
      <c r="G630" s="24" t="str">
        <f>IF(C630="استحداث بند جديد", "", IF(D630&lt;&gt;"", IFERROR(INDEX('بنود العقد'!E$3:E$388,D630), 0), ""))</f>
        <v/>
      </c>
      <c r="H630" s="7"/>
      <c r="I630" s="8"/>
      <c r="J630" s="10" t="str">
        <f t="shared" si="4"/>
        <v/>
      </c>
      <c r="K630" s="74" t="str">
        <f>IF(C630="استحداث بند جديد", "", IF(D630&lt;&gt;"", IFERROR(INDEX('بنود العقد'!C$3:C$388,D630), ""), ""))</f>
        <v/>
      </c>
      <c r="L630" t="str">
        <f>IF(C630="استحداث بند جديد", IF(K630&lt;&gt;"","CMH_01-"&amp;IFERROR(VLOOKUP(K630,مراجع!$A$3:$B$14,2,FALSE),"?")&amp;"-NEW-"&amp;TEXT(A630,"000"),""), IF(D630&lt;&gt;"", IFERROR(INDEX('بنود العقد'!I$3:I$388,D630), ""), ""))</f>
        <v/>
      </c>
      <c r="M630" s="19"/>
    </row>
    <row r="631" spans="1:13" ht="28.2" customHeight="1">
      <c r="A631" s="12">
        <v>56</v>
      </c>
      <c r="B631" s="6"/>
      <c r="C631" s="6"/>
      <c r="D631" s="6"/>
      <c r="E631" s="22" t="str">
        <f>IF(C631="استحداث بند جديد", "", IF(D631&lt;&gt;"", IFERROR(INDEX('بنود العقد'!B$3:B$388,D631), "⚠"), ""))</f>
        <v/>
      </c>
      <c r="F631" s="23" t="str">
        <f>IF(C631="استحداث بند جديد", "", IF(D631&lt;&gt;"", IFERROR(INDEX('بنود العقد'!D$3:D$388,D631), ""), ""))</f>
        <v/>
      </c>
      <c r="G631" s="24" t="str">
        <f>IF(C631="استحداث بند جديد", "", IF(D631&lt;&gt;"", IFERROR(INDEX('بنود العقد'!E$3:E$388,D631), 0), ""))</f>
        <v/>
      </c>
      <c r="H631" s="7"/>
      <c r="I631" s="8"/>
      <c r="J631" s="10" t="str">
        <f t="shared" si="4"/>
        <v/>
      </c>
      <c r="K631" s="74" t="str">
        <f>IF(C631="استحداث بند جديد", "", IF(D631&lt;&gt;"", IFERROR(INDEX('بنود العقد'!C$3:C$388,D631), ""), ""))</f>
        <v/>
      </c>
      <c r="L631" t="str">
        <f>IF(C631="استحداث بند جديد", IF(K631&lt;&gt;"","CMH_01-"&amp;IFERROR(VLOOKUP(K631,مراجع!$A$3:$B$14,2,FALSE),"?")&amp;"-NEW-"&amp;TEXT(A631,"000"),""), IF(D631&lt;&gt;"", IFERROR(INDEX('بنود العقد'!I$3:I$388,D631), ""), ""))</f>
        <v/>
      </c>
      <c r="M631" s="19"/>
    </row>
    <row r="632" spans="1:13" ht="28.2" customHeight="1">
      <c r="A632" s="12">
        <v>57</v>
      </c>
      <c r="B632" s="6"/>
      <c r="C632" s="6"/>
      <c r="D632" s="6"/>
      <c r="E632" s="22" t="str">
        <f>IF(C632="استحداث بند جديد", "", IF(D632&lt;&gt;"", IFERROR(INDEX('بنود العقد'!B$3:B$388,D632), "⚠"), ""))</f>
        <v/>
      </c>
      <c r="F632" s="23" t="str">
        <f>IF(C632="استحداث بند جديد", "", IF(D632&lt;&gt;"", IFERROR(INDEX('بنود العقد'!D$3:D$388,D632), ""), ""))</f>
        <v/>
      </c>
      <c r="G632" s="24" t="str">
        <f>IF(C632="استحداث بند جديد", "", IF(D632&lt;&gt;"", IFERROR(INDEX('بنود العقد'!E$3:E$388,D632), 0), ""))</f>
        <v/>
      </c>
      <c r="H632" s="7"/>
      <c r="I632" s="8"/>
      <c r="J632" s="10" t="str">
        <f t="shared" si="4"/>
        <v/>
      </c>
      <c r="K632" s="74" t="str">
        <f>IF(C632="استحداث بند جديد", "", IF(D632&lt;&gt;"", IFERROR(INDEX('بنود العقد'!C$3:C$388,D632), ""), ""))</f>
        <v/>
      </c>
      <c r="L632" t="str">
        <f>IF(C632="استحداث بند جديد", IF(K632&lt;&gt;"","CMH_01-"&amp;IFERROR(VLOOKUP(K632,مراجع!$A$3:$B$14,2,FALSE),"?")&amp;"-NEW-"&amp;TEXT(A632,"000"),""), IF(D632&lt;&gt;"", IFERROR(INDEX('بنود العقد'!I$3:I$388,D632), ""), ""))</f>
        <v/>
      </c>
      <c r="M632" s="19"/>
    </row>
    <row r="633" spans="1:13" ht="28.2" customHeight="1">
      <c r="A633" s="12">
        <v>58</v>
      </c>
      <c r="B633" s="6"/>
      <c r="C633" s="6"/>
      <c r="D633" s="6"/>
      <c r="E633" s="22" t="str">
        <f>IF(C633="استحداث بند جديد", "", IF(D633&lt;&gt;"", IFERROR(INDEX('بنود العقد'!B$3:B$388,D633), "⚠"), ""))</f>
        <v/>
      </c>
      <c r="F633" s="23" t="str">
        <f>IF(C633="استحداث بند جديد", "", IF(D633&lt;&gt;"", IFERROR(INDEX('بنود العقد'!D$3:D$388,D633), ""), ""))</f>
        <v/>
      </c>
      <c r="G633" s="24" t="str">
        <f>IF(C633="استحداث بند جديد", "", IF(D633&lt;&gt;"", IFERROR(INDEX('بنود العقد'!E$3:E$388,D633), 0), ""))</f>
        <v/>
      </c>
      <c r="H633" s="7"/>
      <c r="I633" s="8"/>
      <c r="J633" s="10" t="str">
        <f t="shared" si="4"/>
        <v/>
      </c>
      <c r="K633" s="74" t="str">
        <f>IF(C633="استحداث بند جديد", "", IF(D633&lt;&gt;"", IFERROR(INDEX('بنود العقد'!C$3:C$388,D633), ""), ""))</f>
        <v/>
      </c>
      <c r="L633" t="str">
        <f>IF(C633="استحداث بند جديد", IF(K633&lt;&gt;"","CMH_01-"&amp;IFERROR(VLOOKUP(K633,مراجع!$A$3:$B$14,2,FALSE),"?")&amp;"-NEW-"&amp;TEXT(A633,"000"),""), IF(D633&lt;&gt;"", IFERROR(INDEX('بنود العقد'!I$3:I$388,D633), ""), ""))</f>
        <v/>
      </c>
      <c r="M633" s="19"/>
    </row>
    <row r="634" spans="1:13" ht="28.2" customHeight="1">
      <c r="A634" s="12">
        <v>59</v>
      </c>
      <c r="B634" s="6"/>
      <c r="C634" s="6"/>
      <c r="D634" s="6"/>
      <c r="E634" s="22" t="str">
        <f>IF(C634="استحداث بند جديد", "", IF(D634&lt;&gt;"", IFERROR(INDEX('بنود العقد'!B$3:B$388,D634), "⚠"), ""))</f>
        <v/>
      </c>
      <c r="F634" s="23" t="str">
        <f>IF(C634="استحداث بند جديد", "", IF(D634&lt;&gt;"", IFERROR(INDEX('بنود العقد'!D$3:D$388,D634), ""), ""))</f>
        <v/>
      </c>
      <c r="G634" s="24" t="str">
        <f>IF(C634="استحداث بند جديد", "", IF(D634&lt;&gt;"", IFERROR(INDEX('بنود العقد'!E$3:E$388,D634), 0), ""))</f>
        <v/>
      </c>
      <c r="H634" s="7"/>
      <c r="I634" s="8"/>
      <c r="J634" s="10" t="str">
        <f t="shared" si="4"/>
        <v/>
      </c>
      <c r="K634" s="74" t="str">
        <f>IF(C634="استحداث بند جديد", "", IF(D634&lt;&gt;"", IFERROR(INDEX('بنود العقد'!C$3:C$388,D634), ""), ""))</f>
        <v/>
      </c>
      <c r="L634" t="str">
        <f>IF(C634="استحداث بند جديد", IF(K634&lt;&gt;"","CMH_01-"&amp;IFERROR(VLOOKUP(K634,مراجع!$A$3:$B$14,2,FALSE),"?")&amp;"-NEW-"&amp;TEXT(A634,"000"),""), IF(D634&lt;&gt;"", IFERROR(INDEX('بنود العقد'!I$3:I$388,D634), ""), ""))</f>
        <v/>
      </c>
      <c r="M634" s="19"/>
    </row>
    <row r="635" spans="1:13" ht="28.2" customHeight="1">
      <c r="A635" s="12">
        <v>60</v>
      </c>
      <c r="B635" s="6"/>
      <c r="C635" s="6"/>
      <c r="D635" s="6"/>
      <c r="E635" s="22" t="str">
        <f>IF(C635="استحداث بند جديد", "", IF(D635&lt;&gt;"", IFERROR(INDEX('بنود العقد'!B$3:B$388,D635), "⚠"), ""))</f>
        <v/>
      </c>
      <c r="F635" s="23" t="str">
        <f>IF(C635="استحداث بند جديد", "", IF(D635&lt;&gt;"", IFERROR(INDEX('بنود العقد'!D$3:D$388,D635), ""), ""))</f>
        <v/>
      </c>
      <c r="G635" s="24" t="str">
        <f>IF(C635="استحداث بند جديد", "", IF(D635&lt;&gt;"", IFERROR(INDEX('بنود العقد'!E$3:E$388,D635), 0), ""))</f>
        <v/>
      </c>
      <c r="H635" s="7"/>
      <c r="I635" s="8"/>
      <c r="J635" s="10" t="str">
        <f t="shared" si="4"/>
        <v/>
      </c>
      <c r="K635" s="74" t="str">
        <f>IF(C635="استحداث بند جديد", "", IF(D635&lt;&gt;"", IFERROR(INDEX('بنود العقد'!C$3:C$388,D635), ""), ""))</f>
        <v/>
      </c>
      <c r="L635" t="str">
        <f>IF(C635="استحداث بند جديد", IF(K635&lt;&gt;"","CMH_01-"&amp;IFERROR(VLOOKUP(K635,مراجع!$A$3:$B$14,2,FALSE),"?")&amp;"-NEW-"&amp;TEXT(A635,"000"),""), IF(D635&lt;&gt;"", IFERROR(INDEX('بنود العقد'!I$3:I$388,D635), ""), ""))</f>
        <v/>
      </c>
      <c r="M635" s="19"/>
    </row>
    <row r="636" spans="1:13" ht="28.2" customHeight="1">
      <c r="A636" s="12">
        <v>61</v>
      </c>
      <c r="B636" s="6"/>
      <c r="C636" s="6"/>
      <c r="D636" s="6"/>
      <c r="E636" s="22" t="str">
        <f>IF(C636="استحداث بند جديد", "", IF(D636&lt;&gt;"", IFERROR(INDEX('بنود العقد'!B$3:B$388,D636), "⚠"), ""))</f>
        <v/>
      </c>
      <c r="F636" s="23" t="str">
        <f>IF(C636="استحداث بند جديد", "", IF(D636&lt;&gt;"", IFERROR(INDEX('بنود العقد'!D$3:D$388,D636), ""), ""))</f>
        <v/>
      </c>
      <c r="G636" s="24" t="str">
        <f>IF(C636="استحداث بند جديد", "", IF(D636&lt;&gt;"", IFERROR(INDEX('بنود العقد'!E$3:E$388,D636), 0), ""))</f>
        <v/>
      </c>
      <c r="H636" s="7"/>
      <c r="I636" s="8"/>
      <c r="J636" s="10" t="str">
        <f t="shared" si="4"/>
        <v/>
      </c>
      <c r="K636" s="74" t="str">
        <f>IF(C636="استحداث بند جديد", "", IF(D636&lt;&gt;"", IFERROR(INDEX('بنود العقد'!C$3:C$388,D636), ""), ""))</f>
        <v/>
      </c>
      <c r="L636" t="str">
        <f>IF(C636="استحداث بند جديد", IF(K636&lt;&gt;"","CMH_01-"&amp;IFERROR(VLOOKUP(K636,مراجع!$A$3:$B$14,2,FALSE),"?")&amp;"-NEW-"&amp;TEXT(A636,"000"),""), IF(D636&lt;&gt;"", IFERROR(INDEX('بنود العقد'!I$3:I$388,D636), ""), ""))</f>
        <v/>
      </c>
      <c r="M636" s="19"/>
    </row>
    <row r="637" spans="1:13" ht="28.2" customHeight="1">
      <c r="A637" s="12">
        <v>62</v>
      </c>
      <c r="B637" s="6"/>
      <c r="C637" s="6"/>
      <c r="D637" s="6"/>
      <c r="E637" s="22" t="str">
        <f>IF(C637="استحداث بند جديد", "", IF(D637&lt;&gt;"", IFERROR(INDEX('بنود العقد'!B$3:B$388,D637), "⚠"), ""))</f>
        <v/>
      </c>
      <c r="F637" s="23" t="str">
        <f>IF(C637="استحداث بند جديد", "", IF(D637&lt;&gt;"", IFERROR(INDEX('بنود العقد'!D$3:D$388,D637), ""), ""))</f>
        <v/>
      </c>
      <c r="G637" s="24" t="str">
        <f>IF(C637="استحداث بند جديد", "", IF(D637&lt;&gt;"", IFERROR(INDEX('بنود العقد'!E$3:E$388,D637), 0), ""))</f>
        <v/>
      </c>
      <c r="H637" s="7"/>
      <c r="I637" s="8"/>
      <c r="J637" s="10" t="str">
        <f t="shared" si="4"/>
        <v/>
      </c>
      <c r="K637" s="74" t="str">
        <f>IF(C637="استحداث بند جديد", "", IF(D637&lt;&gt;"", IFERROR(INDEX('بنود العقد'!C$3:C$388,D637), ""), ""))</f>
        <v/>
      </c>
      <c r="L637" t="str">
        <f>IF(C637="استحداث بند جديد", IF(K637&lt;&gt;"","CMH_01-"&amp;IFERROR(VLOOKUP(K637,مراجع!$A$3:$B$14,2,FALSE),"?")&amp;"-NEW-"&amp;TEXT(A637,"000"),""), IF(D637&lt;&gt;"", IFERROR(INDEX('بنود العقد'!I$3:I$388,D637), ""), ""))</f>
        <v/>
      </c>
      <c r="M637" s="19"/>
    </row>
    <row r="638" spans="1:13" ht="28.2" customHeight="1">
      <c r="A638" s="12">
        <v>63</v>
      </c>
      <c r="B638" s="6"/>
      <c r="C638" s="6"/>
      <c r="D638" s="6"/>
      <c r="E638" s="22" t="str">
        <f>IF(C638="استحداث بند جديد", "", IF(D638&lt;&gt;"", IFERROR(INDEX('بنود العقد'!B$3:B$388,D638), "⚠"), ""))</f>
        <v/>
      </c>
      <c r="F638" s="23" t="str">
        <f>IF(C638="استحداث بند جديد", "", IF(D638&lt;&gt;"", IFERROR(INDEX('بنود العقد'!D$3:D$388,D638), ""), ""))</f>
        <v/>
      </c>
      <c r="G638" s="24" t="str">
        <f>IF(C638="استحداث بند جديد", "", IF(D638&lt;&gt;"", IFERROR(INDEX('بنود العقد'!E$3:E$388,D638), 0), ""))</f>
        <v/>
      </c>
      <c r="H638" s="7"/>
      <c r="I638" s="8"/>
      <c r="J638" s="10" t="str">
        <f t="shared" si="4"/>
        <v/>
      </c>
      <c r="K638" s="74" t="str">
        <f>IF(C638="استحداث بند جديد", "", IF(D638&lt;&gt;"", IFERROR(INDEX('بنود العقد'!C$3:C$388,D638), ""), ""))</f>
        <v/>
      </c>
      <c r="L638" t="str">
        <f>IF(C638="استحداث بند جديد", IF(K638&lt;&gt;"","CMH_01-"&amp;IFERROR(VLOOKUP(K638,مراجع!$A$3:$B$14,2,FALSE),"?")&amp;"-NEW-"&amp;TEXT(A638,"000"),""), IF(D638&lt;&gt;"", IFERROR(INDEX('بنود العقد'!I$3:I$388,D638), ""), ""))</f>
        <v/>
      </c>
      <c r="M638" s="19"/>
    </row>
    <row r="639" spans="1:13" ht="28.2" customHeight="1">
      <c r="A639" s="12">
        <v>64</v>
      </c>
      <c r="B639" s="6"/>
      <c r="C639" s="6"/>
      <c r="D639" s="6"/>
      <c r="E639" s="22" t="str">
        <f>IF(C639="استحداث بند جديد", "", IF(D639&lt;&gt;"", IFERROR(INDEX('بنود العقد'!B$3:B$388,D639), "⚠"), ""))</f>
        <v/>
      </c>
      <c r="F639" s="23" t="str">
        <f>IF(C639="استحداث بند جديد", "", IF(D639&lt;&gt;"", IFERROR(INDEX('بنود العقد'!D$3:D$388,D639), ""), ""))</f>
        <v/>
      </c>
      <c r="G639" s="24" t="str">
        <f>IF(C639="استحداث بند جديد", "", IF(D639&lt;&gt;"", IFERROR(INDEX('بنود العقد'!E$3:E$388,D639), 0), ""))</f>
        <v/>
      </c>
      <c r="H639" s="7"/>
      <c r="I639" s="8"/>
      <c r="J639" s="10" t="str">
        <f t="shared" si="4"/>
        <v/>
      </c>
      <c r="K639" s="74" t="str">
        <f>IF(C639="استحداث بند جديد", "", IF(D639&lt;&gt;"", IFERROR(INDEX('بنود العقد'!C$3:C$388,D639), ""), ""))</f>
        <v/>
      </c>
      <c r="L639" t="str">
        <f>IF(C639="استحداث بند جديد", IF(K639&lt;&gt;"","CMH_01-"&amp;IFERROR(VLOOKUP(K639,مراجع!$A$3:$B$14,2,FALSE),"?")&amp;"-NEW-"&amp;TEXT(A639,"000"),""), IF(D639&lt;&gt;"", IFERROR(INDEX('بنود العقد'!I$3:I$388,D639), ""), ""))</f>
        <v/>
      </c>
      <c r="M639" s="19"/>
    </row>
    <row r="640" spans="1:13" ht="28.2" customHeight="1">
      <c r="A640" s="12">
        <v>65</v>
      </c>
      <c r="B640" s="6"/>
      <c r="C640" s="6"/>
      <c r="D640" s="6"/>
      <c r="E640" s="22" t="str">
        <f>IF(C640="استحداث بند جديد", "", IF(D640&lt;&gt;"", IFERROR(INDEX('بنود العقد'!B$3:B$388,D640), "⚠"), ""))</f>
        <v/>
      </c>
      <c r="F640" s="23" t="str">
        <f>IF(C640="استحداث بند جديد", "", IF(D640&lt;&gt;"", IFERROR(INDEX('بنود العقد'!D$3:D$388,D640), ""), ""))</f>
        <v/>
      </c>
      <c r="G640" s="24" t="str">
        <f>IF(C640="استحداث بند جديد", "", IF(D640&lt;&gt;"", IFERROR(INDEX('بنود العقد'!E$3:E$388,D640), 0), ""))</f>
        <v/>
      </c>
      <c r="H640" s="7"/>
      <c r="I640" s="8"/>
      <c r="J640" s="10" t="str">
        <f t="shared" ref="J640:J671" si="5">IF(C640="تمديد مدة", 0, IF(AND(H640&lt;&gt;"",G640&lt;&gt;""), H640*G640, ""))</f>
        <v/>
      </c>
      <c r="K640" s="74" t="str">
        <f>IF(C640="استحداث بند جديد", "", IF(D640&lt;&gt;"", IFERROR(INDEX('بنود العقد'!C$3:C$388,D640), ""), ""))</f>
        <v/>
      </c>
      <c r="L640" t="str">
        <f>IF(C640="استحداث بند جديد", IF(K640&lt;&gt;"","CMH_01-"&amp;IFERROR(VLOOKUP(K640,مراجع!$A$3:$B$14,2,FALSE),"?")&amp;"-NEW-"&amp;TEXT(A640,"000"),""), IF(D640&lt;&gt;"", IFERROR(INDEX('بنود العقد'!I$3:I$388,D640), ""), ""))</f>
        <v/>
      </c>
      <c r="M640" s="19"/>
    </row>
    <row r="641" spans="1:13" ht="28.2" customHeight="1">
      <c r="A641" s="12">
        <v>66</v>
      </c>
      <c r="B641" s="6"/>
      <c r="C641" s="6"/>
      <c r="D641" s="6"/>
      <c r="E641" s="22" t="str">
        <f>IF(C641="استحداث بند جديد", "", IF(D641&lt;&gt;"", IFERROR(INDEX('بنود العقد'!B$3:B$388,D641), "⚠"), ""))</f>
        <v/>
      </c>
      <c r="F641" s="23" t="str">
        <f>IF(C641="استحداث بند جديد", "", IF(D641&lt;&gt;"", IFERROR(INDEX('بنود العقد'!D$3:D$388,D641), ""), ""))</f>
        <v/>
      </c>
      <c r="G641" s="24" t="str">
        <f>IF(C641="استحداث بند جديد", "", IF(D641&lt;&gt;"", IFERROR(INDEX('بنود العقد'!E$3:E$388,D641), 0), ""))</f>
        <v/>
      </c>
      <c r="H641" s="7"/>
      <c r="I641" s="8"/>
      <c r="J641" s="10" t="str">
        <f t="shared" si="5"/>
        <v/>
      </c>
      <c r="K641" s="74" t="str">
        <f>IF(C641="استحداث بند جديد", "", IF(D641&lt;&gt;"", IFERROR(INDEX('بنود العقد'!C$3:C$388,D641), ""), ""))</f>
        <v/>
      </c>
      <c r="L641" t="str">
        <f>IF(C641="استحداث بند جديد", IF(K641&lt;&gt;"","CMH_01-"&amp;IFERROR(VLOOKUP(K641,مراجع!$A$3:$B$14,2,FALSE),"?")&amp;"-NEW-"&amp;TEXT(A641,"000"),""), IF(D641&lt;&gt;"", IFERROR(INDEX('بنود العقد'!I$3:I$388,D641), ""), ""))</f>
        <v/>
      </c>
      <c r="M641" s="19"/>
    </row>
    <row r="642" spans="1:13" ht="28.2" customHeight="1">
      <c r="A642" s="12">
        <v>67</v>
      </c>
      <c r="B642" s="6"/>
      <c r="C642" s="6"/>
      <c r="D642" s="6"/>
      <c r="E642" s="22" t="str">
        <f>IF(C642="استحداث بند جديد", "", IF(D642&lt;&gt;"", IFERROR(INDEX('بنود العقد'!B$3:B$388,D642), "⚠"), ""))</f>
        <v/>
      </c>
      <c r="F642" s="23" t="str">
        <f>IF(C642="استحداث بند جديد", "", IF(D642&lt;&gt;"", IFERROR(INDEX('بنود العقد'!D$3:D$388,D642), ""), ""))</f>
        <v/>
      </c>
      <c r="G642" s="24" t="str">
        <f>IF(C642="استحداث بند جديد", "", IF(D642&lt;&gt;"", IFERROR(INDEX('بنود العقد'!E$3:E$388,D642), 0), ""))</f>
        <v/>
      </c>
      <c r="H642" s="7"/>
      <c r="I642" s="8"/>
      <c r="J642" s="10" t="str">
        <f t="shared" si="5"/>
        <v/>
      </c>
      <c r="K642" s="74" t="str">
        <f>IF(C642="استحداث بند جديد", "", IF(D642&lt;&gt;"", IFERROR(INDEX('بنود العقد'!C$3:C$388,D642), ""), ""))</f>
        <v/>
      </c>
      <c r="L642" t="str">
        <f>IF(C642="استحداث بند جديد", IF(K642&lt;&gt;"","CMH_01-"&amp;IFERROR(VLOOKUP(K642,مراجع!$A$3:$B$14,2,FALSE),"?")&amp;"-NEW-"&amp;TEXT(A642,"000"),""), IF(D642&lt;&gt;"", IFERROR(INDEX('بنود العقد'!I$3:I$388,D642), ""), ""))</f>
        <v/>
      </c>
      <c r="M642" s="19"/>
    </row>
    <row r="643" spans="1:13" ht="28.2" customHeight="1">
      <c r="A643" s="12">
        <v>68</v>
      </c>
      <c r="B643" s="6"/>
      <c r="C643" s="6"/>
      <c r="D643" s="6"/>
      <c r="E643" s="22" t="str">
        <f>IF(C643="استحداث بند جديد", "", IF(D643&lt;&gt;"", IFERROR(INDEX('بنود العقد'!B$3:B$388,D643), "⚠"), ""))</f>
        <v/>
      </c>
      <c r="F643" s="23" t="str">
        <f>IF(C643="استحداث بند جديد", "", IF(D643&lt;&gt;"", IFERROR(INDEX('بنود العقد'!D$3:D$388,D643), ""), ""))</f>
        <v/>
      </c>
      <c r="G643" s="24" t="str">
        <f>IF(C643="استحداث بند جديد", "", IF(D643&lt;&gt;"", IFERROR(INDEX('بنود العقد'!E$3:E$388,D643), 0), ""))</f>
        <v/>
      </c>
      <c r="H643" s="7"/>
      <c r="I643" s="8"/>
      <c r="J643" s="10" t="str">
        <f t="shared" si="5"/>
        <v/>
      </c>
      <c r="K643" s="74" t="str">
        <f>IF(C643="استحداث بند جديد", "", IF(D643&lt;&gt;"", IFERROR(INDEX('بنود العقد'!C$3:C$388,D643), ""), ""))</f>
        <v/>
      </c>
      <c r="L643" t="str">
        <f>IF(C643="استحداث بند جديد", IF(K643&lt;&gt;"","CMH_01-"&amp;IFERROR(VLOOKUP(K643,مراجع!$A$3:$B$14,2,FALSE),"?")&amp;"-NEW-"&amp;TEXT(A643,"000"),""), IF(D643&lt;&gt;"", IFERROR(INDEX('بنود العقد'!I$3:I$388,D643), ""), ""))</f>
        <v/>
      </c>
      <c r="M643" s="19"/>
    </row>
    <row r="644" spans="1:13" ht="28.2" customHeight="1">
      <c r="A644" s="12">
        <v>69</v>
      </c>
      <c r="B644" s="6"/>
      <c r="C644" s="6"/>
      <c r="D644" s="6"/>
      <c r="E644" s="22" t="str">
        <f>IF(C644="استحداث بند جديد", "", IF(D644&lt;&gt;"", IFERROR(INDEX('بنود العقد'!B$3:B$388,D644), "⚠"), ""))</f>
        <v/>
      </c>
      <c r="F644" s="23" t="str">
        <f>IF(C644="استحداث بند جديد", "", IF(D644&lt;&gt;"", IFERROR(INDEX('بنود العقد'!D$3:D$388,D644), ""), ""))</f>
        <v/>
      </c>
      <c r="G644" s="24" t="str">
        <f>IF(C644="استحداث بند جديد", "", IF(D644&lt;&gt;"", IFERROR(INDEX('بنود العقد'!E$3:E$388,D644), 0), ""))</f>
        <v/>
      </c>
      <c r="H644" s="7"/>
      <c r="I644" s="8"/>
      <c r="J644" s="10" t="str">
        <f t="shared" si="5"/>
        <v/>
      </c>
      <c r="K644" s="74" t="str">
        <f>IF(C644="استحداث بند جديد", "", IF(D644&lt;&gt;"", IFERROR(INDEX('بنود العقد'!C$3:C$388,D644), ""), ""))</f>
        <v/>
      </c>
      <c r="L644" t="str">
        <f>IF(C644="استحداث بند جديد", IF(K644&lt;&gt;"","CMH_01-"&amp;IFERROR(VLOOKUP(K644,مراجع!$A$3:$B$14,2,FALSE),"?")&amp;"-NEW-"&amp;TEXT(A644,"000"),""), IF(D644&lt;&gt;"", IFERROR(INDEX('بنود العقد'!I$3:I$388,D644), ""), ""))</f>
        <v/>
      </c>
      <c r="M644" s="19"/>
    </row>
    <row r="645" spans="1:13" ht="28.2" customHeight="1">
      <c r="A645" s="12">
        <v>70</v>
      </c>
      <c r="B645" s="6"/>
      <c r="C645" s="6"/>
      <c r="D645" s="6"/>
      <c r="E645" s="22" t="str">
        <f>IF(C645="استحداث بند جديد", "", IF(D645&lt;&gt;"", IFERROR(INDEX('بنود العقد'!B$3:B$388,D645), "⚠"), ""))</f>
        <v/>
      </c>
      <c r="F645" s="23" t="str">
        <f>IF(C645="استحداث بند جديد", "", IF(D645&lt;&gt;"", IFERROR(INDEX('بنود العقد'!D$3:D$388,D645), ""), ""))</f>
        <v/>
      </c>
      <c r="G645" s="24" t="str">
        <f>IF(C645="استحداث بند جديد", "", IF(D645&lt;&gt;"", IFERROR(INDEX('بنود العقد'!E$3:E$388,D645), 0), ""))</f>
        <v/>
      </c>
      <c r="H645" s="7"/>
      <c r="I645" s="8"/>
      <c r="J645" s="10" t="str">
        <f t="shared" si="5"/>
        <v/>
      </c>
      <c r="K645" s="74" t="str">
        <f>IF(C645="استحداث بند جديد", "", IF(D645&lt;&gt;"", IFERROR(INDEX('بنود العقد'!C$3:C$388,D645), ""), ""))</f>
        <v/>
      </c>
      <c r="L645" t="str">
        <f>IF(C645="استحداث بند جديد", IF(K645&lt;&gt;"","CMH_01-"&amp;IFERROR(VLOOKUP(K645,مراجع!$A$3:$B$14,2,FALSE),"?")&amp;"-NEW-"&amp;TEXT(A645,"000"),""), IF(D645&lt;&gt;"", IFERROR(INDEX('بنود العقد'!I$3:I$388,D645), ""), ""))</f>
        <v/>
      </c>
      <c r="M645" s="19"/>
    </row>
    <row r="646" spans="1:13" ht="28.2" customHeight="1">
      <c r="A646" s="12">
        <v>71</v>
      </c>
      <c r="B646" s="6"/>
      <c r="C646" s="6"/>
      <c r="D646" s="6"/>
      <c r="E646" s="22" t="str">
        <f>IF(C646="استحداث بند جديد", "", IF(D646&lt;&gt;"", IFERROR(INDEX('بنود العقد'!B$3:B$388,D646), "⚠"), ""))</f>
        <v/>
      </c>
      <c r="F646" s="23" t="str">
        <f>IF(C646="استحداث بند جديد", "", IF(D646&lt;&gt;"", IFERROR(INDEX('بنود العقد'!D$3:D$388,D646), ""), ""))</f>
        <v/>
      </c>
      <c r="G646" s="24" t="str">
        <f>IF(C646="استحداث بند جديد", "", IF(D646&lt;&gt;"", IFERROR(INDEX('بنود العقد'!E$3:E$388,D646), 0), ""))</f>
        <v/>
      </c>
      <c r="H646" s="7"/>
      <c r="I646" s="8"/>
      <c r="J646" s="10" t="str">
        <f t="shared" si="5"/>
        <v/>
      </c>
      <c r="K646" s="74" t="str">
        <f>IF(C646="استحداث بند جديد", "", IF(D646&lt;&gt;"", IFERROR(INDEX('بنود العقد'!C$3:C$388,D646), ""), ""))</f>
        <v/>
      </c>
      <c r="L646" t="str">
        <f>IF(C646="استحداث بند جديد", IF(K646&lt;&gt;"","CMH_01-"&amp;IFERROR(VLOOKUP(K646,مراجع!$A$3:$B$14,2,FALSE),"?")&amp;"-NEW-"&amp;TEXT(A646,"000"),""), IF(D646&lt;&gt;"", IFERROR(INDEX('بنود العقد'!I$3:I$388,D646), ""), ""))</f>
        <v/>
      </c>
      <c r="M646" s="19"/>
    </row>
    <row r="647" spans="1:13" ht="28.2" customHeight="1">
      <c r="A647" s="12">
        <v>72</v>
      </c>
      <c r="B647" s="6"/>
      <c r="C647" s="6"/>
      <c r="D647" s="6"/>
      <c r="E647" s="22" t="str">
        <f>IF(C647="استحداث بند جديد", "", IF(D647&lt;&gt;"", IFERROR(INDEX('بنود العقد'!B$3:B$388,D647), "⚠"), ""))</f>
        <v/>
      </c>
      <c r="F647" s="23" t="str">
        <f>IF(C647="استحداث بند جديد", "", IF(D647&lt;&gt;"", IFERROR(INDEX('بنود العقد'!D$3:D$388,D647), ""), ""))</f>
        <v/>
      </c>
      <c r="G647" s="24" t="str">
        <f>IF(C647="استحداث بند جديد", "", IF(D647&lt;&gt;"", IFERROR(INDEX('بنود العقد'!E$3:E$388,D647), 0), ""))</f>
        <v/>
      </c>
      <c r="H647" s="7"/>
      <c r="I647" s="8"/>
      <c r="J647" s="10" t="str">
        <f t="shared" si="5"/>
        <v/>
      </c>
      <c r="K647" s="74" t="str">
        <f>IF(C647="استحداث بند جديد", "", IF(D647&lt;&gt;"", IFERROR(INDEX('بنود العقد'!C$3:C$388,D647), ""), ""))</f>
        <v/>
      </c>
      <c r="L647" t="str">
        <f>IF(C647="استحداث بند جديد", IF(K647&lt;&gt;"","CMH_01-"&amp;IFERROR(VLOOKUP(K647,مراجع!$A$3:$B$14,2,FALSE),"?")&amp;"-NEW-"&amp;TEXT(A647,"000"),""), IF(D647&lt;&gt;"", IFERROR(INDEX('بنود العقد'!I$3:I$388,D647), ""), ""))</f>
        <v/>
      </c>
      <c r="M647" s="19"/>
    </row>
    <row r="648" spans="1:13" ht="28.2" customHeight="1">
      <c r="A648" s="12">
        <v>73</v>
      </c>
      <c r="B648" s="6"/>
      <c r="C648" s="6"/>
      <c r="D648" s="6"/>
      <c r="E648" s="22" t="str">
        <f>IF(C648="استحداث بند جديد", "", IF(D648&lt;&gt;"", IFERROR(INDEX('بنود العقد'!B$3:B$388,D648), "⚠"), ""))</f>
        <v/>
      </c>
      <c r="F648" s="23" t="str">
        <f>IF(C648="استحداث بند جديد", "", IF(D648&lt;&gt;"", IFERROR(INDEX('بنود العقد'!D$3:D$388,D648), ""), ""))</f>
        <v/>
      </c>
      <c r="G648" s="24" t="str">
        <f>IF(C648="استحداث بند جديد", "", IF(D648&lt;&gt;"", IFERROR(INDEX('بنود العقد'!E$3:E$388,D648), 0), ""))</f>
        <v/>
      </c>
      <c r="H648" s="7"/>
      <c r="I648" s="8"/>
      <c r="J648" s="10" t="str">
        <f t="shared" si="5"/>
        <v/>
      </c>
      <c r="K648" s="74" t="str">
        <f>IF(C648="استحداث بند جديد", "", IF(D648&lt;&gt;"", IFERROR(INDEX('بنود العقد'!C$3:C$388,D648), ""), ""))</f>
        <v/>
      </c>
      <c r="L648" t="str">
        <f>IF(C648="استحداث بند جديد", IF(K648&lt;&gt;"","CMH_01-"&amp;IFERROR(VLOOKUP(K648,مراجع!$A$3:$B$14,2,FALSE),"?")&amp;"-NEW-"&amp;TEXT(A648,"000"),""), IF(D648&lt;&gt;"", IFERROR(INDEX('بنود العقد'!I$3:I$388,D648), ""), ""))</f>
        <v/>
      </c>
      <c r="M648" s="19"/>
    </row>
    <row r="649" spans="1:13" ht="28.2" customHeight="1">
      <c r="A649" s="12">
        <v>74</v>
      </c>
      <c r="B649" s="6"/>
      <c r="C649" s="6"/>
      <c r="D649" s="6"/>
      <c r="E649" s="22" t="str">
        <f>IF(C649="استحداث بند جديد", "", IF(D649&lt;&gt;"", IFERROR(INDEX('بنود العقد'!B$3:B$388,D649), "⚠"), ""))</f>
        <v/>
      </c>
      <c r="F649" s="23" t="str">
        <f>IF(C649="استحداث بند جديد", "", IF(D649&lt;&gt;"", IFERROR(INDEX('بنود العقد'!D$3:D$388,D649), ""), ""))</f>
        <v/>
      </c>
      <c r="G649" s="24" t="str">
        <f>IF(C649="استحداث بند جديد", "", IF(D649&lt;&gt;"", IFERROR(INDEX('بنود العقد'!E$3:E$388,D649), 0), ""))</f>
        <v/>
      </c>
      <c r="H649" s="7"/>
      <c r="I649" s="8"/>
      <c r="J649" s="10" t="str">
        <f t="shared" si="5"/>
        <v/>
      </c>
      <c r="K649" s="74" t="str">
        <f>IF(C649="استحداث بند جديد", "", IF(D649&lt;&gt;"", IFERROR(INDEX('بنود العقد'!C$3:C$388,D649), ""), ""))</f>
        <v/>
      </c>
      <c r="L649" t="str">
        <f>IF(C649="استحداث بند جديد", IF(K649&lt;&gt;"","CMH_01-"&amp;IFERROR(VLOOKUP(K649,مراجع!$A$3:$B$14,2,FALSE),"?")&amp;"-NEW-"&amp;TEXT(A649,"000"),""), IF(D649&lt;&gt;"", IFERROR(INDEX('بنود العقد'!I$3:I$388,D649), ""), ""))</f>
        <v/>
      </c>
      <c r="M649" s="19"/>
    </row>
    <row r="650" spans="1:13" ht="28.2" customHeight="1">
      <c r="A650" s="12">
        <v>75</v>
      </c>
      <c r="B650" s="6"/>
      <c r="C650" s="6"/>
      <c r="D650" s="6"/>
      <c r="E650" s="22" t="str">
        <f>IF(C650="استحداث بند جديد", "", IF(D650&lt;&gt;"", IFERROR(INDEX('بنود العقد'!B$3:B$388,D650), "⚠"), ""))</f>
        <v/>
      </c>
      <c r="F650" s="23" t="str">
        <f>IF(C650="استحداث بند جديد", "", IF(D650&lt;&gt;"", IFERROR(INDEX('بنود العقد'!D$3:D$388,D650), ""), ""))</f>
        <v/>
      </c>
      <c r="G650" s="24" t="str">
        <f>IF(C650="استحداث بند جديد", "", IF(D650&lt;&gt;"", IFERROR(INDEX('بنود العقد'!E$3:E$388,D650), 0), ""))</f>
        <v/>
      </c>
      <c r="H650" s="7"/>
      <c r="I650" s="8"/>
      <c r="J650" s="10" t="str">
        <f t="shared" si="5"/>
        <v/>
      </c>
      <c r="K650" s="74" t="str">
        <f>IF(C650="استحداث بند جديد", "", IF(D650&lt;&gt;"", IFERROR(INDEX('بنود العقد'!C$3:C$388,D650), ""), ""))</f>
        <v/>
      </c>
      <c r="L650" t="str">
        <f>IF(C650="استحداث بند جديد", IF(K650&lt;&gt;"","CMH_01-"&amp;IFERROR(VLOOKUP(K650,مراجع!$A$3:$B$14,2,FALSE),"?")&amp;"-NEW-"&amp;TEXT(A650,"000"),""), IF(D650&lt;&gt;"", IFERROR(INDEX('بنود العقد'!I$3:I$388,D650), ""), ""))</f>
        <v/>
      </c>
      <c r="M650" s="19"/>
    </row>
    <row r="651" spans="1:13" ht="28.2" customHeight="1">
      <c r="A651" s="12">
        <v>76</v>
      </c>
      <c r="B651" s="6"/>
      <c r="C651" s="6"/>
      <c r="D651" s="6"/>
      <c r="E651" s="22" t="str">
        <f>IF(C651="استحداث بند جديد", "", IF(D651&lt;&gt;"", IFERROR(INDEX('بنود العقد'!B$3:B$388,D651), "⚠"), ""))</f>
        <v/>
      </c>
      <c r="F651" s="23" t="str">
        <f>IF(C651="استحداث بند جديد", "", IF(D651&lt;&gt;"", IFERROR(INDEX('بنود العقد'!D$3:D$388,D651), ""), ""))</f>
        <v/>
      </c>
      <c r="G651" s="24" t="str">
        <f>IF(C651="استحداث بند جديد", "", IF(D651&lt;&gt;"", IFERROR(INDEX('بنود العقد'!E$3:E$388,D651), 0), ""))</f>
        <v/>
      </c>
      <c r="H651" s="7"/>
      <c r="I651" s="8"/>
      <c r="J651" s="10" t="str">
        <f t="shared" si="5"/>
        <v/>
      </c>
      <c r="K651" s="74" t="str">
        <f>IF(C651="استحداث بند جديد", "", IF(D651&lt;&gt;"", IFERROR(INDEX('بنود العقد'!C$3:C$388,D651), ""), ""))</f>
        <v/>
      </c>
      <c r="L651" t="str">
        <f>IF(C651="استحداث بند جديد", IF(K651&lt;&gt;"","CMH_01-"&amp;IFERROR(VLOOKUP(K651,مراجع!$A$3:$B$14,2,FALSE),"?")&amp;"-NEW-"&amp;TEXT(A651,"000"),""), IF(D651&lt;&gt;"", IFERROR(INDEX('بنود العقد'!I$3:I$388,D651), ""), ""))</f>
        <v/>
      </c>
      <c r="M651" s="19"/>
    </row>
    <row r="652" spans="1:13" ht="28.2" customHeight="1">
      <c r="A652" s="12">
        <v>77</v>
      </c>
      <c r="B652" s="6"/>
      <c r="C652" s="6"/>
      <c r="D652" s="6"/>
      <c r="E652" s="22" t="str">
        <f>IF(C652="استحداث بند جديد", "", IF(D652&lt;&gt;"", IFERROR(INDEX('بنود العقد'!B$3:B$388,D652), "⚠"), ""))</f>
        <v/>
      </c>
      <c r="F652" s="23" t="str">
        <f>IF(C652="استحداث بند جديد", "", IF(D652&lt;&gt;"", IFERROR(INDEX('بنود العقد'!D$3:D$388,D652), ""), ""))</f>
        <v/>
      </c>
      <c r="G652" s="24" t="str">
        <f>IF(C652="استحداث بند جديد", "", IF(D652&lt;&gt;"", IFERROR(INDEX('بنود العقد'!E$3:E$388,D652), 0), ""))</f>
        <v/>
      </c>
      <c r="H652" s="7"/>
      <c r="I652" s="8"/>
      <c r="J652" s="10" t="str">
        <f t="shared" si="5"/>
        <v/>
      </c>
      <c r="K652" s="74" t="str">
        <f>IF(C652="استحداث بند جديد", "", IF(D652&lt;&gt;"", IFERROR(INDEX('بنود العقد'!C$3:C$388,D652), ""), ""))</f>
        <v/>
      </c>
      <c r="L652" t="str">
        <f>IF(C652="استحداث بند جديد", IF(K652&lt;&gt;"","CMH_01-"&amp;IFERROR(VLOOKUP(K652,مراجع!$A$3:$B$14,2,FALSE),"?")&amp;"-NEW-"&amp;TEXT(A652,"000"),""), IF(D652&lt;&gt;"", IFERROR(INDEX('بنود العقد'!I$3:I$388,D652), ""), ""))</f>
        <v/>
      </c>
      <c r="M652" s="19"/>
    </row>
    <row r="653" spans="1:13" ht="28.2" customHeight="1">
      <c r="A653" s="12">
        <v>78</v>
      </c>
      <c r="B653" s="6"/>
      <c r="C653" s="6"/>
      <c r="D653" s="6"/>
      <c r="E653" s="22" t="str">
        <f>IF(C653="استحداث بند جديد", "", IF(D653&lt;&gt;"", IFERROR(INDEX('بنود العقد'!B$3:B$388,D653), "⚠"), ""))</f>
        <v/>
      </c>
      <c r="F653" s="23" t="str">
        <f>IF(C653="استحداث بند جديد", "", IF(D653&lt;&gt;"", IFERROR(INDEX('بنود العقد'!D$3:D$388,D653), ""), ""))</f>
        <v/>
      </c>
      <c r="G653" s="24" t="str">
        <f>IF(C653="استحداث بند جديد", "", IF(D653&lt;&gt;"", IFERROR(INDEX('بنود العقد'!E$3:E$388,D653), 0), ""))</f>
        <v/>
      </c>
      <c r="H653" s="7"/>
      <c r="I653" s="8"/>
      <c r="J653" s="10" t="str">
        <f t="shared" si="5"/>
        <v/>
      </c>
      <c r="K653" s="74" t="str">
        <f>IF(C653="استحداث بند جديد", "", IF(D653&lt;&gt;"", IFERROR(INDEX('بنود العقد'!C$3:C$388,D653), ""), ""))</f>
        <v/>
      </c>
      <c r="L653" t="str">
        <f>IF(C653="استحداث بند جديد", IF(K653&lt;&gt;"","CMH_01-"&amp;IFERROR(VLOOKUP(K653,مراجع!$A$3:$B$14,2,FALSE),"?")&amp;"-NEW-"&amp;TEXT(A653,"000"),""), IF(D653&lt;&gt;"", IFERROR(INDEX('بنود العقد'!I$3:I$388,D653), ""), ""))</f>
        <v/>
      </c>
      <c r="M653" s="19"/>
    </row>
    <row r="654" spans="1:13" ht="28.2" customHeight="1">
      <c r="A654" s="12">
        <v>79</v>
      </c>
      <c r="B654" s="6"/>
      <c r="C654" s="6"/>
      <c r="D654" s="6"/>
      <c r="E654" s="22" t="str">
        <f>IF(C654="استحداث بند جديد", "", IF(D654&lt;&gt;"", IFERROR(INDEX('بنود العقد'!B$3:B$388,D654), "⚠"), ""))</f>
        <v/>
      </c>
      <c r="F654" s="23" t="str">
        <f>IF(C654="استحداث بند جديد", "", IF(D654&lt;&gt;"", IFERROR(INDEX('بنود العقد'!D$3:D$388,D654), ""), ""))</f>
        <v/>
      </c>
      <c r="G654" s="24" t="str">
        <f>IF(C654="استحداث بند جديد", "", IF(D654&lt;&gt;"", IFERROR(INDEX('بنود العقد'!E$3:E$388,D654), 0), ""))</f>
        <v/>
      </c>
      <c r="H654" s="7"/>
      <c r="I654" s="8"/>
      <c r="J654" s="10" t="str">
        <f t="shared" si="5"/>
        <v/>
      </c>
      <c r="K654" s="74" t="str">
        <f>IF(C654="استحداث بند جديد", "", IF(D654&lt;&gt;"", IFERROR(INDEX('بنود العقد'!C$3:C$388,D654), ""), ""))</f>
        <v/>
      </c>
      <c r="L654" t="str">
        <f>IF(C654="استحداث بند جديد", IF(K654&lt;&gt;"","CMH_01-"&amp;IFERROR(VLOOKUP(K654,مراجع!$A$3:$B$14,2,FALSE),"?")&amp;"-NEW-"&amp;TEXT(A654,"000"),""), IF(D654&lt;&gt;"", IFERROR(INDEX('بنود العقد'!I$3:I$388,D654), ""), ""))</f>
        <v/>
      </c>
      <c r="M654" s="19"/>
    </row>
    <row r="655" spans="1:13" ht="28.2" customHeight="1">
      <c r="A655" s="12">
        <v>80</v>
      </c>
      <c r="B655" s="6"/>
      <c r="C655" s="6"/>
      <c r="D655" s="6"/>
      <c r="E655" s="22" t="str">
        <f>IF(C655="استحداث بند جديد", "", IF(D655&lt;&gt;"", IFERROR(INDEX('بنود العقد'!B$3:B$388,D655), "⚠"), ""))</f>
        <v/>
      </c>
      <c r="F655" s="23" t="str">
        <f>IF(C655="استحداث بند جديد", "", IF(D655&lt;&gt;"", IFERROR(INDEX('بنود العقد'!D$3:D$388,D655), ""), ""))</f>
        <v/>
      </c>
      <c r="G655" s="24" t="str">
        <f>IF(C655="استحداث بند جديد", "", IF(D655&lt;&gt;"", IFERROR(INDEX('بنود العقد'!E$3:E$388,D655), 0), ""))</f>
        <v/>
      </c>
      <c r="H655" s="7"/>
      <c r="I655" s="8"/>
      <c r="J655" s="10" t="str">
        <f t="shared" si="5"/>
        <v/>
      </c>
      <c r="K655" s="74" t="str">
        <f>IF(C655="استحداث بند جديد", "", IF(D655&lt;&gt;"", IFERROR(INDEX('بنود العقد'!C$3:C$388,D655), ""), ""))</f>
        <v/>
      </c>
      <c r="L655" t="str">
        <f>IF(C655="استحداث بند جديد", IF(K655&lt;&gt;"","CMH_01-"&amp;IFERROR(VLOOKUP(K655,مراجع!$A$3:$B$14,2,FALSE),"?")&amp;"-NEW-"&amp;TEXT(A655,"000"),""), IF(D655&lt;&gt;"", IFERROR(INDEX('بنود العقد'!I$3:I$388,D655), ""), ""))</f>
        <v/>
      </c>
      <c r="M655" s="19"/>
    </row>
    <row r="656" spans="1:13" ht="28.2" customHeight="1">
      <c r="A656" s="12">
        <v>81</v>
      </c>
      <c r="B656" s="6"/>
      <c r="C656" s="6"/>
      <c r="D656" s="6"/>
      <c r="E656" s="22" t="str">
        <f>IF(C656="استحداث بند جديد", "", IF(D656&lt;&gt;"", IFERROR(INDEX('بنود العقد'!B$3:B$388,D656), "⚠"), ""))</f>
        <v/>
      </c>
      <c r="F656" s="23" t="str">
        <f>IF(C656="استحداث بند جديد", "", IF(D656&lt;&gt;"", IFERROR(INDEX('بنود العقد'!D$3:D$388,D656), ""), ""))</f>
        <v/>
      </c>
      <c r="G656" s="24" t="str">
        <f>IF(C656="استحداث بند جديد", "", IF(D656&lt;&gt;"", IFERROR(INDEX('بنود العقد'!E$3:E$388,D656), 0), ""))</f>
        <v/>
      </c>
      <c r="H656" s="7"/>
      <c r="I656" s="8"/>
      <c r="J656" s="10" t="str">
        <f t="shared" si="5"/>
        <v/>
      </c>
      <c r="K656" s="74" t="str">
        <f>IF(C656="استحداث بند جديد", "", IF(D656&lt;&gt;"", IFERROR(INDEX('بنود العقد'!C$3:C$388,D656), ""), ""))</f>
        <v/>
      </c>
      <c r="L656" t="str">
        <f>IF(C656="استحداث بند جديد", IF(K656&lt;&gt;"","CMH_01-"&amp;IFERROR(VLOOKUP(K656,مراجع!$A$3:$B$14,2,FALSE),"?")&amp;"-NEW-"&amp;TEXT(A656,"000"),""), IF(D656&lt;&gt;"", IFERROR(INDEX('بنود العقد'!I$3:I$388,D656), ""), ""))</f>
        <v/>
      </c>
      <c r="M656" s="19"/>
    </row>
    <row r="657" spans="1:13" ht="28.2" customHeight="1">
      <c r="A657" s="12">
        <v>82</v>
      </c>
      <c r="B657" s="6"/>
      <c r="C657" s="6"/>
      <c r="D657" s="6"/>
      <c r="E657" s="22" t="str">
        <f>IF(C657="استحداث بند جديد", "", IF(D657&lt;&gt;"", IFERROR(INDEX('بنود العقد'!B$3:B$388,D657), "⚠"), ""))</f>
        <v/>
      </c>
      <c r="F657" s="23" t="str">
        <f>IF(C657="استحداث بند جديد", "", IF(D657&lt;&gt;"", IFERROR(INDEX('بنود العقد'!D$3:D$388,D657), ""), ""))</f>
        <v/>
      </c>
      <c r="G657" s="24" t="str">
        <f>IF(C657="استحداث بند جديد", "", IF(D657&lt;&gt;"", IFERROR(INDEX('بنود العقد'!E$3:E$388,D657), 0), ""))</f>
        <v/>
      </c>
      <c r="H657" s="7"/>
      <c r="I657" s="8"/>
      <c r="J657" s="10" t="str">
        <f t="shared" si="5"/>
        <v/>
      </c>
      <c r="K657" s="74" t="str">
        <f>IF(C657="استحداث بند جديد", "", IF(D657&lt;&gt;"", IFERROR(INDEX('بنود العقد'!C$3:C$388,D657), ""), ""))</f>
        <v/>
      </c>
      <c r="L657" t="str">
        <f>IF(C657="استحداث بند جديد", IF(K657&lt;&gt;"","CMH_01-"&amp;IFERROR(VLOOKUP(K657,مراجع!$A$3:$B$14,2,FALSE),"?")&amp;"-NEW-"&amp;TEXT(A657,"000"),""), IF(D657&lt;&gt;"", IFERROR(INDEX('بنود العقد'!I$3:I$388,D657), ""), ""))</f>
        <v/>
      </c>
      <c r="M657" s="19"/>
    </row>
    <row r="658" spans="1:13" ht="28.2" customHeight="1">
      <c r="A658" s="12">
        <v>83</v>
      </c>
      <c r="B658" s="6"/>
      <c r="C658" s="6"/>
      <c r="D658" s="6"/>
      <c r="E658" s="22" t="str">
        <f>IF(C658="استحداث بند جديد", "", IF(D658&lt;&gt;"", IFERROR(INDEX('بنود العقد'!B$3:B$388,D658), "⚠"), ""))</f>
        <v/>
      </c>
      <c r="F658" s="23" t="str">
        <f>IF(C658="استحداث بند جديد", "", IF(D658&lt;&gt;"", IFERROR(INDEX('بنود العقد'!D$3:D$388,D658), ""), ""))</f>
        <v/>
      </c>
      <c r="G658" s="24" t="str">
        <f>IF(C658="استحداث بند جديد", "", IF(D658&lt;&gt;"", IFERROR(INDEX('بنود العقد'!E$3:E$388,D658), 0), ""))</f>
        <v/>
      </c>
      <c r="H658" s="7"/>
      <c r="I658" s="8"/>
      <c r="J658" s="10" t="str">
        <f t="shared" si="5"/>
        <v/>
      </c>
      <c r="K658" s="74" t="str">
        <f>IF(C658="استحداث بند جديد", "", IF(D658&lt;&gt;"", IFERROR(INDEX('بنود العقد'!C$3:C$388,D658), ""), ""))</f>
        <v/>
      </c>
      <c r="L658" t="str">
        <f>IF(C658="استحداث بند جديد", IF(K658&lt;&gt;"","CMH_01-"&amp;IFERROR(VLOOKUP(K658,مراجع!$A$3:$B$14,2,FALSE),"?")&amp;"-NEW-"&amp;TEXT(A658,"000"),""), IF(D658&lt;&gt;"", IFERROR(INDEX('بنود العقد'!I$3:I$388,D658), ""), ""))</f>
        <v/>
      </c>
      <c r="M658" s="19"/>
    </row>
    <row r="659" spans="1:13" ht="28.2" customHeight="1">
      <c r="A659" s="12">
        <v>84</v>
      </c>
      <c r="B659" s="6"/>
      <c r="C659" s="6"/>
      <c r="D659" s="6"/>
      <c r="E659" s="22" t="str">
        <f>IF(C659="استحداث بند جديد", "", IF(D659&lt;&gt;"", IFERROR(INDEX('بنود العقد'!B$3:B$388,D659), "⚠"), ""))</f>
        <v/>
      </c>
      <c r="F659" s="23" t="str">
        <f>IF(C659="استحداث بند جديد", "", IF(D659&lt;&gt;"", IFERROR(INDEX('بنود العقد'!D$3:D$388,D659), ""), ""))</f>
        <v/>
      </c>
      <c r="G659" s="24" t="str">
        <f>IF(C659="استحداث بند جديد", "", IF(D659&lt;&gt;"", IFERROR(INDEX('بنود العقد'!E$3:E$388,D659), 0), ""))</f>
        <v/>
      </c>
      <c r="H659" s="7"/>
      <c r="I659" s="8"/>
      <c r="J659" s="10" t="str">
        <f t="shared" si="5"/>
        <v/>
      </c>
      <c r="K659" s="74" t="str">
        <f>IF(C659="استحداث بند جديد", "", IF(D659&lt;&gt;"", IFERROR(INDEX('بنود العقد'!C$3:C$388,D659), ""), ""))</f>
        <v/>
      </c>
      <c r="L659" t="str">
        <f>IF(C659="استحداث بند جديد", IF(K659&lt;&gt;"","CMH_01-"&amp;IFERROR(VLOOKUP(K659,مراجع!$A$3:$B$14,2,FALSE),"?")&amp;"-NEW-"&amp;TEXT(A659,"000"),""), IF(D659&lt;&gt;"", IFERROR(INDEX('بنود العقد'!I$3:I$388,D659), ""), ""))</f>
        <v/>
      </c>
      <c r="M659" s="19"/>
    </row>
    <row r="660" spans="1:13" ht="28.2" customHeight="1">
      <c r="A660" s="12">
        <v>85</v>
      </c>
      <c r="B660" s="6"/>
      <c r="C660" s="6"/>
      <c r="D660" s="6"/>
      <c r="E660" s="22" t="str">
        <f>IF(C660="استحداث بند جديد", "", IF(D660&lt;&gt;"", IFERROR(INDEX('بنود العقد'!B$3:B$388,D660), "⚠"), ""))</f>
        <v/>
      </c>
      <c r="F660" s="23" t="str">
        <f>IF(C660="استحداث بند جديد", "", IF(D660&lt;&gt;"", IFERROR(INDEX('بنود العقد'!D$3:D$388,D660), ""), ""))</f>
        <v/>
      </c>
      <c r="G660" s="24" t="str">
        <f>IF(C660="استحداث بند جديد", "", IF(D660&lt;&gt;"", IFERROR(INDEX('بنود العقد'!E$3:E$388,D660), 0), ""))</f>
        <v/>
      </c>
      <c r="H660" s="7"/>
      <c r="I660" s="8"/>
      <c r="J660" s="10" t="str">
        <f t="shared" si="5"/>
        <v/>
      </c>
      <c r="K660" s="74" t="str">
        <f>IF(C660="استحداث بند جديد", "", IF(D660&lt;&gt;"", IFERROR(INDEX('بنود العقد'!C$3:C$388,D660), ""), ""))</f>
        <v/>
      </c>
      <c r="L660" t="str">
        <f>IF(C660="استحداث بند جديد", IF(K660&lt;&gt;"","CMH_01-"&amp;IFERROR(VLOOKUP(K660,مراجع!$A$3:$B$14,2,FALSE),"?")&amp;"-NEW-"&amp;TEXT(A660,"000"),""), IF(D660&lt;&gt;"", IFERROR(INDEX('بنود العقد'!I$3:I$388,D660), ""), ""))</f>
        <v/>
      </c>
      <c r="M660" s="19"/>
    </row>
    <row r="661" spans="1:13" ht="28.2" customHeight="1">
      <c r="A661" s="12">
        <v>86</v>
      </c>
      <c r="B661" s="6"/>
      <c r="C661" s="6"/>
      <c r="D661" s="6"/>
      <c r="E661" s="22" t="str">
        <f>IF(C661="استحداث بند جديد", "", IF(D661&lt;&gt;"", IFERROR(INDEX('بنود العقد'!B$3:B$388,D661), "⚠"), ""))</f>
        <v/>
      </c>
      <c r="F661" s="23" t="str">
        <f>IF(C661="استحداث بند جديد", "", IF(D661&lt;&gt;"", IFERROR(INDEX('بنود العقد'!D$3:D$388,D661), ""), ""))</f>
        <v/>
      </c>
      <c r="G661" s="24" t="str">
        <f>IF(C661="استحداث بند جديد", "", IF(D661&lt;&gt;"", IFERROR(INDEX('بنود العقد'!E$3:E$388,D661), 0), ""))</f>
        <v/>
      </c>
      <c r="H661" s="7"/>
      <c r="I661" s="8"/>
      <c r="J661" s="10" t="str">
        <f t="shared" si="5"/>
        <v/>
      </c>
      <c r="K661" s="74" t="str">
        <f>IF(C661="استحداث بند جديد", "", IF(D661&lt;&gt;"", IFERROR(INDEX('بنود العقد'!C$3:C$388,D661), ""), ""))</f>
        <v/>
      </c>
      <c r="L661" t="str">
        <f>IF(C661="استحداث بند جديد", IF(K661&lt;&gt;"","CMH_01-"&amp;IFERROR(VLOOKUP(K661,مراجع!$A$3:$B$14,2,FALSE),"?")&amp;"-NEW-"&amp;TEXT(A661,"000"),""), IF(D661&lt;&gt;"", IFERROR(INDEX('بنود العقد'!I$3:I$388,D661), ""), ""))</f>
        <v/>
      </c>
      <c r="M661" s="19"/>
    </row>
    <row r="662" spans="1:13" ht="28.2" customHeight="1">
      <c r="A662" s="12">
        <v>87</v>
      </c>
      <c r="B662" s="6"/>
      <c r="C662" s="6"/>
      <c r="D662" s="6"/>
      <c r="E662" s="22" t="str">
        <f>IF(C662="استحداث بند جديد", "", IF(D662&lt;&gt;"", IFERROR(INDEX('بنود العقد'!B$3:B$388,D662), "⚠"), ""))</f>
        <v/>
      </c>
      <c r="F662" s="23" t="str">
        <f>IF(C662="استحداث بند جديد", "", IF(D662&lt;&gt;"", IFERROR(INDEX('بنود العقد'!D$3:D$388,D662), ""), ""))</f>
        <v/>
      </c>
      <c r="G662" s="24" t="str">
        <f>IF(C662="استحداث بند جديد", "", IF(D662&lt;&gt;"", IFERROR(INDEX('بنود العقد'!E$3:E$388,D662), 0), ""))</f>
        <v/>
      </c>
      <c r="H662" s="7"/>
      <c r="I662" s="8"/>
      <c r="J662" s="10" t="str">
        <f t="shared" si="5"/>
        <v/>
      </c>
      <c r="K662" s="74" t="str">
        <f>IF(C662="استحداث بند جديد", "", IF(D662&lt;&gt;"", IFERROR(INDEX('بنود العقد'!C$3:C$388,D662), ""), ""))</f>
        <v/>
      </c>
      <c r="L662" t="str">
        <f>IF(C662="استحداث بند جديد", IF(K662&lt;&gt;"","CMH_01-"&amp;IFERROR(VLOOKUP(K662,مراجع!$A$3:$B$14,2,FALSE),"?")&amp;"-NEW-"&amp;TEXT(A662,"000"),""), IF(D662&lt;&gt;"", IFERROR(INDEX('بنود العقد'!I$3:I$388,D662), ""), ""))</f>
        <v/>
      </c>
      <c r="M662" s="19"/>
    </row>
    <row r="663" spans="1:13" ht="28.2" customHeight="1">
      <c r="A663" s="12">
        <v>88</v>
      </c>
      <c r="B663" s="6"/>
      <c r="C663" s="6"/>
      <c r="D663" s="6"/>
      <c r="E663" s="22" t="str">
        <f>IF(C663="استحداث بند جديد", "", IF(D663&lt;&gt;"", IFERROR(INDEX('بنود العقد'!B$3:B$388,D663), "⚠"), ""))</f>
        <v/>
      </c>
      <c r="F663" s="23" t="str">
        <f>IF(C663="استحداث بند جديد", "", IF(D663&lt;&gt;"", IFERROR(INDEX('بنود العقد'!D$3:D$388,D663), ""), ""))</f>
        <v/>
      </c>
      <c r="G663" s="24" t="str">
        <f>IF(C663="استحداث بند جديد", "", IF(D663&lt;&gt;"", IFERROR(INDEX('بنود العقد'!E$3:E$388,D663), 0), ""))</f>
        <v/>
      </c>
      <c r="H663" s="7"/>
      <c r="I663" s="8"/>
      <c r="J663" s="10" t="str">
        <f t="shared" si="5"/>
        <v/>
      </c>
      <c r="K663" s="74" t="str">
        <f>IF(C663="استحداث بند جديد", "", IF(D663&lt;&gt;"", IFERROR(INDEX('بنود العقد'!C$3:C$388,D663), ""), ""))</f>
        <v/>
      </c>
      <c r="L663" t="str">
        <f>IF(C663="استحداث بند جديد", IF(K663&lt;&gt;"","CMH_01-"&amp;IFERROR(VLOOKUP(K663,مراجع!$A$3:$B$14,2,FALSE),"?")&amp;"-NEW-"&amp;TEXT(A663,"000"),""), IF(D663&lt;&gt;"", IFERROR(INDEX('بنود العقد'!I$3:I$388,D663), ""), ""))</f>
        <v/>
      </c>
      <c r="M663" s="19"/>
    </row>
    <row r="664" spans="1:13" ht="28.2" customHeight="1">
      <c r="A664" s="12">
        <v>89</v>
      </c>
      <c r="B664" s="6"/>
      <c r="C664" s="6"/>
      <c r="D664" s="6"/>
      <c r="E664" s="22" t="str">
        <f>IF(C664="استحداث بند جديد", "", IF(D664&lt;&gt;"", IFERROR(INDEX('بنود العقد'!B$3:B$388,D664), "⚠"), ""))</f>
        <v/>
      </c>
      <c r="F664" s="23" t="str">
        <f>IF(C664="استحداث بند جديد", "", IF(D664&lt;&gt;"", IFERROR(INDEX('بنود العقد'!D$3:D$388,D664), ""), ""))</f>
        <v/>
      </c>
      <c r="G664" s="24" t="str">
        <f>IF(C664="استحداث بند جديد", "", IF(D664&lt;&gt;"", IFERROR(INDEX('بنود العقد'!E$3:E$388,D664), 0), ""))</f>
        <v/>
      </c>
      <c r="H664" s="7"/>
      <c r="I664" s="8"/>
      <c r="J664" s="10" t="str">
        <f t="shared" si="5"/>
        <v/>
      </c>
      <c r="K664" s="74" t="str">
        <f>IF(C664="استحداث بند جديد", "", IF(D664&lt;&gt;"", IFERROR(INDEX('بنود العقد'!C$3:C$388,D664), ""), ""))</f>
        <v/>
      </c>
      <c r="L664" t="str">
        <f>IF(C664="استحداث بند جديد", IF(K664&lt;&gt;"","CMH_01-"&amp;IFERROR(VLOOKUP(K664,مراجع!$A$3:$B$14,2,FALSE),"?")&amp;"-NEW-"&amp;TEXT(A664,"000"),""), IF(D664&lt;&gt;"", IFERROR(INDEX('بنود العقد'!I$3:I$388,D664), ""), ""))</f>
        <v/>
      </c>
      <c r="M664" s="19"/>
    </row>
    <row r="665" spans="1:13" ht="28.2" customHeight="1">
      <c r="A665" s="12">
        <v>90</v>
      </c>
      <c r="B665" s="6"/>
      <c r="C665" s="6"/>
      <c r="D665" s="6"/>
      <c r="E665" s="22" t="str">
        <f>IF(C665="استحداث بند جديد", "", IF(D665&lt;&gt;"", IFERROR(INDEX('بنود العقد'!B$3:B$388,D665), "⚠"), ""))</f>
        <v/>
      </c>
      <c r="F665" s="23" t="str">
        <f>IF(C665="استحداث بند جديد", "", IF(D665&lt;&gt;"", IFERROR(INDEX('بنود العقد'!D$3:D$388,D665), ""), ""))</f>
        <v/>
      </c>
      <c r="G665" s="24" t="str">
        <f>IF(C665="استحداث بند جديد", "", IF(D665&lt;&gt;"", IFERROR(INDEX('بنود العقد'!E$3:E$388,D665), 0), ""))</f>
        <v/>
      </c>
      <c r="H665" s="7"/>
      <c r="I665" s="8"/>
      <c r="J665" s="10" t="str">
        <f t="shared" si="5"/>
        <v/>
      </c>
      <c r="K665" s="74" t="str">
        <f>IF(C665="استحداث بند جديد", "", IF(D665&lt;&gt;"", IFERROR(INDEX('بنود العقد'!C$3:C$388,D665), ""), ""))</f>
        <v/>
      </c>
      <c r="L665" t="str">
        <f>IF(C665="استحداث بند جديد", IF(K665&lt;&gt;"","CMH_01-"&amp;IFERROR(VLOOKUP(K665,مراجع!$A$3:$B$14,2,FALSE),"?")&amp;"-NEW-"&amp;TEXT(A665,"000"),""), IF(D665&lt;&gt;"", IFERROR(INDEX('بنود العقد'!I$3:I$388,D665), ""), ""))</f>
        <v/>
      </c>
      <c r="M665" s="19"/>
    </row>
    <row r="666" spans="1:13" ht="28.2" customHeight="1">
      <c r="A666" s="12">
        <v>91</v>
      </c>
      <c r="B666" s="6"/>
      <c r="C666" s="6"/>
      <c r="D666" s="6"/>
      <c r="E666" s="22" t="str">
        <f>IF(C666="استحداث بند جديد", "", IF(D666&lt;&gt;"", IFERROR(INDEX('بنود العقد'!B$3:B$388,D666), "⚠"), ""))</f>
        <v/>
      </c>
      <c r="F666" s="23" t="str">
        <f>IF(C666="استحداث بند جديد", "", IF(D666&lt;&gt;"", IFERROR(INDEX('بنود العقد'!D$3:D$388,D666), ""), ""))</f>
        <v/>
      </c>
      <c r="G666" s="24" t="str">
        <f>IF(C666="استحداث بند جديد", "", IF(D666&lt;&gt;"", IFERROR(INDEX('بنود العقد'!E$3:E$388,D666), 0), ""))</f>
        <v/>
      </c>
      <c r="H666" s="7"/>
      <c r="I666" s="8"/>
      <c r="J666" s="10" t="str">
        <f t="shared" si="5"/>
        <v/>
      </c>
      <c r="K666" s="74" t="str">
        <f>IF(C666="استحداث بند جديد", "", IF(D666&lt;&gt;"", IFERROR(INDEX('بنود العقد'!C$3:C$388,D666), ""), ""))</f>
        <v/>
      </c>
      <c r="L666" t="str">
        <f>IF(C666="استحداث بند جديد", IF(K666&lt;&gt;"","CMH_01-"&amp;IFERROR(VLOOKUP(K666,مراجع!$A$3:$B$14,2,FALSE),"?")&amp;"-NEW-"&amp;TEXT(A666,"000"),""), IF(D666&lt;&gt;"", IFERROR(INDEX('بنود العقد'!I$3:I$388,D666), ""), ""))</f>
        <v/>
      </c>
      <c r="M666" s="19"/>
    </row>
    <row r="667" spans="1:13" ht="28.2" customHeight="1">
      <c r="A667" s="12">
        <v>92</v>
      </c>
      <c r="B667" s="6"/>
      <c r="C667" s="6"/>
      <c r="D667" s="6"/>
      <c r="E667" s="22" t="str">
        <f>IF(C667="استحداث بند جديد", "", IF(D667&lt;&gt;"", IFERROR(INDEX('بنود العقد'!B$3:B$388,D667), "⚠"), ""))</f>
        <v/>
      </c>
      <c r="F667" s="23" t="str">
        <f>IF(C667="استحداث بند جديد", "", IF(D667&lt;&gt;"", IFERROR(INDEX('بنود العقد'!D$3:D$388,D667), ""), ""))</f>
        <v/>
      </c>
      <c r="G667" s="24" t="str">
        <f>IF(C667="استحداث بند جديد", "", IF(D667&lt;&gt;"", IFERROR(INDEX('بنود العقد'!E$3:E$388,D667), 0), ""))</f>
        <v/>
      </c>
      <c r="H667" s="7"/>
      <c r="I667" s="8"/>
      <c r="J667" s="10" t="str">
        <f t="shared" si="5"/>
        <v/>
      </c>
      <c r="K667" s="74" t="str">
        <f>IF(C667="استحداث بند جديد", "", IF(D667&lt;&gt;"", IFERROR(INDEX('بنود العقد'!C$3:C$388,D667), ""), ""))</f>
        <v/>
      </c>
      <c r="L667" t="str">
        <f>IF(C667="استحداث بند جديد", IF(K667&lt;&gt;"","CMH_01-"&amp;IFERROR(VLOOKUP(K667,مراجع!$A$3:$B$14,2,FALSE),"?")&amp;"-NEW-"&amp;TEXT(A667,"000"),""), IF(D667&lt;&gt;"", IFERROR(INDEX('بنود العقد'!I$3:I$388,D667), ""), ""))</f>
        <v/>
      </c>
      <c r="M667" s="19"/>
    </row>
    <row r="668" spans="1:13" ht="28.2" customHeight="1">
      <c r="A668" s="12">
        <v>93</v>
      </c>
      <c r="B668" s="6"/>
      <c r="C668" s="6"/>
      <c r="D668" s="6"/>
      <c r="E668" s="22" t="str">
        <f>IF(C668="استحداث بند جديد", "", IF(D668&lt;&gt;"", IFERROR(INDEX('بنود العقد'!B$3:B$388,D668), "⚠"), ""))</f>
        <v/>
      </c>
      <c r="F668" s="23" t="str">
        <f>IF(C668="استحداث بند جديد", "", IF(D668&lt;&gt;"", IFERROR(INDEX('بنود العقد'!D$3:D$388,D668), ""), ""))</f>
        <v/>
      </c>
      <c r="G668" s="24" t="str">
        <f>IF(C668="استحداث بند جديد", "", IF(D668&lt;&gt;"", IFERROR(INDEX('بنود العقد'!E$3:E$388,D668), 0), ""))</f>
        <v/>
      </c>
      <c r="H668" s="7"/>
      <c r="I668" s="8"/>
      <c r="J668" s="10" t="str">
        <f t="shared" si="5"/>
        <v/>
      </c>
      <c r="K668" s="74" t="str">
        <f>IF(C668="استحداث بند جديد", "", IF(D668&lt;&gt;"", IFERROR(INDEX('بنود العقد'!C$3:C$388,D668), ""), ""))</f>
        <v/>
      </c>
      <c r="L668" t="str">
        <f>IF(C668="استحداث بند جديد", IF(K668&lt;&gt;"","CMH_01-"&amp;IFERROR(VLOOKUP(K668,مراجع!$A$3:$B$14,2,FALSE),"?")&amp;"-NEW-"&amp;TEXT(A668,"000"),""), IF(D668&lt;&gt;"", IFERROR(INDEX('بنود العقد'!I$3:I$388,D668), ""), ""))</f>
        <v/>
      </c>
      <c r="M668" s="19"/>
    </row>
    <row r="669" spans="1:13" ht="28.2" customHeight="1">
      <c r="A669" s="12">
        <v>94</v>
      </c>
      <c r="B669" s="6"/>
      <c r="C669" s="6"/>
      <c r="D669" s="6"/>
      <c r="E669" s="22" t="str">
        <f>IF(C669="استحداث بند جديد", "", IF(D669&lt;&gt;"", IFERROR(INDEX('بنود العقد'!B$3:B$388,D669), "⚠"), ""))</f>
        <v/>
      </c>
      <c r="F669" s="23" t="str">
        <f>IF(C669="استحداث بند جديد", "", IF(D669&lt;&gt;"", IFERROR(INDEX('بنود العقد'!D$3:D$388,D669), ""), ""))</f>
        <v/>
      </c>
      <c r="G669" s="24" t="str">
        <f>IF(C669="استحداث بند جديد", "", IF(D669&lt;&gt;"", IFERROR(INDEX('بنود العقد'!E$3:E$388,D669), 0), ""))</f>
        <v/>
      </c>
      <c r="H669" s="7"/>
      <c r="I669" s="8"/>
      <c r="J669" s="10" t="str">
        <f t="shared" si="5"/>
        <v/>
      </c>
      <c r="K669" s="74" t="str">
        <f>IF(C669="استحداث بند جديد", "", IF(D669&lt;&gt;"", IFERROR(INDEX('بنود العقد'!C$3:C$388,D669), ""), ""))</f>
        <v/>
      </c>
      <c r="L669" t="str">
        <f>IF(C669="استحداث بند جديد", IF(K669&lt;&gt;"","CMH_01-"&amp;IFERROR(VLOOKUP(K669,مراجع!$A$3:$B$14,2,FALSE),"?")&amp;"-NEW-"&amp;TEXT(A669,"000"),""), IF(D669&lt;&gt;"", IFERROR(INDEX('بنود العقد'!I$3:I$388,D669), ""), ""))</f>
        <v/>
      </c>
      <c r="M669" s="19"/>
    </row>
    <row r="670" spans="1:13" ht="28.2" customHeight="1">
      <c r="A670" s="12">
        <v>95</v>
      </c>
      <c r="B670" s="6"/>
      <c r="C670" s="6"/>
      <c r="D670" s="6"/>
      <c r="E670" s="22" t="str">
        <f>IF(C670="استحداث بند جديد", "", IF(D670&lt;&gt;"", IFERROR(INDEX('بنود العقد'!B$3:B$388,D670), "⚠"), ""))</f>
        <v/>
      </c>
      <c r="F670" s="23" t="str">
        <f>IF(C670="استحداث بند جديد", "", IF(D670&lt;&gt;"", IFERROR(INDEX('بنود العقد'!D$3:D$388,D670), ""), ""))</f>
        <v/>
      </c>
      <c r="G670" s="24" t="str">
        <f>IF(C670="استحداث بند جديد", "", IF(D670&lt;&gt;"", IFERROR(INDEX('بنود العقد'!E$3:E$388,D670), 0), ""))</f>
        <v/>
      </c>
      <c r="H670" s="7"/>
      <c r="I670" s="8"/>
      <c r="J670" s="10" t="str">
        <f t="shared" si="5"/>
        <v/>
      </c>
      <c r="K670" s="74" t="str">
        <f>IF(C670="استحداث بند جديد", "", IF(D670&lt;&gt;"", IFERROR(INDEX('بنود العقد'!C$3:C$388,D670), ""), ""))</f>
        <v/>
      </c>
      <c r="L670" t="str">
        <f>IF(C670="استحداث بند جديد", IF(K670&lt;&gt;"","CMH_01-"&amp;IFERROR(VLOOKUP(K670,مراجع!$A$3:$B$14,2,FALSE),"?")&amp;"-NEW-"&amp;TEXT(A670,"000"),""), IF(D670&lt;&gt;"", IFERROR(INDEX('بنود العقد'!I$3:I$388,D670), ""), ""))</f>
        <v/>
      </c>
      <c r="M670" s="19"/>
    </row>
    <row r="671" spans="1:13" ht="28.2" customHeight="1">
      <c r="A671" s="12">
        <v>96</v>
      </c>
      <c r="B671" s="6"/>
      <c r="C671" s="6"/>
      <c r="D671" s="6"/>
      <c r="E671" s="22" t="str">
        <f>IF(C671="استحداث بند جديد", "", IF(D671&lt;&gt;"", IFERROR(INDEX('بنود العقد'!B$3:B$388,D671), "⚠"), ""))</f>
        <v/>
      </c>
      <c r="F671" s="23" t="str">
        <f>IF(C671="استحداث بند جديد", "", IF(D671&lt;&gt;"", IFERROR(INDEX('بنود العقد'!D$3:D$388,D671), ""), ""))</f>
        <v/>
      </c>
      <c r="G671" s="24" t="str">
        <f>IF(C671="استحداث بند جديد", "", IF(D671&lt;&gt;"", IFERROR(INDEX('بنود العقد'!E$3:E$388,D671), 0), ""))</f>
        <v/>
      </c>
      <c r="H671" s="7"/>
      <c r="I671" s="8"/>
      <c r="J671" s="10" t="str">
        <f t="shared" si="5"/>
        <v/>
      </c>
      <c r="K671" s="74" t="str">
        <f>IF(C671="استحداث بند جديد", "", IF(D671&lt;&gt;"", IFERROR(INDEX('بنود العقد'!C$3:C$388,D671), ""), ""))</f>
        <v/>
      </c>
      <c r="L671" t="str">
        <f>IF(C671="استحداث بند جديد", IF(K671&lt;&gt;"","CMH_01-"&amp;IFERROR(VLOOKUP(K671,مراجع!$A$3:$B$14,2,FALSE),"?")&amp;"-NEW-"&amp;TEXT(A671,"000"),""), IF(D671&lt;&gt;"", IFERROR(INDEX('بنود العقد'!I$3:I$388,D671), ""), ""))</f>
        <v/>
      </c>
      <c r="M671" s="19"/>
    </row>
    <row r="672" spans="1:13" ht="28.2" customHeight="1">
      <c r="A672" s="12">
        <v>97</v>
      </c>
      <c r="B672" s="6"/>
      <c r="C672" s="6"/>
      <c r="D672" s="6"/>
      <c r="E672" s="22" t="str">
        <f>IF(C672="استحداث بند جديد", "", IF(D672&lt;&gt;"", IFERROR(INDEX('بنود العقد'!B$3:B$388,D672), "⚠"), ""))</f>
        <v/>
      </c>
      <c r="F672" s="23" t="str">
        <f>IF(C672="استحداث بند جديد", "", IF(D672&lt;&gt;"", IFERROR(INDEX('بنود العقد'!D$3:D$388,D672), ""), ""))</f>
        <v/>
      </c>
      <c r="G672" s="24" t="str">
        <f>IF(C672="استحداث بند جديد", "", IF(D672&lt;&gt;"", IFERROR(INDEX('بنود العقد'!E$3:E$388,D672), 0), ""))</f>
        <v/>
      </c>
      <c r="H672" s="7"/>
      <c r="I672" s="8"/>
      <c r="J672" s="10" t="str">
        <f t="shared" ref="J672:J703" si="6">IF(C672="تمديد مدة", 0, IF(AND(H672&lt;&gt;"",G672&lt;&gt;""), H672*G672, ""))</f>
        <v/>
      </c>
      <c r="K672" s="74" t="str">
        <f>IF(C672="استحداث بند جديد", "", IF(D672&lt;&gt;"", IFERROR(INDEX('بنود العقد'!C$3:C$388,D672), ""), ""))</f>
        <v/>
      </c>
      <c r="L672" t="str">
        <f>IF(C672="استحداث بند جديد", IF(K672&lt;&gt;"","CMH_01-"&amp;IFERROR(VLOOKUP(K672,مراجع!$A$3:$B$14,2,FALSE),"?")&amp;"-NEW-"&amp;TEXT(A672,"000"),""), IF(D672&lt;&gt;"", IFERROR(INDEX('بنود العقد'!I$3:I$388,D672), ""), ""))</f>
        <v/>
      </c>
      <c r="M672" s="19"/>
    </row>
    <row r="673" spans="1:13" ht="28.2" customHeight="1">
      <c r="A673" s="12">
        <v>98</v>
      </c>
      <c r="B673" s="6"/>
      <c r="C673" s="6"/>
      <c r="D673" s="6"/>
      <c r="E673" s="22" t="str">
        <f>IF(C673="استحداث بند جديد", "", IF(D673&lt;&gt;"", IFERROR(INDEX('بنود العقد'!B$3:B$388,D673), "⚠"), ""))</f>
        <v/>
      </c>
      <c r="F673" s="23" t="str">
        <f>IF(C673="استحداث بند جديد", "", IF(D673&lt;&gt;"", IFERROR(INDEX('بنود العقد'!D$3:D$388,D673), ""), ""))</f>
        <v/>
      </c>
      <c r="G673" s="24" t="str">
        <f>IF(C673="استحداث بند جديد", "", IF(D673&lt;&gt;"", IFERROR(INDEX('بنود العقد'!E$3:E$388,D673), 0), ""))</f>
        <v/>
      </c>
      <c r="H673" s="7"/>
      <c r="I673" s="8"/>
      <c r="J673" s="10" t="str">
        <f t="shared" si="6"/>
        <v/>
      </c>
      <c r="K673" s="74" t="str">
        <f>IF(C673="استحداث بند جديد", "", IF(D673&lt;&gt;"", IFERROR(INDEX('بنود العقد'!C$3:C$388,D673), ""), ""))</f>
        <v/>
      </c>
      <c r="L673" t="str">
        <f>IF(C673="استحداث بند جديد", IF(K673&lt;&gt;"","CMH_01-"&amp;IFERROR(VLOOKUP(K673,مراجع!$A$3:$B$14,2,FALSE),"?")&amp;"-NEW-"&amp;TEXT(A673,"000"),""), IF(D673&lt;&gt;"", IFERROR(INDEX('بنود العقد'!I$3:I$388,D673), ""), ""))</f>
        <v/>
      </c>
      <c r="M673" s="19"/>
    </row>
    <row r="674" spans="1:13" ht="28.2" customHeight="1">
      <c r="A674" s="12">
        <v>99</v>
      </c>
      <c r="B674" s="6"/>
      <c r="C674" s="6"/>
      <c r="D674" s="6"/>
      <c r="E674" s="22" t="str">
        <f>IF(C674="استحداث بند جديد", "", IF(D674&lt;&gt;"", IFERROR(INDEX('بنود العقد'!B$3:B$388,D674), "⚠"), ""))</f>
        <v/>
      </c>
      <c r="F674" s="23" t="str">
        <f>IF(C674="استحداث بند جديد", "", IF(D674&lt;&gt;"", IFERROR(INDEX('بنود العقد'!D$3:D$388,D674), ""), ""))</f>
        <v/>
      </c>
      <c r="G674" s="24" t="str">
        <f>IF(C674="استحداث بند جديد", "", IF(D674&lt;&gt;"", IFERROR(INDEX('بنود العقد'!E$3:E$388,D674), 0), ""))</f>
        <v/>
      </c>
      <c r="H674" s="7"/>
      <c r="I674" s="8"/>
      <c r="J674" s="10" t="str">
        <f t="shared" si="6"/>
        <v/>
      </c>
      <c r="K674" s="74" t="str">
        <f>IF(C674="استحداث بند جديد", "", IF(D674&lt;&gt;"", IFERROR(INDEX('بنود العقد'!C$3:C$388,D674), ""), ""))</f>
        <v/>
      </c>
      <c r="L674" t="str">
        <f>IF(C674="استحداث بند جديد", IF(K674&lt;&gt;"","CMH_01-"&amp;IFERROR(VLOOKUP(K674,مراجع!$A$3:$B$14,2,FALSE),"?")&amp;"-NEW-"&amp;TEXT(A674,"000"),""), IF(D674&lt;&gt;"", IFERROR(INDEX('بنود العقد'!I$3:I$388,D674), ""), ""))</f>
        <v/>
      </c>
      <c r="M674" s="19"/>
    </row>
    <row r="675" spans="1:13" ht="28.2" customHeight="1">
      <c r="A675" s="12">
        <v>100</v>
      </c>
      <c r="B675" s="6"/>
      <c r="C675" s="6"/>
      <c r="D675" s="6"/>
      <c r="E675" s="22" t="str">
        <f>IF(C675="استحداث بند جديد", "", IF(D675&lt;&gt;"", IFERROR(INDEX('بنود العقد'!B$3:B$388,D675), "⚠"), ""))</f>
        <v/>
      </c>
      <c r="F675" s="23" t="str">
        <f>IF(C675="استحداث بند جديد", "", IF(D675&lt;&gt;"", IFERROR(INDEX('بنود العقد'!D$3:D$388,D675), ""), ""))</f>
        <v/>
      </c>
      <c r="G675" s="24" t="str">
        <f>IF(C675="استحداث بند جديد", "", IF(D675&lt;&gt;"", IFERROR(INDEX('بنود العقد'!E$3:E$388,D675), 0), ""))</f>
        <v/>
      </c>
      <c r="H675" s="7"/>
      <c r="I675" s="8"/>
      <c r="J675" s="10" t="str">
        <f t="shared" si="6"/>
        <v/>
      </c>
      <c r="K675" s="74" t="str">
        <f>IF(C675="استحداث بند جديد", "", IF(D675&lt;&gt;"", IFERROR(INDEX('بنود العقد'!C$3:C$388,D675), ""), ""))</f>
        <v/>
      </c>
      <c r="L675" t="str">
        <f>IF(C675="استحداث بند جديد", IF(K675&lt;&gt;"","CMH_01-"&amp;IFERROR(VLOOKUP(K675,مراجع!$A$3:$B$14,2,FALSE),"?")&amp;"-NEW-"&amp;TEXT(A675,"000"),""), IF(D675&lt;&gt;"", IFERROR(INDEX('بنود العقد'!I$3:I$388,D675), ""), ""))</f>
        <v/>
      </c>
      <c r="M675" s="19"/>
    </row>
    <row r="676" spans="1:13" ht="28.2" customHeight="1">
      <c r="A676" s="12">
        <v>101</v>
      </c>
      <c r="B676" s="6"/>
      <c r="C676" s="6"/>
      <c r="D676" s="6"/>
      <c r="E676" s="22" t="str">
        <f>IF(C676="استحداث بند جديد", "", IF(D676&lt;&gt;"", IFERROR(INDEX('بنود العقد'!B$3:B$388,D676), "⚠"), ""))</f>
        <v/>
      </c>
      <c r="F676" s="23" t="str">
        <f>IF(C676="استحداث بند جديد", "", IF(D676&lt;&gt;"", IFERROR(INDEX('بنود العقد'!D$3:D$388,D676), ""), ""))</f>
        <v/>
      </c>
      <c r="G676" s="24" t="str">
        <f>IF(C676="استحداث بند جديد", "", IF(D676&lt;&gt;"", IFERROR(INDEX('بنود العقد'!E$3:E$388,D676), 0), ""))</f>
        <v/>
      </c>
      <c r="H676" s="7"/>
      <c r="I676" s="8"/>
      <c r="J676" s="10" t="str">
        <f t="shared" si="6"/>
        <v/>
      </c>
      <c r="K676" s="74" t="str">
        <f>IF(C676="استحداث بند جديد", "", IF(D676&lt;&gt;"", IFERROR(INDEX('بنود العقد'!C$3:C$388,D676), ""), ""))</f>
        <v/>
      </c>
      <c r="L676" t="str">
        <f>IF(C676="استحداث بند جديد", IF(K676&lt;&gt;"","CMH_01-"&amp;IFERROR(VLOOKUP(K676,مراجع!$A$3:$B$14,2,FALSE),"?")&amp;"-NEW-"&amp;TEXT(A676,"000"),""), IF(D676&lt;&gt;"", IFERROR(INDEX('بنود العقد'!I$3:I$388,D676), ""), ""))</f>
        <v/>
      </c>
      <c r="M676" s="19"/>
    </row>
    <row r="677" spans="1:13" ht="28.2" customHeight="1">
      <c r="A677" s="12">
        <v>102</v>
      </c>
      <c r="B677" s="6"/>
      <c r="C677" s="6"/>
      <c r="D677" s="6"/>
      <c r="E677" s="22" t="str">
        <f>IF(C677="استحداث بند جديد", "", IF(D677&lt;&gt;"", IFERROR(INDEX('بنود العقد'!B$3:B$388,D677), "⚠"), ""))</f>
        <v/>
      </c>
      <c r="F677" s="23" t="str">
        <f>IF(C677="استحداث بند جديد", "", IF(D677&lt;&gt;"", IFERROR(INDEX('بنود العقد'!D$3:D$388,D677), ""), ""))</f>
        <v/>
      </c>
      <c r="G677" s="24" t="str">
        <f>IF(C677="استحداث بند جديد", "", IF(D677&lt;&gt;"", IFERROR(INDEX('بنود العقد'!E$3:E$388,D677), 0), ""))</f>
        <v/>
      </c>
      <c r="H677" s="7"/>
      <c r="I677" s="8"/>
      <c r="J677" s="10" t="str">
        <f t="shared" si="6"/>
        <v/>
      </c>
      <c r="K677" s="74" t="str">
        <f>IF(C677="استحداث بند جديد", "", IF(D677&lt;&gt;"", IFERROR(INDEX('بنود العقد'!C$3:C$388,D677), ""), ""))</f>
        <v/>
      </c>
      <c r="L677" t="str">
        <f>IF(C677="استحداث بند جديد", IF(K677&lt;&gt;"","CMH_01-"&amp;IFERROR(VLOOKUP(K677,مراجع!$A$3:$B$14,2,FALSE),"?")&amp;"-NEW-"&amp;TEXT(A677,"000"),""), IF(D677&lt;&gt;"", IFERROR(INDEX('بنود العقد'!I$3:I$388,D677), ""), ""))</f>
        <v/>
      </c>
      <c r="M677" s="19"/>
    </row>
    <row r="678" spans="1:13" ht="28.2" customHeight="1">
      <c r="A678" s="12">
        <v>103</v>
      </c>
      <c r="B678" s="6"/>
      <c r="C678" s="6"/>
      <c r="D678" s="6"/>
      <c r="E678" s="22" t="str">
        <f>IF(C678="استحداث بند جديد", "", IF(D678&lt;&gt;"", IFERROR(INDEX('بنود العقد'!B$3:B$388,D678), "⚠"), ""))</f>
        <v/>
      </c>
      <c r="F678" s="23" t="str">
        <f>IF(C678="استحداث بند جديد", "", IF(D678&lt;&gt;"", IFERROR(INDEX('بنود العقد'!D$3:D$388,D678), ""), ""))</f>
        <v/>
      </c>
      <c r="G678" s="24" t="str">
        <f>IF(C678="استحداث بند جديد", "", IF(D678&lt;&gt;"", IFERROR(INDEX('بنود العقد'!E$3:E$388,D678), 0), ""))</f>
        <v/>
      </c>
      <c r="H678" s="7"/>
      <c r="I678" s="8"/>
      <c r="J678" s="10" t="str">
        <f t="shared" si="6"/>
        <v/>
      </c>
      <c r="K678" s="74" t="str">
        <f>IF(C678="استحداث بند جديد", "", IF(D678&lt;&gt;"", IFERROR(INDEX('بنود العقد'!C$3:C$388,D678), ""), ""))</f>
        <v/>
      </c>
      <c r="L678" t="str">
        <f>IF(C678="استحداث بند جديد", IF(K678&lt;&gt;"","CMH_01-"&amp;IFERROR(VLOOKUP(K678,مراجع!$A$3:$B$14,2,FALSE),"?")&amp;"-NEW-"&amp;TEXT(A678,"000"),""), IF(D678&lt;&gt;"", IFERROR(INDEX('بنود العقد'!I$3:I$388,D678), ""), ""))</f>
        <v/>
      </c>
      <c r="M678" s="19"/>
    </row>
    <row r="679" spans="1:13" ht="28.2" customHeight="1">
      <c r="A679" s="12">
        <v>104</v>
      </c>
      <c r="B679" s="6"/>
      <c r="C679" s="6"/>
      <c r="D679" s="6"/>
      <c r="E679" s="22" t="str">
        <f>IF(C679="استحداث بند جديد", "", IF(D679&lt;&gt;"", IFERROR(INDEX('بنود العقد'!B$3:B$388,D679), "⚠"), ""))</f>
        <v/>
      </c>
      <c r="F679" s="23" t="str">
        <f>IF(C679="استحداث بند جديد", "", IF(D679&lt;&gt;"", IFERROR(INDEX('بنود العقد'!D$3:D$388,D679), ""), ""))</f>
        <v/>
      </c>
      <c r="G679" s="24" t="str">
        <f>IF(C679="استحداث بند جديد", "", IF(D679&lt;&gt;"", IFERROR(INDEX('بنود العقد'!E$3:E$388,D679), 0), ""))</f>
        <v/>
      </c>
      <c r="H679" s="7"/>
      <c r="I679" s="8"/>
      <c r="J679" s="10" t="str">
        <f t="shared" si="6"/>
        <v/>
      </c>
      <c r="K679" s="74" t="str">
        <f>IF(C679="استحداث بند جديد", "", IF(D679&lt;&gt;"", IFERROR(INDEX('بنود العقد'!C$3:C$388,D679), ""), ""))</f>
        <v/>
      </c>
      <c r="L679" t="str">
        <f>IF(C679="استحداث بند جديد", IF(K679&lt;&gt;"","CMH_01-"&amp;IFERROR(VLOOKUP(K679,مراجع!$A$3:$B$14,2,FALSE),"?")&amp;"-NEW-"&amp;TEXT(A679,"000"),""), IF(D679&lt;&gt;"", IFERROR(INDEX('بنود العقد'!I$3:I$388,D679), ""), ""))</f>
        <v/>
      </c>
      <c r="M679" s="19"/>
    </row>
    <row r="680" spans="1:13" ht="28.2" customHeight="1">
      <c r="A680" s="12">
        <v>105</v>
      </c>
      <c r="B680" s="6"/>
      <c r="C680" s="6"/>
      <c r="D680" s="6"/>
      <c r="E680" s="22" t="str">
        <f>IF(C680="استحداث بند جديد", "", IF(D680&lt;&gt;"", IFERROR(INDEX('بنود العقد'!B$3:B$388,D680), "⚠"), ""))</f>
        <v/>
      </c>
      <c r="F680" s="23" t="str">
        <f>IF(C680="استحداث بند جديد", "", IF(D680&lt;&gt;"", IFERROR(INDEX('بنود العقد'!D$3:D$388,D680), ""), ""))</f>
        <v/>
      </c>
      <c r="G680" s="24" t="str">
        <f>IF(C680="استحداث بند جديد", "", IF(D680&lt;&gt;"", IFERROR(INDEX('بنود العقد'!E$3:E$388,D680), 0), ""))</f>
        <v/>
      </c>
      <c r="H680" s="7"/>
      <c r="I680" s="8"/>
      <c r="J680" s="10" t="str">
        <f t="shared" si="6"/>
        <v/>
      </c>
      <c r="K680" s="74" t="str">
        <f>IF(C680="استحداث بند جديد", "", IF(D680&lt;&gt;"", IFERROR(INDEX('بنود العقد'!C$3:C$388,D680), ""), ""))</f>
        <v/>
      </c>
      <c r="L680" t="str">
        <f>IF(C680="استحداث بند جديد", IF(K680&lt;&gt;"","CMH_01-"&amp;IFERROR(VLOOKUP(K680,مراجع!$A$3:$B$14,2,FALSE),"?")&amp;"-NEW-"&amp;TEXT(A680,"000"),""), IF(D680&lt;&gt;"", IFERROR(INDEX('بنود العقد'!I$3:I$388,D680), ""), ""))</f>
        <v/>
      </c>
      <c r="M680" s="19"/>
    </row>
    <row r="681" spans="1:13" ht="28.2" customHeight="1">
      <c r="A681" s="12">
        <v>106</v>
      </c>
      <c r="B681" s="6"/>
      <c r="C681" s="6"/>
      <c r="D681" s="6"/>
      <c r="E681" s="22" t="str">
        <f>IF(C681="استحداث بند جديد", "", IF(D681&lt;&gt;"", IFERROR(INDEX('بنود العقد'!B$3:B$388,D681), "⚠"), ""))</f>
        <v/>
      </c>
      <c r="F681" s="23" t="str">
        <f>IF(C681="استحداث بند جديد", "", IF(D681&lt;&gt;"", IFERROR(INDEX('بنود العقد'!D$3:D$388,D681), ""), ""))</f>
        <v/>
      </c>
      <c r="G681" s="24" t="str">
        <f>IF(C681="استحداث بند جديد", "", IF(D681&lt;&gt;"", IFERROR(INDEX('بنود العقد'!E$3:E$388,D681), 0), ""))</f>
        <v/>
      </c>
      <c r="H681" s="7"/>
      <c r="I681" s="8"/>
      <c r="J681" s="10" t="str">
        <f t="shared" si="6"/>
        <v/>
      </c>
      <c r="K681" s="74" t="str">
        <f>IF(C681="استحداث بند جديد", "", IF(D681&lt;&gt;"", IFERROR(INDEX('بنود العقد'!C$3:C$388,D681), ""), ""))</f>
        <v/>
      </c>
      <c r="L681" t="str">
        <f>IF(C681="استحداث بند جديد", IF(K681&lt;&gt;"","CMH_01-"&amp;IFERROR(VLOOKUP(K681,مراجع!$A$3:$B$14,2,FALSE),"?")&amp;"-NEW-"&amp;TEXT(A681,"000"),""), IF(D681&lt;&gt;"", IFERROR(INDEX('بنود العقد'!I$3:I$388,D681), ""), ""))</f>
        <v/>
      </c>
      <c r="M681" s="19"/>
    </row>
    <row r="682" spans="1:13" ht="28.2" customHeight="1">
      <c r="A682" s="12">
        <v>107</v>
      </c>
      <c r="B682" s="6"/>
      <c r="C682" s="6"/>
      <c r="D682" s="6"/>
      <c r="E682" s="22" t="str">
        <f>IF(C682="استحداث بند جديد", "", IF(D682&lt;&gt;"", IFERROR(INDEX('بنود العقد'!B$3:B$388,D682), "⚠"), ""))</f>
        <v/>
      </c>
      <c r="F682" s="23" t="str">
        <f>IF(C682="استحداث بند جديد", "", IF(D682&lt;&gt;"", IFERROR(INDEX('بنود العقد'!D$3:D$388,D682), ""), ""))</f>
        <v/>
      </c>
      <c r="G682" s="24" t="str">
        <f>IF(C682="استحداث بند جديد", "", IF(D682&lt;&gt;"", IFERROR(INDEX('بنود العقد'!E$3:E$388,D682), 0), ""))</f>
        <v/>
      </c>
      <c r="H682" s="7"/>
      <c r="I682" s="8"/>
      <c r="J682" s="10" t="str">
        <f t="shared" si="6"/>
        <v/>
      </c>
      <c r="K682" s="74" t="str">
        <f>IF(C682="استحداث بند جديد", "", IF(D682&lt;&gt;"", IFERROR(INDEX('بنود العقد'!C$3:C$388,D682), ""), ""))</f>
        <v/>
      </c>
      <c r="L682" t="str">
        <f>IF(C682="استحداث بند جديد", IF(K682&lt;&gt;"","CMH_01-"&amp;IFERROR(VLOOKUP(K682,مراجع!$A$3:$B$14,2,FALSE),"?")&amp;"-NEW-"&amp;TEXT(A682,"000"),""), IF(D682&lt;&gt;"", IFERROR(INDEX('بنود العقد'!I$3:I$388,D682), ""), ""))</f>
        <v/>
      </c>
      <c r="M682" s="19"/>
    </row>
    <row r="683" spans="1:13" ht="28.2" customHeight="1">
      <c r="A683" s="12">
        <v>108</v>
      </c>
      <c r="B683" s="6"/>
      <c r="C683" s="6"/>
      <c r="D683" s="6"/>
      <c r="E683" s="22" t="str">
        <f>IF(C683="استحداث بند جديد", "", IF(D683&lt;&gt;"", IFERROR(INDEX('بنود العقد'!B$3:B$388,D683), "⚠"), ""))</f>
        <v/>
      </c>
      <c r="F683" s="23" t="str">
        <f>IF(C683="استحداث بند جديد", "", IF(D683&lt;&gt;"", IFERROR(INDEX('بنود العقد'!D$3:D$388,D683), ""), ""))</f>
        <v/>
      </c>
      <c r="G683" s="24" t="str">
        <f>IF(C683="استحداث بند جديد", "", IF(D683&lt;&gt;"", IFERROR(INDEX('بنود العقد'!E$3:E$388,D683), 0), ""))</f>
        <v/>
      </c>
      <c r="H683" s="7"/>
      <c r="I683" s="8"/>
      <c r="J683" s="10" t="str">
        <f t="shared" si="6"/>
        <v/>
      </c>
      <c r="K683" s="74" t="str">
        <f>IF(C683="استحداث بند جديد", "", IF(D683&lt;&gt;"", IFERROR(INDEX('بنود العقد'!C$3:C$388,D683), ""), ""))</f>
        <v/>
      </c>
      <c r="L683" t="str">
        <f>IF(C683="استحداث بند جديد", IF(K683&lt;&gt;"","CMH_01-"&amp;IFERROR(VLOOKUP(K683,مراجع!$A$3:$B$14,2,FALSE),"?")&amp;"-NEW-"&amp;TEXT(A683,"000"),""), IF(D683&lt;&gt;"", IFERROR(INDEX('بنود العقد'!I$3:I$388,D683), ""), ""))</f>
        <v/>
      </c>
      <c r="M683" s="19"/>
    </row>
    <row r="684" spans="1:13" ht="28.2" customHeight="1">
      <c r="A684" s="12">
        <v>109</v>
      </c>
      <c r="B684" s="6"/>
      <c r="C684" s="6"/>
      <c r="D684" s="6"/>
      <c r="E684" s="22" t="str">
        <f>IF(C684="استحداث بند جديد", "", IF(D684&lt;&gt;"", IFERROR(INDEX('بنود العقد'!B$3:B$388,D684), "⚠"), ""))</f>
        <v/>
      </c>
      <c r="F684" s="23" t="str">
        <f>IF(C684="استحداث بند جديد", "", IF(D684&lt;&gt;"", IFERROR(INDEX('بنود العقد'!D$3:D$388,D684), ""), ""))</f>
        <v/>
      </c>
      <c r="G684" s="24" t="str">
        <f>IF(C684="استحداث بند جديد", "", IF(D684&lt;&gt;"", IFERROR(INDEX('بنود العقد'!E$3:E$388,D684), 0), ""))</f>
        <v/>
      </c>
      <c r="H684" s="7"/>
      <c r="I684" s="8"/>
      <c r="J684" s="10" t="str">
        <f t="shared" si="6"/>
        <v/>
      </c>
      <c r="K684" s="74" t="str">
        <f>IF(C684="استحداث بند جديد", "", IF(D684&lt;&gt;"", IFERROR(INDEX('بنود العقد'!C$3:C$388,D684), ""), ""))</f>
        <v/>
      </c>
      <c r="L684" t="str">
        <f>IF(C684="استحداث بند جديد", IF(K684&lt;&gt;"","CMH_01-"&amp;IFERROR(VLOOKUP(K684,مراجع!$A$3:$B$14,2,FALSE),"?")&amp;"-NEW-"&amp;TEXT(A684,"000"),""), IF(D684&lt;&gt;"", IFERROR(INDEX('بنود العقد'!I$3:I$388,D684), ""), ""))</f>
        <v/>
      </c>
      <c r="M684" s="19"/>
    </row>
    <row r="685" spans="1:13" ht="28.2" customHeight="1">
      <c r="A685" s="12">
        <v>110</v>
      </c>
      <c r="B685" s="6"/>
      <c r="C685" s="6"/>
      <c r="D685" s="6"/>
      <c r="E685" s="22" t="str">
        <f>IF(C685="استحداث بند جديد", "", IF(D685&lt;&gt;"", IFERROR(INDEX('بنود العقد'!B$3:B$388,D685), "⚠"), ""))</f>
        <v/>
      </c>
      <c r="F685" s="23" t="str">
        <f>IF(C685="استحداث بند جديد", "", IF(D685&lt;&gt;"", IFERROR(INDEX('بنود العقد'!D$3:D$388,D685), ""), ""))</f>
        <v/>
      </c>
      <c r="G685" s="24" t="str">
        <f>IF(C685="استحداث بند جديد", "", IF(D685&lt;&gt;"", IFERROR(INDEX('بنود العقد'!E$3:E$388,D685), 0), ""))</f>
        <v/>
      </c>
      <c r="H685" s="7"/>
      <c r="I685" s="8"/>
      <c r="J685" s="10" t="str">
        <f t="shared" si="6"/>
        <v/>
      </c>
      <c r="K685" s="74" t="str">
        <f>IF(C685="استحداث بند جديد", "", IF(D685&lt;&gt;"", IFERROR(INDEX('بنود العقد'!C$3:C$388,D685), ""), ""))</f>
        <v/>
      </c>
      <c r="L685" t="str">
        <f>IF(C685="استحداث بند جديد", IF(K685&lt;&gt;"","CMH_01-"&amp;IFERROR(VLOOKUP(K685,مراجع!$A$3:$B$14,2,FALSE),"?")&amp;"-NEW-"&amp;TEXT(A685,"000"),""), IF(D685&lt;&gt;"", IFERROR(INDEX('بنود العقد'!I$3:I$388,D685), ""), ""))</f>
        <v/>
      </c>
      <c r="M685" s="19"/>
    </row>
    <row r="686" spans="1:13" ht="28.2" customHeight="1">
      <c r="A686" s="12">
        <v>111</v>
      </c>
      <c r="B686" s="6"/>
      <c r="C686" s="6"/>
      <c r="D686" s="6"/>
      <c r="E686" s="22" t="str">
        <f>IF(C686="استحداث بند جديد", "", IF(D686&lt;&gt;"", IFERROR(INDEX('بنود العقد'!B$3:B$388,D686), "⚠"), ""))</f>
        <v/>
      </c>
      <c r="F686" s="23" t="str">
        <f>IF(C686="استحداث بند جديد", "", IF(D686&lt;&gt;"", IFERROR(INDEX('بنود العقد'!D$3:D$388,D686), ""), ""))</f>
        <v/>
      </c>
      <c r="G686" s="24" t="str">
        <f>IF(C686="استحداث بند جديد", "", IF(D686&lt;&gt;"", IFERROR(INDEX('بنود العقد'!E$3:E$388,D686), 0), ""))</f>
        <v/>
      </c>
      <c r="H686" s="7"/>
      <c r="I686" s="8"/>
      <c r="J686" s="10" t="str">
        <f t="shared" si="6"/>
        <v/>
      </c>
      <c r="K686" s="74" t="str">
        <f>IF(C686="استحداث بند جديد", "", IF(D686&lt;&gt;"", IFERROR(INDEX('بنود العقد'!C$3:C$388,D686), ""), ""))</f>
        <v/>
      </c>
      <c r="L686" t="str">
        <f>IF(C686="استحداث بند جديد", IF(K686&lt;&gt;"","CMH_01-"&amp;IFERROR(VLOOKUP(K686,مراجع!$A$3:$B$14,2,FALSE),"?")&amp;"-NEW-"&amp;TEXT(A686,"000"),""), IF(D686&lt;&gt;"", IFERROR(INDEX('بنود العقد'!I$3:I$388,D686), ""), ""))</f>
        <v/>
      </c>
      <c r="M686" s="19"/>
    </row>
    <row r="687" spans="1:13" ht="28.2" customHeight="1">
      <c r="A687" s="12">
        <v>112</v>
      </c>
      <c r="B687" s="6"/>
      <c r="C687" s="6"/>
      <c r="D687" s="6"/>
      <c r="E687" s="22" t="str">
        <f>IF(C687="استحداث بند جديد", "", IF(D687&lt;&gt;"", IFERROR(INDEX('بنود العقد'!B$3:B$388,D687), "⚠"), ""))</f>
        <v/>
      </c>
      <c r="F687" s="23" t="str">
        <f>IF(C687="استحداث بند جديد", "", IF(D687&lt;&gt;"", IFERROR(INDEX('بنود العقد'!D$3:D$388,D687), ""), ""))</f>
        <v/>
      </c>
      <c r="G687" s="24" t="str">
        <f>IF(C687="استحداث بند جديد", "", IF(D687&lt;&gt;"", IFERROR(INDEX('بنود العقد'!E$3:E$388,D687), 0), ""))</f>
        <v/>
      </c>
      <c r="H687" s="7"/>
      <c r="I687" s="8"/>
      <c r="J687" s="10" t="str">
        <f t="shared" si="6"/>
        <v/>
      </c>
      <c r="K687" s="74" t="str">
        <f>IF(C687="استحداث بند جديد", "", IF(D687&lt;&gt;"", IFERROR(INDEX('بنود العقد'!C$3:C$388,D687), ""), ""))</f>
        <v/>
      </c>
      <c r="L687" t="str">
        <f>IF(C687="استحداث بند جديد", IF(K687&lt;&gt;"","CMH_01-"&amp;IFERROR(VLOOKUP(K687,مراجع!$A$3:$B$14,2,FALSE),"?")&amp;"-NEW-"&amp;TEXT(A687,"000"),""), IF(D687&lt;&gt;"", IFERROR(INDEX('بنود العقد'!I$3:I$388,D687), ""), ""))</f>
        <v/>
      </c>
      <c r="M687" s="19"/>
    </row>
    <row r="688" spans="1:13" ht="28.2" customHeight="1">
      <c r="A688" s="12">
        <v>113</v>
      </c>
      <c r="B688" s="6"/>
      <c r="C688" s="6"/>
      <c r="D688" s="6"/>
      <c r="E688" s="22" t="str">
        <f>IF(C688="استحداث بند جديد", "", IF(D688&lt;&gt;"", IFERROR(INDEX('بنود العقد'!B$3:B$388,D688), "⚠"), ""))</f>
        <v/>
      </c>
      <c r="F688" s="23" t="str">
        <f>IF(C688="استحداث بند جديد", "", IF(D688&lt;&gt;"", IFERROR(INDEX('بنود العقد'!D$3:D$388,D688), ""), ""))</f>
        <v/>
      </c>
      <c r="G688" s="24" t="str">
        <f>IF(C688="استحداث بند جديد", "", IF(D688&lt;&gt;"", IFERROR(INDEX('بنود العقد'!E$3:E$388,D688), 0), ""))</f>
        <v/>
      </c>
      <c r="H688" s="7"/>
      <c r="I688" s="8"/>
      <c r="J688" s="10" t="str">
        <f t="shared" si="6"/>
        <v/>
      </c>
      <c r="K688" s="74" t="str">
        <f>IF(C688="استحداث بند جديد", "", IF(D688&lt;&gt;"", IFERROR(INDEX('بنود العقد'!C$3:C$388,D688), ""), ""))</f>
        <v/>
      </c>
      <c r="L688" t="str">
        <f>IF(C688="استحداث بند جديد", IF(K688&lt;&gt;"","CMH_01-"&amp;IFERROR(VLOOKUP(K688,مراجع!$A$3:$B$14,2,FALSE),"?")&amp;"-NEW-"&amp;TEXT(A688,"000"),""), IF(D688&lt;&gt;"", IFERROR(INDEX('بنود العقد'!I$3:I$388,D688), ""), ""))</f>
        <v/>
      </c>
      <c r="M688" s="19"/>
    </row>
    <row r="689" spans="1:13" ht="28.2" customHeight="1">
      <c r="A689" s="12">
        <v>114</v>
      </c>
      <c r="B689" s="6"/>
      <c r="C689" s="6"/>
      <c r="D689" s="6"/>
      <c r="E689" s="22" t="str">
        <f>IF(C689="استحداث بند جديد", "", IF(D689&lt;&gt;"", IFERROR(INDEX('بنود العقد'!B$3:B$388,D689), "⚠"), ""))</f>
        <v/>
      </c>
      <c r="F689" s="23" t="str">
        <f>IF(C689="استحداث بند جديد", "", IF(D689&lt;&gt;"", IFERROR(INDEX('بنود العقد'!D$3:D$388,D689), ""), ""))</f>
        <v/>
      </c>
      <c r="G689" s="24" t="str">
        <f>IF(C689="استحداث بند جديد", "", IF(D689&lt;&gt;"", IFERROR(INDEX('بنود العقد'!E$3:E$388,D689), 0), ""))</f>
        <v/>
      </c>
      <c r="H689" s="7"/>
      <c r="I689" s="8"/>
      <c r="J689" s="10" t="str">
        <f t="shared" si="6"/>
        <v/>
      </c>
      <c r="K689" s="74" t="str">
        <f>IF(C689="استحداث بند جديد", "", IF(D689&lt;&gt;"", IFERROR(INDEX('بنود العقد'!C$3:C$388,D689), ""), ""))</f>
        <v/>
      </c>
      <c r="L689" t="str">
        <f>IF(C689="استحداث بند جديد", IF(K689&lt;&gt;"","CMH_01-"&amp;IFERROR(VLOOKUP(K689,مراجع!$A$3:$B$14,2,FALSE),"?")&amp;"-NEW-"&amp;TEXT(A689,"000"),""), IF(D689&lt;&gt;"", IFERROR(INDEX('بنود العقد'!I$3:I$388,D689), ""), ""))</f>
        <v/>
      </c>
      <c r="M689" s="19"/>
    </row>
    <row r="690" spans="1:13" ht="28.2" customHeight="1">
      <c r="A690" s="12">
        <v>115</v>
      </c>
      <c r="B690" s="6"/>
      <c r="C690" s="6"/>
      <c r="D690" s="6"/>
      <c r="E690" s="22" t="str">
        <f>IF(C690="استحداث بند جديد", "", IF(D690&lt;&gt;"", IFERROR(INDEX('بنود العقد'!B$3:B$388,D690), "⚠"), ""))</f>
        <v/>
      </c>
      <c r="F690" s="23" t="str">
        <f>IF(C690="استحداث بند جديد", "", IF(D690&lt;&gt;"", IFERROR(INDEX('بنود العقد'!D$3:D$388,D690), ""), ""))</f>
        <v/>
      </c>
      <c r="G690" s="24" t="str">
        <f>IF(C690="استحداث بند جديد", "", IF(D690&lt;&gt;"", IFERROR(INDEX('بنود العقد'!E$3:E$388,D690), 0), ""))</f>
        <v/>
      </c>
      <c r="H690" s="7"/>
      <c r="I690" s="8"/>
      <c r="J690" s="10" t="str">
        <f t="shared" si="6"/>
        <v/>
      </c>
      <c r="K690" s="74" t="str">
        <f>IF(C690="استحداث بند جديد", "", IF(D690&lt;&gt;"", IFERROR(INDEX('بنود العقد'!C$3:C$388,D690), ""), ""))</f>
        <v/>
      </c>
      <c r="L690" t="str">
        <f>IF(C690="استحداث بند جديد", IF(K690&lt;&gt;"","CMH_01-"&amp;IFERROR(VLOOKUP(K690,مراجع!$A$3:$B$14,2,FALSE),"?")&amp;"-NEW-"&amp;TEXT(A690,"000"),""), IF(D690&lt;&gt;"", IFERROR(INDEX('بنود العقد'!I$3:I$388,D690), ""), ""))</f>
        <v/>
      </c>
      <c r="M690" s="19"/>
    </row>
    <row r="691" spans="1:13" ht="28.2" customHeight="1">
      <c r="A691" s="12">
        <v>116</v>
      </c>
      <c r="B691" s="6"/>
      <c r="C691" s="6"/>
      <c r="D691" s="6"/>
      <c r="E691" s="22" t="str">
        <f>IF(C691="استحداث بند جديد", "", IF(D691&lt;&gt;"", IFERROR(INDEX('بنود العقد'!B$3:B$388,D691), "⚠"), ""))</f>
        <v/>
      </c>
      <c r="F691" s="23" t="str">
        <f>IF(C691="استحداث بند جديد", "", IF(D691&lt;&gt;"", IFERROR(INDEX('بنود العقد'!D$3:D$388,D691), ""), ""))</f>
        <v/>
      </c>
      <c r="G691" s="24" t="str">
        <f>IF(C691="استحداث بند جديد", "", IF(D691&lt;&gt;"", IFERROR(INDEX('بنود العقد'!E$3:E$388,D691), 0), ""))</f>
        <v/>
      </c>
      <c r="H691" s="7"/>
      <c r="I691" s="8"/>
      <c r="J691" s="10" t="str">
        <f t="shared" si="6"/>
        <v/>
      </c>
      <c r="K691" s="74" t="str">
        <f>IF(C691="استحداث بند جديد", "", IF(D691&lt;&gt;"", IFERROR(INDEX('بنود العقد'!C$3:C$388,D691), ""), ""))</f>
        <v/>
      </c>
      <c r="L691" t="str">
        <f>IF(C691="استحداث بند جديد", IF(K691&lt;&gt;"","CMH_01-"&amp;IFERROR(VLOOKUP(K691,مراجع!$A$3:$B$14,2,FALSE),"?")&amp;"-NEW-"&amp;TEXT(A691,"000"),""), IF(D691&lt;&gt;"", IFERROR(INDEX('بنود العقد'!I$3:I$388,D691), ""), ""))</f>
        <v/>
      </c>
      <c r="M691" s="19"/>
    </row>
    <row r="692" spans="1:13" ht="28.2" customHeight="1">
      <c r="A692" s="12">
        <v>117</v>
      </c>
      <c r="B692" s="6"/>
      <c r="C692" s="6"/>
      <c r="D692" s="6"/>
      <c r="E692" s="22" t="str">
        <f>IF(C692="استحداث بند جديد", "", IF(D692&lt;&gt;"", IFERROR(INDEX('بنود العقد'!B$3:B$388,D692), "⚠"), ""))</f>
        <v/>
      </c>
      <c r="F692" s="23" t="str">
        <f>IF(C692="استحداث بند جديد", "", IF(D692&lt;&gt;"", IFERROR(INDEX('بنود العقد'!D$3:D$388,D692), ""), ""))</f>
        <v/>
      </c>
      <c r="G692" s="24" t="str">
        <f>IF(C692="استحداث بند جديد", "", IF(D692&lt;&gt;"", IFERROR(INDEX('بنود العقد'!E$3:E$388,D692), 0), ""))</f>
        <v/>
      </c>
      <c r="H692" s="7"/>
      <c r="I692" s="8"/>
      <c r="J692" s="10" t="str">
        <f t="shared" si="6"/>
        <v/>
      </c>
      <c r="K692" s="74" t="str">
        <f>IF(C692="استحداث بند جديد", "", IF(D692&lt;&gt;"", IFERROR(INDEX('بنود العقد'!C$3:C$388,D692), ""), ""))</f>
        <v/>
      </c>
      <c r="L692" t="str">
        <f>IF(C692="استحداث بند جديد", IF(K692&lt;&gt;"","CMH_01-"&amp;IFERROR(VLOOKUP(K692,مراجع!$A$3:$B$14,2,FALSE),"?")&amp;"-NEW-"&amp;TEXT(A692,"000"),""), IF(D692&lt;&gt;"", IFERROR(INDEX('بنود العقد'!I$3:I$388,D692), ""), ""))</f>
        <v/>
      </c>
      <c r="M692" s="19"/>
    </row>
    <row r="693" spans="1:13" ht="28.2" customHeight="1">
      <c r="A693" s="12">
        <v>118</v>
      </c>
      <c r="B693" s="6"/>
      <c r="C693" s="6"/>
      <c r="D693" s="6"/>
      <c r="E693" s="22" t="str">
        <f>IF(C693="استحداث بند جديد", "", IF(D693&lt;&gt;"", IFERROR(INDEX('بنود العقد'!B$3:B$388,D693), "⚠"), ""))</f>
        <v/>
      </c>
      <c r="F693" s="23" t="str">
        <f>IF(C693="استحداث بند جديد", "", IF(D693&lt;&gt;"", IFERROR(INDEX('بنود العقد'!D$3:D$388,D693), ""), ""))</f>
        <v/>
      </c>
      <c r="G693" s="24" t="str">
        <f>IF(C693="استحداث بند جديد", "", IF(D693&lt;&gt;"", IFERROR(INDEX('بنود العقد'!E$3:E$388,D693), 0), ""))</f>
        <v/>
      </c>
      <c r="H693" s="7"/>
      <c r="I693" s="8"/>
      <c r="J693" s="10" t="str">
        <f t="shared" si="6"/>
        <v/>
      </c>
      <c r="K693" s="74" t="str">
        <f>IF(C693="استحداث بند جديد", "", IF(D693&lt;&gt;"", IFERROR(INDEX('بنود العقد'!C$3:C$388,D693), ""), ""))</f>
        <v/>
      </c>
      <c r="L693" t="str">
        <f>IF(C693="استحداث بند جديد", IF(K693&lt;&gt;"","CMH_01-"&amp;IFERROR(VLOOKUP(K693,مراجع!$A$3:$B$14,2,FALSE),"?")&amp;"-NEW-"&amp;TEXT(A693,"000"),""), IF(D693&lt;&gt;"", IFERROR(INDEX('بنود العقد'!I$3:I$388,D693), ""), ""))</f>
        <v/>
      </c>
      <c r="M693" s="19"/>
    </row>
    <row r="694" spans="1:13" ht="28.2" customHeight="1">
      <c r="A694" s="12">
        <v>119</v>
      </c>
      <c r="B694" s="6"/>
      <c r="C694" s="6"/>
      <c r="D694" s="6"/>
      <c r="E694" s="22" t="str">
        <f>IF(C694="استحداث بند جديد", "", IF(D694&lt;&gt;"", IFERROR(INDEX('بنود العقد'!B$3:B$388,D694), "⚠"), ""))</f>
        <v/>
      </c>
      <c r="F694" s="23" t="str">
        <f>IF(C694="استحداث بند جديد", "", IF(D694&lt;&gt;"", IFERROR(INDEX('بنود العقد'!D$3:D$388,D694), ""), ""))</f>
        <v/>
      </c>
      <c r="G694" s="24" t="str">
        <f>IF(C694="استحداث بند جديد", "", IF(D694&lt;&gt;"", IFERROR(INDEX('بنود العقد'!E$3:E$388,D694), 0), ""))</f>
        <v/>
      </c>
      <c r="H694" s="7"/>
      <c r="I694" s="8"/>
      <c r="J694" s="10" t="str">
        <f t="shared" si="6"/>
        <v/>
      </c>
      <c r="K694" s="74" t="str">
        <f>IF(C694="استحداث بند جديد", "", IF(D694&lt;&gt;"", IFERROR(INDEX('بنود العقد'!C$3:C$388,D694), ""), ""))</f>
        <v/>
      </c>
      <c r="L694" t="str">
        <f>IF(C694="استحداث بند جديد", IF(K694&lt;&gt;"","CMH_01-"&amp;IFERROR(VLOOKUP(K694,مراجع!$A$3:$B$14,2,FALSE),"?")&amp;"-NEW-"&amp;TEXT(A694,"000"),""), IF(D694&lt;&gt;"", IFERROR(INDEX('بنود العقد'!I$3:I$388,D694), ""), ""))</f>
        <v/>
      </c>
      <c r="M694" s="19"/>
    </row>
    <row r="695" spans="1:13" ht="28.2" customHeight="1">
      <c r="A695" s="12">
        <v>120</v>
      </c>
      <c r="B695" s="6"/>
      <c r="C695" s="6"/>
      <c r="D695" s="6"/>
      <c r="E695" s="22" t="str">
        <f>IF(C695="استحداث بند جديد", "", IF(D695&lt;&gt;"", IFERROR(INDEX('بنود العقد'!B$3:B$388,D695), "⚠"), ""))</f>
        <v/>
      </c>
      <c r="F695" s="23" t="str">
        <f>IF(C695="استحداث بند جديد", "", IF(D695&lt;&gt;"", IFERROR(INDEX('بنود العقد'!D$3:D$388,D695), ""), ""))</f>
        <v/>
      </c>
      <c r="G695" s="24" t="str">
        <f>IF(C695="استحداث بند جديد", "", IF(D695&lt;&gt;"", IFERROR(INDEX('بنود العقد'!E$3:E$388,D695), 0), ""))</f>
        <v/>
      </c>
      <c r="H695" s="7"/>
      <c r="I695" s="8"/>
      <c r="J695" s="10" t="str">
        <f t="shared" si="6"/>
        <v/>
      </c>
      <c r="K695" s="74" t="str">
        <f>IF(C695="استحداث بند جديد", "", IF(D695&lt;&gt;"", IFERROR(INDEX('بنود العقد'!C$3:C$388,D695), ""), ""))</f>
        <v/>
      </c>
      <c r="L695" t="str">
        <f>IF(C695="استحداث بند جديد", IF(K695&lt;&gt;"","CMH_01-"&amp;IFERROR(VLOOKUP(K695,مراجع!$A$3:$B$14,2,FALSE),"?")&amp;"-NEW-"&amp;TEXT(A695,"000"),""), IF(D695&lt;&gt;"", IFERROR(INDEX('بنود العقد'!I$3:I$388,D695), ""), ""))</f>
        <v/>
      </c>
      <c r="M695" s="19"/>
    </row>
    <row r="696" spans="1:13" ht="28.2" customHeight="1">
      <c r="A696" s="12">
        <v>121</v>
      </c>
      <c r="B696" s="6"/>
      <c r="C696" s="6"/>
      <c r="D696" s="6"/>
      <c r="E696" s="22" t="str">
        <f>IF(C696="استحداث بند جديد", "", IF(D696&lt;&gt;"", IFERROR(INDEX('بنود العقد'!B$3:B$388,D696), "⚠"), ""))</f>
        <v/>
      </c>
      <c r="F696" s="23" t="str">
        <f>IF(C696="استحداث بند جديد", "", IF(D696&lt;&gt;"", IFERROR(INDEX('بنود العقد'!D$3:D$388,D696), ""), ""))</f>
        <v/>
      </c>
      <c r="G696" s="24" t="str">
        <f>IF(C696="استحداث بند جديد", "", IF(D696&lt;&gt;"", IFERROR(INDEX('بنود العقد'!E$3:E$388,D696), 0), ""))</f>
        <v/>
      </c>
      <c r="H696" s="7"/>
      <c r="I696" s="8"/>
      <c r="J696" s="10" t="str">
        <f t="shared" si="6"/>
        <v/>
      </c>
      <c r="K696" s="74" t="str">
        <f>IF(C696="استحداث بند جديد", "", IF(D696&lt;&gt;"", IFERROR(INDEX('بنود العقد'!C$3:C$388,D696), ""), ""))</f>
        <v/>
      </c>
      <c r="L696" t="str">
        <f>IF(C696="استحداث بند جديد", IF(K696&lt;&gt;"","CMH_01-"&amp;IFERROR(VLOOKUP(K696,مراجع!$A$3:$B$14,2,FALSE),"?")&amp;"-NEW-"&amp;TEXT(A696,"000"),""), IF(D696&lt;&gt;"", IFERROR(INDEX('بنود العقد'!I$3:I$388,D696), ""), ""))</f>
        <v/>
      </c>
      <c r="M696" s="19"/>
    </row>
    <row r="697" spans="1:13" ht="28.2" customHeight="1">
      <c r="A697" s="12">
        <v>122</v>
      </c>
      <c r="B697" s="6"/>
      <c r="C697" s="6"/>
      <c r="D697" s="6"/>
      <c r="E697" s="22" t="str">
        <f>IF(C697="استحداث بند جديد", "", IF(D697&lt;&gt;"", IFERROR(INDEX('بنود العقد'!B$3:B$388,D697), "⚠"), ""))</f>
        <v/>
      </c>
      <c r="F697" s="23" t="str">
        <f>IF(C697="استحداث بند جديد", "", IF(D697&lt;&gt;"", IFERROR(INDEX('بنود العقد'!D$3:D$388,D697), ""), ""))</f>
        <v/>
      </c>
      <c r="G697" s="24" t="str">
        <f>IF(C697="استحداث بند جديد", "", IF(D697&lt;&gt;"", IFERROR(INDEX('بنود العقد'!E$3:E$388,D697), 0), ""))</f>
        <v/>
      </c>
      <c r="H697" s="7"/>
      <c r="I697" s="8"/>
      <c r="J697" s="10" t="str">
        <f t="shared" si="6"/>
        <v/>
      </c>
      <c r="K697" s="74" t="str">
        <f>IF(C697="استحداث بند جديد", "", IF(D697&lt;&gt;"", IFERROR(INDEX('بنود العقد'!C$3:C$388,D697), ""), ""))</f>
        <v/>
      </c>
      <c r="L697" t="str">
        <f>IF(C697="استحداث بند جديد", IF(K697&lt;&gt;"","CMH_01-"&amp;IFERROR(VLOOKUP(K697,مراجع!$A$3:$B$14,2,FALSE),"?")&amp;"-NEW-"&amp;TEXT(A697,"000"),""), IF(D697&lt;&gt;"", IFERROR(INDEX('بنود العقد'!I$3:I$388,D697), ""), ""))</f>
        <v/>
      </c>
      <c r="M697" s="19"/>
    </row>
    <row r="698" spans="1:13" ht="28.2" customHeight="1">
      <c r="A698" s="12">
        <v>123</v>
      </c>
      <c r="B698" s="6"/>
      <c r="C698" s="6"/>
      <c r="D698" s="6"/>
      <c r="E698" s="22" t="str">
        <f>IF(C698="استحداث بند جديد", "", IF(D698&lt;&gt;"", IFERROR(INDEX('بنود العقد'!B$3:B$388,D698), "⚠"), ""))</f>
        <v/>
      </c>
      <c r="F698" s="23" t="str">
        <f>IF(C698="استحداث بند جديد", "", IF(D698&lt;&gt;"", IFERROR(INDEX('بنود العقد'!D$3:D$388,D698), ""), ""))</f>
        <v/>
      </c>
      <c r="G698" s="24" t="str">
        <f>IF(C698="استحداث بند جديد", "", IF(D698&lt;&gt;"", IFERROR(INDEX('بنود العقد'!E$3:E$388,D698), 0), ""))</f>
        <v/>
      </c>
      <c r="H698" s="7"/>
      <c r="I698" s="8"/>
      <c r="J698" s="10" t="str">
        <f t="shared" si="6"/>
        <v/>
      </c>
      <c r="K698" s="74" t="str">
        <f>IF(C698="استحداث بند جديد", "", IF(D698&lt;&gt;"", IFERROR(INDEX('بنود العقد'!C$3:C$388,D698), ""), ""))</f>
        <v/>
      </c>
      <c r="L698" t="str">
        <f>IF(C698="استحداث بند جديد", IF(K698&lt;&gt;"","CMH_01-"&amp;IFERROR(VLOOKUP(K698,مراجع!$A$3:$B$14,2,FALSE),"?")&amp;"-NEW-"&amp;TEXT(A698,"000"),""), IF(D698&lt;&gt;"", IFERROR(INDEX('بنود العقد'!I$3:I$388,D698), ""), ""))</f>
        <v/>
      </c>
      <c r="M698" s="19"/>
    </row>
    <row r="699" spans="1:13" ht="28.2" customHeight="1">
      <c r="A699" s="12">
        <v>124</v>
      </c>
      <c r="B699" s="6"/>
      <c r="C699" s="6"/>
      <c r="D699" s="6"/>
      <c r="E699" s="22" t="str">
        <f>IF(C699="استحداث بند جديد", "", IF(D699&lt;&gt;"", IFERROR(INDEX('بنود العقد'!B$3:B$388,D699), "⚠"), ""))</f>
        <v/>
      </c>
      <c r="F699" s="23" t="str">
        <f>IF(C699="استحداث بند جديد", "", IF(D699&lt;&gt;"", IFERROR(INDEX('بنود العقد'!D$3:D$388,D699), ""), ""))</f>
        <v/>
      </c>
      <c r="G699" s="24" t="str">
        <f>IF(C699="استحداث بند جديد", "", IF(D699&lt;&gt;"", IFERROR(INDEX('بنود العقد'!E$3:E$388,D699), 0), ""))</f>
        <v/>
      </c>
      <c r="H699" s="7"/>
      <c r="I699" s="8"/>
      <c r="J699" s="10" t="str">
        <f t="shared" si="6"/>
        <v/>
      </c>
      <c r="K699" s="74" t="str">
        <f>IF(C699="استحداث بند جديد", "", IF(D699&lt;&gt;"", IFERROR(INDEX('بنود العقد'!C$3:C$388,D699), ""), ""))</f>
        <v/>
      </c>
      <c r="L699" t="str">
        <f>IF(C699="استحداث بند جديد", IF(K699&lt;&gt;"","CMH_01-"&amp;IFERROR(VLOOKUP(K699,مراجع!$A$3:$B$14,2,FALSE),"?")&amp;"-NEW-"&amp;TEXT(A699,"000"),""), IF(D699&lt;&gt;"", IFERROR(INDEX('بنود العقد'!I$3:I$388,D699), ""), ""))</f>
        <v/>
      </c>
      <c r="M699" s="19"/>
    </row>
    <row r="700" spans="1:13" ht="28.2" customHeight="1">
      <c r="A700" s="12">
        <v>125</v>
      </c>
      <c r="B700" s="6"/>
      <c r="C700" s="6"/>
      <c r="D700" s="6"/>
      <c r="E700" s="22" t="str">
        <f>IF(C700="استحداث بند جديد", "", IF(D700&lt;&gt;"", IFERROR(INDEX('بنود العقد'!B$3:B$388,D700), "⚠"), ""))</f>
        <v/>
      </c>
      <c r="F700" s="23" t="str">
        <f>IF(C700="استحداث بند جديد", "", IF(D700&lt;&gt;"", IFERROR(INDEX('بنود العقد'!D$3:D$388,D700), ""), ""))</f>
        <v/>
      </c>
      <c r="G700" s="24" t="str">
        <f>IF(C700="استحداث بند جديد", "", IF(D700&lt;&gt;"", IFERROR(INDEX('بنود العقد'!E$3:E$388,D700), 0), ""))</f>
        <v/>
      </c>
      <c r="H700" s="7"/>
      <c r="I700" s="8"/>
      <c r="J700" s="10" t="str">
        <f t="shared" si="6"/>
        <v/>
      </c>
      <c r="K700" s="74" t="str">
        <f>IF(C700="استحداث بند جديد", "", IF(D700&lt;&gt;"", IFERROR(INDEX('بنود العقد'!C$3:C$388,D700), ""), ""))</f>
        <v/>
      </c>
      <c r="L700" t="str">
        <f>IF(C700="استحداث بند جديد", IF(K700&lt;&gt;"","CMH_01-"&amp;IFERROR(VLOOKUP(K700,مراجع!$A$3:$B$14,2,FALSE),"?")&amp;"-NEW-"&amp;TEXT(A700,"000"),""), IF(D700&lt;&gt;"", IFERROR(INDEX('بنود العقد'!I$3:I$388,D700), ""), ""))</f>
        <v/>
      </c>
      <c r="M700" s="19"/>
    </row>
    <row r="701" spans="1:13" ht="28.2" customHeight="1">
      <c r="A701" s="12">
        <v>126</v>
      </c>
      <c r="B701" s="6"/>
      <c r="C701" s="6"/>
      <c r="D701" s="6"/>
      <c r="E701" s="22" t="str">
        <f>IF(C701="استحداث بند جديد", "", IF(D701&lt;&gt;"", IFERROR(INDEX('بنود العقد'!B$3:B$388,D701), "⚠"), ""))</f>
        <v/>
      </c>
      <c r="F701" s="23" t="str">
        <f>IF(C701="استحداث بند جديد", "", IF(D701&lt;&gt;"", IFERROR(INDEX('بنود العقد'!D$3:D$388,D701), ""), ""))</f>
        <v/>
      </c>
      <c r="G701" s="24" t="str">
        <f>IF(C701="استحداث بند جديد", "", IF(D701&lt;&gt;"", IFERROR(INDEX('بنود العقد'!E$3:E$388,D701), 0), ""))</f>
        <v/>
      </c>
      <c r="H701" s="7"/>
      <c r="I701" s="8"/>
      <c r="J701" s="10" t="str">
        <f t="shared" si="6"/>
        <v/>
      </c>
      <c r="K701" s="74" t="str">
        <f>IF(C701="استحداث بند جديد", "", IF(D701&lt;&gt;"", IFERROR(INDEX('بنود العقد'!C$3:C$388,D701), ""), ""))</f>
        <v/>
      </c>
      <c r="L701" t="str">
        <f>IF(C701="استحداث بند جديد", IF(K701&lt;&gt;"","CMH_01-"&amp;IFERROR(VLOOKUP(K701,مراجع!$A$3:$B$14,2,FALSE),"?")&amp;"-NEW-"&amp;TEXT(A701,"000"),""), IF(D701&lt;&gt;"", IFERROR(INDEX('بنود العقد'!I$3:I$388,D701), ""), ""))</f>
        <v/>
      </c>
      <c r="M701" s="19"/>
    </row>
    <row r="702" spans="1:13" ht="28.2" customHeight="1">
      <c r="A702" s="12">
        <v>127</v>
      </c>
      <c r="B702" s="6"/>
      <c r="C702" s="6"/>
      <c r="D702" s="6"/>
      <c r="E702" s="22" t="str">
        <f>IF(C702="استحداث بند جديد", "", IF(D702&lt;&gt;"", IFERROR(INDEX('بنود العقد'!B$3:B$388,D702), "⚠"), ""))</f>
        <v/>
      </c>
      <c r="F702" s="23" t="str">
        <f>IF(C702="استحداث بند جديد", "", IF(D702&lt;&gt;"", IFERROR(INDEX('بنود العقد'!D$3:D$388,D702), ""), ""))</f>
        <v/>
      </c>
      <c r="G702" s="24" t="str">
        <f>IF(C702="استحداث بند جديد", "", IF(D702&lt;&gt;"", IFERROR(INDEX('بنود العقد'!E$3:E$388,D702), 0), ""))</f>
        <v/>
      </c>
      <c r="H702" s="7"/>
      <c r="I702" s="8"/>
      <c r="J702" s="10" t="str">
        <f t="shared" si="6"/>
        <v/>
      </c>
      <c r="K702" s="74" t="str">
        <f>IF(C702="استحداث بند جديد", "", IF(D702&lt;&gt;"", IFERROR(INDEX('بنود العقد'!C$3:C$388,D702), ""), ""))</f>
        <v/>
      </c>
      <c r="L702" t="str">
        <f>IF(C702="استحداث بند جديد", IF(K702&lt;&gt;"","CMH_01-"&amp;IFERROR(VLOOKUP(K702,مراجع!$A$3:$B$14,2,FALSE),"?")&amp;"-NEW-"&amp;TEXT(A702,"000"),""), IF(D702&lt;&gt;"", IFERROR(INDEX('بنود العقد'!I$3:I$388,D702), ""), ""))</f>
        <v/>
      </c>
      <c r="M702" s="19"/>
    </row>
    <row r="703" spans="1:13" ht="28.2" customHeight="1">
      <c r="A703" s="12">
        <v>128</v>
      </c>
      <c r="B703" s="6"/>
      <c r="C703" s="6"/>
      <c r="D703" s="6"/>
      <c r="E703" s="22" t="str">
        <f>IF(C703="استحداث بند جديد", "", IF(D703&lt;&gt;"", IFERROR(INDEX('بنود العقد'!B$3:B$388,D703), "⚠"), ""))</f>
        <v/>
      </c>
      <c r="F703" s="23" t="str">
        <f>IF(C703="استحداث بند جديد", "", IF(D703&lt;&gt;"", IFERROR(INDEX('بنود العقد'!D$3:D$388,D703), ""), ""))</f>
        <v/>
      </c>
      <c r="G703" s="24" t="str">
        <f>IF(C703="استحداث بند جديد", "", IF(D703&lt;&gt;"", IFERROR(INDEX('بنود العقد'!E$3:E$388,D703), 0), ""))</f>
        <v/>
      </c>
      <c r="H703" s="7"/>
      <c r="I703" s="8"/>
      <c r="J703" s="10" t="str">
        <f t="shared" si="6"/>
        <v/>
      </c>
      <c r="K703" s="74" t="str">
        <f>IF(C703="استحداث بند جديد", "", IF(D703&lt;&gt;"", IFERROR(INDEX('بنود العقد'!C$3:C$388,D703), ""), ""))</f>
        <v/>
      </c>
      <c r="L703" t="str">
        <f>IF(C703="استحداث بند جديد", IF(K703&lt;&gt;"","CMH_01-"&amp;IFERROR(VLOOKUP(K703,مراجع!$A$3:$B$14,2,FALSE),"?")&amp;"-NEW-"&amp;TEXT(A703,"000"),""), IF(D703&lt;&gt;"", IFERROR(INDEX('بنود العقد'!I$3:I$388,D703), ""), ""))</f>
        <v/>
      </c>
      <c r="M703" s="19"/>
    </row>
    <row r="704" spans="1:13" ht="28.2" customHeight="1">
      <c r="A704" s="12">
        <v>129</v>
      </c>
      <c r="B704" s="6"/>
      <c r="C704" s="6"/>
      <c r="D704" s="6"/>
      <c r="E704" s="22" t="str">
        <f>IF(C704="استحداث بند جديد", "", IF(D704&lt;&gt;"", IFERROR(INDEX('بنود العقد'!B$3:B$388,D704), "⚠"), ""))</f>
        <v/>
      </c>
      <c r="F704" s="23" t="str">
        <f>IF(C704="استحداث بند جديد", "", IF(D704&lt;&gt;"", IFERROR(INDEX('بنود العقد'!D$3:D$388,D704), ""), ""))</f>
        <v/>
      </c>
      <c r="G704" s="24" t="str">
        <f>IF(C704="استحداث بند جديد", "", IF(D704&lt;&gt;"", IFERROR(INDEX('بنود العقد'!E$3:E$388,D704), 0), ""))</f>
        <v/>
      </c>
      <c r="H704" s="7"/>
      <c r="I704" s="8"/>
      <c r="J704" s="10" t="str">
        <f t="shared" ref="J704:J725" si="7">IF(C704="تمديد مدة", 0, IF(AND(H704&lt;&gt;"",G704&lt;&gt;""), H704*G704, ""))</f>
        <v/>
      </c>
      <c r="K704" s="74" t="str">
        <f>IF(C704="استحداث بند جديد", "", IF(D704&lt;&gt;"", IFERROR(INDEX('بنود العقد'!C$3:C$388,D704), ""), ""))</f>
        <v/>
      </c>
      <c r="L704" t="str">
        <f>IF(C704="استحداث بند جديد", IF(K704&lt;&gt;"","CMH_01-"&amp;IFERROR(VLOOKUP(K704,مراجع!$A$3:$B$14,2,FALSE),"?")&amp;"-NEW-"&amp;TEXT(A704,"000"),""), IF(D704&lt;&gt;"", IFERROR(INDEX('بنود العقد'!I$3:I$388,D704), ""), ""))</f>
        <v/>
      </c>
      <c r="M704" s="19"/>
    </row>
    <row r="705" spans="1:13" ht="28.2" customHeight="1">
      <c r="A705" s="12">
        <v>130</v>
      </c>
      <c r="B705" s="6"/>
      <c r="C705" s="6"/>
      <c r="D705" s="6"/>
      <c r="E705" s="22" t="str">
        <f>IF(C705="استحداث بند جديد", "", IF(D705&lt;&gt;"", IFERROR(INDEX('بنود العقد'!B$3:B$388,D705), "⚠"), ""))</f>
        <v/>
      </c>
      <c r="F705" s="23" t="str">
        <f>IF(C705="استحداث بند جديد", "", IF(D705&lt;&gt;"", IFERROR(INDEX('بنود العقد'!D$3:D$388,D705), ""), ""))</f>
        <v/>
      </c>
      <c r="G705" s="24" t="str">
        <f>IF(C705="استحداث بند جديد", "", IF(D705&lt;&gt;"", IFERROR(INDEX('بنود العقد'!E$3:E$388,D705), 0), ""))</f>
        <v/>
      </c>
      <c r="H705" s="7"/>
      <c r="I705" s="8"/>
      <c r="J705" s="10" t="str">
        <f t="shared" si="7"/>
        <v/>
      </c>
      <c r="K705" s="74" t="str">
        <f>IF(C705="استحداث بند جديد", "", IF(D705&lt;&gt;"", IFERROR(INDEX('بنود العقد'!C$3:C$388,D705), ""), ""))</f>
        <v/>
      </c>
      <c r="L705" t="str">
        <f>IF(C705="استحداث بند جديد", IF(K705&lt;&gt;"","CMH_01-"&amp;IFERROR(VLOOKUP(K705,مراجع!$A$3:$B$14,2,FALSE),"?")&amp;"-NEW-"&amp;TEXT(A705,"000"),""), IF(D705&lt;&gt;"", IFERROR(INDEX('بنود العقد'!I$3:I$388,D705), ""), ""))</f>
        <v/>
      </c>
      <c r="M705" s="19"/>
    </row>
    <row r="706" spans="1:13" ht="28.2" customHeight="1">
      <c r="A706" s="12">
        <v>131</v>
      </c>
      <c r="B706" s="6"/>
      <c r="C706" s="6"/>
      <c r="D706" s="6"/>
      <c r="E706" s="22" t="str">
        <f>IF(C706="استحداث بند جديد", "", IF(D706&lt;&gt;"", IFERROR(INDEX('بنود العقد'!B$3:B$388,D706), "⚠"), ""))</f>
        <v/>
      </c>
      <c r="F706" s="23" t="str">
        <f>IF(C706="استحداث بند جديد", "", IF(D706&lt;&gt;"", IFERROR(INDEX('بنود العقد'!D$3:D$388,D706), ""), ""))</f>
        <v/>
      </c>
      <c r="G706" s="24" t="str">
        <f>IF(C706="استحداث بند جديد", "", IF(D706&lt;&gt;"", IFERROR(INDEX('بنود العقد'!E$3:E$388,D706), 0), ""))</f>
        <v/>
      </c>
      <c r="H706" s="7"/>
      <c r="I706" s="8"/>
      <c r="J706" s="10" t="str">
        <f t="shared" si="7"/>
        <v/>
      </c>
      <c r="K706" s="74" t="str">
        <f>IF(C706="استحداث بند جديد", "", IF(D706&lt;&gt;"", IFERROR(INDEX('بنود العقد'!C$3:C$388,D706), ""), ""))</f>
        <v/>
      </c>
      <c r="L706" t="str">
        <f>IF(C706="استحداث بند جديد", IF(K706&lt;&gt;"","CMH_01-"&amp;IFERROR(VLOOKUP(K706,مراجع!$A$3:$B$14,2,FALSE),"?")&amp;"-NEW-"&amp;TEXT(A706,"000"),""), IF(D706&lt;&gt;"", IFERROR(INDEX('بنود العقد'!I$3:I$388,D706), ""), ""))</f>
        <v/>
      </c>
      <c r="M706" s="19"/>
    </row>
    <row r="707" spans="1:13" ht="28.2" customHeight="1">
      <c r="A707" s="12">
        <v>132</v>
      </c>
      <c r="B707" s="6"/>
      <c r="C707" s="6"/>
      <c r="D707" s="6"/>
      <c r="E707" s="22" t="str">
        <f>IF(C707="استحداث بند جديد", "", IF(D707&lt;&gt;"", IFERROR(INDEX('بنود العقد'!B$3:B$388,D707), "⚠"), ""))</f>
        <v/>
      </c>
      <c r="F707" s="23" t="str">
        <f>IF(C707="استحداث بند جديد", "", IF(D707&lt;&gt;"", IFERROR(INDEX('بنود العقد'!D$3:D$388,D707), ""), ""))</f>
        <v/>
      </c>
      <c r="G707" s="24" t="str">
        <f>IF(C707="استحداث بند جديد", "", IF(D707&lt;&gt;"", IFERROR(INDEX('بنود العقد'!E$3:E$388,D707), 0), ""))</f>
        <v/>
      </c>
      <c r="H707" s="7"/>
      <c r="I707" s="8"/>
      <c r="J707" s="10" t="str">
        <f t="shared" si="7"/>
        <v/>
      </c>
      <c r="K707" s="74" t="str">
        <f>IF(C707="استحداث بند جديد", "", IF(D707&lt;&gt;"", IFERROR(INDEX('بنود العقد'!C$3:C$388,D707), ""), ""))</f>
        <v/>
      </c>
      <c r="L707" t="str">
        <f>IF(C707="استحداث بند جديد", IF(K707&lt;&gt;"","CMH_01-"&amp;IFERROR(VLOOKUP(K707,مراجع!$A$3:$B$14,2,FALSE),"?")&amp;"-NEW-"&amp;TEXT(A707,"000"),""), IF(D707&lt;&gt;"", IFERROR(INDEX('بنود العقد'!I$3:I$388,D707), ""), ""))</f>
        <v/>
      </c>
      <c r="M707" s="19"/>
    </row>
    <row r="708" spans="1:13" ht="28.2" customHeight="1">
      <c r="A708" s="12">
        <v>133</v>
      </c>
      <c r="B708" s="6"/>
      <c r="C708" s="6"/>
      <c r="D708" s="6"/>
      <c r="E708" s="22" t="str">
        <f>IF(C708="استحداث بند جديد", "", IF(D708&lt;&gt;"", IFERROR(INDEX('بنود العقد'!B$3:B$388,D708), "⚠"), ""))</f>
        <v/>
      </c>
      <c r="F708" s="23" t="str">
        <f>IF(C708="استحداث بند جديد", "", IF(D708&lt;&gt;"", IFERROR(INDEX('بنود العقد'!D$3:D$388,D708), ""), ""))</f>
        <v/>
      </c>
      <c r="G708" s="24" t="str">
        <f>IF(C708="استحداث بند جديد", "", IF(D708&lt;&gt;"", IFERROR(INDEX('بنود العقد'!E$3:E$388,D708), 0), ""))</f>
        <v/>
      </c>
      <c r="H708" s="7"/>
      <c r="I708" s="8"/>
      <c r="J708" s="10" t="str">
        <f t="shared" si="7"/>
        <v/>
      </c>
      <c r="K708" s="74" t="str">
        <f>IF(C708="استحداث بند جديد", "", IF(D708&lt;&gt;"", IFERROR(INDEX('بنود العقد'!C$3:C$388,D708), ""), ""))</f>
        <v/>
      </c>
      <c r="L708" t="str">
        <f>IF(C708="استحداث بند جديد", IF(K708&lt;&gt;"","CMH_01-"&amp;IFERROR(VLOOKUP(K708,مراجع!$A$3:$B$14,2,FALSE),"?")&amp;"-NEW-"&amp;TEXT(A708,"000"),""), IF(D708&lt;&gt;"", IFERROR(INDEX('بنود العقد'!I$3:I$388,D708), ""), ""))</f>
        <v/>
      </c>
      <c r="M708" s="19"/>
    </row>
    <row r="709" spans="1:13" ht="28.2" customHeight="1">
      <c r="A709" s="12">
        <v>134</v>
      </c>
      <c r="B709" s="6"/>
      <c r="C709" s="6"/>
      <c r="D709" s="6"/>
      <c r="E709" s="22" t="str">
        <f>IF(C709="استحداث بند جديد", "", IF(D709&lt;&gt;"", IFERROR(INDEX('بنود العقد'!B$3:B$388,D709), "⚠"), ""))</f>
        <v/>
      </c>
      <c r="F709" s="23" t="str">
        <f>IF(C709="استحداث بند جديد", "", IF(D709&lt;&gt;"", IFERROR(INDEX('بنود العقد'!D$3:D$388,D709), ""), ""))</f>
        <v/>
      </c>
      <c r="G709" s="24" t="str">
        <f>IF(C709="استحداث بند جديد", "", IF(D709&lt;&gt;"", IFERROR(INDEX('بنود العقد'!E$3:E$388,D709), 0), ""))</f>
        <v/>
      </c>
      <c r="H709" s="7"/>
      <c r="I709" s="8"/>
      <c r="J709" s="10" t="str">
        <f t="shared" si="7"/>
        <v/>
      </c>
      <c r="K709" s="74" t="str">
        <f>IF(C709="استحداث بند جديد", "", IF(D709&lt;&gt;"", IFERROR(INDEX('بنود العقد'!C$3:C$388,D709), ""), ""))</f>
        <v/>
      </c>
      <c r="L709" t="str">
        <f>IF(C709="استحداث بند جديد", IF(K709&lt;&gt;"","CMH_01-"&amp;IFERROR(VLOOKUP(K709,مراجع!$A$3:$B$14,2,FALSE),"?")&amp;"-NEW-"&amp;TEXT(A709,"000"),""), IF(D709&lt;&gt;"", IFERROR(INDEX('بنود العقد'!I$3:I$388,D709), ""), ""))</f>
        <v/>
      </c>
      <c r="M709" s="19"/>
    </row>
    <row r="710" spans="1:13" ht="28.2" customHeight="1">
      <c r="A710" s="12">
        <v>135</v>
      </c>
      <c r="B710" s="6"/>
      <c r="C710" s="6"/>
      <c r="D710" s="6"/>
      <c r="E710" s="22" t="str">
        <f>IF(C710="استحداث بند جديد", "", IF(D710&lt;&gt;"", IFERROR(INDEX('بنود العقد'!B$3:B$388,D710), "⚠"), ""))</f>
        <v/>
      </c>
      <c r="F710" s="23" t="str">
        <f>IF(C710="استحداث بند جديد", "", IF(D710&lt;&gt;"", IFERROR(INDEX('بنود العقد'!D$3:D$388,D710), ""), ""))</f>
        <v/>
      </c>
      <c r="G710" s="24" t="str">
        <f>IF(C710="استحداث بند جديد", "", IF(D710&lt;&gt;"", IFERROR(INDEX('بنود العقد'!E$3:E$388,D710), 0), ""))</f>
        <v/>
      </c>
      <c r="H710" s="7"/>
      <c r="I710" s="8"/>
      <c r="J710" s="10" t="str">
        <f t="shared" si="7"/>
        <v/>
      </c>
      <c r="K710" s="74" t="str">
        <f>IF(C710="استحداث بند جديد", "", IF(D710&lt;&gt;"", IFERROR(INDEX('بنود العقد'!C$3:C$388,D710), ""), ""))</f>
        <v/>
      </c>
      <c r="L710" t="str">
        <f>IF(C710="استحداث بند جديد", IF(K710&lt;&gt;"","CMH_01-"&amp;IFERROR(VLOOKUP(K710,مراجع!$A$3:$B$14,2,FALSE),"?")&amp;"-NEW-"&amp;TEXT(A710,"000"),""), IF(D710&lt;&gt;"", IFERROR(INDEX('بنود العقد'!I$3:I$388,D710), ""), ""))</f>
        <v/>
      </c>
      <c r="M710" s="19"/>
    </row>
    <row r="711" spans="1:13" ht="28.2" customHeight="1">
      <c r="A711" s="12">
        <v>136</v>
      </c>
      <c r="B711" s="6"/>
      <c r="C711" s="6"/>
      <c r="D711" s="6"/>
      <c r="E711" s="22" t="str">
        <f>IF(C711="استحداث بند جديد", "", IF(D711&lt;&gt;"", IFERROR(INDEX('بنود العقد'!B$3:B$388,D711), "⚠"), ""))</f>
        <v/>
      </c>
      <c r="F711" s="23" t="str">
        <f>IF(C711="استحداث بند جديد", "", IF(D711&lt;&gt;"", IFERROR(INDEX('بنود العقد'!D$3:D$388,D711), ""), ""))</f>
        <v/>
      </c>
      <c r="G711" s="24" t="str">
        <f>IF(C711="استحداث بند جديد", "", IF(D711&lt;&gt;"", IFERROR(INDEX('بنود العقد'!E$3:E$388,D711), 0), ""))</f>
        <v/>
      </c>
      <c r="H711" s="7"/>
      <c r="I711" s="8"/>
      <c r="J711" s="10" t="str">
        <f t="shared" si="7"/>
        <v/>
      </c>
      <c r="K711" s="74" t="str">
        <f>IF(C711="استحداث بند جديد", "", IF(D711&lt;&gt;"", IFERROR(INDEX('بنود العقد'!C$3:C$388,D711), ""), ""))</f>
        <v/>
      </c>
      <c r="L711" t="str">
        <f>IF(C711="استحداث بند جديد", IF(K711&lt;&gt;"","CMH_01-"&amp;IFERROR(VLOOKUP(K711,مراجع!$A$3:$B$14,2,FALSE),"?")&amp;"-NEW-"&amp;TEXT(A711,"000"),""), IF(D711&lt;&gt;"", IFERROR(INDEX('بنود العقد'!I$3:I$388,D711), ""), ""))</f>
        <v/>
      </c>
      <c r="M711" s="19"/>
    </row>
    <row r="712" spans="1:13" ht="28.2" customHeight="1">
      <c r="A712" s="12">
        <v>137</v>
      </c>
      <c r="B712" s="6"/>
      <c r="C712" s="6"/>
      <c r="D712" s="6"/>
      <c r="E712" s="22" t="str">
        <f>IF(C712="استحداث بند جديد", "", IF(D712&lt;&gt;"", IFERROR(INDEX('بنود العقد'!B$3:B$388,D712), "⚠"), ""))</f>
        <v/>
      </c>
      <c r="F712" s="23" t="str">
        <f>IF(C712="استحداث بند جديد", "", IF(D712&lt;&gt;"", IFERROR(INDEX('بنود العقد'!D$3:D$388,D712), ""), ""))</f>
        <v/>
      </c>
      <c r="G712" s="24" t="str">
        <f>IF(C712="استحداث بند جديد", "", IF(D712&lt;&gt;"", IFERROR(INDEX('بنود العقد'!E$3:E$388,D712), 0), ""))</f>
        <v/>
      </c>
      <c r="H712" s="7"/>
      <c r="I712" s="8"/>
      <c r="J712" s="10" t="str">
        <f t="shared" si="7"/>
        <v/>
      </c>
      <c r="K712" s="74" t="str">
        <f>IF(C712="استحداث بند جديد", "", IF(D712&lt;&gt;"", IFERROR(INDEX('بنود العقد'!C$3:C$388,D712), ""), ""))</f>
        <v/>
      </c>
      <c r="L712" t="str">
        <f>IF(C712="استحداث بند جديد", IF(K712&lt;&gt;"","CMH_01-"&amp;IFERROR(VLOOKUP(K712,مراجع!$A$3:$B$14,2,FALSE),"?")&amp;"-NEW-"&amp;TEXT(A712,"000"),""), IF(D712&lt;&gt;"", IFERROR(INDEX('بنود العقد'!I$3:I$388,D712), ""), ""))</f>
        <v/>
      </c>
      <c r="M712" s="19"/>
    </row>
    <row r="713" spans="1:13" ht="28.2" customHeight="1">
      <c r="A713" s="12">
        <v>138</v>
      </c>
      <c r="B713" s="6"/>
      <c r="C713" s="6"/>
      <c r="D713" s="6"/>
      <c r="E713" s="22" t="str">
        <f>IF(C713="استحداث بند جديد", "", IF(D713&lt;&gt;"", IFERROR(INDEX('بنود العقد'!B$3:B$388,D713), "⚠"), ""))</f>
        <v/>
      </c>
      <c r="F713" s="23" t="str">
        <f>IF(C713="استحداث بند جديد", "", IF(D713&lt;&gt;"", IFERROR(INDEX('بنود العقد'!D$3:D$388,D713), ""), ""))</f>
        <v/>
      </c>
      <c r="G713" s="24" t="str">
        <f>IF(C713="استحداث بند جديد", "", IF(D713&lt;&gt;"", IFERROR(INDEX('بنود العقد'!E$3:E$388,D713), 0), ""))</f>
        <v/>
      </c>
      <c r="H713" s="7"/>
      <c r="I713" s="8"/>
      <c r="J713" s="10" t="str">
        <f t="shared" si="7"/>
        <v/>
      </c>
      <c r="K713" s="74" t="str">
        <f>IF(C713="استحداث بند جديد", "", IF(D713&lt;&gt;"", IFERROR(INDEX('بنود العقد'!C$3:C$388,D713), ""), ""))</f>
        <v/>
      </c>
      <c r="L713" t="str">
        <f>IF(C713="استحداث بند جديد", IF(K713&lt;&gt;"","CMH_01-"&amp;IFERROR(VLOOKUP(K713,مراجع!$A$3:$B$14,2,FALSE),"?")&amp;"-NEW-"&amp;TEXT(A713,"000"),""), IF(D713&lt;&gt;"", IFERROR(INDEX('بنود العقد'!I$3:I$388,D713), ""), ""))</f>
        <v/>
      </c>
      <c r="M713" s="19"/>
    </row>
    <row r="714" spans="1:13" ht="28.2" customHeight="1">
      <c r="A714" s="12">
        <v>139</v>
      </c>
      <c r="B714" s="6"/>
      <c r="C714" s="6"/>
      <c r="D714" s="6"/>
      <c r="E714" s="22" t="str">
        <f>IF(C714="استحداث بند جديد", "", IF(D714&lt;&gt;"", IFERROR(INDEX('بنود العقد'!B$3:B$388,D714), "⚠"), ""))</f>
        <v/>
      </c>
      <c r="F714" s="23" t="str">
        <f>IF(C714="استحداث بند جديد", "", IF(D714&lt;&gt;"", IFERROR(INDEX('بنود العقد'!D$3:D$388,D714), ""), ""))</f>
        <v/>
      </c>
      <c r="G714" s="24" t="str">
        <f>IF(C714="استحداث بند جديد", "", IF(D714&lt;&gt;"", IFERROR(INDEX('بنود العقد'!E$3:E$388,D714), 0), ""))</f>
        <v/>
      </c>
      <c r="H714" s="7"/>
      <c r="I714" s="8"/>
      <c r="J714" s="10" t="str">
        <f t="shared" si="7"/>
        <v/>
      </c>
      <c r="K714" s="74" t="str">
        <f>IF(C714="استحداث بند جديد", "", IF(D714&lt;&gt;"", IFERROR(INDEX('بنود العقد'!C$3:C$388,D714), ""), ""))</f>
        <v/>
      </c>
      <c r="L714" t="str">
        <f>IF(C714="استحداث بند جديد", IF(K714&lt;&gt;"","CMH_01-"&amp;IFERROR(VLOOKUP(K714,مراجع!$A$3:$B$14,2,FALSE),"?")&amp;"-NEW-"&amp;TEXT(A714,"000"),""), IF(D714&lt;&gt;"", IFERROR(INDEX('بنود العقد'!I$3:I$388,D714), ""), ""))</f>
        <v/>
      </c>
      <c r="M714" s="19"/>
    </row>
    <row r="715" spans="1:13" ht="28.2" customHeight="1">
      <c r="A715" s="12">
        <v>140</v>
      </c>
      <c r="B715" s="6"/>
      <c r="C715" s="6"/>
      <c r="D715" s="6"/>
      <c r="E715" s="22" t="str">
        <f>IF(C715="استحداث بند جديد", "", IF(D715&lt;&gt;"", IFERROR(INDEX('بنود العقد'!B$3:B$388,D715), "⚠"), ""))</f>
        <v/>
      </c>
      <c r="F715" s="23" t="str">
        <f>IF(C715="استحداث بند جديد", "", IF(D715&lt;&gt;"", IFERROR(INDEX('بنود العقد'!D$3:D$388,D715), ""), ""))</f>
        <v/>
      </c>
      <c r="G715" s="24" t="str">
        <f>IF(C715="استحداث بند جديد", "", IF(D715&lt;&gt;"", IFERROR(INDEX('بنود العقد'!E$3:E$388,D715), 0), ""))</f>
        <v/>
      </c>
      <c r="H715" s="7"/>
      <c r="I715" s="8"/>
      <c r="J715" s="10" t="str">
        <f t="shared" si="7"/>
        <v/>
      </c>
      <c r="K715" s="74" t="str">
        <f>IF(C715="استحداث بند جديد", "", IF(D715&lt;&gt;"", IFERROR(INDEX('بنود العقد'!C$3:C$388,D715), ""), ""))</f>
        <v/>
      </c>
      <c r="L715" t="str">
        <f>IF(C715="استحداث بند جديد", IF(K715&lt;&gt;"","CMH_01-"&amp;IFERROR(VLOOKUP(K715,مراجع!$A$3:$B$14,2,FALSE),"?")&amp;"-NEW-"&amp;TEXT(A715,"000"),""), IF(D715&lt;&gt;"", IFERROR(INDEX('بنود العقد'!I$3:I$388,D715), ""), ""))</f>
        <v/>
      </c>
      <c r="M715" s="19"/>
    </row>
    <row r="716" spans="1:13" ht="28.2" customHeight="1">
      <c r="A716" s="12">
        <v>141</v>
      </c>
      <c r="B716" s="6"/>
      <c r="C716" s="6"/>
      <c r="D716" s="6"/>
      <c r="E716" s="22" t="str">
        <f>IF(C716="استحداث بند جديد", "", IF(D716&lt;&gt;"", IFERROR(INDEX('بنود العقد'!B$3:B$388,D716), "⚠"), ""))</f>
        <v/>
      </c>
      <c r="F716" s="23" t="str">
        <f>IF(C716="استحداث بند جديد", "", IF(D716&lt;&gt;"", IFERROR(INDEX('بنود العقد'!D$3:D$388,D716), ""), ""))</f>
        <v/>
      </c>
      <c r="G716" s="24" t="str">
        <f>IF(C716="استحداث بند جديد", "", IF(D716&lt;&gt;"", IFERROR(INDEX('بنود العقد'!E$3:E$388,D716), 0), ""))</f>
        <v/>
      </c>
      <c r="H716" s="7"/>
      <c r="I716" s="8"/>
      <c r="J716" s="10" t="str">
        <f t="shared" si="7"/>
        <v/>
      </c>
      <c r="K716" s="74" t="str">
        <f>IF(C716="استحداث بند جديد", "", IF(D716&lt;&gt;"", IFERROR(INDEX('بنود العقد'!C$3:C$388,D716), ""), ""))</f>
        <v/>
      </c>
      <c r="L716" t="str">
        <f>IF(C716="استحداث بند جديد", IF(K716&lt;&gt;"","CMH_01-"&amp;IFERROR(VLOOKUP(K716,مراجع!$A$3:$B$14,2,FALSE),"?")&amp;"-NEW-"&amp;TEXT(A716,"000"),""), IF(D716&lt;&gt;"", IFERROR(INDEX('بنود العقد'!I$3:I$388,D716), ""), ""))</f>
        <v/>
      </c>
      <c r="M716" s="19"/>
    </row>
    <row r="717" spans="1:13" ht="28.2" customHeight="1">
      <c r="A717" s="12">
        <v>142</v>
      </c>
      <c r="B717" s="6"/>
      <c r="C717" s="6"/>
      <c r="D717" s="6"/>
      <c r="E717" s="22" t="str">
        <f>IF(C717="استحداث بند جديد", "", IF(D717&lt;&gt;"", IFERROR(INDEX('بنود العقد'!B$3:B$388,D717), "⚠"), ""))</f>
        <v/>
      </c>
      <c r="F717" s="23" t="str">
        <f>IF(C717="استحداث بند جديد", "", IF(D717&lt;&gt;"", IFERROR(INDEX('بنود العقد'!D$3:D$388,D717), ""), ""))</f>
        <v/>
      </c>
      <c r="G717" s="24" t="str">
        <f>IF(C717="استحداث بند جديد", "", IF(D717&lt;&gt;"", IFERROR(INDEX('بنود العقد'!E$3:E$388,D717), 0), ""))</f>
        <v/>
      </c>
      <c r="H717" s="7"/>
      <c r="I717" s="8"/>
      <c r="J717" s="10" t="str">
        <f t="shared" si="7"/>
        <v/>
      </c>
      <c r="K717" s="74" t="str">
        <f>IF(C717="استحداث بند جديد", "", IF(D717&lt;&gt;"", IFERROR(INDEX('بنود العقد'!C$3:C$388,D717), ""), ""))</f>
        <v/>
      </c>
      <c r="L717" t="str">
        <f>IF(C717="استحداث بند جديد", IF(K717&lt;&gt;"","CMH_01-"&amp;IFERROR(VLOOKUP(K717,مراجع!$A$3:$B$14,2,FALSE),"?")&amp;"-NEW-"&amp;TEXT(A717,"000"),""), IF(D717&lt;&gt;"", IFERROR(INDEX('بنود العقد'!I$3:I$388,D717), ""), ""))</f>
        <v/>
      </c>
      <c r="M717" s="19"/>
    </row>
    <row r="718" spans="1:13" ht="28.2" customHeight="1">
      <c r="A718" s="12">
        <v>143</v>
      </c>
      <c r="B718" s="6"/>
      <c r="C718" s="6"/>
      <c r="D718" s="6"/>
      <c r="E718" s="22" t="str">
        <f>IF(C718="استحداث بند جديد", "", IF(D718&lt;&gt;"", IFERROR(INDEX('بنود العقد'!B$3:B$388,D718), "⚠"), ""))</f>
        <v/>
      </c>
      <c r="F718" s="23" t="str">
        <f>IF(C718="استحداث بند جديد", "", IF(D718&lt;&gt;"", IFERROR(INDEX('بنود العقد'!D$3:D$388,D718), ""), ""))</f>
        <v/>
      </c>
      <c r="G718" s="24" t="str">
        <f>IF(C718="استحداث بند جديد", "", IF(D718&lt;&gt;"", IFERROR(INDEX('بنود العقد'!E$3:E$388,D718), 0), ""))</f>
        <v/>
      </c>
      <c r="H718" s="7"/>
      <c r="I718" s="8"/>
      <c r="J718" s="10" t="str">
        <f t="shared" si="7"/>
        <v/>
      </c>
      <c r="K718" s="74" t="str">
        <f>IF(C718="استحداث بند جديد", "", IF(D718&lt;&gt;"", IFERROR(INDEX('بنود العقد'!C$3:C$388,D718), ""), ""))</f>
        <v/>
      </c>
      <c r="L718" t="str">
        <f>IF(C718="استحداث بند جديد", IF(K718&lt;&gt;"","CMH_01-"&amp;IFERROR(VLOOKUP(K718,مراجع!$A$3:$B$14,2,FALSE),"?")&amp;"-NEW-"&amp;TEXT(A718,"000"),""), IF(D718&lt;&gt;"", IFERROR(INDEX('بنود العقد'!I$3:I$388,D718), ""), ""))</f>
        <v/>
      </c>
      <c r="M718" s="19"/>
    </row>
    <row r="719" spans="1:13" ht="28.2" customHeight="1">
      <c r="A719" s="12">
        <v>144</v>
      </c>
      <c r="B719" s="6"/>
      <c r="C719" s="6"/>
      <c r="D719" s="6"/>
      <c r="E719" s="22" t="str">
        <f>IF(C719="استحداث بند جديد", "", IF(D719&lt;&gt;"", IFERROR(INDEX('بنود العقد'!B$3:B$388,D719), "⚠"), ""))</f>
        <v/>
      </c>
      <c r="F719" s="23" t="str">
        <f>IF(C719="استحداث بند جديد", "", IF(D719&lt;&gt;"", IFERROR(INDEX('بنود العقد'!D$3:D$388,D719), ""), ""))</f>
        <v/>
      </c>
      <c r="G719" s="24" t="str">
        <f>IF(C719="استحداث بند جديد", "", IF(D719&lt;&gt;"", IFERROR(INDEX('بنود العقد'!E$3:E$388,D719), 0), ""))</f>
        <v/>
      </c>
      <c r="H719" s="7"/>
      <c r="I719" s="8"/>
      <c r="J719" s="10" t="str">
        <f t="shared" si="7"/>
        <v/>
      </c>
      <c r="K719" s="74" t="str">
        <f>IF(C719="استحداث بند جديد", "", IF(D719&lt;&gt;"", IFERROR(INDEX('بنود العقد'!C$3:C$388,D719), ""), ""))</f>
        <v/>
      </c>
      <c r="L719" t="str">
        <f>IF(C719="استحداث بند جديد", IF(K719&lt;&gt;"","CMH_01-"&amp;IFERROR(VLOOKUP(K719,مراجع!$A$3:$B$14,2,FALSE),"?")&amp;"-NEW-"&amp;TEXT(A719,"000"),""), IF(D719&lt;&gt;"", IFERROR(INDEX('بنود العقد'!I$3:I$388,D719), ""), ""))</f>
        <v/>
      </c>
      <c r="M719" s="19"/>
    </row>
    <row r="720" spans="1:13" ht="28.2" customHeight="1">
      <c r="A720" s="12">
        <v>145</v>
      </c>
      <c r="B720" s="6"/>
      <c r="C720" s="6"/>
      <c r="D720" s="6"/>
      <c r="E720" s="22" t="str">
        <f>IF(C720="استحداث بند جديد", "", IF(D720&lt;&gt;"", IFERROR(INDEX('بنود العقد'!B$3:B$388,D720), "⚠"), ""))</f>
        <v/>
      </c>
      <c r="F720" s="23" t="str">
        <f>IF(C720="استحداث بند جديد", "", IF(D720&lt;&gt;"", IFERROR(INDEX('بنود العقد'!D$3:D$388,D720), ""), ""))</f>
        <v/>
      </c>
      <c r="G720" s="24" t="str">
        <f>IF(C720="استحداث بند جديد", "", IF(D720&lt;&gt;"", IFERROR(INDEX('بنود العقد'!E$3:E$388,D720), 0), ""))</f>
        <v/>
      </c>
      <c r="H720" s="7"/>
      <c r="I720" s="8"/>
      <c r="J720" s="10" t="str">
        <f t="shared" si="7"/>
        <v/>
      </c>
      <c r="K720" s="74" t="str">
        <f>IF(C720="استحداث بند جديد", "", IF(D720&lt;&gt;"", IFERROR(INDEX('بنود العقد'!C$3:C$388,D720), ""), ""))</f>
        <v/>
      </c>
      <c r="L720" t="str">
        <f>IF(C720="استحداث بند جديد", IF(K720&lt;&gt;"","CMH_01-"&amp;IFERROR(VLOOKUP(K720,مراجع!$A$3:$B$14,2,FALSE),"?")&amp;"-NEW-"&amp;TEXT(A720,"000"),""), IF(D720&lt;&gt;"", IFERROR(INDEX('بنود العقد'!I$3:I$388,D720), ""), ""))</f>
        <v/>
      </c>
      <c r="M720" s="19"/>
    </row>
    <row r="721" spans="1:13" ht="28.2" customHeight="1">
      <c r="A721" s="12">
        <v>146</v>
      </c>
      <c r="B721" s="6"/>
      <c r="C721" s="6"/>
      <c r="D721" s="6"/>
      <c r="E721" s="22" t="str">
        <f>IF(C721="استحداث بند جديد", "", IF(D721&lt;&gt;"", IFERROR(INDEX('بنود العقد'!B$3:B$388,D721), "⚠"), ""))</f>
        <v/>
      </c>
      <c r="F721" s="23" t="str">
        <f>IF(C721="استحداث بند جديد", "", IF(D721&lt;&gt;"", IFERROR(INDEX('بنود العقد'!D$3:D$388,D721), ""), ""))</f>
        <v/>
      </c>
      <c r="G721" s="24" t="str">
        <f>IF(C721="استحداث بند جديد", "", IF(D721&lt;&gt;"", IFERROR(INDEX('بنود العقد'!E$3:E$388,D721), 0), ""))</f>
        <v/>
      </c>
      <c r="H721" s="7"/>
      <c r="I721" s="8"/>
      <c r="J721" s="10" t="str">
        <f t="shared" si="7"/>
        <v/>
      </c>
      <c r="K721" s="74" t="str">
        <f>IF(C721="استحداث بند جديد", "", IF(D721&lt;&gt;"", IFERROR(INDEX('بنود العقد'!C$3:C$388,D721), ""), ""))</f>
        <v/>
      </c>
      <c r="L721" t="str">
        <f>IF(C721="استحداث بند جديد", IF(K721&lt;&gt;"","CMH_01-"&amp;IFERROR(VLOOKUP(K721,مراجع!$A$3:$B$14,2,FALSE),"?")&amp;"-NEW-"&amp;TEXT(A721,"000"),""), IF(D721&lt;&gt;"", IFERROR(INDEX('بنود العقد'!I$3:I$388,D721), ""), ""))</f>
        <v/>
      </c>
      <c r="M721" s="19"/>
    </row>
    <row r="722" spans="1:13" ht="28.2" customHeight="1">
      <c r="A722" s="12">
        <v>147</v>
      </c>
      <c r="B722" s="6"/>
      <c r="C722" s="6"/>
      <c r="D722" s="6"/>
      <c r="E722" s="22" t="str">
        <f>IF(C722="استحداث بند جديد", "", IF(D722&lt;&gt;"", IFERROR(INDEX('بنود العقد'!B$3:B$388,D722), "⚠"), ""))</f>
        <v/>
      </c>
      <c r="F722" s="23" t="str">
        <f>IF(C722="استحداث بند جديد", "", IF(D722&lt;&gt;"", IFERROR(INDEX('بنود العقد'!D$3:D$388,D722), ""), ""))</f>
        <v/>
      </c>
      <c r="G722" s="24" t="str">
        <f>IF(C722="استحداث بند جديد", "", IF(D722&lt;&gt;"", IFERROR(INDEX('بنود العقد'!E$3:E$388,D722), 0), ""))</f>
        <v/>
      </c>
      <c r="H722" s="7"/>
      <c r="I722" s="8"/>
      <c r="J722" s="10" t="str">
        <f t="shared" si="7"/>
        <v/>
      </c>
      <c r="K722" s="74" t="str">
        <f>IF(C722="استحداث بند جديد", "", IF(D722&lt;&gt;"", IFERROR(INDEX('بنود العقد'!C$3:C$388,D722), ""), ""))</f>
        <v/>
      </c>
      <c r="L722" t="str">
        <f>IF(C722="استحداث بند جديد", IF(K722&lt;&gt;"","CMH_01-"&amp;IFERROR(VLOOKUP(K722,مراجع!$A$3:$B$14,2,FALSE),"?")&amp;"-NEW-"&amp;TEXT(A722,"000"),""), IF(D722&lt;&gt;"", IFERROR(INDEX('بنود العقد'!I$3:I$388,D722), ""), ""))</f>
        <v/>
      </c>
      <c r="M722" s="19"/>
    </row>
    <row r="723" spans="1:13" ht="28.2" customHeight="1">
      <c r="A723" s="12">
        <v>148</v>
      </c>
      <c r="B723" s="6"/>
      <c r="C723" s="6"/>
      <c r="D723" s="6"/>
      <c r="E723" s="22" t="str">
        <f>IF(C723="استحداث بند جديد", "", IF(D723&lt;&gt;"", IFERROR(INDEX('بنود العقد'!B$3:B$388,D723), "⚠"), ""))</f>
        <v/>
      </c>
      <c r="F723" s="23" t="str">
        <f>IF(C723="استحداث بند جديد", "", IF(D723&lt;&gt;"", IFERROR(INDEX('بنود العقد'!D$3:D$388,D723), ""), ""))</f>
        <v/>
      </c>
      <c r="G723" s="24" t="str">
        <f>IF(C723="استحداث بند جديد", "", IF(D723&lt;&gt;"", IFERROR(INDEX('بنود العقد'!E$3:E$388,D723), 0), ""))</f>
        <v/>
      </c>
      <c r="H723" s="7"/>
      <c r="I723" s="8"/>
      <c r="J723" s="10" t="str">
        <f t="shared" si="7"/>
        <v/>
      </c>
      <c r="K723" s="74" t="str">
        <f>IF(C723="استحداث بند جديد", "", IF(D723&lt;&gt;"", IFERROR(INDEX('بنود العقد'!C$3:C$388,D723), ""), ""))</f>
        <v/>
      </c>
      <c r="L723" t="str">
        <f>IF(C723="استحداث بند جديد", IF(K723&lt;&gt;"","CMH_01-"&amp;IFERROR(VLOOKUP(K723,مراجع!$A$3:$B$14,2,FALSE),"?")&amp;"-NEW-"&amp;TEXT(A723,"000"),""), IF(D723&lt;&gt;"", IFERROR(INDEX('بنود العقد'!I$3:I$388,D723), ""), ""))</f>
        <v/>
      </c>
      <c r="M723" s="19"/>
    </row>
    <row r="724" spans="1:13" ht="28.2" customHeight="1">
      <c r="A724" s="12">
        <v>149</v>
      </c>
      <c r="B724" s="6"/>
      <c r="C724" s="6"/>
      <c r="D724" s="6"/>
      <c r="E724" s="22" t="str">
        <f>IF(C724="استحداث بند جديد", "", IF(D724&lt;&gt;"", IFERROR(INDEX('بنود العقد'!B$3:B$388,D724), "⚠"), ""))</f>
        <v/>
      </c>
      <c r="F724" s="23" t="str">
        <f>IF(C724="استحداث بند جديد", "", IF(D724&lt;&gt;"", IFERROR(INDEX('بنود العقد'!D$3:D$388,D724), ""), ""))</f>
        <v/>
      </c>
      <c r="G724" s="24" t="str">
        <f>IF(C724="استحداث بند جديد", "", IF(D724&lt;&gt;"", IFERROR(INDEX('بنود العقد'!E$3:E$388,D724), 0), ""))</f>
        <v/>
      </c>
      <c r="H724" s="7"/>
      <c r="I724" s="8"/>
      <c r="J724" s="10" t="str">
        <f t="shared" si="7"/>
        <v/>
      </c>
      <c r="K724" s="74" t="str">
        <f>IF(C724="استحداث بند جديد", "", IF(D724&lt;&gt;"", IFERROR(INDEX('بنود العقد'!C$3:C$388,D724), ""), ""))</f>
        <v/>
      </c>
      <c r="L724" t="str">
        <f>IF(C724="استحداث بند جديد", IF(K724&lt;&gt;"","CMH_01-"&amp;IFERROR(VLOOKUP(K724,مراجع!$A$3:$B$14,2,FALSE),"?")&amp;"-NEW-"&amp;TEXT(A724,"000"),""), IF(D724&lt;&gt;"", IFERROR(INDEX('بنود العقد'!I$3:I$388,D724), ""), ""))</f>
        <v/>
      </c>
      <c r="M724" s="19"/>
    </row>
    <row r="725" spans="1:13">
      <c r="A725" s="12">
        <v>150</v>
      </c>
      <c r="B725" s="6"/>
      <c r="C725" s="6"/>
      <c r="D725" s="6"/>
      <c r="E725" s="22" t="str">
        <f>IF(C725="استحداث بند جديد", "", IF(D725&lt;&gt;"", IFERROR(INDEX('بنود العقد'!B$3:B$388,D725), "⚠"), ""))</f>
        <v/>
      </c>
      <c r="F725" s="23" t="str">
        <f>IF(C725="استحداث بند جديد", "", IF(D725&lt;&gt;"", IFERROR(INDEX('بنود العقد'!D$3:D$388,D725), ""), ""))</f>
        <v/>
      </c>
      <c r="G725" s="24" t="str">
        <f>IF(C725="استحداث بند جديد", "", IF(D725&lt;&gt;"", IFERROR(INDEX('بنود العقد'!E$3:E$388,D725), 0), ""))</f>
        <v/>
      </c>
      <c r="H725" s="7"/>
      <c r="I725" s="8"/>
      <c r="J725" s="10" t="str">
        <f t="shared" si="7"/>
        <v/>
      </c>
      <c r="K725" t="str">
        <f>IF(C725="استحداث بند جديد", "", IF(D725&lt;&gt;"", IFERROR(INDEX('بنود العقد'!C$3:C$388,D725), ""), ""))</f>
        <v/>
      </c>
      <c r="L725" t="str">
        <f>IF(C725="استحداث بند جديد", IF(K725&lt;&gt;"","CMH_01-"&amp;IFERROR(VLOOKUP(K725,مراجع!$A$3:$B$14,2,FALSE),"?")&amp;"-NEW-"&amp;TEXT(A725,"000"),""), IF(D725&lt;&gt;"", IFERROR(INDEX('بنود العقد'!I$3:I$388,D725), ""), ""))</f>
        <v/>
      </c>
      <c r="M725" s="19"/>
    </row>
    <row r="726" spans="1:13">
      <c r="A726" s="82"/>
      <c r="B726" s="82"/>
      <c r="C726" s="82"/>
      <c r="D726" s="82"/>
      <c r="E726" s="82"/>
      <c r="F726" s="82"/>
      <c r="G726" s="82"/>
    </row>
  </sheetData>
  <autoFilter ref="A1:M725" xr:uid="{00000000-0009-0000-0000-000007000000}"/>
  <mergeCells count="1">
    <mergeCell ref="A726:G726"/>
  </mergeCells>
  <conditionalFormatting sqref="C3:M725">
    <cfRule type="expression" dxfId="6" priority="1">
      <formula>$C3="استحداث بند جديد"</formula>
    </cfRule>
    <cfRule type="expression" dxfId="5" priority="2">
      <formula>$C3="استحداث بند جديد"</formula>
    </cfRule>
  </conditionalFormatting>
  <dataValidations count="2">
    <dataValidation type="list" allowBlank="1" promptTitle="نوع العملية" prompt="نوع العملية. لاستحداث بند جديد، اختر 'استحداث بند جديد'" sqref="C3:C725" xr:uid="{00000000-0002-0000-0700-000000000000}">
      <formula1>"زيادة كمية,تقليل كمية,حذف بند,تمديد مدة,استحداث بند جديد"</formula1>
    </dataValidation>
    <dataValidation type="list" allowBlank="1" promptTitle="تخصص البند الجديد" prompt="مطلوب فقط للبنود المُستحدَثة" sqref="K3:K725" xr:uid="{00000000-0002-0000-0700-000001000000}">
      <formula1>"معماري,مدني,ميكانيكا,تكييف,صحي,كهرباء,منخفض الجهد,سلامة وإطفاء,أثاث,موقع عام,إشراف,أخرى"</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565B"/>
  </sheetPr>
  <dimension ref="A1:G27"/>
  <sheetViews>
    <sheetView rightToLeft="1" workbookViewId="0">
      <selection activeCell="C10" sqref="C10"/>
    </sheetView>
  </sheetViews>
  <sheetFormatPr defaultRowHeight="13.8"/>
  <cols>
    <col min="1" max="2" width="30" customWidth="1"/>
    <col min="3" max="3" width="18" customWidth="1"/>
    <col min="4" max="4" width="30" customWidth="1"/>
    <col min="5" max="5" width="18" customWidth="1"/>
    <col min="6" max="6" width="30" customWidth="1"/>
    <col min="7" max="7" width="22" customWidth="1"/>
  </cols>
  <sheetData>
    <row r="1" spans="1:7" ht="34.950000000000003" customHeight="1">
      <c r="A1" s="3" t="s">
        <v>176</v>
      </c>
      <c r="B1" s="3" t="s">
        <v>177</v>
      </c>
      <c r="C1" s="3" t="s">
        <v>178</v>
      </c>
      <c r="D1" s="3" t="s">
        <v>179</v>
      </c>
      <c r="E1" s="3" t="s">
        <v>180</v>
      </c>
      <c r="F1" s="3" t="s">
        <v>127</v>
      </c>
      <c r="G1" s="31" t="s">
        <v>128</v>
      </c>
    </row>
    <row r="2" spans="1:7" ht="14.4">
      <c r="A2" s="25" t="s">
        <v>181</v>
      </c>
      <c r="B2" s="13" t="s">
        <v>182</v>
      </c>
      <c r="C2" s="13" t="s">
        <v>183</v>
      </c>
      <c r="D2" s="13" t="s">
        <v>184</v>
      </c>
      <c r="E2" s="13">
        <v>555180602</v>
      </c>
      <c r="F2" s="13" t="s">
        <v>722</v>
      </c>
      <c r="G2" t="s">
        <v>185</v>
      </c>
    </row>
    <row r="3" spans="1:7" ht="28.2" customHeight="1">
      <c r="A3" s="78" t="s">
        <v>690</v>
      </c>
      <c r="B3" s="77" t="s">
        <v>691</v>
      </c>
      <c r="C3" s="33" t="s">
        <v>186</v>
      </c>
      <c r="D3" s="33" t="s">
        <v>184</v>
      </c>
      <c r="E3" s="33">
        <v>554319723</v>
      </c>
      <c r="F3" s="33" t="s">
        <v>723</v>
      </c>
      <c r="G3" s="34" t="s">
        <v>187</v>
      </c>
    </row>
    <row r="4" spans="1:7" ht="28.2" customHeight="1">
      <c r="A4" s="33" t="s">
        <v>692</v>
      </c>
      <c r="B4" s="77" t="s">
        <v>693</v>
      </c>
      <c r="C4" s="33" t="s">
        <v>188</v>
      </c>
      <c r="D4" s="33" t="s">
        <v>184</v>
      </c>
      <c r="E4" s="33">
        <v>555617766</v>
      </c>
      <c r="F4" s="33" t="s">
        <v>724</v>
      </c>
      <c r="G4" s="34" t="s">
        <v>189</v>
      </c>
    </row>
    <row r="5" spans="1:7" ht="28.2" customHeight="1">
      <c r="A5" s="33" t="s">
        <v>720</v>
      </c>
      <c r="B5" s="77" t="s">
        <v>721</v>
      </c>
      <c r="C5" s="33" t="s">
        <v>190</v>
      </c>
      <c r="D5" s="33" t="s">
        <v>184</v>
      </c>
      <c r="E5" s="33">
        <v>530506008</v>
      </c>
      <c r="F5" s="33" t="s">
        <v>725</v>
      </c>
      <c r="G5" s="34" t="s">
        <v>191</v>
      </c>
    </row>
    <row r="6" spans="1:7" ht="28.2" customHeight="1">
      <c r="A6" s="33" t="s">
        <v>695</v>
      </c>
      <c r="B6" s="77" t="s">
        <v>694</v>
      </c>
      <c r="C6" s="33" t="s">
        <v>192</v>
      </c>
      <c r="D6" s="33" t="s">
        <v>696</v>
      </c>
      <c r="E6" s="33">
        <v>508444507</v>
      </c>
      <c r="F6" s="33" t="s">
        <v>726</v>
      </c>
      <c r="G6" s="34" t="s">
        <v>193</v>
      </c>
    </row>
    <row r="7" spans="1:7" ht="28.2" customHeight="1">
      <c r="A7" s="33" t="s">
        <v>298</v>
      </c>
      <c r="B7" s="77" t="s">
        <v>697</v>
      </c>
      <c r="C7" s="33" t="s">
        <v>194</v>
      </c>
      <c r="D7" s="33" t="s">
        <v>195</v>
      </c>
      <c r="E7" s="33">
        <v>583531923</v>
      </c>
      <c r="F7" s="33" t="s">
        <v>727</v>
      </c>
      <c r="G7" s="34" t="s">
        <v>196</v>
      </c>
    </row>
    <row r="8" spans="1:7" ht="28.2" customHeight="1">
      <c r="A8" s="5"/>
      <c r="B8" s="6"/>
      <c r="C8" s="6"/>
      <c r="D8" s="19"/>
      <c r="E8" s="8"/>
      <c r="F8" s="19"/>
    </row>
    <row r="9" spans="1:7" ht="28.2" customHeight="1">
      <c r="A9" s="5"/>
      <c r="B9" s="6"/>
      <c r="C9" s="6"/>
      <c r="D9" s="19"/>
      <c r="E9" s="8"/>
      <c r="F9" s="19"/>
    </row>
    <row r="10" spans="1:7" ht="28.2" customHeight="1">
      <c r="A10" s="5"/>
      <c r="B10" s="6"/>
      <c r="C10" s="6"/>
      <c r="D10" s="19"/>
      <c r="E10" s="8"/>
      <c r="F10" s="19"/>
    </row>
    <row r="11" spans="1:7" ht="28.2" customHeight="1">
      <c r="A11" s="5"/>
      <c r="B11" s="6"/>
      <c r="C11" s="6"/>
      <c r="D11" s="19"/>
      <c r="E11" s="8"/>
      <c r="F11" s="19"/>
    </row>
    <row r="12" spans="1:7" ht="28.2" customHeight="1">
      <c r="A12" s="5"/>
      <c r="B12" s="6"/>
      <c r="C12" s="6"/>
      <c r="D12" s="19"/>
      <c r="E12" s="8"/>
      <c r="F12" s="19"/>
    </row>
    <row r="13" spans="1:7" ht="28.2" hidden="1" customHeight="1">
      <c r="A13" s="5"/>
      <c r="B13" s="6"/>
      <c r="C13" s="6"/>
      <c r="D13" s="19"/>
      <c r="E13" s="8"/>
      <c r="F13" s="19"/>
    </row>
    <row r="14" spans="1:7" ht="28.2" hidden="1" customHeight="1">
      <c r="A14" s="5"/>
      <c r="B14" s="6"/>
      <c r="C14" s="6"/>
      <c r="D14" s="19"/>
      <c r="E14" s="8"/>
      <c r="F14" s="19"/>
    </row>
    <row r="15" spans="1:7" ht="28.2" hidden="1" customHeight="1">
      <c r="A15" s="5"/>
      <c r="B15" s="6"/>
      <c r="C15" s="6"/>
      <c r="D15" s="19"/>
      <c r="E15" s="8"/>
      <c r="F15" s="19"/>
    </row>
    <row r="16" spans="1:7" ht="28.2" hidden="1" customHeight="1">
      <c r="A16" s="5"/>
      <c r="B16" s="6"/>
      <c r="C16" s="6"/>
      <c r="D16" s="19"/>
      <c r="E16" s="8"/>
      <c r="F16" s="19"/>
    </row>
    <row r="17" spans="1:6" ht="28.2" hidden="1" customHeight="1">
      <c r="A17" s="5"/>
      <c r="B17" s="6"/>
      <c r="C17" s="6"/>
      <c r="D17" s="19"/>
      <c r="E17" s="8"/>
      <c r="F17" s="19"/>
    </row>
    <row r="18" spans="1:6" ht="28.2" hidden="1" customHeight="1">
      <c r="A18" s="5"/>
      <c r="B18" s="6"/>
      <c r="C18" s="6"/>
      <c r="D18" s="19"/>
      <c r="E18" s="8"/>
      <c r="F18" s="19"/>
    </row>
    <row r="19" spans="1:6" ht="28.2" hidden="1" customHeight="1">
      <c r="A19" s="5"/>
      <c r="B19" s="6"/>
      <c r="C19" s="6"/>
      <c r="D19" s="19"/>
      <c r="E19" s="8"/>
      <c r="F19" s="19"/>
    </row>
    <row r="20" spans="1:6" ht="28.2" hidden="1" customHeight="1">
      <c r="A20" s="5"/>
      <c r="B20" s="6"/>
      <c r="C20" s="6"/>
      <c r="D20" s="19"/>
      <c r="E20" s="8"/>
      <c r="F20" s="19"/>
    </row>
    <row r="21" spans="1:6" ht="28.2" hidden="1" customHeight="1">
      <c r="A21" s="5"/>
      <c r="B21" s="6"/>
      <c r="C21" s="6"/>
      <c r="D21" s="19"/>
      <c r="E21" s="8"/>
      <c r="F21" s="19"/>
    </row>
    <row r="22" spans="1:6" ht="28.2" hidden="1" customHeight="1">
      <c r="A22" s="5"/>
      <c r="B22" s="6"/>
      <c r="C22" s="6"/>
      <c r="D22" s="19"/>
      <c r="E22" s="8"/>
      <c r="F22" s="19"/>
    </row>
    <row r="23" spans="1:6" ht="28.2" hidden="1" customHeight="1">
      <c r="A23" s="5"/>
      <c r="B23" s="6"/>
      <c r="C23" s="6"/>
      <c r="D23" s="19"/>
      <c r="E23" s="8"/>
      <c r="F23" s="19"/>
    </row>
    <row r="24" spans="1:6" ht="28.2" hidden="1" customHeight="1">
      <c r="A24" s="5"/>
      <c r="B24" s="6"/>
      <c r="C24" s="6"/>
      <c r="D24" s="19"/>
      <c r="E24" s="8"/>
      <c r="F24" s="19"/>
    </row>
    <row r="25" spans="1:6" ht="28.2" hidden="1" customHeight="1">
      <c r="A25" s="5"/>
      <c r="B25" s="6"/>
      <c r="C25" s="6"/>
      <c r="D25" s="19"/>
      <c r="E25" s="8"/>
      <c r="F25" s="19"/>
    </row>
    <row r="26" spans="1:6" ht="28.2" hidden="1" customHeight="1">
      <c r="A26" s="5"/>
      <c r="B26" s="6"/>
      <c r="C26" s="6"/>
      <c r="D26" s="19"/>
      <c r="E26" s="8"/>
      <c r="F26" s="19"/>
    </row>
    <row r="27" spans="1:6" ht="28.2" hidden="1" customHeight="1">
      <c r="A27" s="5"/>
      <c r="B27" s="6"/>
      <c r="C27" s="6"/>
      <c r="D27" s="19"/>
      <c r="E27" s="8"/>
      <c r="F27" s="19"/>
    </row>
  </sheetData>
  <dataValidations count="1">
    <dataValidation type="list" allowBlank="1" errorTitle="دور غير معتمد" error="الدور غير صحيح" promptTitle="الدور" prompt="اختر من: مقاول، مكتب استشاري، تدقيق، جودة، مدير مشروع، معتمد نهائي" sqref="C2:C27" xr:uid="{00000000-0002-0000-0800-000000000000}">
      <formula1>"مقاول,مكتب استشاري,تدقيق,جودة,مدير مشروع,معتمد نهائي"</formula1>
    </dataValidation>
  </dataValidations>
  <hyperlinks>
    <hyperlink ref="B3" r:id="rId1" xr:uid="{00000000-0004-0000-0800-000000000000}"/>
    <hyperlink ref="B4" r:id="rId2" xr:uid="{00000000-0004-0000-0800-000001000000}"/>
    <hyperlink ref="B6" r:id="rId3" xr:uid="{00000000-0004-0000-0800-000003000000}"/>
    <hyperlink ref="B7" r:id="rId4" xr:uid="{00000000-0004-0000-0800-000004000000}"/>
    <hyperlink ref="B5" r:id="rId5" xr:uid="{1E5BC455-CBCC-4EE3-873D-FF6E72BDE9E6}"/>
  </hyperlinks>
  <pageMargins left="0.75" right="0.75" top="1" bottom="1" header="0.5" footer="0.5"/>
  <pageSetup paperSize="9" orientation="portrait"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7BA26"/>
  </sheetPr>
  <dimension ref="A1:I30"/>
  <sheetViews>
    <sheetView rightToLeft="1" workbookViewId="0">
      <selection activeCell="D8" sqref="D8"/>
    </sheetView>
  </sheetViews>
  <sheetFormatPr defaultRowHeight="13.8"/>
  <cols>
    <col min="1" max="1" width="5" customWidth="1"/>
    <col min="2" max="2" width="35" customWidth="1"/>
    <col min="3" max="5" width="18" customWidth="1"/>
    <col min="6" max="6" width="5" customWidth="1"/>
    <col min="9" max="9" width="12.69921875" bestFit="1" customWidth="1"/>
    <col min="12" max="12" width="14.09765625" customWidth="1"/>
  </cols>
  <sheetData>
    <row r="1" spans="1:9" ht="40.200000000000003" customHeight="1">
      <c r="A1" s="103" t="s">
        <v>197</v>
      </c>
      <c r="B1" s="82"/>
      <c r="C1" s="82"/>
      <c r="D1" s="82"/>
      <c r="E1" s="82"/>
      <c r="F1" s="82"/>
    </row>
    <row r="3" spans="1:9">
      <c r="B3" s="15" t="s">
        <v>198</v>
      </c>
      <c r="C3" s="15" t="s">
        <v>199</v>
      </c>
      <c r="D3" s="15" t="s">
        <v>200</v>
      </c>
      <c r="E3" s="15" t="s">
        <v>201</v>
      </c>
    </row>
    <row r="4" spans="1:9">
      <c r="B4" s="16" t="s">
        <v>202</v>
      </c>
      <c r="C4" s="17">
        <v>6</v>
      </c>
      <c r="D4" s="17">
        <f>COUNTA(العقد!B2,العقد!C2,العقد!E2,العقد!F2,العقد!J2,العقد!K2)</f>
        <v>6</v>
      </c>
      <c r="E4" s="26">
        <f>IF(C4&gt;0, D4/C4*100, 0)</f>
        <v>100</v>
      </c>
    </row>
    <row r="5" spans="1:9">
      <c r="B5" s="16" t="s">
        <v>203</v>
      </c>
      <c r="C5" s="17">
        <v>1930</v>
      </c>
      <c r="D5" s="17">
        <f>COUNTA('بنود العقد'!B3:B388)+COUNTA('بنود العقد'!C3:C388)+COUNTA('بنود العقد'!D3:D388)+COUNTA('بنود العقد'!E3:E388)+COUNTA('بنود العقد'!F3:F388)</f>
        <v>1930</v>
      </c>
      <c r="E5" s="26">
        <f>IF(C5&gt;0, D5/C5*100, 0)</f>
        <v>100</v>
      </c>
    </row>
    <row r="6" spans="1:9">
      <c r="B6" s="16" t="s">
        <v>204</v>
      </c>
      <c r="C6" s="17">
        <v>5</v>
      </c>
      <c r="D6" s="17">
        <f>COUNTA(المطالبات!C3,المطالبات!D3,المطالبات!E3,المطالبات!F3,المطالبات!O3)</f>
        <v>5</v>
      </c>
      <c r="E6" s="26">
        <f>IF(C6&gt;0, D6/C6*100, 0)</f>
        <v>100</v>
      </c>
    </row>
    <row r="7" spans="1:9">
      <c r="B7" s="16" t="s">
        <v>205</v>
      </c>
      <c r="C7" s="17">
        <v>17</v>
      </c>
      <c r="D7" s="17">
        <f>COUNTA('أوامر التغيير'!B3:B17)+COUNTA('أوامر التغيير'!G3:G17)</f>
        <v>17</v>
      </c>
      <c r="E7" s="26">
        <f>IF(C7&gt;0, D7/C7*100, 0)</f>
        <v>100</v>
      </c>
    </row>
    <row r="8" spans="1:9">
      <c r="B8" s="16" t="s">
        <v>206</v>
      </c>
      <c r="C8" s="17">
        <f>'ابدأ هنا'!C49*2</f>
        <v>0</v>
      </c>
      <c r="D8" s="17">
        <f>COUNTA(المستخدمون!A3:A27)+COUNTA(المستخدمون!B3:B27)</f>
        <v>10</v>
      </c>
      <c r="E8" s="26">
        <f>IF(C8&gt;0, D8/C8*100, 0)</f>
        <v>0</v>
      </c>
    </row>
    <row r="9" spans="1:9">
      <c r="B9" s="15" t="s">
        <v>207</v>
      </c>
      <c r="C9" s="15">
        <f>SUM(C4:C8)</f>
        <v>1958</v>
      </c>
      <c r="D9" s="15">
        <f>SUM(D4:D8)</f>
        <v>1968</v>
      </c>
      <c r="E9" s="27">
        <f>IFERROR(MIN(D9/C9*100, 100), 0)</f>
        <v>100</v>
      </c>
    </row>
    <row r="12" spans="1:9" ht="16.8">
      <c r="B12" s="110" t="s">
        <v>208</v>
      </c>
      <c r="C12" s="82"/>
      <c r="D12" s="82"/>
      <c r="E12" s="82"/>
    </row>
    <row r="13" spans="1:9">
      <c r="B13" s="1" t="s">
        <v>209</v>
      </c>
      <c r="C13" s="28">
        <f>العقد!I2</f>
        <v>65767202.569999993</v>
      </c>
    </row>
    <row r="14" spans="1:9">
      <c r="B14" s="1" t="s">
        <v>210</v>
      </c>
      <c r="C14" s="2">
        <f>'ابدأ هنا'!C45</f>
        <v>0</v>
      </c>
    </row>
    <row r="15" spans="1:9">
      <c r="B15" s="1" t="s">
        <v>15</v>
      </c>
      <c r="C15" s="28">
        <f>العقد!F2*0.1</f>
        <v>5718887.1799999997</v>
      </c>
    </row>
    <row r="16" spans="1:9">
      <c r="B16" s="1" t="s">
        <v>211</v>
      </c>
      <c r="C16" s="2">
        <f>COUNTIF(المطالبات!O3:O38,"معتمدة")</f>
        <v>21</v>
      </c>
      <c r="I16" s="64"/>
    </row>
    <row r="17" spans="2:5">
      <c r="B17" s="1" t="s">
        <v>212</v>
      </c>
      <c r="C17" s="28">
        <f>SUMPRODUCT((المطالبات!O3:O38="معتمدة")*(المطالبات!M3:M38))</f>
        <v>65105699.053001389</v>
      </c>
    </row>
    <row r="18" spans="2:5">
      <c r="B18" s="1" t="s">
        <v>213</v>
      </c>
      <c r="C18" s="29">
        <f>'الملخص التراكمي'!I389</f>
        <v>0</v>
      </c>
    </row>
    <row r="21" spans="2:5" ht="15.6">
      <c r="B21" s="111" t="s">
        <v>214</v>
      </c>
      <c r="C21" s="82"/>
      <c r="D21" s="82"/>
      <c r="E21" s="82"/>
    </row>
    <row r="22" spans="2:5">
      <c r="B22" s="31" t="s">
        <v>215</v>
      </c>
      <c r="C22" s="31" t="s">
        <v>216</v>
      </c>
      <c r="D22" s="31" t="s">
        <v>126</v>
      </c>
      <c r="E22" s="31" t="s">
        <v>217</v>
      </c>
    </row>
    <row r="23" spans="2:5">
      <c r="B23" s="35" t="s">
        <v>218</v>
      </c>
      <c r="C23">
        <f>'أوامر التغيير'!B4</f>
        <v>9.2184907911311207</v>
      </c>
      <c r="D23" s="36" t="str">
        <f>IF(C23&lt;10, "✅", "❌")</f>
        <v>✅</v>
      </c>
      <c r="E23" s="37" t="s">
        <v>219</v>
      </c>
    </row>
    <row r="24" spans="2:5">
      <c r="B24" s="35" t="s">
        <v>211</v>
      </c>
      <c r="C24">
        <f>COUNTIF(المطالبات!O3:O38,"معتمدة")</f>
        <v>21</v>
      </c>
      <c r="D24" s="36" t="str">
        <f>IF(C24&gt;=0, "✅", "❌")</f>
        <v>✅</v>
      </c>
      <c r="E24" s="37" t="s">
        <v>220</v>
      </c>
    </row>
    <row r="25" spans="2:5">
      <c r="B25" s="35" t="s">
        <v>221</v>
      </c>
      <c r="C25">
        <f>COUNTA('سجل الحركة'!B4:B203)</f>
        <v>0</v>
      </c>
      <c r="D25" s="36" t="str">
        <f>IF(C25&gt;=0, "✅", "❌")</f>
        <v>✅</v>
      </c>
      <c r="E25" s="37" t="s">
        <v>222</v>
      </c>
    </row>
    <row r="26" spans="2:5">
      <c r="B26" s="35" t="s">
        <v>223</v>
      </c>
      <c r="C26">
        <f>COUNTIF(المستخدمون!F2:F27,"&lt;&gt;نموذج")-COUNTBLANK(المستخدمون!A2:A27)</f>
        <v>6</v>
      </c>
      <c r="D26" s="36" t="str">
        <f>IF(C26&gt;=1, "✅", "❌")</f>
        <v>✅</v>
      </c>
      <c r="E26" s="37" t="s">
        <v>224</v>
      </c>
    </row>
    <row r="27" spans="2:5">
      <c r="B27" s="35" t="s">
        <v>225</v>
      </c>
      <c r="C27">
        <f>ROUND(E9,1)</f>
        <v>100</v>
      </c>
      <c r="D27" s="36" t="str">
        <f>IF(C27&gt;=70, "✅", "❌")</f>
        <v>✅</v>
      </c>
      <c r="E27" s="37" t="s">
        <v>226</v>
      </c>
    </row>
    <row r="28" spans="2:5">
      <c r="B28" s="35" t="s">
        <v>227</v>
      </c>
      <c r="C28">
        <f>SUMPRODUCT(('سجل المرفقات'!$E$4:$E$233="إجباري")*('سجل المرفقات'!$H$4:$H$233="موجود"))</f>
        <v>0</v>
      </c>
      <c r="D28" s="36" t="str">
        <f>IF(SUMPRODUCT(('سجل المرفقات'!$E$4:$E$233="إجباري")*('سجل المرفقات'!$H$4:$H$233="مفقود"))=0, "✅", "❌")</f>
        <v>✅</v>
      </c>
      <c r="E28" s="37" t="s">
        <v>228</v>
      </c>
    </row>
    <row r="29" spans="2:5" ht="15.6">
      <c r="B29" s="30" t="s">
        <v>229</v>
      </c>
      <c r="D29" s="38" t="str">
        <f>IF(COUNTIF(D23:D28,"❌")=0, "🟢 جاهز للترحيل", "🔴 غير جاهز")</f>
        <v>🟢 جاهز للترحيل</v>
      </c>
    </row>
    <row r="30" spans="2:5" ht="15.6">
      <c r="B30" s="30" t="s">
        <v>229</v>
      </c>
      <c r="D30" s="38" t="str">
        <f>IF(COUNTIF(D23:D28,"❌")=0, "🟢 جاهز للترحيل", "🔴 غير جاهز")</f>
        <v>🟢 جاهز للترحيل</v>
      </c>
    </row>
  </sheetData>
  <mergeCells count="3">
    <mergeCell ref="B12:E12"/>
    <mergeCell ref="A1:F1"/>
    <mergeCell ref="B21:E21"/>
  </mergeCells>
  <conditionalFormatting sqref="D29">
    <cfRule type="expression" dxfId="4" priority="1">
      <formula>COUNTIF(D23:D28,"❌")=0</formula>
    </cfRule>
    <cfRule type="expression" dxfId="3" priority="2">
      <formula>COUNTIF(D23:D28,"❌")&gt;0</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03"/>
  <sheetViews>
    <sheetView rightToLeft="1" workbookViewId="0">
      <pane ySplit="2" topLeftCell="A3" activePane="bottomLeft" state="frozen"/>
      <selection pane="bottomLeft" sqref="A1:J1"/>
    </sheetView>
  </sheetViews>
  <sheetFormatPr defaultRowHeight="13.8"/>
  <cols>
    <col min="1" max="1" width="6" customWidth="1"/>
    <col min="2" max="2" width="16" customWidth="1"/>
    <col min="3" max="3" width="20" customWidth="1"/>
    <col min="4" max="4" width="28" customWidth="1"/>
    <col min="5" max="5" width="18" customWidth="1"/>
    <col min="6" max="6" width="14" customWidth="1"/>
    <col min="7" max="8" width="22" customWidth="1"/>
    <col min="9" max="9" width="40" customWidth="1"/>
    <col min="10" max="10" width="22" customWidth="1"/>
  </cols>
  <sheetData>
    <row r="1" spans="1:10" ht="28.2" customHeight="1">
      <c r="A1" s="110" t="s">
        <v>230</v>
      </c>
      <c r="B1" s="82"/>
      <c r="C1" s="82"/>
      <c r="D1" s="82"/>
      <c r="E1" s="82"/>
      <c r="F1" s="82"/>
      <c r="G1" s="82"/>
      <c r="H1" s="82"/>
      <c r="I1" s="82"/>
      <c r="J1" s="82"/>
    </row>
    <row r="2" spans="1:10">
      <c r="A2" s="31" t="s">
        <v>113</v>
      </c>
      <c r="B2" s="31" t="s">
        <v>136</v>
      </c>
      <c r="C2" s="31" t="s">
        <v>231</v>
      </c>
      <c r="D2" s="31" t="s">
        <v>232</v>
      </c>
      <c r="E2" s="31" t="s">
        <v>233</v>
      </c>
      <c r="F2" s="31" t="s">
        <v>234</v>
      </c>
      <c r="G2" s="31" t="s">
        <v>235</v>
      </c>
      <c r="H2" s="31" t="s">
        <v>236</v>
      </c>
      <c r="I2" s="31" t="s">
        <v>237</v>
      </c>
      <c r="J2" s="31" t="s">
        <v>164</v>
      </c>
    </row>
    <row r="3" spans="1:10">
      <c r="A3" s="34">
        <v>1</v>
      </c>
      <c r="B3" s="34">
        <v>1</v>
      </c>
      <c r="C3" s="34" t="s">
        <v>238</v>
      </c>
      <c r="D3" s="34" t="s">
        <v>182</v>
      </c>
      <c r="E3" s="34" t="s">
        <v>183</v>
      </c>
      <c r="F3" s="34" t="s">
        <v>239</v>
      </c>
      <c r="G3" s="34" t="s">
        <v>240</v>
      </c>
      <c r="H3" s="34" t="s">
        <v>134</v>
      </c>
      <c r="I3" s="34" t="s">
        <v>241</v>
      </c>
      <c r="J3" s="34" t="s">
        <v>242</v>
      </c>
    </row>
    <row r="4" spans="1:10">
      <c r="A4">
        <v>1</v>
      </c>
      <c r="J4" t="str">
        <f t="shared" ref="J4:J35" si="0">IF(B4&lt;&gt;"", "CMH_01-WF-" &amp; TEXT(A4, "000"), "")</f>
        <v/>
      </c>
    </row>
    <row r="5" spans="1:10">
      <c r="A5">
        <v>2</v>
      </c>
      <c r="J5" t="str">
        <f t="shared" si="0"/>
        <v/>
      </c>
    </row>
    <row r="6" spans="1:10">
      <c r="A6">
        <v>3</v>
      </c>
      <c r="J6" t="str">
        <f t="shared" si="0"/>
        <v/>
      </c>
    </row>
    <row r="7" spans="1:10">
      <c r="A7">
        <v>4</v>
      </c>
      <c r="J7" t="str">
        <f t="shared" si="0"/>
        <v/>
      </c>
    </row>
    <row r="8" spans="1:10">
      <c r="A8">
        <v>5</v>
      </c>
      <c r="J8" t="str">
        <f t="shared" si="0"/>
        <v/>
      </c>
    </row>
    <row r="9" spans="1:10">
      <c r="A9">
        <v>6</v>
      </c>
      <c r="J9" t="str">
        <f t="shared" si="0"/>
        <v/>
      </c>
    </row>
    <row r="10" spans="1:10">
      <c r="A10">
        <v>7</v>
      </c>
      <c r="J10" t="str">
        <f t="shared" si="0"/>
        <v/>
      </c>
    </row>
    <row r="11" spans="1:10">
      <c r="A11">
        <v>8</v>
      </c>
      <c r="J11" t="str">
        <f t="shared" si="0"/>
        <v/>
      </c>
    </row>
    <row r="12" spans="1:10">
      <c r="A12">
        <v>9</v>
      </c>
      <c r="J12" t="str">
        <f t="shared" si="0"/>
        <v/>
      </c>
    </row>
    <row r="13" spans="1:10">
      <c r="A13">
        <v>10</v>
      </c>
      <c r="J13" t="str">
        <f t="shared" si="0"/>
        <v/>
      </c>
    </row>
    <row r="14" spans="1:10">
      <c r="A14">
        <v>11</v>
      </c>
      <c r="J14" t="str">
        <f t="shared" si="0"/>
        <v/>
      </c>
    </row>
    <row r="15" spans="1:10">
      <c r="A15">
        <v>12</v>
      </c>
      <c r="J15" t="str">
        <f t="shared" si="0"/>
        <v/>
      </c>
    </row>
    <row r="16" spans="1:10">
      <c r="A16">
        <v>13</v>
      </c>
      <c r="J16" t="str">
        <f t="shared" si="0"/>
        <v/>
      </c>
    </row>
    <row r="17" spans="1:10">
      <c r="A17">
        <v>14</v>
      </c>
      <c r="J17" t="str">
        <f t="shared" si="0"/>
        <v/>
      </c>
    </row>
    <row r="18" spans="1:10">
      <c r="A18">
        <v>15</v>
      </c>
      <c r="J18" t="str">
        <f t="shared" si="0"/>
        <v/>
      </c>
    </row>
    <row r="19" spans="1:10">
      <c r="A19">
        <v>16</v>
      </c>
      <c r="J19" t="str">
        <f t="shared" si="0"/>
        <v/>
      </c>
    </row>
    <row r="20" spans="1:10">
      <c r="A20">
        <v>17</v>
      </c>
      <c r="J20" t="str">
        <f t="shared" si="0"/>
        <v/>
      </c>
    </row>
    <row r="21" spans="1:10">
      <c r="A21">
        <v>18</v>
      </c>
      <c r="J21" t="str">
        <f t="shared" si="0"/>
        <v/>
      </c>
    </row>
    <row r="22" spans="1:10">
      <c r="A22">
        <v>19</v>
      </c>
      <c r="J22" t="str">
        <f t="shared" si="0"/>
        <v/>
      </c>
    </row>
    <row r="23" spans="1:10">
      <c r="A23">
        <v>20</v>
      </c>
      <c r="J23" t="str">
        <f t="shared" si="0"/>
        <v/>
      </c>
    </row>
    <row r="24" spans="1:10">
      <c r="A24">
        <v>21</v>
      </c>
      <c r="J24" t="str">
        <f t="shared" si="0"/>
        <v/>
      </c>
    </row>
    <row r="25" spans="1:10">
      <c r="A25">
        <v>22</v>
      </c>
      <c r="J25" t="str">
        <f t="shared" si="0"/>
        <v/>
      </c>
    </row>
    <row r="26" spans="1:10">
      <c r="A26">
        <v>23</v>
      </c>
      <c r="J26" t="str">
        <f t="shared" si="0"/>
        <v/>
      </c>
    </row>
    <row r="27" spans="1:10">
      <c r="A27">
        <v>24</v>
      </c>
      <c r="J27" t="str">
        <f t="shared" si="0"/>
        <v/>
      </c>
    </row>
    <row r="28" spans="1:10">
      <c r="A28">
        <v>25</v>
      </c>
      <c r="J28" t="str">
        <f t="shared" si="0"/>
        <v/>
      </c>
    </row>
    <row r="29" spans="1:10">
      <c r="A29">
        <v>26</v>
      </c>
      <c r="J29" t="str">
        <f t="shared" si="0"/>
        <v/>
      </c>
    </row>
    <row r="30" spans="1:10">
      <c r="A30">
        <v>27</v>
      </c>
      <c r="J30" t="str">
        <f t="shared" si="0"/>
        <v/>
      </c>
    </row>
    <row r="31" spans="1:10">
      <c r="A31">
        <v>28</v>
      </c>
      <c r="J31" t="str">
        <f t="shared" si="0"/>
        <v/>
      </c>
    </row>
    <row r="32" spans="1:10">
      <c r="A32">
        <v>29</v>
      </c>
      <c r="J32" t="str">
        <f t="shared" si="0"/>
        <v/>
      </c>
    </row>
    <row r="33" spans="1:10">
      <c r="A33">
        <v>30</v>
      </c>
      <c r="J33" t="str">
        <f t="shared" si="0"/>
        <v/>
      </c>
    </row>
    <row r="34" spans="1:10">
      <c r="A34">
        <v>31</v>
      </c>
      <c r="J34" t="str">
        <f t="shared" si="0"/>
        <v/>
      </c>
    </row>
    <row r="35" spans="1:10">
      <c r="A35">
        <v>32</v>
      </c>
      <c r="J35" t="str">
        <f t="shared" si="0"/>
        <v/>
      </c>
    </row>
    <row r="36" spans="1:10">
      <c r="A36">
        <v>33</v>
      </c>
      <c r="J36" t="str">
        <f t="shared" ref="J36:J67" si="1">IF(B36&lt;&gt;"", "CMH_01-WF-" &amp; TEXT(A36, "000"), "")</f>
        <v/>
      </c>
    </row>
    <row r="37" spans="1:10">
      <c r="A37">
        <v>34</v>
      </c>
      <c r="J37" t="str">
        <f t="shared" si="1"/>
        <v/>
      </c>
    </row>
    <row r="38" spans="1:10">
      <c r="A38">
        <v>35</v>
      </c>
      <c r="J38" t="str">
        <f t="shared" si="1"/>
        <v/>
      </c>
    </row>
    <row r="39" spans="1:10">
      <c r="A39">
        <v>36</v>
      </c>
      <c r="J39" t="str">
        <f t="shared" si="1"/>
        <v/>
      </c>
    </row>
    <row r="40" spans="1:10">
      <c r="A40">
        <v>37</v>
      </c>
      <c r="J40" t="str">
        <f t="shared" si="1"/>
        <v/>
      </c>
    </row>
    <row r="41" spans="1:10">
      <c r="A41">
        <v>38</v>
      </c>
      <c r="J41" t="str">
        <f t="shared" si="1"/>
        <v/>
      </c>
    </row>
    <row r="42" spans="1:10">
      <c r="A42">
        <v>39</v>
      </c>
      <c r="J42" t="str">
        <f t="shared" si="1"/>
        <v/>
      </c>
    </row>
    <row r="43" spans="1:10">
      <c r="A43">
        <v>40</v>
      </c>
      <c r="J43" t="str">
        <f t="shared" si="1"/>
        <v/>
      </c>
    </row>
    <row r="44" spans="1:10">
      <c r="A44">
        <v>41</v>
      </c>
      <c r="J44" t="str">
        <f t="shared" si="1"/>
        <v/>
      </c>
    </row>
    <row r="45" spans="1:10">
      <c r="A45">
        <v>42</v>
      </c>
      <c r="J45" t="str">
        <f t="shared" si="1"/>
        <v/>
      </c>
    </row>
    <row r="46" spans="1:10">
      <c r="A46">
        <v>43</v>
      </c>
      <c r="J46" t="str">
        <f t="shared" si="1"/>
        <v/>
      </c>
    </row>
    <row r="47" spans="1:10">
      <c r="A47">
        <v>44</v>
      </c>
      <c r="J47" t="str">
        <f t="shared" si="1"/>
        <v/>
      </c>
    </row>
    <row r="48" spans="1:10">
      <c r="A48">
        <v>45</v>
      </c>
      <c r="J48" t="str">
        <f t="shared" si="1"/>
        <v/>
      </c>
    </row>
    <row r="49" spans="1:10">
      <c r="A49">
        <v>46</v>
      </c>
      <c r="J49" t="str">
        <f t="shared" si="1"/>
        <v/>
      </c>
    </row>
    <row r="50" spans="1:10">
      <c r="A50">
        <v>47</v>
      </c>
      <c r="J50" t="str">
        <f t="shared" si="1"/>
        <v/>
      </c>
    </row>
    <row r="51" spans="1:10">
      <c r="A51">
        <v>48</v>
      </c>
      <c r="J51" t="str">
        <f t="shared" si="1"/>
        <v/>
      </c>
    </row>
    <row r="52" spans="1:10">
      <c r="A52">
        <v>49</v>
      </c>
      <c r="J52" t="str">
        <f t="shared" si="1"/>
        <v/>
      </c>
    </row>
    <row r="53" spans="1:10">
      <c r="A53">
        <v>50</v>
      </c>
      <c r="J53" t="str">
        <f t="shared" si="1"/>
        <v/>
      </c>
    </row>
    <row r="54" spans="1:10">
      <c r="A54">
        <v>51</v>
      </c>
      <c r="J54" t="str">
        <f t="shared" si="1"/>
        <v/>
      </c>
    </row>
    <row r="55" spans="1:10">
      <c r="A55">
        <v>52</v>
      </c>
      <c r="J55" t="str">
        <f t="shared" si="1"/>
        <v/>
      </c>
    </row>
    <row r="56" spans="1:10">
      <c r="A56">
        <v>53</v>
      </c>
      <c r="J56" t="str">
        <f t="shared" si="1"/>
        <v/>
      </c>
    </row>
    <row r="57" spans="1:10">
      <c r="A57">
        <v>54</v>
      </c>
      <c r="J57" t="str">
        <f t="shared" si="1"/>
        <v/>
      </c>
    </row>
    <row r="58" spans="1:10">
      <c r="A58">
        <v>55</v>
      </c>
      <c r="J58" t="str">
        <f t="shared" si="1"/>
        <v/>
      </c>
    </row>
    <row r="59" spans="1:10">
      <c r="A59">
        <v>56</v>
      </c>
      <c r="J59" t="str">
        <f t="shared" si="1"/>
        <v/>
      </c>
    </row>
    <row r="60" spans="1:10">
      <c r="A60">
        <v>57</v>
      </c>
      <c r="J60" t="str">
        <f t="shared" si="1"/>
        <v/>
      </c>
    </row>
    <row r="61" spans="1:10">
      <c r="A61">
        <v>58</v>
      </c>
      <c r="J61" t="str">
        <f t="shared" si="1"/>
        <v/>
      </c>
    </row>
    <row r="62" spans="1:10">
      <c r="A62">
        <v>59</v>
      </c>
      <c r="J62" t="str">
        <f t="shared" si="1"/>
        <v/>
      </c>
    </row>
    <row r="63" spans="1:10">
      <c r="A63">
        <v>60</v>
      </c>
      <c r="J63" t="str">
        <f t="shared" si="1"/>
        <v/>
      </c>
    </row>
    <row r="64" spans="1:10">
      <c r="A64">
        <v>61</v>
      </c>
      <c r="J64" t="str">
        <f t="shared" si="1"/>
        <v/>
      </c>
    </row>
    <row r="65" spans="1:10">
      <c r="A65">
        <v>62</v>
      </c>
      <c r="J65" t="str">
        <f t="shared" si="1"/>
        <v/>
      </c>
    </row>
    <row r="66" spans="1:10">
      <c r="A66">
        <v>63</v>
      </c>
      <c r="J66" t="str">
        <f t="shared" si="1"/>
        <v/>
      </c>
    </row>
    <row r="67" spans="1:10">
      <c r="A67">
        <v>64</v>
      </c>
      <c r="J67" t="str">
        <f t="shared" si="1"/>
        <v/>
      </c>
    </row>
    <row r="68" spans="1:10">
      <c r="A68">
        <v>65</v>
      </c>
      <c r="J68" t="str">
        <f t="shared" ref="J68:J99" si="2">IF(B68&lt;&gt;"", "CMH_01-WF-" &amp; TEXT(A68, "000"), "")</f>
        <v/>
      </c>
    </row>
    <row r="69" spans="1:10">
      <c r="A69">
        <v>66</v>
      </c>
      <c r="J69" t="str">
        <f t="shared" si="2"/>
        <v/>
      </c>
    </row>
    <row r="70" spans="1:10">
      <c r="A70">
        <v>67</v>
      </c>
      <c r="J70" t="str">
        <f t="shared" si="2"/>
        <v/>
      </c>
    </row>
    <row r="71" spans="1:10">
      <c r="A71">
        <v>68</v>
      </c>
      <c r="J71" t="str">
        <f t="shared" si="2"/>
        <v/>
      </c>
    </row>
    <row r="72" spans="1:10">
      <c r="A72">
        <v>69</v>
      </c>
      <c r="J72" t="str">
        <f t="shared" si="2"/>
        <v/>
      </c>
    </row>
    <row r="73" spans="1:10">
      <c r="A73">
        <v>70</v>
      </c>
      <c r="J73" t="str">
        <f t="shared" si="2"/>
        <v/>
      </c>
    </row>
    <row r="74" spans="1:10">
      <c r="A74">
        <v>71</v>
      </c>
      <c r="J74" t="str">
        <f t="shared" si="2"/>
        <v/>
      </c>
    </row>
    <row r="75" spans="1:10">
      <c r="A75">
        <v>72</v>
      </c>
      <c r="J75" t="str">
        <f t="shared" si="2"/>
        <v/>
      </c>
    </row>
    <row r="76" spans="1:10">
      <c r="A76">
        <v>73</v>
      </c>
      <c r="J76" t="str">
        <f t="shared" si="2"/>
        <v/>
      </c>
    </row>
    <row r="77" spans="1:10">
      <c r="A77">
        <v>74</v>
      </c>
      <c r="J77" t="str">
        <f t="shared" si="2"/>
        <v/>
      </c>
    </row>
    <row r="78" spans="1:10">
      <c r="A78">
        <v>75</v>
      </c>
      <c r="J78" t="str">
        <f t="shared" si="2"/>
        <v/>
      </c>
    </row>
    <row r="79" spans="1:10">
      <c r="A79">
        <v>76</v>
      </c>
      <c r="J79" t="str">
        <f t="shared" si="2"/>
        <v/>
      </c>
    </row>
    <row r="80" spans="1:10">
      <c r="A80">
        <v>77</v>
      </c>
      <c r="J80" t="str">
        <f t="shared" si="2"/>
        <v/>
      </c>
    </row>
    <row r="81" spans="1:10">
      <c r="A81">
        <v>78</v>
      </c>
      <c r="J81" t="str">
        <f t="shared" si="2"/>
        <v/>
      </c>
    </row>
    <row r="82" spans="1:10">
      <c r="A82">
        <v>79</v>
      </c>
      <c r="J82" t="str">
        <f t="shared" si="2"/>
        <v/>
      </c>
    </row>
    <row r="83" spans="1:10">
      <c r="A83">
        <v>80</v>
      </c>
      <c r="J83" t="str">
        <f t="shared" si="2"/>
        <v/>
      </c>
    </row>
    <row r="84" spans="1:10">
      <c r="A84">
        <v>81</v>
      </c>
      <c r="J84" t="str">
        <f t="shared" si="2"/>
        <v/>
      </c>
    </row>
    <row r="85" spans="1:10">
      <c r="A85">
        <v>82</v>
      </c>
      <c r="J85" t="str">
        <f t="shared" si="2"/>
        <v/>
      </c>
    </row>
    <row r="86" spans="1:10">
      <c r="A86">
        <v>83</v>
      </c>
      <c r="J86" t="str">
        <f t="shared" si="2"/>
        <v/>
      </c>
    </row>
    <row r="87" spans="1:10">
      <c r="A87">
        <v>84</v>
      </c>
      <c r="J87" t="str">
        <f t="shared" si="2"/>
        <v/>
      </c>
    </row>
    <row r="88" spans="1:10">
      <c r="A88">
        <v>85</v>
      </c>
      <c r="J88" t="str">
        <f t="shared" si="2"/>
        <v/>
      </c>
    </row>
    <row r="89" spans="1:10">
      <c r="A89">
        <v>86</v>
      </c>
      <c r="J89" t="str">
        <f t="shared" si="2"/>
        <v/>
      </c>
    </row>
    <row r="90" spans="1:10">
      <c r="A90">
        <v>87</v>
      </c>
      <c r="J90" t="str">
        <f t="shared" si="2"/>
        <v/>
      </c>
    </row>
    <row r="91" spans="1:10">
      <c r="A91">
        <v>88</v>
      </c>
      <c r="J91" t="str">
        <f t="shared" si="2"/>
        <v/>
      </c>
    </row>
    <row r="92" spans="1:10">
      <c r="A92">
        <v>89</v>
      </c>
      <c r="J92" t="str">
        <f t="shared" si="2"/>
        <v/>
      </c>
    </row>
    <row r="93" spans="1:10">
      <c r="A93">
        <v>90</v>
      </c>
      <c r="J93" t="str">
        <f t="shared" si="2"/>
        <v/>
      </c>
    </row>
    <row r="94" spans="1:10">
      <c r="A94">
        <v>91</v>
      </c>
      <c r="J94" t="str">
        <f t="shared" si="2"/>
        <v/>
      </c>
    </row>
    <row r="95" spans="1:10">
      <c r="A95">
        <v>92</v>
      </c>
      <c r="J95" t="str">
        <f t="shared" si="2"/>
        <v/>
      </c>
    </row>
    <row r="96" spans="1:10">
      <c r="A96">
        <v>93</v>
      </c>
      <c r="J96" t="str">
        <f t="shared" si="2"/>
        <v/>
      </c>
    </row>
    <row r="97" spans="1:10">
      <c r="A97">
        <v>94</v>
      </c>
      <c r="J97" t="str">
        <f t="shared" si="2"/>
        <v/>
      </c>
    </row>
    <row r="98" spans="1:10">
      <c r="A98">
        <v>95</v>
      </c>
      <c r="J98" t="str">
        <f t="shared" si="2"/>
        <v/>
      </c>
    </row>
    <row r="99" spans="1:10">
      <c r="A99">
        <v>96</v>
      </c>
      <c r="J99" t="str">
        <f t="shared" si="2"/>
        <v/>
      </c>
    </row>
    <row r="100" spans="1:10">
      <c r="A100">
        <v>97</v>
      </c>
      <c r="J100" t="str">
        <f t="shared" ref="J100:J131" si="3">IF(B100&lt;&gt;"", "CMH_01-WF-" &amp; TEXT(A100, "000"), "")</f>
        <v/>
      </c>
    </row>
    <row r="101" spans="1:10">
      <c r="A101">
        <v>98</v>
      </c>
      <c r="J101" t="str">
        <f t="shared" si="3"/>
        <v/>
      </c>
    </row>
    <row r="102" spans="1:10">
      <c r="A102">
        <v>99</v>
      </c>
      <c r="J102" t="str">
        <f t="shared" si="3"/>
        <v/>
      </c>
    </row>
    <row r="103" spans="1:10">
      <c r="A103">
        <v>100</v>
      </c>
      <c r="J103" t="str">
        <f t="shared" si="3"/>
        <v/>
      </c>
    </row>
    <row r="104" spans="1:10">
      <c r="A104">
        <v>101</v>
      </c>
      <c r="J104" t="str">
        <f t="shared" si="3"/>
        <v/>
      </c>
    </row>
    <row r="105" spans="1:10">
      <c r="A105">
        <v>102</v>
      </c>
      <c r="J105" t="str">
        <f t="shared" si="3"/>
        <v/>
      </c>
    </row>
    <row r="106" spans="1:10">
      <c r="A106">
        <v>103</v>
      </c>
      <c r="J106" t="str">
        <f t="shared" si="3"/>
        <v/>
      </c>
    </row>
    <row r="107" spans="1:10">
      <c r="A107">
        <v>104</v>
      </c>
      <c r="J107" t="str">
        <f t="shared" si="3"/>
        <v/>
      </c>
    </row>
    <row r="108" spans="1:10">
      <c r="A108">
        <v>105</v>
      </c>
      <c r="J108" t="str">
        <f t="shared" si="3"/>
        <v/>
      </c>
    </row>
    <row r="109" spans="1:10">
      <c r="A109">
        <v>106</v>
      </c>
      <c r="J109" t="str">
        <f t="shared" si="3"/>
        <v/>
      </c>
    </row>
    <row r="110" spans="1:10">
      <c r="A110">
        <v>107</v>
      </c>
      <c r="J110" t="str">
        <f t="shared" si="3"/>
        <v/>
      </c>
    </row>
    <row r="111" spans="1:10">
      <c r="A111">
        <v>108</v>
      </c>
      <c r="J111" t="str">
        <f t="shared" si="3"/>
        <v/>
      </c>
    </row>
    <row r="112" spans="1:10">
      <c r="A112">
        <v>109</v>
      </c>
      <c r="J112" t="str">
        <f t="shared" si="3"/>
        <v/>
      </c>
    </row>
    <row r="113" spans="1:10">
      <c r="A113">
        <v>110</v>
      </c>
      <c r="J113" t="str">
        <f t="shared" si="3"/>
        <v/>
      </c>
    </row>
    <row r="114" spans="1:10">
      <c r="A114">
        <v>111</v>
      </c>
      <c r="J114" t="str">
        <f t="shared" si="3"/>
        <v/>
      </c>
    </row>
    <row r="115" spans="1:10">
      <c r="A115">
        <v>112</v>
      </c>
      <c r="J115" t="str">
        <f t="shared" si="3"/>
        <v/>
      </c>
    </row>
    <row r="116" spans="1:10">
      <c r="A116">
        <v>113</v>
      </c>
      <c r="J116" t="str">
        <f t="shared" si="3"/>
        <v/>
      </c>
    </row>
    <row r="117" spans="1:10">
      <c r="A117">
        <v>114</v>
      </c>
      <c r="J117" t="str">
        <f t="shared" si="3"/>
        <v/>
      </c>
    </row>
    <row r="118" spans="1:10">
      <c r="A118">
        <v>115</v>
      </c>
      <c r="J118" t="str">
        <f t="shared" si="3"/>
        <v/>
      </c>
    </row>
    <row r="119" spans="1:10">
      <c r="A119">
        <v>116</v>
      </c>
      <c r="J119" t="str">
        <f t="shared" si="3"/>
        <v/>
      </c>
    </row>
    <row r="120" spans="1:10">
      <c r="A120">
        <v>117</v>
      </c>
      <c r="J120" t="str">
        <f t="shared" si="3"/>
        <v/>
      </c>
    </row>
    <row r="121" spans="1:10">
      <c r="A121">
        <v>118</v>
      </c>
      <c r="J121" t="str">
        <f t="shared" si="3"/>
        <v/>
      </c>
    </row>
    <row r="122" spans="1:10">
      <c r="A122">
        <v>119</v>
      </c>
      <c r="J122" t="str">
        <f t="shared" si="3"/>
        <v/>
      </c>
    </row>
    <row r="123" spans="1:10">
      <c r="A123">
        <v>120</v>
      </c>
      <c r="J123" t="str">
        <f t="shared" si="3"/>
        <v/>
      </c>
    </row>
    <row r="124" spans="1:10">
      <c r="A124">
        <v>121</v>
      </c>
      <c r="J124" t="str">
        <f t="shared" si="3"/>
        <v/>
      </c>
    </row>
    <row r="125" spans="1:10">
      <c r="A125">
        <v>122</v>
      </c>
      <c r="J125" t="str">
        <f t="shared" si="3"/>
        <v/>
      </c>
    </row>
    <row r="126" spans="1:10">
      <c r="A126">
        <v>123</v>
      </c>
      <c r="J126" t="str">
        <f t="shared" si="3"/>
        <v/>
      </c>
    </row>
    <row r="127" spans="1:10">
      <c r="A127">
        <v>124</v>
      </c>
      <c r="J127" t="str">
        <f t="shared" si="3"/>
        <v/>
      </c>
    </row>
    <row r="128" spans="1:10">
      <c r="A128">
        <v>125</v>
      </c>
      <c r="J128" t="str">
        <f t="shared" si="3"/>
        <v/>
      </c>
    </row>
    <row r="129" spans="1:10">
      <c r="A129">
        <v>126</v>
      </c>
      <c r="J129" t="str">
        <f t="shared" si="3"/>
        <v/>
      </c>
    </row>
    <row r="130" spans="1:10">
      <c r="A130">
        <v>127</v>
      </c>
      <c r="J130" t="str">
        <f t="shared" si="3"/>
        <v/>
      </c>
    </row>
    <row r="131" spans="1:10">
      <c r="A131">
        <v>128</v>
      </c>
      <c r="J131" t="str">
        <f t="shared" si="3"/>
        <v/>
      </c>
    </row>
    <row r="132" spans="1:10">
      <c r="A132">
        <v>129</v>
      </c>
      <c r="J132" t="str">
        <f t="shared" ref="J132:J163" si="4">IF(B132&lt;&gt;"", "CMH_01-WF-" &amp; TEXT(A132, "000"), "")</f>
        <v/>
      </c>
    </row>
    <row r="133" spans="1:10">
      <c r="A133">
        <v>130</v>
      </c>
      <c r="J133" t="str">
        <f t="shared" si="4"/>
        <v/>
      </c>
    </row>
    <row r="134" spans="1:10">
      <c r="A134">
        <v>131</v>
      </c>
      <c r="J134" t="str">
        <f t="shared" si="4"/>
        <v/>
      </c>
    </row>
    <row r="135" spans="1:10">
      <c r="A135">
        <v>132</v>
      </c>
      <c r="J135" t="str">
        <f t="shared" si="4"/>
        <v/>
      </c>
    </row>
    <row r="136" spans="1:10">
      <c r="A136">
        <v>133</v>
      </c>
      <c r="J136" t="str">
        <f t="shared" si="4"/>
        <v/>
      </c>
    </row>
    <row r="137" spans="1:10">
      <c r="A137">
        <v>134</v>
      </c>
      <c r="J137" t="str">
        <f t="shared" si="4"/>
        <v/>
      </c>
    </row>
    <row r="138" spans="1:10">
      <c r="A138">
        <v>135</v>
      </c>
      <c r="J138" t="str">
        <f t="shared" si="4"/>
        <v/>
      </c>
    </row>
    <row r="139" spans="1:10">
      <c r="A139">
        <v>136</v>
      </c>
      <c r="J139" t="str">
        <f t="shared" si="4"/>
        <v/>
      </c>
    </row>
    <row r="140" spans="1:10">
      <c r="A140">
        <v>137</v>
      </c>
      <c r="J140" t="str">
        <f t="shared" si="4"/>
        <v/>
      </c>
    </row>
    <row r="141" spans="1:10">
      <c r="A141">
        <v>138</v>
      </c>
      <c r="J141" t="str">
        <f t="shared" si="4"/>
        <v/>
      </c>
    </row>
    <row r="142" spans="1:10">
      <c r="A142">
        <v>139</v>
      </c>
      <c r="J142" t="str">
        <f t="shared" si="4"/>
        <v/>
      </c>
    </row>
    <row r="143" spans="1:10">
      <c r="A143">
        <v>140</v>
      </c>
      <c r="J143" t="str">
        <f t="shared" si="4"/>
        <v/>
      </c>
    </row>
    <row r="144" spans="1:10">
      <c r="A144">
        <v>141</v>
      </c>
      <c r="J144" t="str">
        <f t="shared" si="4"/>
        <v/>
      </c>
    </row>
    <row r="145" spans="1:10">
      <c r="A145">
        <v>142</v>
      </c>
      <c r="J145" t="str">
        <f t="shared" si="4"/>
        <v/>
      </c>
    </row>
    <row r="146" spans="1:10">
      <c r="A146">
        <v>143</v>
      </c>
      <c r="J146" t="str">
        <f t="shared" si="4"/>
        <v/>
      </c>
    </row>
    <row r="147" spans="1:10">
      <c r="A147">
        <v>144</v>
      </c>
      <c r="J147" t="str">
        <f t="shared" si="4"/>
        <v/>
      </c>
    </row>
    <row r="148" spans="1:10">
      <c r="A148">
        <v>145</v>
      </c>
      <c r="J148" t="str">
        <f t="shared" si="4"/>
        <v/>
      </c>
    </row>
    <row r="149" spans="1:10">
      <c r="A149">
        <v>146</v>
      </c>
      <c r="J149" t="str">
        <f t="shared" si="4"/>
        <v/>
      </c>
    </row>
    <row r="150" spans="1:10">
      <c r="A150">
        <v>147</v>
      </c>
      <c r="J150" t="str">
        <f t="shared" si="4"/>
        <v/>
      </c>
    </row>
    <row r="151" spans="1:10">
      <c r="A151">
        <v>148</v>
      </c>
      <c r="J151" t="str">
        <f t="shared" si="4"/>
        <v/>
      </c>
    </row>
    <row r="152" spans="1:10">
      <c r="A152">
        <v>149</v>
      </c>
      <c r="J152" t="str">
        <f t="shared" si="4"/>
        <v/>
      </c>
    </row>
    <row r="153" spans="1:10">
      <c r="A153">
        <v>150</v>
      </c>
      <c r="J153" t="str">
        <f t="shared" si="4"/>
        <v/>
      </c>
    </row>
    <row r="154" spans="1:10">
      <c r="A154">
        <v>151</v>
      </c>
      <c r="J154" t="str">
        <f t="shared" si="4"/>
        <v/>
      </c>
    </row>
    <row r="155" spans="1:10">
      <c r="A155">
        <v>152</v>
      </c>
      <c r="J155" t="str">
        <f t="shared" si="4"/>
        <v/>
      </c>
    </row>
    <row r="156" spans="1:10">
      <c r="A156">
        <v>153</v>
      </c>
      <c r="J156" t="str">
        <f t="shared" si="4"/>
        <v/>
      </c>
    </row>
    <row r="157" spans="1:10">
      <c r="A157">
        <v>154</v>
      </c>
      <c r="J157" t="str">
        <f t="shared" si="4"/>
        <v/>
      </c>
    </row>
    <row r="158" spans="1:10">
      <c r="A158">
        <v>155</v>
      </c>
      <c r="J158" t="str">
        <f t="shared" si="4"/>
        <v/>
      </c>
    </row>
    <row r="159" spans="1:10">
      <c r="A159">
        <v>156</v>
      </c>
      <c r="J159" t="str">
        <f t="shared" si="4"/>
        <v/>
      </c>
    </row>
    <row r="160" spans="1:10">
      <c r="A160">
        <v>157</v>
      </c>
      <c r="J160" t="str">
        <f t="shared" si="4"/>
        <v/>
      </c>
    </row>
    <row r="161" spans="1:10">
      <c r="A161">
        <v>158</v>
      </c>
      <c r="J161" t="str">
        <f t="shared" si="4"/>
        <v/>
      </c>
    </row>
    <row r="162" spans="1:10">
      <c r="A162">
        <v>159</v>
      </c>
      <c r="J162" t="str">
        <f t="shared" si="4"/>
        <v/>
      </c>
    </row>
    <row r="163" spans="1:10">
      <c r="A163">
        <v>160</v>
      </c>
      <c r="J163" t="str">
        <f t="shared" si="4"/>
        <v/>
      </c>
    </row>
    <row r="164" spans="1:10">
      <c r="A164">
        <v>161</v>
      </c>
      <c r="J164" t="str">
        <f t="shared" ref="J164:J195" si="5">IF(B164&lt;&gt;"", "CMH_01-WF-" &amp; TEXT(A164, "000"), "")</f>
        <v/>
      </c>
    </row>
    <row r="165" spans="1:10">
      <c r="A165">
        <v>162</v>
      </c>
      <c r="J165" t="str">
        <f t="shared" si="5"/>
        <v/>
      </c>
    </row>
    <row r="166" spans="1:10">
      <c r="A166">
        <v>163</v>
      </c>
      <c r="J166" t="str">
        <f t="shared" si="5"/>
        <v/>
      </c>
    </row>
    <row r="167" spans="1:10">
      <c r="A167">
        <v>164</v>
      </c>
      <c r="J167" t="str">
        <f t="shared" si="5"/>
        <v/>
      </c>
    </row>
    <row r="168" spans="1:10">
      <c r="A168">
        <v>165</v>
      </c>
      <c r="J168" t="str">
        <f t="shared" si="5"/>
        <v/>
      </c>
    </row>
    <row r="169" spans="1:10">
      <c r="A169">
        <v>166</v>
      </c>
      <c r="J169" t="str">
        <f t="shared" si="5"/>
        <v/>
      </c>
    </row>
    <row r="170" spans="1:10">
      <c r="A170">
        <v>167</v>
      </c>
      <c r="J170" t="str">
        <f t="shared" si="5"/>
        <v/>
      </c>
    </row>
    <row r="171" spans="1:10">
      <c r="A171">
        <v>168</v>
      </c>
      <c r="J171" t="str">
        <f t="shared" si="5"/>
        <v/>
      </c>
    </row>
    <row r="172" spans="1:10">
      <c r="A172">
        <v>169</v>
      </c>
      <c r="J172" t="str">
        <f t="shared" si="5"/>
        <v/>
      </c>
    </row>
    <row r="173" spans="1:10">
      <c r="A173">
        <v>170</v>
      </c>
      <c r="J173" t="str">
        <f t="shared" si="5"/>
        <v/>
      </c>
    </row>
    <row r="174" spans="1:10">
      <c r="A174">
        <v>171</v>
      </c>
      <c r="J174" t="str">
        <f t="shared" si="5"/>
        <v/>
      </c>
    </row>
    <row r="175" spans="1:10">
      <c r="A175">
        <v>172</v>
      </c>
      <c r="J175" t="str">
        <f t="shared" si="5"/>
        <v/>
      </c>
    </row>
    <row r="176" spans="1:10">
      <c r="A176">
        <v>173</v>
      </c>
      <c r="J176" t="str">
        <f t="shared" si="5"/>
        <v/>
      </c>
    </row>
    <row r="177" spans="1:10">
      <c r="A177">
        <v>174</v>
      </c>
      <c r="J177" t="str">
        <f t="shared" si="5"/>
        <v/>
      </c>
    </row>
    <row r="178" spans="1:10">
      <c r="A178">
        <v>175</v>
      </c>
      <c r="J178" t="str">
        <f t="shared" si="5"/>
        <v/>
      </c>
    </row>
    <row r="179" spans="1:10">
      <c r="A179">
        <v>176</v>
      </c>
      <c r="J179" t="str">
        <f t="shared" si="5"/>
        <v/>
      </c>
    </row>
    <row r="180" spans="1:10">
      <c r="A180">
        <v>177</v>
      </c>
      <c r="J180" t="str">
        <f t="shared" si="5"/>
        <v/>
      </c>
    </row>
    <row r="181" spans="1:10">
      <c r="A181">
        <v>178</v>
      </c>
      <c r="J181" t="str">
        <f t="shared" si="5"/>
        <v/>
      </c>
    </row>
    <row r="182" spans="1:10">
      <c r="A182">
        <v>179</v>
      </c>
      <c r="J182" t="str">
        <f t="shared" si="5"/>
        <v/>
      </c>
    </row>
    <row r="183" spans="1:10">
      <c r="A183">
        <v>180</v>
      </c>
      <c r="J183" t="str">
        <f t="shared" si="5"/>
        <v/>
      </c>
    </row>
    <row r="184" spans="1:10">
      <c r="A184">
        <v>181</v>
      </c>
      <c r="J184" t="str">
        <f t="shared" si="5"/>
        <v/>
      </c>
    </row>
    <row r="185" spans="1:10">
      <c r="A185">
        <v>182</v>
      </c>
      <c r="J185" t="str">
        <f t="shared" si="5"/>
        <v/>
      </c>
    </row>
    <row r="186" spans="1:10">
      <c r="A186">
        <v>183</v>
      </c>
      <c r="J186" t="str">
        <f t="shared" si="5"/>
        <v/>
      </c>
    </row>
    <row r="187" spans="1:10">
      <c r="A187">
        <v>184</v>
      </c>
      <c r="J187" t="str">
        <f t="shared" si="5"/>
        <v/>
      </c>
    </row>
    <row r="188" spans="1:10">
      <c r="A188">
        <v>185</v>
      </c>
      <c r="J188" t="str">
        <f t="shared" si="5"/>
        <v/>
      </c>
    </row>
    <row r="189" spans="1:10">
      <c r="A189">
        <v>186</v>
      </c>
      <c r="J189" t="str">
        <f t="shared" si="5"/>
        <v/>
      </c>
    </row>
    <row r="190" spans="1:10">
      <c r="A190">
        <v>187</v>
      </c>
      <c r="J190" t="str">
        <f t="shared" si="5"/>
        <v/>
      </c>
    </row>
    <row r="191" spans="1:10">
      <c r="A191">
        <v>188</v>
      </c>
      <c r="J191" t="str">
        <f t="shared" si="5"/>
        <v/>
      </c>
    </row>
    <row r="192" spans="1:10">
      <c r="A192">
        <v>189</v>
      </c>
      <c r="J192" t="str">
        <f t="shared" si="5"/>
        <v/>
      </c>
    </row>
    <row r="193" spans="1:10">
      <c r="A193">
        <v>190</v>
      </c>
      <c r="J193" t="str">
        <f t="shared" si="5"/>
        <v/>
      </c>
    </row>
    <row r="194" spans="1:10">
      <c r="A194">
        <v>191</v>
      </c>
      <c r="J194" t="str">
        <f t="shared" si="5"/>
        <v/>
      </c>
    </row>
    <row r="195" spans="1:10">
      <c r="A195">
        <v>192</v>
      </c>
      <c r="J195" t="str">
        <f t="shared" si="5"/>
        <v/>
      </c>
    </row>
    <row r="196" spans="1:10">
      <c r="A196">
        <v>193</v>
      </c>
      <c r="J196" t="str">
        <f t="shared" ref="J196:J203" si="6">IF(B196&lt;&gt;"", "CMH_01-WF-" &amp; TEXT(A196, "000"), "")</f>
        <v/>
      </c>
    </row>
    <row r="197" spans="1:10">
      <c r="A197">
        <v>194</v>
      </c>
      <c r="J197" t="str">
        <f t="shared" si="6"/>
        <v/>
      </c>
    </row>
    <row r="198" spans="1:10">
      <c r="A198">
        <v>195</v>
      </c>
      <c r="J198" t="str">
        <f t="shared" si="6"/>
        <v/>
      </c>
    </row>
    <row r="199" spans="1:10">
      <c r="A199">
        <v>196</v>
      </c>
      <c r="J199" t="str">
        <f t="shared" si="6"/>
        <v/>
      </c>
    </row>
    <row r="200" spans="1:10">
      <c r="A200">
        <v>197</v>
      </c>
      <c r="J200" t="str">
        <f t="shared" si="6"/>
        <v/>
      </c>
    </row>
    <row r="201" spans="1:10">
      <c r="A201">
        <v>198</v>
      </c>
      <c r="J201" t="str">
        <f t="shared" si="6"/>
        <v/>
      </c>
    </row>
    <row r="202" spans="1:10">
      <c r="A202">
        <v>199</v>
      </c>
      <c r="J202" t="str">
        <f t="shared" si="6"/>
        <v/>
      </c>
    </row>
    <row r="203" spans="1:10">
      <c r="A203">
        <v>200</v>
      </c>
      <c r="J203" t="str">
        <f t="shared" si="6"/>
        <v/>
      </c>
    </row>
  </sheetData>
  <mergeCells count="1">
    <mergeCell ref="A1:J1"/>
  </mergeCells>
  <dataValidations count="4">
    <dataValidation type="list" allowBlank="1" promptTitle="الإجراء" sqref="F3:F203" xr:uid="{00000000-0002-0000-0A00-000000000000}">
      <formula1>"تقديم,اعتماد,إرجاع,رفض,إغلاق"</formula1>
    </dataValidation>
    <dataValidation type="list" allowBlank="1" promptTitle="من حالة" sqref="G3:G203" xr:uid="{00000000-0002-0000-0A00-000001000000}">
      <formula1>"مسودة,مُقدَّمة,عند المكتب الاستشاري,عند التدقيق,عند الجودة,عند مدير المشروع,عند المعتمد,معتمدة,مرتجعة,مرفوضة,مغلقة"</formula1>
    </dataValidation>
    <dataValidation type="list" allowBlank="1" promptTitle="إلى حالة" sqref="H3:H203" xr:uid="{00000000-0002-0000-0A00-000002000000}">
      <formula1>"مسودة,مُقدَّمة,عند المكتب الاستشاري,عند التدقيق,عند الجودة,عند مدير المشروع,عند المعتمد,معتمدة,مرتجعة,مرفوضة,مغلقة"</formula1>
    </dataValidation>
    <dataValidation type="list" allowBlank="1" promptTitle="دور الفاعل" sqref="E3:E203" xr:uid="{00000000-0002-0000-0A00-000003000000}">
      <formula1>"مقاول,مكتب استشاري,تدقيق,جودة,مدير مشروع,معتمد نهائي"</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defaultRowHeight="13.8"/>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4"/>
  <sheetViews>
    <sheetView workbookViewId="0"/>
  </sheetViews>
  <sheetFormatPr defaultRowHeight="13.8"/>
  <cols>
    <col min="1" max="1" width="22" customWidth="1"/>
    <col min="2" max="2" width="10" customWidth="1"/>
    <col min="4" max="4" width="16" customWidth="1"/>
    <col min="6" max="6" width="22" customWidth="1"/>
  </cols>
  <sheetData>
    <row r="1" spans="1:6">
      <c r="A1" s="42" t="s">
        <v>243</v>
      </c>
      <c r="D1" s="42" t="s">
        <v>244</v>
      </c>
      <c r="F1" s="42" t="s">
        <v>245</v>
      </c>
    </row>
    <row r="2" spans="1:6">
      <c r="A2" s="31" t="s">
        <v>246</v>
      </c>
      <c r="B2" s="31" t="s">
        <v>247</v>
      </c>
      <c r="D2" t="s">
        <v>112</v>
      </c>
      <c r="F2" t="s">
        <v>175</v>
      </c>
    </row>
    <row r="3" spans="1:6">
      <c r="A3" t="s">
        <v>248</v>
      </c>
      <c r="B3" s="43" t="s">
        <v>47</v>
      </c>
      <c r="D3" t="s">
        <v>249</v>
      </c>
      <c r="F3" t="s">
        <v>250</v>
      </c>
    </row>
    <row r="4" spans="1:6">
      <c r="A4" t="s">
        <v>251</v>
      </c>
      <c r="B4" s="43" t="s">
        <v>50</v>
      </c>
      <c r="F4" t="s">
        <v>252</v>
      </c>
    </row>
    <row r="5" spans="1:6">
      <c r="A5" t="s">
        <v>253</v>
      </c>
      <c r="B5" s="43" t="s">
        <v>54</v>
      </c>
      <c r="F5" t="s">
        <v>254</v>
      </c>
    </row>
    <row r="6" spans="1:6">
      <c r="A6" t="s">
        <v>255</v>
      </c>
      <c r="B6" s="43" t="s">
        <v>57</v>
      </c>
      <c r="F6" t="s">
        <v>256</v>
      </c>
    </row>
    <row r="7" spans="1:6">
      <c r="A7" t="s">
        <v>257</v>
      </c>
      <c r="B7" s="43" t="s">
        <v>60</v>
      </c>
    </row>
    <row r="8" spans="1:6">
      <c r="A8" t="s">
        <v>258</v>
      </c>
      <c r="B8" s="43" t="s">
        <v>64</v>
      </c>
    </row>
    <row r="9" spans="1:6">
      <c r="A9" t="s">
        <v>259</v>
      </c>
      <c r="B9" s="43" t="s">
        <v>67</v>
      </c>
    </row>
    <row r="10" spans="1:6">
      <c r="A10" t="s">
        <v>109</v>
      </c>
      <c r="B10" s="43" t="s">
        <v>71</v>
      </c>
    </row>
    <row r="11" spans="1:6">
      <c r="A11" t="s">
        <v>260</v>
      </c>
      <c r="B11" s="43" t="s">
        <v>75</v>
      </c>
    </row>
    <row r="12" spans="1:6">
      <c r="A12" t="s">
        <v>261</v>
      </c>
      <c r="B12" s="43" t="s">
        <v>78</v>
      </c>
    </row>
    <row r="13" spans="1:6">
      <c r="A13" t="s">
        <v>262</v>
      </c>
      <c r="B13" s="43" t="s">
        <v>81</v>
      </c>
    </row>
    <row r="14" spans="1:6">
      <c r="A14" t="s">
        <v>263</v>
      </c>
      <c r="B14" s="43" t="s">
        <v>84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233"/>
  <sheetViews>
    <sheetView showGridLines="0" rightToLeft="1" workbookViewId="0">
      <pane ySplit="3" topLeftCell="A4" activePane="bottomLeft" state="frozen"/>
      <selection pane="bottomLeft" sqref="A1:I1"/>
    </sheetView>
  </sheetViews>
  <sheetFormatPr defaultRowHeight="13.8"/>
  <cols>
    <col min="1" max="1" width="5" customWidth="1"/>
    <col min="2" max="2" width="14" customWidth="1"/>
    <col min="3" max="3" width="16" customWidth="1"/>
    <col min="4" max="4" width="18" customWidth="1"/>
    <col min="5" max="5" width="12" customWidth="1"/>
    <col min="6" max="6" width="38" customWidth="1"/>
    <col min="7" max="9" width="14" customWidth="1"/>
    <col min="11" max="13" width="16" customWidth="1"/>
    <col min="14" max="14" width="14" customWidth="1"/>
  </cols>
  <sheetData>
    <row r="1" spans="1:14" ht="28.2" customHeight="1">
      <c r="A1" s="108" t="s">
        <v>264</v>
      </c>
      <c r="B1" s="82"/>
      <c r="C1" s="82"/>
      <c r="D1" s="82"/>
      <c r="E1" s="82"/>
      <c r="F1" s="82"/>
      <c r="G1" s="82"/>
      <c r="H1" s="82"/>
      <c r="I1" s="82"/>
      <c r="K1" s="113" t="s">
        <v>265</v>
      </c>
      <c r="L1" s="82"/>
      <c r="M1" s="82"/>
      <c r="N1" s="82"/>
    </row>
    <row r="2" spans="1:14">
      <c r="A2" s="89" t="s">
        <v>266</v>
      </c>
      <c r="B2" s="82"/>
      <c r="C2" s="82"/>
      <c r="D2" s="82"/>
      <c r="E2" s="82"/>
      <c r="F2" s="82"/>
      <c r="G2" s="82"/>
      <c r="H2" s="82"/>
      <c r="I2" s="82"/>
      <c r="K2" s="112" t="s">
        <v>267</v>
      </c>
      <c r="L2" s="85"/>
      <c r="M2" s="86"/>
      <c r="N2" s="65">
        <f>SUMPRODUCT(($E$4:$E$233="إجباري")*($H$4:$H$233="موجود"))</f>
        <v>0</v>
      </c>
    </row>
    <row r="3" spans="1:14">
      <c r="A3" s="52" t="s">
        <v>113</v>
      </c>
      <c r="B3" s="52" t="s">
        <v>268</v>
      </c>
      <c r="C3" s="52" t="s">
        <v>269</v>
      </c>
      <c r="D3" s="52" t="s">
        <v>270</v>
      </c>
      <c r="E3" s="52" t="s">
        <v>271</v>
      </c>
      <c r="F3" s="52" t="s">
        <v>272</v>
      </c>
      <c r="G3" s="52" t="s">
        <v>273</v>
      </c>
      <c r="H3" s="52" t="s">
        <v>274</v>
      </c>
      <c r="I3" s="52" t="s">
        <v>275</v>
      </c>
      <c r="K3" s="112" t="s">
        <v>276</v>
      </c>
      <c r="L3" s="85"/>
      <c r="M3" s="86"/>
      <c r="N3" s="65">
        <f>SUMPRODUCT(($E$4:$E$233="إجباري")*($H$4:$H$233="مفقود"))</f>
        <v>0</v>
      </c>
    </row>
    <row r="4" spans="1:14">
      <c r="A4">
        <v>1</v>
      </c>
      <c r="B4" t="str">
        <f>IF(المطالبات!C3&lt;&gt;"", "مطالبة", "")</f>
        <v>مطالبة</v>
      </c>
      <c r="C4" t="str">
        <f>IF(المطالبات!C3&lt;&gt;"", "CMH_01-CLM-" &amp; TEXT(المطالبات!A3, "000"), "")</f>
        <v>CMH_01-CLM-001</v>
      </c>
      <c r="D4" t="s">
        <v>277</v>
      </c>
      <c r="E4" t="s">
        <v>278</v>
      </c>
      <c r="F4" t="str">
        <f>IF(C4&lt;&gt;"", C4 &amp; "-INVOICE.pdf", "")</f>
        <v>CMH_01-CLM-001-INVOICE.pdf</v>
      </c>
      <c r="G4" t="s">
        <v>279</v>
      </c>
      <c r="K4" s="112" t="s">
        <v>280</v>
      </c>
      <c r="L4" s="85"/>
      <c r="M4" s="86"/>
      <c r="N4" s="65">
        <f>SUMPRODUCT(($E$4:$E$233="اختياري")*($H$4:$H$233="موجود"))</f>
        <v>0</v>
      </c>
    </row>
    <row r="5" spans="1:14">
      <c r="A5">
        <v>2</v>
      </c>
      <c r="B5" t="str">
        <f>IF(المطالبات!C3&lt;&gt;"", "مطالبة", "")</f>
        <v>مطالبة</v>
      </c>
      <c r="C5" t="str">
        <f>IF(المطالبات!C3&lt;&gt;"", "CMH_01-CLM-" &amp; TEXT(المطالبات!A3, "000"), "")</f>
        <v>CMH_01-CLM-001</v>
      </c>
      <c r="D5" t="s">
        <v>281</v>
      </c>
      <c r="E5" t="s">
        <v>278</v>
      </c>
      <c r="F5" t="str">
        <f>IF(C5&lt;&gt;"", C5 &amp; "-TECHREPORT.pdf", "")</f>
        <v>CMH_01-CLM-001-TECHREPORT.pdf</v>
      </c>
      <c r="G5" t="s">
        <v>279</v>
      </c>
      <c r="K5" s="112" t="s">
        <v>282</v>
      </c>
      <c r="L5" s="85"/>
      <c r="M5" s="86"/>
      <c r="N5" s="66">
        <f>IFERROR(SUMPRODUCT(($E$4:$E$233="إجباري")*($H$4:$H$233="موجود"))/MAX(SUMPRODUCT(--($E$4:$E$233="إجباري")),1)*100, 0)</f>
        <v>0</v>
      </c>
    </row>
    <row r="6" spans="1:14">
      <c r="A6">
        <v>3</v>
      </c>
      <c r="B6" t="str">
        <f>IF(المطالبات!C3&lt;&gt;"", "مطالبة", "")</f>
        <v>مطالبة</v>
      </c>
      <c r="C6" t="str">
        <f>IF(المطالبات!C3&lt;&gt;"", "CMH_01-CLM-" &amp; TEXT(المطالبات!A3, "000"), "")</f>
        <v>CMH_01-CLM-001</v>
      </c>
      <c r="D6" t="s">
        <v>239</v>
      </c>
      <c r="E6" t="s">
        <v>283</v>
      </c>
      <c r="F6" t="str">
        <f>IF(C6&lt;&gt;"", C6 &amp; "-APPROVAL.pdf", "")</f>
        <v>CMH_01-CLM-001-APPROVAL.pdf</v>
      </c>
      <c r="G6" t="s">
        <v>284</v>
      </c>
    </row>
    <row r="7" spans="1:14">
      <c r="A7">
        <v>4</v>
      </c>
      <c r="B7" t="str">
        <f>IF(المطالبات!C3&lt;&gt;"", "مطالبة", "")</f>
        <v>مطالبة</v>
      </c>
      <c r="C7" t="str">
        <f>IF(المطالبات!C3&lt;&gt;"", "CMH_01-CLM-" &amp; TEXT(المطالبات!A3, "000"), "")</f>
        <v>CMH_01-CLM-001</v>
      </c>
      <c r="D7" t="s">
        <v>285</v>
      </c>
      <c r="E7" t="s">
        <v>283</v>
      </c>
      <c r="F7" t="str">
        <f>IF(C7&lt;&gt;"", C7 &amp; "-CERTIFICATE.pdf", "")</f>
        <v>CMH_01-CLM-001-CERTIFICATE.pdf</v>
      </c>
      <c r="G7" t="s">
        <v>286</v>
      </c>
    </row>
    <row r="8" spans="1:14">
      <c r="A8">
        <v>5</v>
      </c>
      <c r="B8" t="str">
        <f>IF(المطالبات!C4&lt;&gt;"", "مطالبة", "")</f>
        <v>مطالبة</v>
      </c>
      <c r="C8" t="str">
        <f>IF(المطالبات!C4&lt;&gt;"", "CMH_01-CLM-" &amp; TEXT(المطالبات!A4, "000"), "")</f>
        <v>CMH_01-CLM-002</v>
      </c>
      <c r="D8" t="s">
        <v>277</v>
      </c>
      <c r="E8" t="s">
        <v>278</v>
      </c>
      <c r="F8" t="str">
        <f>IF(C8&lt;&gt;"", C8 &amp; "-INVOICE.pdf", "")</f>
        <v>CMH_01-CLM-002-INVOICE.pdf</v>
      </c>
      <c r="G8" t="s">
        <v>279</v>
      </c>
    </row>
    <row r="9" spans="1:14">
      <c r="A9">
        <v>6</v>
      </c>
      <c r="B9" t="str">
        <f>IF(المطالبات!C4&lt;&gt;"", "مطالبة", "")</f>
        <v>مطالبة</v>
      </c>
      <c r="C9" t="str">
        <f>IF(المطالبات!C4&lt;&gt;"", "CMH_01-CLM-" &amp; TEXT(المطالبات!A4, "000"), "")</f>
        <v>CMH_01-CLM-002</v>
      </c>
      <c r="D9" t="s">
        <v>281</v>
      </c>
      <c r="E9" t="s">
        <v>278</v>
      </c>
      <c r="F9" t="str">
        <f>IF(C9&lt;&gt;"", C9 &amp; "-TECHREPORT.pdf", "")</f>
        <v>CMH_01-CLM-002-TECHREPORT.pdf</v>
      </c>
      <c r="G9" t="s">
        <v>279</v>
      </c>
    </row>
    <row r="10" spans="1:14">
      <c r="A10">
        <v>7</v>
      </c>
      <c r="B10" t="str">
        <f>IF(المطالبات!C4&lt;&gt;"", "مطالبة", "")</f>
        <v>مطالبة</v>
      </c>
      <c r="C10" t="str">
        <f>IF(المطالبات!C4&lt;&gt;"", "CMH_01-CLM-" &amp; TEXT(المطالبات!A4, "000"), "")</f>
        <v>CMH_01-CLM-002</v>
      </c>
      <c r="D10" t="s">
        <v>239</v>
      </c>
      <c r="E10" t="s">
        <v>283</v>
      </c>
      <c r="F10" t="str">
        <f>IF(C10&lt;&gt;"", C10 &amp; "-APPROVAL.pdf", "")</f>
        <v>CMH_01-CLM-002-APPROVAL.pdf</v>
      </c>
      <c r="G10" t="s">
        <v>284</v>
      </c>
    </row>
    <row r="11" spans="1:14">
      <c r="A11">
        <v>8</v>
      </c>
      <c r="B11" t="str">
        <f>IF(المطالبات!C4&lt;&gt;"", "مطالبة", "")</f>
        <v>مطالبة</v>
      </c>
      <c r="C11" t="str">
        <f>IF(المطالبات!C4&lt;&gt;"", "CMH_01-CLM-" &amp; TEXT(المطالبات!A4, "000"), "")</f>
        <v>CMH_01-CLM-002</v>
      </c>
      <c r="D11" t="s">
        <v>285</v>
      </c>
      <c r="E11" t="s">
        <v>283</v>
      </c>
      <c r="F11" t="str">
        <f>IF(C11&lt;&gt;"", C11 &amp; "-CERTIFICATE.pdf", "")</f>
        <v>CMH_01-CLM-002-CERTIFICATE.pdf</v>
      </c>
      <c r="G11" t="s">
        <v>286</v>
      </c>
    </row>
    <row r="12" spans="1:14">
      <c r="A12">
        <v>9</v>
      </c>
      <c r="B12" t="str">
        <f>IF(المطالبات!C5&lt;&gt;"", "مطالبة", "")</f>
        <v>مطالبة</v>
      </c>
      <c r="C12" t="str">
        <f>IF(المطالبات!C5&lt;&gt;"", "CMH_01-CLM-" &amp; TEXT(المطالبات!A5, "000"), "")</f>
        <v>CMH_01-CLM-003</v>
      </c>
      <c r="D12" t="s">
        <v>277</v>
      </c>
      <c r="E12" t="s">
        <v>278</v>
      </c>
      <c r="F12" t="str">
        <f>IF(C12&lt;&gt;"", C12 &amp; "-INVOICE.pdf", "")</f>
        <v>CMH_01-CLM-003-INVOICE.pdf</v>
      </c>
      <c r="G12" t="s">
        <v>279</v>
      </c>
    </row>
    <row r="13" spans="1:14">
      <c r="A13">
        <v>10</v>
      </c>
      <c r="B13" t="str">
        <f>IF(المطالبات!C5&lt;&gt;"", "مطالبة", "")</f>
        <v>مطالبة</v>
      </c>
      <c r="C13" t="str">
        <f>IF(المطالبات!C5&lt;&gt;"", "CMH_01-CLM-" &amp; TEXT(المطالبات!A5, "000"), "")</f>
        <v>CMH_01-CLM-003</v>
      </c>
      <c r="D13" t="s">
        <v>281</v>
      </c>
      <c r="E13" t="s">
        <v>278</v>
      </c>
      <c r="F13" t="str">
        <f>IF(C13&lt;&gt;"", C13 &amp; "-TECHREPORT.pdf", "")</f>
        <v>CMH_01-CLM-003-TECHREPORT.pdf</v>
      </c>
      <c r="G13" t="s">
        <v>279</v>
      </c>
    </row>
    <row r="14" spans="1:14">
      <c r="A14">
        <v>11</v>
      </c>
      <c r="B14" t="str">
        <f>IF(المطالبات!C5&lt;&gt;"", "مطالبة", "")</f>
        <v>مطالبة</v>
      </c>
      <c r="C14" t="str">
        <f>IF(المطالبات!C5&lt;&gt;"", "CMH_01-CLM-" &amp; TEXT(المطالبات!A5, "000"), "")</f>
        <v>CMH_01-CLM-003</v>
      </c>
      <c r="D14" t="s">
        <v>239</v>
      </c>
      <c r="E14" t="s">
        <v>283</v>
      </c>
      <c r="F14" t="str">
        <f>IF(C14&lt;&gt;"", C14 &amp; "-APPROVAL.pdf", "")</f>
        <v>CMH_01-CLM-003-APPROVAL.pdf</v>
      </c>
      <c r="G14" t="s">
        <v>284</v>
      </c>
    </row>
    <row r="15" spans="1:14">
      <c r="A15">
        <v>12</v>
      </c>
      <c r="B15" t="str">
        <f>IF(المطالبات!C5&lt;&gt;"", "مطالبة", "")</f>
        <v>مطالبة</v>
      </c>
      <c r="C15" t="str">
        <f>IF(المطالبات!C5&lt;&gt;"", "CMH_01-CLM-" &amp; TEXT(المطالبات!A5, "000"), "")</f>
        <v>CMH_01-CLM-003</v>
      </c>
      <c r="D15" t="s">
        <v>285</v>
      </c>
      <c r="E15" t="s">
        <v>283</v>
      </c>
      <c r="F15" t="str">
        <f>IF(C15&lt;&gt;"", C15 &amp; "-CERTIFICATE.pdf", "")</f>
        <v>CMH_01-CLM-003-CERTIFICATE.pdf</v>
      </c>
      <c r="G15" t="s">
        <v>286</v>
      </c>
    </row>
    <row r="16" spans="1:14">
      <c r="A16">
        <v>13</v>
      </c>
      <c r="B16" t="str">
        <f>IF(المطالبات!C6&lt;&gt;"", "مطالبة", "")</f>
        <v>مطالبة</v>
      </c>
      <c r="C16" t="str">
        <f>IF(المطالبات!C6&lt;&gt;"", "CMH_01-CLM-" &amp; TEXT(المطالبات!A6, "000"), "")</f>
        <v>CMH_01-CLM-004</v>
      </c>
      <c r="D16" t="s">
        <v>277</v>
      </c>
      <c r="E16" t="s">
        <v>278</v>
      </c>
      <c r="F16" t="str">
        <f>IF(C16&lt;&gt;"", C16 &amp; "-INVOICE.pdf", "")</f>
        <v>CMH_01-CLM-004-INVOICE.pdf</v>
      </c>
      <c r="G16" t="s">
        <v>279</v>
      </c>
    </row>
    <row r="17" spans="1:7">
      <c r="A17">
        <v>14</v>
      </c>
      <c r="B17" t="str">
        <f>IF(المطالبات!C6&lt;&gt;"", "مطالبة", "")</f>
        <v>مطالبة</v>
      </c>
      <c r="C17" t="str">
        <f>IF(المطالبات!C6&lt;&gt;"", "CMH_01-CLM-" &amp; TEXT(المطالبات!A6, "000"), "")</f>
        <v>CMH_01-CLM-004</v>
      </c>
      <c r="D17" t="s">
        <v>281</v>
      </c>
      <c r="E17" t="s">
        <v>278</v>
      </c>
      <c r="F17" t="str">
        <f>IF(C17&lt;&gt;"", C17 &amp; "-TECHREPORT.pdf", "")</f>
        <v>CMH_01-CLM-004-TECHREPORT.pdf</v>
      </c>
      <c r="G17" t="s">
        <v>279</v>
      </c>
    </row>
    <row r="18" spans="1:7">
      <c r="A18">
        <v>15</v>
      </c>
      <c r="B18" t="str">
        <f>IF(المطالبات!C6&lt;&gt;"", "مطالبة", "")</f>
        <v>مطالبة</v>
      </c>
      <c r="C18" t="str">
        <f>IF(المطالبات!C6&lt;&gt;"", "CMH_01-CLM-" &amp; TEXT(المطالبات!A6, "000"), "")</f>
        <v>CMH_01-CLM-004</v>
      </c>
      <c r="D18" t="s">
        <v>239</v>
      </c>
      <c r="E18" t="s">
        <v>283</v>
      </c>
      <c r="F18" t="str">
        <f>IF(C18&lt;&gt;"", C18 &amp; "-APPROVAL.pdf", "")</f>
        <v>CMH_01-CLM-004-APPROVAL.pdf</v>
      </c>
      <c r="G18" t="s">
        <v>284</v>
      </c>
    </row>
    <row r="19" spans="1:7">
      <c r="A19">
        <v>16</v>
      </c>
      <c r="B19" t="str">
        <f>IF(المطالبات!C6&lt;&gt;"", "مطالبة", "")</f>
        <v>مطالبة</v>
      </c>
      <c r="C19" t="str">
        <f>IF(المطالبات!C6&lt;&gt;"", "CMH_01-CLM-" &amp; TEXT(المطالبات!A6, "000"), "")</f>
        <v>CMH_01-CLM-004</v>
      </c>
      <c r="D19" t="s">
        <v>285</v>
      </c>
      <c r="E19" t="s">
        <v>283</v>
      </c>
      <c r="F19" t="str">
        <f>IF(C19&lt;&gt;"", C19 &amp; "-CERTIFICATE.pdf", "")</f>
        <v>CMH_01-CLM-004-CERTIFICATE.pdf</v>
      </c>
      <c r="G19" t="s">
        <v>286</v>
      </c>
    </row>
    <row r="20" spans="1:7">
      <c r="A20">
        <v>17</v>
      </c>
      <c r="B20" t="str">
        <f>IF(المطالبات!C7&lt;&gt;"", "مطالبة", "")</f>
        <v>مطالبة</v>
      </c>
      <c r="C20" t="str">
        <f>IF(المطالبات!C7&lt;&gt;"", "CMH_01-CLM-" &amp; TEXT(المطالبات!A7, "000"), "")</f>
        <v>CMH_01-CLM-005</v>
      </c>
      <c r="D20" t="s">
        <v>277</v>
      </c>
      <c r="E20" t="s">
        <v>278</v>
      </c>
      <c r="F20" t="str">
        <f>IF(C20&lt;&gt;"", C20 &amp; "-INVOICE.pdf", "")</f>
        <v>CMH_01-CLM-005-INVOICE.pdf</v>
      </c>
      <c r="G20" t="s">
        <v>279</v>
      </c>
    </row>
    <row r="21" spans="1:7">
      <c r="A21">
        <v>18</v>
      </c>
      <c r="B21" t="str">
        <f>IF(المطالبات!C7&lt;&gt;"", "مطالبة", "")</f>
        <v>مطالبة</v>
      </c>
      <c r="C21" t="str">
        <f>IF(المطالبات!C7&lt;&gt;"", "CMH_01-CLM-" &amp; TEXT(المطالبات!A7, "000"), "")</f>
        <v>CMH_01-CLM-005</v>
      </c>
      <c r="D21" t="s">
        <v>281</v>
      </c>
      <c r="E21" t="s">
        <v>278</v>
      </c>
      <c r="F21" t="str">
        <f>IF(C21&lt;&gt;"", C21 &amp; "-TECHREPORT.pdf", "")</f>
        <v>CMH_01-CLM-005-TECHREPORT.pdf</v>
      </c>
      <c r="G21" t="s">
        <v>279</v>
      </c>
    </row>
    <row r="22" spans="1:7">
      <c r="A22">
        <v>19</v>
      </c>
      <c r="B22" t="str">
        <f>IF(المطالبات!C7&lt;&gt;"", "مطالبة", "")</f>
        <v>مطالبة</v>
      </c>
      <c r="C22" t="str">
        <f>IF(المطالبات!C7&lt;&gt;"", "CMH_01-CLM-" &amp; TEXT(المطالبات!A7, "000"), "")</f>
        <v>CMH_01-CLM-005</v>
      </c>
      <c r="D22" t="s">
        <v>239</v>
      </c>
      <c r="E22" t="s">
        <v>283</v>
      </c>
      <c r="F22" t="str">
        <f>IF(C22&lt;&gt;"", C22 &amp; "-APPROVAL.pdf", "")</f>
        <v>CMH_01-CLM-005-APPROVAL.pdf</v>
      </c>
      <c r="G22" t="s">
        <v>284</v>
      </c>
    </row>
    <row r="23" spans="1:7">
      <c r="A23">
        <v>20</v>
      </c>
      <c r="B23" t="str">
        <f>IF(المطالبات!C7&lt;&gt;"", "مطالبة", "")</f>
        <v>مطالبة</v>
      </c>
      <c r="C23" t="str">
        <f>IF(المطالبات!C7&lt;&gt;"", "CMH_01-CLM-" &amp; TEXT(المطالبات!A7, "000"), "")</f>
        <v>CMH_01-CLM-005</v>
      </c>
      <c r="D23" t="s">
        <v>285</v>
      </c>
      <c r="E23" t="s">
        <v>283</v>
      </c>
      <c r="F23" t="str">
        <f>IF(C23&lt;&gt;"", C23 &amp; "-CERTIFICATE.pdf", "")</f>
        <v>CMH_01-CLM-005-CERTIFICATE.pdf</v>
      </c>
      <c r="G23" t="s">
        <v>286</v>
      </c>
    </row>
    <row r="24" spans="1:7">
      <c r="A24">
        <v>21</v>
      </c>
      <c r="B24" t="str">
        <f>IF(المطالبات!C8&lt;&gt;"", "مطالبة", "")</f>
        <v>مطالبة</v>
      </c>
      <c r="C24" t="str">
        <f>IF(المطالبات!C8&lt;&gt;"", "CMH_01-CLM-" &amp; TEXT(المطالبات!A8, "000"), "")</f>
        <v>CMH_01-CLM-006</v>
      </c>
      <c r="D24" t="s">
        <v>277</v>
      </c>
      <c r="E24" t="s">
        <v>278</v>
      </c>
      <c r="F24" t="str">
        <f>IF(C24&lt;&gt;"", C24 &amp; "-INVOICE.pdf", "")</f>
        <v>CMH_01-CLM-006-INVOICE.pdf</v>
      </c>
      <c r="G24" t="s">
        <v>279</v>
      </c>
    </row>
    <row r="25" spans="1:7">
      <c r="A25">
        <v>22</v>
      </c>
      <c r="B25" t="str">
        <f>IF(المطالبات!C8&lt;&gt;"", "مطالبة", "")</f>
        <v>مطالبة</v>
      </c>
      <c r="C25" t="str">
        <f>IF(المطالبات!C8&lt;&gt;"", "CMH_01-CLM-" &amp; TEXT(المطالبات!A8, "000"), "")</f>
        <v>CMH_01-CLM-006</v>
      </c>
      <c r="D25" t="s">
        <v>281</v>
      </c>
      <c r="E25" t="s">
        <v>278</v>
      </c>
      <c r="F25" t="str">
        <f>IF(C25&lt;&gt;"", C25 &amp; "-TECHREPORT.pdf", "")</f>
        <v>CMH_01-CLM-006-TECHREPORT.pdf</v>
      </c>
      <c r="G25" t="s">
        <v>279</v>
      </c>
    </row>
    <row r="26" spans="1:7">
      <c r="A26">
        <v>23</v>
      </c>
      <c r="B26" t="str">
        <f>IF(المطالبات!C8&lt;&gt;"", "مطالبة", "")</f>
        <v>مطالبة</v>
      </c>
      <c r="C26" t="str">
        <f>IF(المطالبات!C8&lt;&gt;"", "CMH_01-CLM-" &amp; TEXT(المطالبات!A8, "000"), "")</f>
        <v>CMH_01-CLM-006</v>
      </c>
      <c r="D26" t="s">
        <v>239</v>
      </c>
      <c r="E26" t="s">
        <v>283</v>
      </c>
      <c r="F26" t="str">
        <f>IF(C26&lt;&gt;"", C26 &amp; "-APPROVAL.pdf", "")</f>
        <v>CMH_01-CLM-006-APPROVAL.pdf</v>
      </c>
      <c r="G26" t="s">
        <v>284</v>
      </c>
    </row>
    <row r="27" spans="1:7">
      <c r="A27">
        <v>24</v>
      </c>
      <c r="B27" t="str">
        <f>IF(المطالبات!C8&lt;&gt;"", "مطالبة", "")</f>
        <v>مطالبة</v>
      </c>
      <c r="C27" t="str">
        <f>IF(المطالبات!C8&lt;&gt;"", "CMH_01-CLM-" &amp; TEXT(المطالبات!A8, "000"), "")</f>
        <v>CMH_01-CLM-006</v>
      </c>
      <c r="D27" t="s">
        <v>285</v>
      </c>
      <c r="E27" t="s">
        <v>283</v>
      </c>
      <c r="F27" t="str">
        <f>IF(C27&lt;&gt;"", C27 &amp; "-CERTIFICATE.pdf", "")</f>
        <v>CMH_01-CLM-006-CERTIFICATE.pdf</v>
      </c>
      <c r="G27" t="s">
        <v>286</v>
      </c>
    </row>
    <row r="28" spans="1:7">
      <c r="A28">
        <v>25</v>
      </c>
      <c r="B28" t="str">
        <f>IF(المطالبات!C9&lt;&gt;"", "مطالبة", "")</f>
        <v>مطالبة</v>
      </c>
      <c r="C28" t="str">
        <f>IF(المطالبات!C9&lt;&gt;"", "CMH_01-CLM-" &amp; TEXT(المطالبات!A9, "000"), "")</f>
        <v>CMH_01-CLM-007</v>
      </c>
      <c r="D28" t="s">
        <v>277</v>
      </c>
      <c r="E28" t="s">
        <v>278</v>
      </c>
      <c r="F28" t="str">
        <f>IF(C28&lt;&gt;"", C28 &amp; "-INVOICE.pdf", "")</f>
        <v>CMH_01-CLM-007-INVOICE.pdf</v>
      </c>
      <c r="G28" t="s">
        <v>279</v>
      </c>
    </row>
    <row r="29" spans="1:7">
      <c r="A29">
        <v>26</v>
      </c>
      <c r="B29" t="str">
        <f>IF(المطالبات!C9&lt;&gt;"", "مطالبة", "")</f>
        <v>مطالبة</v>
      </c>
      <c r="C29" t="str">
        <f>IF(المطالبات!C9&lt;&gt;"", "CMH_01-CLM-" &amp; TEXT(المطالبات!A9, "000"), "")</f>
        <v>CMH_01-CLM-007</v>
      </c>
      <c r="D29" t="s">
        <v>281</v>
      </c>
      <c r="E29" t="s">
        <v>278</v>
      </c>
      <c r="F29" t="str">
        <f>IF(C29&lt;&gt;"", C29 &amp; "-TECHREPORT.pdf", "")</f>
        <v>CMH_01-CLM-007-TECHREPORT.pdf</v>
      </c>
      <c r="G29" t="s">
        <v>279</v>
      </c>
    </row>
    <row r="30" spans="1:7">
      <c r="A30">
        <v>27</v>
      </c>
      <c r="B30" t="str">
        <f>IF(المطالبات!C9&lt;&gt;"", "مطالبة", "")</f>
        <v>مطالبة</v>
      </c>
      <c r="C30" t="str">
        <f>IF(المطالبات!C9&lt;&gt;"", "CMH_01-CLM-" &amp; TEXT(المطالبات!A9, "000"), "")</f>
        <v>CMH_01-CLM-007</v>
      </c>
      <c r="D30" t="s">
        <v>239</v>
      </c>
      <c r="E30" t="s">
        <v>283</v>
      </c>
      <c r="F30" t="str">
        <f>IF(C30&lt;&gt;"", C30 &amp; "-APPROVAL.pdf", "")</f>
        <v>CMH_01-CLM-007-APPROVAL.pdf</v>
      </c>
      <c r="G30" t="s">
        <v>284</v>
      </c>
    </row>
    <row r="31" spans="1:7">
      <c r="A31">
        <v>28</v>
      </c>
      <c r="B31" t="str">
        <f>IF(المطالبات!C9&lt;&gt;"", "مطالبة", "")</f>
        <v>مطالبة</v>
      </c>
      <c r="C31" t="str">
        <f>IF(المطالبات!C9&lt;&gt;"", "CMH_01-CLM-" &amp; TEXT(المطالبات!A9, "000"), "")</f>
        <v>CMH_01-CLM-007</v>
      </c>
      <c r="D31" t="s">
        <v>285</v>
      </c>
      <c r="E31" t="s">
        <v>283</v>
      </c>
      <c r="F31" t="str">
        <f>IF(C31&lt;&gt;"", C31 &amp; "-CERTIFICATE.pdf", "")</f>
        <v>CMH_01-CLM-007-CERTIFICATE.pdf</v>
      </c>
      <c r="G31" t="s">
        <v>286</v>
      </c>
    </row>
    <row r="32" spans="1:7">
      <c r="A32">
        <v>29</v>
      </c>
      <c r="B32" t="str">
        <f>IF(المطالبات!C10&lt;&gt;"", "مطالبة", "")</f>
        <v>مطالبة</v>
      </c>
      <c r="C32" t="str">
        <f>IF(المطالبات!C10&lt;&gt;"", "CMH_01-CLM-" &amp; TEXT(المطالبات!A10, "000"), "")</f>
        <v>CMH_01-CLM-008</v>
      </c>
      <c r="D32" t="s">
        <v>277</v>
      </c>
      <c r="E32" t="s">
        <v>278</v>
      </c>
      <c r="F32" t="str">
        <f>IF(C32&lt;&gt;"", C32 &amp; "-INVOICE.pdf", "")</f>
        <v>CMH_01-CLM-008-INVOICE.pdf</v>
      </c>
      <c r="G32" t="s">
        <v>279</v>
      </c>
    </row>
    <row r="33" spans="1:7">
      <c r="A33">
        <v>30</v>
      </c>
      <c r="B33" t="str">
        <f>IF(المطالبات!C10&lt;&gt;"", "مطالبة", "")</f>
        <v>مطالبة</v>
      </c>
      <c r="C33" t="str">
        <f>IF(المطالبات!C10&lt;&gt;"", "CMH_01-CLM-" &amp; TEXT(المطالبات!A10, "000"), "")</f>
        <v>CMH_01-CLM-008</v>
      </c>
      <c r="D33" t="s">
        <v>281</v>
      </c>
      <c r="E33" t="s">
        <v>278</v>
      </c>
      <c r="F33" t="str">
        <f>IF(C33&lt;&gt;"", C33 &amp; "-TECHREPORT.pdf", "")</f>
        <v>CMH_01-CLM-008-TECHREPORT.pdf</v>
      </c>
      <c r="G33" t="s">
        <v>279</v>
      </c>
    </row>
    <row r="34" spans="1:7">
      <c r="A34">
        <v>31</v>
      </c>
      <c r="B34" t="str">
        <f>IF(المطالبات!C10&lt;&gt;"", "مطالبة", "")</f>
        <v>مطالبة</v>
      </c>
      <c r="C34" t="str">
        <f>IF(المطالبات!C10&lt;&gt;"", "CMH_01-CLM-" &amp; TEXT(المطالبات!A10, "000"), "")</f>
        <v>CMH_01-CLM-008</v>
      </c>
      <c r="D34" t="s">
        <v>239</v>
      </c>
      <c r="E34" t="s">
        <v>283</v>
      </c>
      <c r="F34" t="str">
        <f>IF(C34&lt;&gt;"", C34 &amp; "-APPROVAL.pdf", "")</f>
        <v>CMH_01-CLM-008-APPROVAL.pdf</v>
      </c>
      <c r="G34" t="s">
        <v>284</v>
      </c>
    </row>
    <row r="35" spans="1:7">
      <c r="A35">
        <v>32</v>
      </c>
      <c r="B35" t="str">
        <f>IF(المطالبات!C10&lt;&gt;"", "مطالبة", "")</f>
        <v>مطالبة</v>
      </c>
      <c r="C35" t="str">
        <f>IF(المطالبات!C10&lt;&gt;"", "CMH_01-CLM-" &amp; TEXT(المطالبات!A10, "000"), "")</f>
        <v>CMH_01-CLM-008</v>
      </c>
      <c r="D35" t="s">
        <v>285</v>
      </c>
      <c r="E35" t="s">
        <v>283</v>
      </c>
      <c r="F35" t="str">
        <f>IF(C35&lt;&gt;"", C35 &amp; "-CERTIFICATE.pdf", "")</f>
        <v>CMH_01-CLM-008-CERTIFICATE.pdf</v>
      </c>
      <c r="G35" t="s">
        <v>286</v>
      </c>
    </row>
    <row r="36" spans="1:7">
      <c r="A36">
        <v>33</v>
      </c>
      <c r="B36" t="str">
        <f>IF(المطالبات!C11&lt;&gt;"", "مطالبة", "")</f>
        <v>مطالبة</v>
      </c>
      <c r="C36" t="str">
        <f>IF(المطالبات!C11&lt;&gt;"", "CMH_01-CLM-" &amp; TEXT(المطالبات!A11, "000"), "")</f>
        <v>CMH_01-CLM-009</v>
      </c>
      <c r="D36" t="s">
        <v>277</v>
      </c>
      <c r="E36" t="s">
        <v>278</v>
      </c>
      <c r="F36" t="str">
        <f>IF(C36&lt;&gt;"", C36 &amp; "-INVOICE.pdf", "")</f>
        <v>CMH_01-CLM-009-INVOICE.pdf</v>
      </c>
      <c r="G36" t="s">
        <v>279</v>
      </c>
    </row>
    <row r="37" spans="1:7">
      <c r="A37">
        <v>34</v>
      </c>
      <c r="B37" t="str">
        <f>IF(المطالبات!C11&lt;&gt;"", "مطالبة", "")</f>
        <v>مطالبة</v>
      </c>
      <c r="C37" t="str">
        <f>IF(المطالبات!C11&lt;&gt;"", "CMH_01-CLM-" &amp; TEXT(المطالبات!A11, "000"), "")</f>
        <v>CMH_01-CLM-009</v>
      </c>
      <c r="D37" t="s">
        <v>281</v>
      </c>
      <c r="E37" t="s">
        <v>278</v>
      </c>
      <c r="F37" t="str">
        <f>IF(C37&lt;&gt;"", C37 &amp; "-TECHREPORT.pdf", "")</f>
        <v>CMH_01-CLM-009-TECHREPORT.pdf</v>
      </c>
      <c r="G37" t="s">
        <v>279</v>
      </c>
    </row>
    <row r="38" spans="1:7">
      <c r="A38">
        <v>35</v>
      </c>
      <c r="B38" t="str">
        <f>IF(المطالبات!C11&lt;&gt;"", "مطالبة", "")</f>
        <v>مطالبة</v>
      </c>
      <c r="C38" t="str">
        <f>IF(المطالبات!C11&lt;&gt;"", "CMH_01-CLM-" &amp; TEXT(المطالبات!A11, "000"), "")</f>
        <v>CMH_01-CLM-009</v>
      </c>
      <c r="D38" t="s">
        <v>239</v>
      </c>
      <c r="E38" t="s">
        <v>283</v>
      </c>
      <c r="F38" t="str">
        <f>IF(C38&lt;&gt;"", C38 &amp; "-APPROVAL.pdf", "")</f>
        <v>CMH_01-CLM-009-APPROVAL.pdf</v>
      </c>
      <c r="G38" t="s">
        <v>284</v>
      </c>
    </row>
    <row r="39" spans="1:7">
      <c r="A39">
        <v>36</v>
      </c>
      <c r="B39" t="str">
        <f>IF(المطالبات!C11&lt;&gt;"", "مطالبة", "")</f>
        <v>مطالبة</v>
      </c>
      <c r="C39" t="str">
        <f>IF(المطالبات!C11&lt;&gt;"", "CMH_01-CLM-" &amp; TEXT(المطالبات!A11, "000"), "")</f>
        <v>CMH_01-CLM-009</v>
      </c>
      <c r="D39" t="s">
        <v>285</v>
      </c>
      <c r="E39" t="s">
        <v>283</v>
      </c>
      <c r="F39" t="str">
        <f>IF(C39&lt;&gt;"", C39 &amp; "-CERTIFICATE.pdf", "")</f>
        <v>CMH_01-CLM-009-CERTIFICATE.pdf</v>
      </c>
      <c r="G39" t="s">
        <v>286</v>
      </c>
    </row>
    <row r="40" spans="1:7">
      <c r="A40">
        <v>37</v>
      </c>
      <c r="B40" t="str">
        <f>IF(المطالبات!C12&lt;&gt;"", "مطالبة", "")</f>
        <v>مطالبة</v>
      </c>
      <c r="C40" t="str">
        <f>IF(المطالبات!C12&lt;&gt;"", "CMH_01-CLM-" &amp; TEXT(المطالبات!A12, "000"), "")</f>
        <v>CMH_01-CLM-010</v>
      </c>
      <c r="D40" t="s">
        <v>277</v>
      </c>
      <c r="E40" t="s">
        <v>278</v>
      </c>
      <c r="F40" t="str">
        <f>IF(C40&lt;&gt;"", C40 &amp; "-INVOICE.pdf", "")</f>
        <v>CMH_01-CLM-010-INVOICE.pdf</v>
      </c>
      <c r="G40" t="s">
        <v>279</v>
      </c>
    </row>
    <row r="41" spans="1:7">
      <c r="A41">
        <v>38</v>
      </c>
      <c r="B41" t="str">
        <f>IF(المطالبات!C12&lt;&gt;"", "مطالبة", "")</f>
        <v>مطالبة</v>
      </c>
      <c r="C41" t="str">
        <f>IF(المطالبات!C12&lt;&gt;"", "CMH_01-CLM-" &amp; TEXT(المطالبات!A12, "000"), "")</f>
        <v>CMH_01-CLM-010</v>
      </c>
      <c r="D41" t="s">
        <v>281</v>
      </c>
      <c r="E41" t="s">
        <v>278</v>
      </c>
      <c r="F41" t="str">
        <f>IF(C41&lt;&gt;"", C41 &amp; "-TECHREPORT.pdf", "")</f>
        <v>CMH_01-CLM-010-TECHREPORT.pdf</v>
      </c>
      <c r="G41" t="s">
        <v>279</v>
      </c>
    </row>
    <row r="42" spans="1:7">
      <c r="A42">
        <v>39</v>
      </c>
      <c r="B42" t="str">
        <f>IF(المطالبات!C12&lt;&gt;"", "مطالبة", "")</f>
        <v>مطالبة</v>
      </c>
      <c r="C42" t="str">
        <f>IF(المطالبات!C12&lt;&gt;"", "CMH_01-CLM-" &amp; TEXT(المطالبات!A12, "000"), "")</f>
        <v>CMH_01-CLM-010</v>
      </c>
      <c r="D42" t="s">
        <v>239</v>
      </c>
      <c r="E42" t="s">
        <v>283</v>
      </c>
      <c r="F42" t="str">
        <f>IF(C42&lt;&gt;"", C42 &amp; "-APPROVAL.pdf", "")</f>
        <v>CMH_01-CLM-010-APPROVAL.pdf</v>
      </c>
      <c r="G42" t="s">
        <v>284</v>
      </c>
    </row>
    <row r="43" spans="1:7">
      <c r="A43">
        <v>40</v>
      </c>
      <c r="B43" t="str">
        <f>IF(المطالبات!C12&lt;&gt;"", "مطالبة", "")</f>
        <v>مطالبة</v>
      </c>
      <c r="C43" t="str">
        <f>IF(المطالبات!C12&lt;&gt;"", "CMH_01-CLM-" &amp; TEXT(المطالبات!A12, "000"), "")</f>
        <v>CMH_01-CLM-010</v>
      </c>
      <c r="D43" t="s">
        <v>285</v>
      </c>
      <c r="E43" t="s">
        <v>283</v>
      </c>
      <c r="F43" t="str">
        <f>IF(C43&lt;&gt;"", C43 &amp; "-CERTIFICATE.pdf", "")</f>
        <v>CMH_01-CLM-010-CERTIFICATE.pdf</v>
      </c>
      <c r="G43" t="s">
        <v>286</v>
      </c>
    </row>
    <row r="44" spans="1:7">
      <c r="A44">
        <v>41</v>
      </c>
      <c r="B44" t="str">
        <f>IF(المطالبات!C13&lt;&gt;"", "مطالبة", "")</f>
        <v>مطالبة</v>
      </c>
      <c r="C44" t="str">
        <f>IF(المطالبات!C13&lt;&gt;"", "CMH_01-CLM-" &amp; TEXT(المطالبات!A13, "000"), "")</f>
        <v>CMH_01-CLM-011</v>
      </c>
      <c r="D44" t="s">
        <v>277</v>
      </c>
      <c r="E44" t="s">
        <v>278</v>
      </c>
      <c r="F44" t="str">
        <f>IF(C44&lt;&gt;"", C44 &amp; "-INVOICE.pdf", "")</f>
        <v>CMH_01-CLM-011-INVOICE.pdf</v>
      </c>
      <c r="G44" t="s">
        <v>279</v>
      </c>
    </row>
    <row r="45" spans="1:7">
      <c r="A45">
        <v>42</v>
      </c>
      <c r="B45" t="str">
        <f>IF(المطالبات!C13&lt;&gt;"", "مطالبة", "")</f>
        <v>مطالبة</v>
      </c>
      <c r="C45" t="str">
        <f>IF(المطالبات!C13&lt;&gt;"", "CMH_01-CLM-" &amp; TEXT(المطالبات!A13, "000"), "")</f>
        <v>CMH_01-CLM-011</v>
      </c>
      <c r="D45" t="s">
        <v>281</v>
      </c>
      <c r="E45" t="s">
        <v>278</v>
      </c>
      <c r="F45" t="str">
        <f>IF(C45&lt;&gt;"", C45 &amp; "-TECHREPORT.pdf", "")</f>
        <v>CMH_01-CLM-011-TECHREPORT.pdf</v>
      </c>
      <c r="G45" t="s">
        <v>279</v>
      </c>
    </row>
    <row r="46" spans="1:7">
      <c r="A46">
        <v>43</v>
      </c>
      <c r="B46" t="str">
        <f>IF(المطالبات!C13&lt;&gt;"", "مطالبة", "")</f>
        <v>مطالبة</v>
      </c>
      <c r="C46" t="str">
        <f>IF(المطالبات!C13&lt;&gt;"", "CMH_01-CLM-" &amp; TEXT(المطالبات!A13, "000"), "")</f>
        <v>CMH_01-CLM-011</v>
      </c>
      <c r="D46" t="s">
        <v>239</v>
      </c>
      <c r="E46" t="s">
        <v>283</v>
      </c>
      <c r="F46" t="str">
        <f>IF(C46&lt;&gt;"", C46 &amp; "-APPROVAL.pdf", "")</f>
        <v>CMH_01-CLM-011-APPROVAL.pdf</v>
      </c>
      <c r="G46" t="s">
        <v>284</v>
      </c>
    </row>
    <row r="47" spans="1:7">
      <c r="A47">
        <v>44</v>
      </c>
      <c r="B47" t="str">
        <f>IF(المطالبات!C13&lt;&gt;"", "مطالبة", "")</f>
        <v>مطالبة</v>
      </c>
      <c r="C47" t="str">
        <f>IF(المطالبات!C13&lt;&gt;"", "CMH_01-CLM-" &amp; TEXT(المطالبات!A13, "000"), "")</f>
        <v>CMH_01-CLM-011</v>
      </c>
      <c r="D47" t="s">
        <v>285</v>
      </c>
      <c r="E47" t="s">
        <v>283</v>
      </c>
      <c r="F47" t="str">
        <f>IF(C47&lt;&gt;"", C47 &amp; "-CERTIFICATE.pdf", "")</f>
        <v>CMH_01-CLM-011-CERTIFICATE.pdf</v>
      </c>
      <c r="G47" t="s">
        <v>286</v>
      </c>
    </row>
    <row r="48" spans="1:7">
      <c r="A48">
        <v>45</v>
      </c>
      <c r="B48" t="str">
        <f>IF(المطالبات!C14&lt;&gt;"", "مطالبة", "")</f>
        <v>مطالبة</v>
      </c>
      <c r="C48" t="str">
        <f>IF(المطالبات!C14&lt;&gt;"", "CMH_01-CLM-" &amp; TEXT(المطالبات!A14, "000"), "")</f>
        <v>CMH_01-CLM-012</v>
      </c>
      <c r="D48" t="s">
        <v>277</v>
      </c>
      <c r="E48" t="s">
        <v>278</v>
      </c>
      <c r="F48" t="str">
        <f>IF(C48&lt;&gt;"", C48 &amp; "-INVOICE.pdf", "")</f>
        <v>CMH_01-CLM-012-INVOICE.pdf</v>
      </c>
      <c r="G48" t="s">
        <v>279</v>
      </c>
    </row>
    <row r="49" spans="1:7">
      <c r="A49">
        <v>46</v>
      </c>
      <c r="B49" t="str">
        <f>IF(المطالبات!C14&lt;&gt;"", "مطالبة", "")</f>
        <v>مطالبة</v>
      </c>
      <c r="C49" t="str">
        <f>IF(المطالبات!C14&lt;&gt;"", "CMH_01-CLM-" &amp; TEXT(المطالبات!A14, "000"), "")</f>
        <v>CMH_01-CLM-012</v>
      </c>
      <c r="D49" t="s">
        <v>281</v>
      </c>
      <c r="E49" t="s">
        <v>278</v>
      </c>
      <c r="F49" t="str">
        <f>IF(C49&lt;&gt;"", C49 &amp; "-TECHREPORT.pdf", "")</f>
        <v>CMH_01-CLM-012-TECHREPORT.pdf</v>
      </c>
      <c r="G49" t="s">
        <v>279</v>
      </c>
    </row>
    <row r="50" spans="1:7">
      <c r="A50">
        <v>47</v>
      </c>
      <c r="B50" t="str">
        <f>IF(المطالبات!C14&lt;&gt;"", "مطالبة", "")</f>
        <v>مطالبة</v>
      </c>
      <c r="C50" t="str">
        <f>IF(المطالبات!C14&lt;&gt;"", "CMH_01-CLM-" &amp; TEXT(المطالبات!A14, "000"), "")</f>
        <v>CMH_01-CLM-012</v>
      </c>
      <c r="D50" t="s">
        <v>239</v>
      </c>
      <c r="E50" t="s">
        <v>283</v>
      </c>
      <c r="F50" t="str">
        <f>IF(C50&lt;&gt;"", C50 &amp; "-APPROVAL.pdf", "")</f>
        <v>CMH_01-CLM-012-APPROVAL.pdf</v>
      </c>
      <c r="G50" t="s">
        <v>284</v>
      </c>
    </row>
    <row r="51" spans="1:7">
      <c r="A51">
        <v>48</v>
      </c>
      <c r="B51" t="str">
        <f>IF(المطالبات!C14&lt;&gt;"", "مطالبة", "")</f>
        <v>مطالبة</v>
      </c>
      <c r="C51" t="str">
        <f>IF(المطالبات!C14&lt;&gt;"", "CMH_01-CLM-" &amp; TEXT(المطالبات!A14, "000"), "")</f>
        <v>CMH_01-CLM-012</v>
      </c>
      <c r="D51" t="s">
        <v>285</v>
      </c>
      <c r="E51" t="s">
        <v>283</v>
      </c>
      <c r="F51" t="str">
        <f>IF(C51&lt;&gt;"", C51 &amp; "-CERTIFICATE.pdf", "")</f>
        <v>CMH_01-CLM-012-CERTIFICATE.pdf</v>
      </c>
      <c r="G51" t="s">
        <v>286</v>
      </c>
    </row>
    <row r="52" spans="1:7">
      <c r="A52">
        <v>49</v>
      </c>
      <c r="B52" t="str">
        <f>IF(المطالبات!C15&lt;&gt;"", "مطالبة", "")</f>
        <v>مطالبة</v>
      </c>
      <c r="C52" t="str">
        <f>IF(المطالبات!C15&lt;&gt;"", "CMH_01-CLM-" &amp; TEXT(المطالبات!A15, "000"), "")</f>
        <v>CMH_01-CLM-013</v>
      </c>
      <c r="D52" t="s">
        <v>277</v>
      </c>
      <c r="E52" t="s">
        <v>278</v>
      </c>
      <c r="F52" t="str">
        <f>IF(C52&lt;&gt;"", C52 &amp; "-INVOICE.pdf", "")</f>
        <v>CMH_01-CLM-013-INVOICE.pdf</v>
      </c>
      <c r="G52" t="s">
        <v>279</v>
      </c>
    </row>
    <row r="53" spans="1:7">
      <c r="A53">
        <v>50</v>
      </c>
      <c r="B53" t="str">
        <f>IF(المطالبات!C15&lt;&gt;"", "مطالبة", "")</f>
        <v>مطالبة</v>
      </c>
      <c r="C53" t="str">
        <f>IF(المطالبات!C15&lt;&gt;"", "CMH_01-CLM-" &amp; TEXT(المطالبات!A15, "000"), "")</f>
        <v>CMH_01-CLM-013</v>
      </c>
      <c r="D53" t="s">
        <v>281</v>
      </c>
      <c r="E53" t="s">
        <v>278</v>
      </c>
      <c r="F53" t="str">
        <f>IF(C53&lt;&gt;"", C53 &amp; "-TECHREPORT.pdf", "")</f>
        <v>CMH_01-CLM-013-TECHREPORT.pdf</v>
      </c>
      <c r="G53" t="s">
        <v>279</v>
      </c>
    </row>
    <row r="54" spans="1:7">
      <c r="A54">
        <v>51</v>
      </c>
      <c r="B54" t="str">
        <f>IF(المطالبات!C15&lt;&gt;"", "مطالبة", "")</f>
        <v>مطالبة</v>
      </c>
      <c r="C54" t="str">
        <f>IF(المطالبات!C15&lt;&gt;"", "CMH_01-CLM-" &amp; TEXT(المطالبات!A15, "000"), "")</f>
        <v>CMH_01-CLM-013</v>
      </c>
      <c r="D54" t="s">
        <v>239</v>
      </c>
      <c r="E54" t="s">
        <v>283</v>
      </c>
      <c r="F54" t="str">
        <f>IF(C54&lt;&gt;"", C54 &amp; "-APPROVAL.pdf", "")</f>
        <v>CMH_01-CLM-013-APPROVAL.pdf</v>
      </c>
      <c r="G54" t="s">
        <v>284</v>
      </c>
    </row>
    <row r="55" spans="1:7">
      <c r="A55">
        <v>52</v>
      </c>
      <c r="B55" t="str">
        <f>IF(المطالبات!C15&lt;&gt;"", "مطالبة", "")</f>
        <v>مطالبة</v>
      </c>
      <c r="C55" t="str">
        <f>IF(المطالبات!C15&lt;&gt;"", "CMH_01-CLM-" &amp; TEXT(المطالبات!A15, "000"), "")</f>
        <v>CMH_01-CLM-013</v>
      </c>
      <c r="D55" t="s">
        <v>285</v>
      </c>
      <c r="E55" t="s">
        <v>283</v>
      </c>
      <c r="F55" t="str">
        <f>IF(C55&lt;&gt;"", C55 &amp; "-CERTIFICATE.pdf", "")</f>
        <v>CMH_01-CLM-013-CERTIFICATE.pdf</v>
      </c>
      <c r="G55" t="s">
        <v>286</v>
      </c>
    </row>
    <row r="56" spans="1:7">
      <c r="A56">
        <v>53</v>
      </c>
      <c r="B56" t="str">
        <f>IF(المطالبات!C16&lt;&gt;"", "مطالبة", "")</f>
        <v>مطالبة</v>
      </c>
      <c r="C56" t="str">
        <f>IF(المطالبات!C16&lt;&gt;"", "CMH_01-CLM-" &amp; TEXT(المطالبات!A16, "000"), "")</f>
        <v>CMH_01-CLM-014</v>
      </c>
      <c r="D56" t="s">
        <v>277</v>
      </c>
      <c r="E56" t="s">
        <v>278</v>
      </c>
      <c r="F56" t="str">
        <f>IF(C56&lt;&gt;"", C56 &amp; "-INVOICE.pdf", "")</f>
        <v>CMH_01-CLM-014-INVOICE.pdf</v>
      </c>
      <c r="G56" t="s">
        <v>279</v>
      </c>
    </row>
    <row r="57" spans="1:7">
      <c r="A57">
        <v>54</v>
      </c>
      <c r="B57" t="str">
        <f>IF(المطالبات!C16&lt;&gt;"", "مطالبة", "")</f>
        <v>مطالبة</v>
      </c>
      <c r="C57" t="str">
        <f>IF(المطالبات!C16&lt;&gt;"", "CMH_01-CLM-" &amp; TEXT(المطالبات!A16, "000"), "")</f>
        <v>CMH_01-CLM-014</v>
      </c>
      <c r="D57" t="s">
        <v>281</v>
      </c>
      <c r="E57" t="s">
        <v>278</v>
      </c>
      <c r="F57" t="str">
        <f>IF(C57&lt;&gt;"", C57 &amp; "-TECHREPORT.pdf", "")</f>
        <v>CMH_01-CLM-014-TECHREPORT.pdf</v>
      </c>
      <c r="G57" t="s">
        <v>279</v>
      </c>
    </row>
    <row r="58" spans="1:7">
      <c r="A58">
        <v>55</v>
      </c>
      <c r="B58" t="str">
        <f>IF(المطالبات!C16&lt;&gt;"", "مطالبة", "")</f>
        <v>مطالبة</v>
      </c>
      <c r="C58" t="str">
        <f>IF(المطالبات!C16&lt;&gt;"", "CMH_01-CLM-" &amp; TEXT(المطالبات!A16, "000"), "")</f>
        <v>CMH_01-CLM-014</v>
      </c>
      <c r="D58" t="s">
        <v>239</v>
      </c>
      <c r="E58" t="s">
        <v>283</v>
      </c>
      <c r="F58" t="str">
        <f>IF(C58&lt;&gt;"", C58 &amp; "-APPROVAL.pdf", "")</f>
        <v>CMH_01-CLM-014-APPROVAL.pdf</v>
      </c>
      <c r="G58" t="s">
        <v>284</v>
      </c>
    </row>
    <row r="59" spans="1:7">
      <c r="A59">
        <v>56</v>
      </c>
      <c r="B59" t="str">
        <f>IF(المطالبات!C16&lt;&gt;"", "مطالبة", "")</f>
        <v>مطالبة</v>
      </c>
      <c r="C59" t="str">
        <f>IF(المطالبات!C16&lt;&gt;"", "CMH_01-CLM-" &amp; TEXT(المطالبات!A16, "000"), "")</f>
        <v>CMH_01-CLM-014</v>
      </c>
      <c r="D59" t="s">
        <v>285</v>
      </c>
      <c r="E59" t="s">
        <v>283</v>
      </c>
      <c r="F59" t="str">
        <f>IF(C59&lt;&gt;"", C59 &amp; "-CERTIFICATE.pdf", "")</f>
        <v>CMH_01-CLM-014-CERTIFICATE.pdf</v>
      </c>
      <c r="G59" t="s">
        <v>286</v>
      </c>
    </row>
    <row r="60" spans="1:7">
      <c r="A60">
        <v>57</v>
      </c>
      <c r="B60" t="str">
        <f>IF(المطالبات!C17&lt;&gt;"", "مطالبة", "")</f>
        <v>مطالبة</v>
      </c>
      <c r="C60" t="str">
        <f>IF(المطالبات!C17&lt;&gt;"", "CMH_01-CLM-" &amp; TEXT(المطالبات!A17, "000"), "")</f>
        <v>CMH_01-CLM-015</v>
      </c>
      <c r="D60" t="s">
        <v>277</v>
      </c>
      <c r="E60" t="s">
        <v>278</v>
      </c>
      <c r="F60" t="str">
        <f>IF(C60&lt;&gt;"", C60 &amp; "-INVOICE.pdf", "")</f>
        <v>CMH_01-CLM-015-INVOICE.pdf</v>
      </c>
      <c r="G60" t="s">
        <v>279</v>
      </c>
    </row>
    <row r="61" spans="1:7">
      <c r="A61">
        <v>58</v>
      </c>
      <c r="B61" t="str">
        <f>IF(المطالبات!C17&lt;&gt;"", "مطالبة", "")</f>
        <v>مطالبة</v>
      </c>
      <c r="C61" t="str">
        <f>IF(المطالبات!C17&lt;&gt;"", "CMH_01-CLM-" &amp; TEXT(المطالبات!A17, "000"), "")</f>
        <v>CMH_01-CLM-015</v>
      </c>
      <c r="D61" t="s">
        <v>281</v>
      </c>
      <c r="E61" t="s">
        <v>278</v>
      </c>
      <c r="F61" t="str">
        <f>IF(C61&lt;&gt;"", C61 &amp; "-TECHREPORT.pdf", "")</f>
        <v>CMH_01-CLM-015-TECHREPORT.pdf</v>
      </c>
      <c r="G61" t="s">
        <v>279</v>
      </c>
    </row>
    <row r="62" spans="1:7">
      <c r="A62">
        <v>59</v>
      </c>
      <c r="B62" t="str">
        <f>IF(المطالبات!C17&lt;&gt;"", "مطالبة", "")</f>
        <v>مطالبة</v>
      </c>
      <c r="C62" t="str">
        <f>IF(المطالبات!C17&lt;&gt;"", "CMH_01-CLM-" &amp; TEXT(المطالبات!A17, "000"), "")</f>
        <v>CMH_01-CLM-015</v>
      </c>
      <c r="D62" t="s">
        <v>239</v>
      </c>
      <c r="E62" t="s">
        <v>283</v>
      </c>
      <c r="F62" t="str">
        <f>IF(C62&lt;&gt;"", C62 &amp; "-APPROVAL.pdf", "")</f>
        <v>CMH_01-CLM-015-APPROVAL.pdf</v>
      </c>
      <c r="G62" t="s">
        <v>284</v>
      </c>
    </row>
    <row r="63" spans="1:7">
      <c r="A63">
        <v>60</v>
      </c>
      <c r="B63" t="str">
        <f>IF(المطالبات!C17&lt;&gt;"", "مطالبة", "")</f>
        <v>مطالبة</v>
      </c>
      <c r="C63" t="str">
        <f>IF(المطالبات!C17&lt;&gt;"", "CMH_01-CLM-" &amp; TEXT(المطالبات!A17, "000"), "")</f>
        <v>CMH_01-CLM-015</v>
      </c>
      <c r="D63" t="s">
        <v>285</v>
      </c>
      <c r="E63" t="s">
        <v>283</v>
      </c>
      <c r="F63" t="str">
        <f>IF(C63&lt;&gt;"", C63 &amp; "-CERTIFICATE.pdf", "")</f>
        <v>CMH_01-CLM-015-CERTIFICATE.pdf</v>
      </c>
      <c r="G63" t="s">
        <v>286</v>
      </c>
    </row>
    <row r="64" spans="1:7">
      <c r="A64">
        <v>61</v>
      </c>
      <c r="B64" t="str">
        <f>IF(المطالبات!C18&lt;&gt;"", "مطالبة", "")</f>
        <v>مطالبة</v>
      </c>
      <c r="C64" t="str">
        <f>IF(المطالبات!C18&lt;&gt;"", "CMH_01-CLM-" &amp; TEXT(المطالبات!A18, "000"), "")</f>
        <v>CMH_01-CLM-016</v>
      </c>
      <c r="D64" t="s">
        <v>277</v>
      </c>
      <c r="E64" t="s">
        <v>278</v>
      </c>
      <c r="F64" t="str">
        <f>IF(C64&lt;&gt;"", C64 &amp; "-INVOICE.pdf", "")</f>
        <v>CMH_01-CLM-016-INVOICE.pdf</v>
      </c>
      <c r="G64" t="s">
        <v>279</v>
      </c>
    </row>
    <row r="65" spans="1:7">
      <c r="A65">
        <v>62</v>
      </c>
      <c r="B65" t="str">
        <f>IF(المطالبات!C18&lt;&gt;"", "مطالبة", "")</f>
        <v>مطالبة</v>
      </c>
      <c r="C65" t="str">
        <f>IF(المطالبات!C18&lt;&gt;"", "CMH_01-CLM-" &amp; TEXT(المطالبات!A18, "000"), "")</f>
        <v>CMH_01-CLM-016</v>
      </c>
      <c r="D65" t="s">
        <v>281</v>
      </c>
      <c r="E65" t="s">
        <v>278</v>
      </c>
      <c r="F65" t="str">
        <f>IF(C65&lt;&gt;"", C65 &amp; "-TECHREPORT.pdf", "")</f>
        <v>CMH_01-CLM-016-TECHREPORT.pdf</v>
      </c>
      <c r="G65" t="s">
        <v>279</v>
      </c>
    </row>
    <row r="66" spans="1:7">
      <c r="A66">
        <v>63</v>
      </c>
      <c r="B66" t="str">
        <f>IF(المطالبات!C18&lt;&gt;"", "مطالبة", "")</f>
        <v>مطالبة</v>
      </c>
      <c r="C66" t="str">
        <f>IF(المطالبات!C18&lt;&gt;"", "CMH_01-CLM-" &amp; TEXT(المطالبات!A18, "000"), "")</f>
        <v>CMH_01-CLM-016</v>
      </c>
      <c r="D66" t="s">
        <v>239</v>
      </c>
      <c r="E66" t="s">
        <v>283</v>
      </c>
      <c r="F66" t="str">
        <f>IF(C66&lt;&gt;"", C66 &amp; "-APPROVAL.pdf", "")</f>
        <v>CMH_01-CLM-016-APPROVAL.pdf</v>
      </c>
      <c r="G66" t="s">
        <v>284</v>
      </c>
    </row>
    <row r="67" spans="1:7">
      <c r="A67">
        <v>64</v>
      </c>
      <c r="B67" t="str">
        <f>IF(المطالبات!C18&lt;&gt;"", "مطالبة", "")</f>
        <v>مطالبة</v>
      </c>
      <c r="C67" t="str">
        <f>IF(المطالبات!C18&lt;&gt;"", "CMH_01-CLM-" &amp; TEXT(المطالبات!A18, "000"), "")</f>
        <v>CMH_01-CLM-016</v>
      </c>
      <c r="D67" t="s">
        <v>285</v>
      </c>
      <c r="E67" t="s">
        <v>283</v>
      </c>
      <c r="F67" t="str">
        <f>IF(C67&lt;&gt;"", C67 &amp; "-CERTIFICATE.pdf", "")</f>
        <v>CMH_01-CLM-016-CERTIFICATE.pdf</v>
      </c>
      <c r="G67" t="s">
        <v>286</v>
      </c>
    </row>
    <row r="68" spans="1:7">
      <c r="A68">
        <v>65</v>
      </c>
      <c r="B68" t="str">
        <f>IF(المطالبات!C19&lt;&gt;"", "مطالبة", "")</f>
        <v>مطالبة</v>
      </c>
      <c r="C68" t="str">
        <f>IF(المطالبات!C19&lt;&gt;"", "CMH_01-CLM-" &amp; TEXT(المطالبات!A19, "000"), "")</f>
        <v>CMH_01-CLM-017</v>
      </c>
      <c r="D68" t="s">
        <v>277</v>
      </c>
      <c r="E68" t="s">
        <v>278</v>
      </c>
      <c r="F68" t="str">
        <f>IF(C68&lt;&gt;"", C68 &amp; "-INVOICE.pdf", "")</f>
        <v>CMH_01-CLM-017-INVOICE.pdf</v>
      </c>
      <c r="G68" t="s">
        <v>279</v>
      </c>
    </row>
    <row r="69" spans="1:7">
      <c r="A69">
        <v>66</v>
      </c>
      <c r="B69" t="str">
        <f>IF(المطالبات!C19&lt;&gt;"", "مطالبة", "")</f>
        <v>مطالبة</v>
      </c>
      <c r="C69" t="str">
        <f>IF(المطالبات!C19&lt;&gt;"", "CMH_01-CLM-" &amp; TEXT(المطالبات!A19, "000"), "")</f>
        <v>CMH_01-CLM-017</v>
      </c>
      <c r="D69" t="s">
        <v>281</v>
      </c>
      <c r="E69" t="s">
        <v>278</v>
      </c>
      <c r="F69" t="str">
        <f>IF(C69&lt;&gt;"", C69 &amp; "-TECHREPORT.pdf", "")</f>
        <v>CMH_01-CLM-017-TECHREPORT.pdf</v>
      </c>
      <c r="G69" t="s">
        <v>279</v>
      </c>
    </row>
    <row r="70" spans="1:7">
      <c r="A70">
        <v>67</v>
      </c>
      <c r="B70" t="str">
        <f>IF(المطالبات!C19&lt;&gt;"", "مطالبة", "")</f>
        <v>مطالبة</v>
      </c>
      <c r="C70" t="str">
        <f>IF(المطالبات!C19&lt;&gt;"", "CMH_01-CLM-" &amp; TEXT(المطالبات!A19, "000"), "")</f>
        <v>CMH_01-CLM-017</v>
      </c>
      <c r="D70" t="s">
        <v>239</v>
      </c>
      <c r="E70" t="s">
        <v>283</v>
      </c>
      <c r="F70" t="str">
        <f>IF(C70&lt;&gt;"", C70 &amp; "-APPROVAL.pdf", "")</f>
        <v>CMH_01-CLM-017-APPROVAL.pdf</v>
      </c>
      <c r="G70" t="s">
        <v>284</v>
      </c>
    </row>
    <row r="71" spans="1:7">
      <c r="A71">
        <v>68</v>
      </c>
      <c r="B71" t="str">
        <f>IF(المطالبات!C19&lt;&gt;"", "مطالبة", "")</f>
        <v>مطالبة</v>
      </c>
      <c r="C71" t="str">
        <f>IF(المطالبات!C19&lt;&gt;"", "CMH_01-CLM-" &amp; TEXT(المطالبات!A19, "000"), "")</f>
        <v>CMH_01-CLM-017</v>
      </c>
      <c r="D71" t="s">
        <v>285</v>
      </c>
      <c r="E71" t="s">
        <v>283</v>
      </c>
      <c r="F71" t="str">
        <f>IF(C71&lt;&gt;"", C71 &amp; "-CERTIFICATE.pdf", "")</f>
        <v>CMH_01-CLM-017-CERTIFICATE.pdf</v>
      </c>
      <c r="G71" t="s">
        <v>286</v>
      </c>
    </row>
    <row r="72" spans="1:7">
      <c r="A72">
        <v>69</v>
      </c>
      <c r="B72" t="str">
        <f>IF(المطالبات!C20&lt;&gt;"", "مطالبة", "")</f>
        <v>مطالبة</v>
      </c>
      <c r="C72" t="str">
        <f>IF(المطالبات!C20&lt;&gt;"", "CMH_01-CLM-" &amp; TEXT(المطالبات!A20, "000"), "")</f>
        <v>CMH_01-CLM-018</v>
      </c>
      <c r="D72" t="s">
        <v>277</v>
      </c>
      <c r="E72" t="s">
        <v>278</v>
      </c>
      <c r="F72" t="str">
        <f>IF(C72&lt;&gt;"", C72 &amp; "-INVOICE.pdf", "")</f>
        <v>CMH_01-CLM-018-INVOICE.pdf</v>
      </c>
      <c r="G72" t="s">
        <v>279</v>
      </c>
    </row>
    <row r="73" spans="1:7">
      <c r="A73">
        <v>70</v>
      </c>
      <c r="B73" t="str">
        <f>IF(المطالبات!C20&lt;&gt;"", "مطالبة", "")</f>
        <v>مطالبة</v>
      </c>
      <c r="C73" t="str">
        <f>IF(المطالبات!C20&lt;&gt;"", "CMH_01-CLM-" &amp; TEXT(المطالبات!A20, "000"), "")</f>
        <v>CMH_01-CLM-018</v>
      </c>
      <c r="D73" t="s">
        <v>281</v>
      </c>
      <c r="E73" t="s">
        <v>278</v>
      </c>
      <c r="F73" t="str">
        <f>IF(C73&lt;&gt;"", C73 &amp; "-TECHREPORT.pdf", "")</f>
        <v>CMH_01-CLM-018-TECHREPORT.pdf</v>
      </c>
      <c r="G73" t="s">
        <v>279</v>
      </c>
    </row>
    <row r="74" spans="1:7">
      <c r="A74">
        <v>71</v>
      </c>
      <c r="B74" t="str">
        <f>IF(المطالبات!C20&lt;&gt;"", "مطالبة", "")</f>
        <v>مطالبة</v>
      </c>
      <c r="C74" t="str">
        <f>IF(المطالبات!C20&lt;&gt;"", "CMH_01-CLM-" &amp; TEXT(المطالبات!A20, "000"), "")</f>
        <v>CMH_01-CLM-018</v>
      </c>
      <c r="D74" t="s">
        <v>239</v>
      </c>
      <c r="E74" t="s">
        <v>283</v>
      </c>
      <c r="F74" t="str">
        <f>IF(C74&lt;&gt;"", C74 &amp; "-APPROVAL.pdf", "")</f>
        <v>CMH_01-CLM-018-APPROVAL.pdf</v>
      </c>
      <c r="G74" t="s">
        <v>284</v>
      </c>
    </row>
    <row r="75" spans="1:7">
      <c r="A75">
        <v>72</v>
      </c>
      <c r="B75" t="str">
        <f>IF(المطالبات!C20&lt;&gt;"", "مطالبة", "")</f>
        <v>مطالبة</v>
      </c>
      <c r="C75" t="str">
        <f>IF(المطالبات!C20&lt;&gt;"", "CMH_01-CLM-" &amp; TEXT(المطالبات!A20, "000"), "")</f>
        <v>CMH_01-CLM-018</v>
      </c>
      <c r="D75" t="s">
        <v>285</v>
      </c>
      <c r="E75" t="s">
        <v>283</v>
      </c>
      <c r="F75" t="str">
        <f>IF(C75&lt;&gt;"", C75 &amp; "-CERTIFICATE.pdf", "")</f>
        <v>CMH_01-CLM-018-CERTIFICATE.pdf</v>
      </c>
      <c r="G75" t="s">
        <v>286</v>
      </c>
    </row>
    <row r="76" spans="1:7">
      <c r="A76">
        <v>73</v>
      </c>
      <c r="B76" t="str">
        <f>IF(المطالبات!C21&lt;&gt;"", "مطالبة", "")</f>
        <v>مطالبة</v>
      </c>
      <c r="C76" t="str">
        <f>IF(المطالبات!C21&lt;&gt;"", "CMH_01-CLM-" &amp; TEXT(المطالبات!A21, "000"), "")</f>
        <v>CMH_01-CLM-019</v>
      </c>
      <c r="D76" t="s">
        <v>277</v>
      </c>
      <c r="E76" t="s">
        <v>278</v>
      </c>
      <c r="F76" t="str">
        <f>IF(C76&lt;&gt;"", C76 &amp; "-INVOICE.pdf", "")</f>
        <v>CMH_01-CLM-019-INVOICE.pdf</v>
      </c>
      <c r="G76" t="s">
        <v>279</v>
      </c>
    </row>
    <row r="77" spans="1:7">
      <c r="A77">
        <v>74</v>
      </c>
      <c r="B77" t="str">
        <f>IF(المطالبات!C21&lt;&gt;"", "مطالبة", "")</f>
        <v>مطالبة</v>
      </c>
      <c r="C77" t="str">
        <f>IF(المطالبات!C21&lt;&gt;"", "CMH_01-CLM-" &amp; TEXT(المطالبات!A21, "000"), "")</f>
        <v>CMH_01-CLM-019</v>
      </c>
      <c r="D77" t="s">
        <v>281</v>
      </c>
      <c r="E77" t="s">
        <v>278</v>
      </c>
      <c r="F77" t="str">
        <f>IF(C77&lt;&gt;"", C77 &amp; "-TECHREPORT.pdf", "")</f>
        <v>CMH_01-CLM-019-TECHREPORT.pdf</v>
      </c>
      <c r="G77" t="s">
        <v>279</v>
      </c>
    </row>
    <row r="78" spans="1:7">
      <c r="A78">
        <v>75</v>
      </c>
      <c r="B78" t="str">
        <f>IF(المطالبات!C21&lt;&gt;"", "مطالبة", "")</f>
        <v>مطالبة</v>
      </c>
      <c r="C78" t="str">
        <f>IF(المطالبات!C21&lt;&gt;"", "CMH_01-CLM-" &amp; TEXT(المطالبات!A21, "000"), "")</f>
        <v>CMH_01-CLM-019</v>
      </c>
      <c r="D78" t="s">
        <v>239</v>
      </c>
      <c r="E78" t="s">
        <v>283</v>
      </c>
      <c r="F78" t="str">
        <f>IF(C78&lt;&gt;"", C78 &amp; "-APPROVAL.pdf", "")</f>
        <v>CMH_01-CLM-019-APPROVAL.pdf</v>
      </c>
      <c r="G78" t="s">
        <v>284</v>
      </c>
    </row>
    <row r="79" spans="1:7">
      <c r="A79">
        <v>76</v>
      </c>
      <c r="B79" t="str">
        <f>IF(المطالبات!C21&lt;&gt;"", "مطالبة", "")</f>
        <v>مطالبة</v>
      </c>
      <c r="C79" t="str">
        <f>IF(المطالبات!C21&lt;&gt;"", "CMH_01-CLM-" &amp; TEXT(المطالبات!A21, "000"), "")</f>
        <v>CMH_01-CLM-019</v>
      </c>
      <c r="D79" t="s">
        <v>285</v>
      </c>
      <c r="E79" t="s">
        <v>283</v>
      </c>
      <c r="F79" t="str">
        <f>IF(C79&lt;&gt;"", C79 &amp; "-CERTIFICATE.pdf", "")</f>
        <v>CMH_01-CLM-019-CERTIFICATE.pdf</v>
      </c>
      <c r="G79" t="s">
        <v>286</v>
      </c>
    </row>
    <row r="80" spans="1:7">
      <c r="A80">
        <v>77</v>
      </c>
      <c r="B80" t="str">
        <f>IF(المطالبات!C22&lt;&gt;"", "مطالبة", "")</f>
        <v>مطالبة</v>
      </c>
      <c r="C80" t="str">
        <f>IF(المطالبات!C22&lt;&gt;"", "CMH_01-CLM-" &amp; TEXT(المطالبات!A22, "000"), "")</f>
        <v>CMH_01-CLM-020</v>
      </c>
      <c r="D80" t="s">
        <v>277</v>
      </c>
      <c r="E80" t="s">
        <v>278</v>
      </c>
      <c r="F80" t="str">
        <f>IF(C80&lt;&gt;"", C80 &amp; "-INVOICE.pdf", "")</f>
        <v>CMH_01-CLM-020-INVOICE.pdf</v>
      </c>
      <c r="G80" t="s">
        <v>279</v>
      </c>
    </row>
    <row r="81" spans="1:7">
      <c r="A81">
        <v>78</v>
      </c>
      <c r="B81" t="str">
        <f>IF(المطالبات!C22&lt;&gt;"", "مطالبة", "")</f>
        <v>مطالبة</v>
      </c>
      <c r="C81" t="str">
        <f>IF(المطالبات!C22&lt;&gt;"", "CMH_01-CLM-" &amp; TEXT(المطالبات!A22, "000"), "")</f>
        <v>CMH_01-CLM-020</v>
      </c>
      <c r="D81" t="s">
        <v>281</v>
      </c>
      <c r="E81" t="s">
        <v>278</v>
      </c>
      <c r="F81" t="str">
        <f>IF(C81&lt;&gt;"", C81 &amp; "-TECHREPORT.pdf", "")</f>
        <v>CMH_01-CLM-020-TECHREPORT.pdf</v>
      </c>
      <c r="G81" t="s">
        <v>279</v>
      </c>
    </row>
    <row r="82" spans="1:7">
      <c r="A82">
        <v>79</v>
      </c>
      <c r="B82" t="str">
        <f>IF(المطالبات!C22&lt;&gt;"", "مطالبة", "")</f>
        <v>مطالبة</v>
      </c>
      <c r="C82" t="str">
        <f>IF(المطالبات!C22&lt;&gt;"", "CMH_01-CLM-" &amp; TEXT(المطالبات!A22, "000"), "")</f>
        <v>CMH_01-CLM-020</v>
      </c>
      <c r="D82" t="s">
        <v>239</v>
      </c>
      <c r="E82" t="s">
        <v>283</v>
      </c>
      <c r="F82" t="str">
        <f>IF(C82&lt;&gt;"", C82 &amp; "-APPROVAL.pdf", "")</f>
        <v>CMH_01-CLM-020-APPROVAL.pdf</v>
      </c>
      <c r="G82" t="s">
        <v>284</v>
      </c>
    </row>
    <row r="83" spans="1:7">
      <c r="A83">
        <v>80</v>
      </c>
      <c r="B83" t="str">
        <f>IF(المطالبات!C22&lt;&gt;"", "مطالبة", "")</f>
        <v>مطالبة</v>
      </c>
      <c r="C83" t="str">
        <f>IF(المطالبات!C22&lt;&gt;"", "CMH_01-CLM-" &amp; TEXT(المطالبات!A22, "000"), "")</f>
        <v>CMH_01-CLM-020</v>
      </c>
      <c r="D83" t="s">
        <v>285</v>
      </c>
      <c r="E83" t="s">
        <v>283</v>
      </c>
      <c r="F83" t="str">
        <f>IF(C83&lt;&gt;"", C83 &amp; "-CERTIFICATE.pdf", "")</f>
        <v>CMH_01-CLM-020-CERTIFICATE.pdf</v>
      </c>
      <c r="G83" t="s">
        <v>286</v>
      </c>
    </row>
    <row r="84" spans="1:7">
      <c r="A84">
        <v>81</v>
      </c>
      <c r="B84" t="str">
        <f>IF(المطالبات!C23&lt;&gt;"", "مطالبة", "")</f>
        <v>مطالبة</v>
      </c>
      <c r="C84" t="str">
        <f>IF(المطالبات!C23&lt;&gt;"", "CMH_01-CLM-" &amp; TEXT(المطالبات!A23, "000"), "")</f>
        <v>CMH_01-CLM-021</v>
      </c>
      <c r="D84" t="s">
        <v>277</v>
      </c>
      <c r="E84" t="s">
        <v>278</v>
      </c>
      <c r="F84" t="str">
        <f>IF(C84&lt;&gt;"", C84 &amp; "-INVOICE.pdf", "")</f>
        <v>CMH_01-CLM-021-INVOICE.pdf</v>
      </c>
      <c r="G84" t="s">
        <v>279</v>
      </c>
    </row>
    <row r="85" spans="1:7">
      <c r="A85">
        <v>82</v>
      </c>
      <c r="B85" t="str">
        <f>IF(المطالبات!C23&lt;&gt;"", "مطالبة", "")</f>
        <v>مطالبة</v>
      </c>
      <c r="C85" t="str">
        <f>IF(المطالبات!C23&lt;&gt;"", "CMH_01-CLM-" &amp; TEXT(المطالبات!A23, "000"), "")</f>
        <v>CMH_01-CLM-021</v>
      </c>
      <c r="D85" t="s">
        <v>281</v>
      </c>
      <c r="E85" t="s">
        <v>278</v>
      </c>
      <c r="F85" t="str">
        <f>IF(C85&lt;&gt;"", C85 &amp; "-TECHREPORT.pdf", "")</f>
        <v>CMH_01-CLM-021-TECHREPORT.pdf</v>
      </c>
      <c r="G85" t="s">
        <v>279</v>
      </c>
    </row>
    <row r="86" spans="1:7">
      <c r="A86">
        <v>83</v>
      </c>
      <c r="B86" t="str">
        <f>IF(المطالبات!C23&lt;&gt;"", "مطالبة", "")</f>
        <v>مطالبة</v>
      </c>
      <c r="C86" t="str">
        <f>IF(المطالبات!C23&lt;&gt;"", "CMH_01-CLM-" &amp; TEXT(المطالبات!A23, "000"), "")</f>
        <v>CMH_01-CLM-021</v>
      </c>
      <c r="D86" t="s">
        <v>239</v>
      </c>
      <c r="E86" t="s">
        <v>283</v>
      </c>
      <c r="F86" t="str">
        <f>IF(C86&lt;&gt;"", C86 &amp; "-APPROVAL.pdf", "")</f>
        <v>CMH_01-CLM-021-APPROVAL.pdf</v>
      </c>
      <c r="G86" t="s">
        <v>284</v>
      </c>
    </row>
    <row r="87" spans="1:7">
      <c r="A87">
        <v>84</v>
      </c>
      <c r="B87" t="str">
        <f>IF(المطالبات!C23&lt;&gt;"", "مطالبة", "")</f>
        <v>مطالبة</v>
      </c>
      <c r="C87" t="str">
        <f>IF(المطالبات!C23&lt;&gt;"", "CMH_01-CLM-" &amp; TEXT(المطالبات!A23, "000"), "")</f>
        <v>CMH_01-CLM-021</v>
      </c>
      <c r="D87" t="s">
        <v>285</v>
      </c>
      <c r="E87" t="s">
        <v>283</v>
      </c>
      <c r="F87" t="str">
        <f>IF(C87&lt;&gt;"", C87 &amp; "-CERTIFICATE.pdf", "")</f>
        <v>CMH_01-CLM-021-CERTIFICATE.pdf</v>
      </c>
      <c r="G87" t="s">
        <v>286</v>
      </c>
    </row>
    <row r="88" spans="1:7">
      <c r="A88">
        <v>85</v>
      </c>
      <c r="B88" t="e">
        <f>IF(المطالبات!#REF!&lt;&gt;"", "مطالبة", "")</f>
        <v>#REF!</v>
      </c>
      <c r="C88" t="e">
        <f>IF(المطالبات!#REF!&lt;&gt;"", "CMH_01-CLM-" &amp; TEXT(المطالبات!#REF!, "000"), "")</f>
        <v>#REF!</v>
      </c>
      <c r="D88" t="s">
        <v>277</v>
      </c>
      <c r="E88" t="s">
        <v>278</v>
      </c>
      <c r="F88" t="e">
        <f>IF(C88&lt;&gt;"", C88 &amp; "-INVOICE.pdf", "")</f>
        <v>#REF!</v>
      </c>
      <c r="G88" t="s">
        <v>279</v>
      </c>
    </row>
    <row r="89" spans="1:7">
      <c r="A89">
        <v>86</v>
      </c>
      <c r="B89" t="e">
        <f>IF(المطالبات!#REF!&lt;&gt;"", "مطالبة", "")</f>
        <v>#REF!</v>
      </c>
      <c r="C89" t="e">
        <f>IF(المطالبات!#REF!&lt;&gt;"", "CMH_01-CLM-" &amp; TEXT(المطالبات!#REF!, "000"), "")</f>
        <v>#REF!</v>
      </c>
      <c r="D89" t="s">
        <v>281</v>
      </c>
      <c r="E89" t="s">
        <v>278</v>
      </c>
      <c r="F89" t="e">
        <f>IF(C89&lt;&gt;"", C89 &amp; "-TECHREPORT.pdf", "")</f>
        <v>#REF!</v>
      </c>
      <c r="G89" t="s">
        <v>279</v>
      </c>
    </row>
    <row r="90" spans="1:7">
      <c r="A90">
        <v>87</v>
      </c>
      <c r="B90" t="e">
        <f>IF(المطالبات!#REF!&lt;&gt;"", "مطالبة", "")</f>
        <v>#REF!</v>
      </c>
      <c r="C90" t="e">
        <f>IF(المطالبات!#REF!&lt;&gt;"", "CMH_01-CLM-" &amp; TEXT(المطالبات!#REF!, "000"), "")</f>
        <v>#REF!</v>
      </c>
      <c r="D90" t="s">
        <v>239</v>
      </c>
      <c r="E90" t="s">
        <v>283</v>
      </c>
      <c r="F90" t="e">
        <f>IF(C90&lt;&gt;"", C90 &amp; "-APPROVAL.pdf", "")</f>
        <v>#REF!</v>
      </c>
      <c r="G90" t="s">
        <v>284</v>
      </c>
    </row>
    <row r="91" spans="1:7">
      <c r="A91">
        <v>88</v>
      </c>
      <c r="B91" t="e">
        <f>IF(المطالبات!#REF!&lt;&gt;"", "مطالبة", "")</f>
        <v>#REF!</v>
      </c>
      <c r="C91" t="e">
        <f>IF(المطالبات!#REF!&lt;&gt;"", "CMH_01-CLM-" &amp; TEXT(المطالبات!#REF!, "000"), "")</f>
        <v>#REF!</v>
      </c>
      <c r="D91" t="s">
        <v>285</v>
      </c>
      <c r="E91" t="s">
        <v>283</v>
      </c>
      <c r="F91" t="e">
        <f>IF(C91&lt;&gt;"", C91 &amp; "-CERTIFICATE.pdf", "")</f>
        <v>#REF!</v>
      </c>
      <c r="G91" t="s">
        <v>286</v>
      </c>
    </row>
    <row r="92" spans="1:7">
      <c r="A92">
        <v>89</v>
      </c>
      <c r="B92" t="e">
        <f>IF(المطالبات!#REF!&lt;&gt;"", "مطالبة", "")</f>
        <v>#REF!</v>
      </c>
      <c r="C92" t="e">
        <f>IF(المطالبات!#REF!&lt;&gt;"", "CMH_01-CLM-" &amp; TEXT(المطالبات!#REF!, "000"), "")</f>
        <v>#REF!</v>
      </c>
      <c r="D92" t="s">
        <v>277</v>
      </c>
      <c r="E92" t="s">
        <v>278</v>
      </c>
      <c r="F92" t="e">
        <f>IF(C92&lt;&gt;"", C92 &amp; "-INVOICE.pdf", "")</f>
        <v>#REF!</v>
      </c>
      <c r="G92" t="s">
        <v>279</v>
      </c>
    </row>
    <row r="93" spans="1:7">
      <c r="A93">
        <v>90</v>
      </c>
      <c r="B93" t="e">
        <f>IF(المطالبات!#REF!&lt;&gt;"", "مطالبة", "")</f>
        <v>#REF!</v>
      </c>
      <c r="C93" t="e">
        <f>IF(المطالبات!#REF!&lt;&gt;"", "CMH_01-CLM-" &amp; TEXT(المطالبات!#REF!, "000"), "")</f>
        <v>#REF!</v>
      </c>
      <c r="D93" t="s">
        <v>281</v>
      </c>
      <c r="E93" t="s">
        <v>278</v>
      </c>
      <c r="F93" t="e">
        <f>IF(C93&lt;&gt;"", C93 &amp; "-TECHREPORT.pdf", "")</f>
        <v>#REF!</v>
      </c>
      <c r="G93" t="s">
        <v>279</v>
      </c>
    </row>
    <row r="94" spans="1:7">
      <c r="A94">
        <v>91</v>
      </c>
      <c r="B94" t="e">
        <f>IF(المطالبات!#REF!&lt;&gt;"", "مطالبة", "")</f>
        <v>#REF!</v>
      </c>
      <c r="C94" t="e">
        <f>IF(المطالبات!#REF!&lt;&gt;"", "CMH_01-CLM-" &amp; TEXT(المطالبات!#REF!, "000"), "")</f>
        <v>#REF!</v>
      </c>
      <c r="D94" t="s">
        <v>239</v>
      </c>
      <c r="E94" t="s">
        <v>283</v>
      </c>
      <c r="F94" t="e">
        <f>IF(C94&lt;&gt;"", C94 &amp; "-APPROVAL.pdf", "")</f>
        <v>#REF!</v>
      </c>
      <c r="G94" t="s">
        <v>284</v>
      </c>
    </row>
    <row r="95" spans="1:7">
      <c r="A95">
        <v>92</v>
      </c>
      <c r="B95" t="e">
        <f>IF(المطالبات!#REF!&lt;&gt;"", "مطالبة", "")</f>
        <v>#REF!</v>
      </c>
      <c r="C95" t="e">
        <f>IF(المطالبات!#REF!&lt;&gt;"", "CMH_01-CLM-" &amp; TEXT(المطالبات!#REF!, "000"), "")</f>
        <v>#REF!</v>
      </c>
      <c r="D95" t="s">
        <v>285</v>
      </c>
      <c r="E95" t="s">
        <v>283</v>
      </c>
      <c r="F95" t="e">
        <f>IF(C95&lt;&gt;"", C95 &amp; "-CERTIFICATE.pdf", "")</f>
        <v>#REF!</v>
      </c>
      <c r="G95" t="s">
        <v>286</v>
      </c>
    </row>
    <row r="96" spans="1:7">
      <c r="A96">
        <v>93</v>
      </c>
      <c r="B96" t="e">
        <f>IF(المطالبات!#REF!&lt;&gt;"", "مطالبة", "")</f>
        <v>#REF!</v>
      </c>
      <c r="C96" t="e">
        <f>IF(المطالبات!#REF!&lt;&gt;"", "CMH_01-CLM-" &amp; TEXT(المطالبات!#REF!, "000"), "")</f>
        <v>#REF!</v>
      </c>
      <c r="D96" t="s">
        <v>277</v>
      </c>
      <c r="E96" t="s">
        <v>278</v>
      </c>
      <c r="F96" t="e">
        <f>IF(C96&lt;&gt;"", C96 &amp; "-INVOICE.pdf", "")</f>
        <v>#REF!</v>
      </c>
      <c r="G96" t="s">
        <v>279</v>
      </c>
    </row>
    <row r="97" spans="1:7">
      <c r="A97">
        <v>94</v>
      </c>
      <c r="B97" t="e">
        <f>IF(المطالبات!#REF!&lt;&gt;"", "مطالبة", "")</f>
        <v>#REF!</v>
      </c>
      <c r="C97" t="e">
        <f>IF(المطالبات!#REF!&lt;&gt;"", "CMH_01-CLM-" &amp; TEXT(المطالبات!#REF!, "000"), "")</f>
        <v>#REF!</v>
      </c>
      <c r="D97" t="s">
        <v>281</v>
      </c>
      <c r="E97" t="s">
        <v>278</v>
      </c>
      <c r="F97" t="e">
        <f>IF(C97&lt;&gt;"", C97 &amp; "-TECHREPORT.pdf", "")</f>
        <v>#REF!</v>
      </c>
      <c r="G97" t="s">
        <v>279</v>
      </c>
    </row>
    <row r="98" spans="1:7">
      <c r="A98">
        <v>95</v>
      </c>
      <c r="B98" t="e">
        <f>IF(المطالبات!#REF!&lt;&gt;"", "مطالبة", "")</f>
        <v>#REF!</v>
      </c>
      <c r="C98" t="e">
        <f>IF(المطالبات!#REF!&lt;&gt;"", "CMH_01-CLM-" &amp; TEXT(المطالبات!#REF!, "000"), "")</f>
        <v>#REF!</v>
      </c>
      <c r="D98" t="s">
        <v>239</v>
      </c>
      <c r="E98" t="s">
        <v>283</v>
      </c>
      <c r="F98" t="e">
        <f>IF(C98&lt;&gt;"", C98 &amp; "-APPROVAL.pdf", "")</f>
        <v>#REF!</v>
      </c>
      <c r="G98" t="s">
        <v>284</v>
      </c>
    </row>
    <row r="99" spans="1:7">
      <c r="A99">
        <v>96</v>
      </c>
      <c r="B99" t="e">
        <f>IF(المطالبات!#REF!&lt;&gt;"", "مطالبة", "")</f>
        <v>#REF!</v>
      </c>
      <c r="C99" t="e">
        <f>IF(المطالبات!#REF!&lt;&gt;"", "CMH_01-CLM-" &amp; TEXT(المطالبات!#REF!, "000"), "")</f>
        <v>#REF!</v>
      </c>
      <c r="D99" t="s">
        <v>285</v>
      </c>
      <c r="E99" t="s">
        <v>283</v>
      </c>
      <c r="F99" t="e">
        <f>IF(C99&lt;&gt;"", C99 &amp; "-CERTIFICATE.pdf", "")</f>
        <v>#REF!</v>
      </c>
      <c r="G99" t="s">
        <v>286</v>
      </c>
    </row>
    <row r="100" spans="1:7">
      <c r="A100">
        <v>97</v>
      </c>
      <c r="B100" t="e">
        <f>IF(المطالبات!#REF!&lt;&gt;"", "مطالبة", "")</f>
        <v>#REF!</v>
      </c>
      <c r="C100" t="e">
        <f>IF(المطالبات!#REF!&lt;&gt;"", "CMH_01-CLM-" &amp; TEXT(المطالبات!#REF!, "000"), "")</f>
        <v>#REF!</v>
      </c>
      <c r="D100" t="s">
        <v>277</v>
      </c>
      <c r="E100" t="s">
        <v>278</v>
      </c>
      <c r="F100" t="e">
        <f>IF(C100&lt;&gt;"", C100 &amp; "-INVOICE.pdf", "")</f>
        <v>#REF!</v>
      </c>
      <c r="G100" t="s">
        <v>279</v>
      </c>
    </row>
    <row r="101" spans="1:7">
      <c r="A101">
        <v>98</v>
      </c>
      <c r="B101" t="e">
        <f>IF(المطالبات!#REF!&lt;&gt;"", "مطالبة", "")</f>
        <v>#REF!</v>
      </c>
      <c r="C101" t="e">
        <f>IF(المطالبات!#REF!&lt;&gt;"", "CMH_01-CLM-" &amp; TEXT(المطالبات!#REF!, "000"), "")</f>
        <v>#REF!</v>
      </c>
      <c r="D101" t="s">
        <v>281</v>
      </c>
      <c r="E101" t="s">
        <v>278</v>
      </c>
      <c r="F101" t="e">
        <f>IF(C101&lt;&gt;"", C101 &amp; "-TECHREPORT.pdf", "")</f>
        <v>#REF!</v>
      </c>
      <c r="G101" t="s">
        <v>279</v>
      </c>
    </row>
    <row r="102" spans="1:7">
      <c r="A102">
        <v>99</v>
      </c>
      <c r="B102" t="e">
        <f>IF(المطالبات!#REF!&lt;&gt;"", "مطالبة", "")</f>
        <v>#REF!</v>
      </c>
      <c r="C102" t="e">
        <f>IF(المطالبات!#REF!&lt;&gt;"", "CMH_01-CLM-" &amp; TEXT(المطالبات!#REF!, "000"), "")</f>
        <v>#REF!</v>
      </c>
      <c r="D102" t="s">
        <v>239</v>
      </c>
      <c r="E102" t="s">
        <v>283</v>
      </c>
      <c r="F102" t="e">
        <f>IF(C102&lt;&gt;"", C102 &amp; "-APPROVAL.pdf", "")</f>
        <v>#REF!</v>
      </c>
      <c r="G102" t="s">
        <v>284</v>
      </c>
    </row>
    <row r="103" spans="1:7">
      <c r="A103">
        <v>100</v>
      </c>
      <c r="B103" t="e">
        <f>IF(المطالبات!#REF!&lt;&gt;"", "مطالبة", "")</f>
        <v>#REF!</v>
      </c>
      <c r="C103" t="e">
        <f>IF(المطالبات!#REF!&lt;&gt;"", "CMH_01-CLM-" &amp; TEXT(المطالبات!#REF!, "000"), "")</f>
        <v>#REF!</v>
      </c>
      <c r="D103" t="s">
        <v>285</v>
      </c>
      <c r="E103" t="s">
        <v>283</v>
      </c>
      <c r="F103" t="e">
        <f>IF(C103&lt;&gt;"", C103 &amp; "-CERTIFICATE.pdf", "")</f>
        <v>#REF!</v>
      </c>
      <c r="G103" t="s">
        <v>286</v>
      </c>
    </row>
    <row r="104" spans="1:7">
      <c r="A104">
        <v>101</v>
      </c>
      <c r="B104" t="e">
        <f>IF(المطالبات!#REF!&lt;&gt;"", "مطالبة", "")</f>
        <v>#REF!</v>
      </c>
      <c r="C104" t="e">
        <f>IF(المطالبات!#REF!&lt;&gt;"", "CMH_01-CLM-" &amp; TEXT(المطالبات!#REF!, "000"), "")</f>
        <v>#REF!</v>
      </c>
      <c r="D104" t="s">
        <v>277</v>
      </c>
      <c r="E104" t="s">
        <v>278</v>
      </c>
      <c r="F104" t="e">
        <f>IF(C104&lt;&gt;"", C104 &amp; "-INVOICE.pdf", "")</f>
        <v>#REF!</v>
      </c>
      <c r="G104" t="s">
        <v>279</v>
      </c>
    </row>
    <row r="105" spans="1:7">
      <c r="A105">
        <v>102</v>
      </c>
      <c r="B105" t="e">
        <f>IF(المطالبات!#REF!&lt;&gt;"", "مطالبة", "")</f>
        <v>#REF!</v>
      </c>
      <c r="C105" t="e">
        <f>IF(المطالبات!#REF!&lt;&gt;"", "CMH_01-CLM-" &amp; TEXT(المطالبات!#REF!, "000"), "")</f>
        <v>#REF!</v>
      </c>
      <c r="D105" t="s">
        <v>281</v>
      </c>
      <c r="E105" t="s">
        <v>278</v>
      </c>
      <c r="F105" t="e">
        <f>IF(C105&lt;&gt;"", C105 &amp; "-TECHREPORT.pdf", "")</f>
        <v>#REF!</v>
      </c>
      <c r="G105" t="s">
        <v>279</v>
      </c>
    </row>
    <row r="106" spans="1:7">
      <c r="A106">
        <v>103</v>
      </c>
      <c r="B106" t="e">
        <f>IF(المطالبات!#REF!&lt;&gt;"", "مطالبة", "")</f>
        <v>#REF!</v>
      </c>
      <c r="C106" t="e">
        <f>IF(المطالبات!#REF!&lt;&gt;"", "CMH_01-CLM-" &amp; TEXT(المطالبات!#REF!, "000"), "")</f>
        <v>#REF!</v>
      </c>
      <c r="D106" t="s">
        <v>239</v>
      </c>
      <c r="E106" t="s">
        <v>283</v>
      </c>
      <c r="F106" t="e">
        <f>IF(C106&lt;&gt;"", C106 &amp; "-APPROVAL.pdf", "")</f>
        <v>#REF!</v>
      </c>
      <c r="G106" t="s">
        <v>284</v>
      </c>
    </row>
    <row r="107" spans="1:7">
      <c r="A107">
        <v>104</v>
      </c>
      <c r="B107" t="e">
        <f>IF(المطالبات!#REF!&lt;&gt;"", "مطالبة", "")</f>
        <v>#REF!</v>
      </c>
      <c r="C107" t="e">
        <f>IF(المطالبات!#REF!&lt;&gt;"", "CMH_01-CLM-" &amp; TEXT(المطالبات!#REF!, "000"), "")</f>
        <v>#REF!</v>
      </c>
      <c r="D107" t="s">
        <v>285</v>
      </c>
      <c r="E107" t="s">
        <v>283</v>
      </c>
      <c r="F107" t="e">
        <f>IF(C107&lt;&gt;"", C107 &amp; "-CERTIFICATE.pdf", "")</f>
        <v>#REF!</v>
      </c>
      <c r="G107" t="s">
        <v>286</v>
      </c>
    </row>
    <row r="108" spans="1:7">
      <c r="A108">
        <v>105</v>
      </c>
      <c r="B108" t="e">
        <f>IF(المطالبات!#REF!&lt;&gt;"", "مطالبة", "")</f>
        <v>#REF!</v>
      </c>
      <c r="C108" t="e">
        <f>IF(المطالبات!#REF!&lt;&gt;"", "CMH_01-CLM-" &amp; TEXT(المطالبات!#REF!, "000"), "")</f>
        <v>#REF!</v>
      </c>
      <c r="D108" t="s">
        <v>277</v>
      </c>
      <c r="E108" t="s">
        <v>278</v>
      </c>
      <c r="F108" t="e">
        <f>IF(C108&lt;&gt;"", C108 &amp; "-INVOICE.pdf", "")</f>
        <v>#REF!</v>
      </c>
      <c r="G108" t="s">
        <v>279</v>
      </c>
    </row>
    <row r="109" spans="1:7">
      <c r="A109">
        <v>106</v>
      </c>
      <c r="B109" t="e">
        <f>IF(المطالبات!#REF!&lt;&gt;"", "مطالبة", "")</f>
        <v>#REF!</v>
      </c>
      <c r="C109" t="e">
        <f>IF(المطالبات!#REF!&lt;&gt;"", "CMH_01-CLM-" &amp; TEXT(المطالبات!#REF!, "000"), "")</f>
        <v>#REF!</v>
      </c>
      <c r="D109" t="s">
        <v>281</v>
      </c>
      <c r="E109" t="s">
        <v>278</v>
      </c>
      <c r="F109" t="e">
        <f>IF(C109&lt;&gt;"", C109 &amp; "-TECHREPORT.pdf", "")</f>
        <v>#REF!</v>
      </c>
      <c r="G109" t="s">
        <v>279</v>
      </c>
    </row>
    <row r="110" spans="1:7">
      <c r="A110">
        <v>107</v>
      </c>
      <c r="B110" t="e">
        <f>IF(المطالبات!#REF!&lt;&gt;"", "مطالبة", "")</f>
        <v>#REF!</v>
      </c>
      <c r="C110" t="e">
        <f>IF(المطالبات!#REF!&lt;&gt;"", "CMH_01-CLM-" &amp; TEXT(المطالبات!#REF!, "000"), "")</f>
        <v>#REF!</v>
      </c>
      <c r="D110" t="s">
        <v>239</v>
      </c>
      <c r="E110" t="s">
        <v>283</v>
      </c>
      <c r="F110" t="e">
        <f>IF(C110&lt;&gt;"", C110 &amp; "-APPROVAL.pdf", "")</f>
        <v>#REF!</v>
      </c>
      <c r="G110" t="s">
        <v>284</v>
      </c>
    </row>
    <row r="111" spans="1:7">
      <c r="A111">
        <v>108</v>
      </c>
      <c r="B111" t="e">
        <f>IF(المطالبات!#REF!&lt;&gt;"", "مطالبة", "")</f>
        <v>#REF!</v>
      </c>
      <c r="C111" t="e">
        <f>IF(المطالبات!#REF!&lt;&gt;"", "CMH_01-CLM-" &amp; TEXT(المطالبات!#REF!, "000"), "")</f>
        <v>#REF!</v>
      </c>
      <c r="D111" t="s">
        <v>285</v>
      </c>
      <c r="E111" t="s">
        <v>283</v>
      </c>
      <c r="F111" t="e">
        <f>IF(C111&lt;&gt;"", C111 &amp; "-CERTIFICATE.pdf", "")</f>
        <v>#REF!</v>
      </c>
      <c r="G111" t="s">
        <v>286</v>
      </c>
    </row>
    <row r="112" spans="1:7">
      <c r="A112">
        <v>109</v>
      </c>
      <c r="B112" t="e">
        <f>IF(المطالبات!#REF!&lt;&gt;"", "مطالبة", "")</f>
        <v>#REF!</v>
      </c>
      <c r="C112" t="e">
        <f>IF(المطالبات!#REF!&lt;&gt;"", "CMH_01-CLM-" &amp; TEXT(المطالبات!#REF!, "000"), "")</f>
        <v>#REF!</v>
      </c>
      <c r="D112" t="s">
        <v>277</v>
      </c>
      <c r="E112" t="s">
        <v>278</v>
      </c>
      <c r="F112" t="e">
        <f>IF(C112&lt;&gt;"", C112 &amp; "-INVOICE.pdf", "")</f>
        <v>#REF!</v>
      </c>
      <c r="G112" t="s">
        <v>279</v>
      </c>
    </row>
    <row r="113" spans="1:7">
      <c r="A113">
        <v>110</v>
      </c>
      <c r="B113" t="e">
        <f>IF(المطالبات!#REF!&lt;&gt;"", "مطالبة", "")</f>
        <v>#REF!</v>
      </c>
      <c r="C113" t="e">
        <f>IF(المطالبات!#REF!&lt;&gt;"", "CMH_01-CLM-" &amp; TEXT(المطالبات!#REF!, "000"), "")</f>
        <v>#REF!</v>
      </c>
      <c r="D113" t="s">
        <v>281</v>
      </c>
      <c r="E113" t="s">
        <v>278</v>
      </c>
      <c r="F113" t="e">
        <f>IF(C113&lt;&gt;"", C113 &amp; "-TECHREPORT.pdf", "")</f>
        <v>#REF!</v>
      </c>
      <c r="G113" t="s">
        <v>279</v>
      </c>
    </row>
    <row r="114" spans="1:7">
      <c r="A114">
        <v>111</v>
      </c>
      <c r="B114" t="e">
        <f>IF(المطالبات!#REF!&lt;&gt;"", "مطالبة", "")</f>
        <v>#REF!</v>
      </c>
      <c r="C114" t="e">
        <f>IF(المطالبات!#REF!&lt;&gt;"", "CMH_01-CLM-" &amp; TEXT(المطالبات!#REF!, "000"), "")</f>
        <v>#REF!</v>
      </c>
      <c r="D114" t="s">
        <v>239</v>
      </c>
      <c r="E114" t="s">
        <v>283</v>
      </c>
      <c r="F114" t="e">
        <f>IF(C114&lt;&gt;"", C114 &amp; "-APPROVAL.pdf", "")</f>
        <v>#REF!</v>
      </c>
      <c r="G114" t="s">
        <v>284</v>
      </c>
    </row>
    <row r="115" spans="1:7">
      <c r="A115">
        <v>112</v>
      </c>
      <c r="B115" t="e">
        <f>IF(المطالبات!#REF!&lt;&gt;"", "مطالبة", "")</f>
        <v>#REF!</v>
      </c>
      <c r="C115" t="e">
        <f>IF(المطالبات!#REF!&lt;&gt;"", "CMH_01-CLM-" &amp; TEXT(المطالبات!#REF!, "000"), "")</f>
        <v>#REF!</v>
      </c>
      <c r="D115" t="s">
        <v>285</v>
      </c>
      <c r="E115" t="s">
        <v>283</v>
      </c>
      <c r="F115" t="e">
        <f>IF(C115&lt;&gt;"", C115 &amp; "-CERTIFICATE.pdf", "")</f>
        <v>#REF!</v>
      </c>
      <c r="G115" t="s">
        <v>286</v>
      </c>
    </row>
    <row r="116" spans="1:7">
      <c r="A116">
        <v>113</v>
      </c>
      <c r="B116" t="e">
        <f>IF(المطالبات!#REF!&lt;&gt;"", "مطالبة", "")</f>
        <v>#REF!</v>
      </c>
      <c r="C116" t="e">
        <f>IF(المطالبات!#REF!&lt;&gt;"", "CMH_01-CLM-" &amp; TEXT(المطالبات!#REF!, "000"), "")</f>
        <v>#REF!</v>
      </c>
      <c r="D116" t="s">
        <v>277</v>
      </c>
      <c r="E116" t="s">
        <v>278</v>
      </c>
      <c r="F116" t="e">
        <f>IF(C116&lt;&gt;"", C116 &amp; "-INVOICE.pdf", "")</f>
        <v>#REF!</v>
      </c>
      <c r="G116" t="s">
        <v>279</v>
      </c>
    </row>
    <row r="117" spans="1:7">
      <c r="A117">
        <v>114</v>
      </c>
      <c r="B117" t="e">
        <f>IF(المطالبات!#REF!&lt;&gt;"", "مطالبة", "")</f>
        <v>#REF!</v>
      </c>
      <c r="C117" t="e">
        <f>IF(المطالبات!#REF!&lt;&gt;"", "CMH_01-CLM-" &amp; TEXT(المطالبات!#REF!, "000"), "")</f>
        <v>#REF!</v>
      </c>
      <c r="D117" t="s">
        <v>281</v>
      </c>
      <c r="E117" t="s">
        <v>278</v>
      </c>
      <c r="F117" t="e">
        <f>IF(C117&lt;&gt;"", C117 &amp; "-TECHREPORT.pdf", "")</f>
        <v>#REF!</v>
      </c>
      <c r="G117" t="s">
        <v>279</v>
      </c>
    </row>
    <row r="118" spans="1:7">
      <c r="A118">
        <v>115</v>
      </c>
      <c r="B118" t="e">
        <f>IF(المطالبات!#REF!&lt;&gt;"", "مطالبة", "")</f>
        <v>#REF!</v>
      </c>
      <c r="C118" t="e">
        <f>IF(المطالبات!#REF!&lt;&gt;"", "CMH_01-CLM-" &amp; TEXT(المطالبات!#REF!, "000"), "")</f>
        <v>#REF!</v>
      </c>
      <c r="D118" t="s">
        <v>239</v>
      </c>
      <c r="E118" t="s">
        <v>283</v>
      </c>
      <c r="F118" t="e">
        <f>IF(C118&lt;&gt;"", C118 &amp; "-APPROVAL.pdf", "")</f>
        <v>#REF!</v>
      </c>
      <c r="G118" t="s">
        <v>284</v>
      </c>
    </row>
    <row r="119" spans="1:7">
      <c r="A119">
        <v>116</v>
      </c>
      <c r="B119" t="e">
        <f>IF(المطالبات!#REF!&lt;&gt;"", "مطالبة", "")</f>
        <v>#REF!</v>
      </c>
      <c r="C119" t="e">
        <f>IF(المطالبات!#REF!&lt;&gt;"", "CMH_01-CLM-" &amp; TEXT(المطالبات!#REF!, "000"), "")</f>
        <v>#REF!</v>
      </c>
      <c r="D119" t="s">
        <v>285</v>
      </c>
      <c r="E119" t="s">
        <v>283</v>
      </c>
      <c r="F119" t="e">
        <f>IF(C119&lt;&gt;"", C119 &amp; "-CERTIFICATE.pdf", "")</f>
        <v>#REF!</v>
      </c>
      <c r="G119" t="s">
        <v>286</v>
      </c>
    </row>
    <row r="120" spans="1:7">
      <c r="A120">
        <v>117</v>
      </c>
      <c r="B120" t="e">
        <f>IF(المطالبات!#REF!&lt;&gt;"", "مطالبة", "")</f>
        <v>#REF!</v>
      </c>
      <c r="C120" t="e">
        <f>IF(المطالبات!#REF!&lt;&gt;"", "CMH_01-CLM-" &amp; TEXT(المطالبات!#REF!, "000"), "")</f>
        <v>#REF!</v>
      </c>
      <c r="D120" t="s">
        <v>277</v>
      </c>
      <c r="E120" t="s">
        <v>278</v>
      </c>
      <c r="F120" t="e">
        <f>IF(C120&lt;&gt;"", C120 &amp; "-INVOICE.pdf", "")</f>
        <v>#REF!</v>
      </c>
      <c r="G120" t="s">
        <v>279</v>
      </c>
    </row>
    <row r="121" spans="1:7">
      <c r="A121">
        <v>118</v>
      </c>
      <c r="B121" t="e">
        <f>IF(المطالبات!#REF!&lt;&gt;"", "مطالبة", "")</f>
        <v>#REF!</v>
      </c>
      <c r="C121" t="e">
        <f>IF(المطالبات!#REF!&lt;&gt;"", "CMH_01-CLM-" &amp; TEXT(المطالبات!#REF!, "000"), "")</f>
        <v>#REF!</v>
      </c>
      <c r="D121" t="s">
        <v>281</v>
      </c>
      <c r="E121" t="s">
        <v>278</v>
      </c>
      <c r="F121" t="e">
        <f>IF(C121&lt;&gt;"", C121 &amp; "-TECHREPORT.pdf", "")</f>
        <v>#REF!</v>
      </c>
      <c r="G121" t="s">
        <v>279</v>
      </c>
    </row>
    <row r="122" spans="1:7">
      <c r="A122">
        <v>119</v>
      </c>
      <c r="B122" t="e">
        <f>IF(المطالبات!#REF!&lt;&gt;"", "مطالبة", "")</f>
        <v>#REF!</v>
      </c>
      <c r="C122" t="e">
        <f>IF(المطالبات!#REF!&lt;&gt;"", "CMH_01-CLM-" &amp; TEXT(المطالبات!#REF!, "000"), "")</f>
        <v>#REF!</v>
      </c>
      <c r="D122" t="s">
        <v>239</v>
      </c>
      <c r="E122" t="s">
        <v>283</v>
      </c>
      <c r="F122" t="e">
        <f>IF(C122&lt;&gt;"", C122 &amp; "-APPROVAL.pdf", "")</f>
        <v>#REF!</v>
      </c>
      <c r="G122" t="s">
        <v>284</v>
      </c>
    </row>
    <row r="123" spans="1:7">
      <c r="A123">
        <v>120</v>
      </c>
      <c r="B123" t="e">
        <f>IF(المطالبات!#REF!&lt;&gt;"", "مطالبة", "")</f>
        <v>#REF!</v>
      </c>
      <c r="C123" t="e">
        <f>IF(المطالبات!#REF!&lt;&gt;"", "CMH_01-CLM-" &amp; TEXT(المطالبات!#REF!, "000"), "")</f>
        <v>#REF!</v>
      </c>
      <c r="D123" t="s">
        <v>285</v>
      </c>
      <c r="E123" t="s">
        <v>283</v>
      </c>
      <c r="F123" t="e">
        <f>IF(C123&lt;&gt;"", C123 &amp; "-CERTIFICATE.pdf", "")</f>
        <v>#REF!</v>
      </c>
      <c r="G123" t="s">
        <v>286</v>
      </c>
    </row>
    <row r="124" spans="1:7">
      <c r="A124">
        <v>121</v>
      </c>
      <c r="B124" t="e">
        <f>IF(المطالبات!#REF!&lt;&gt;"", "مطالبة", "")</f>
        <v>#REF!</v>
      </c>
      <c r="C124" t="e">
        <f>IF(المطالبات!#REF!&lt;&gt;"", "CMH_01-CLM-" &amp; TEXT(المطالبات!#REF!, "000"), "")</f>
        <v>#REF!</v>
      </c>
      <c r="D124" t="s">
        <v>277</v>
      </c>
      <c r="E124" t="s">
        <v>278</v>
      </c>
      <c r="F124" t="e">
        <f>IF(C124&lt;&gt;"", C124 &amp; "-INVOICE.pdf", "")</f>
        <v>#REF!</v>
      </c>
      <c r="G124" t="s">
        <v>279</v>
      </c>
    </row>
    <row r="125" spans="1:7">
      <c r="A125">
        <v>122</v>
      </c>
      <c r="B125" t="e">
        <f>IF(المطالبات!#REF!&lt;&gt;"", "مطالبة", "")</f>
        <v>#REF!</v>
      </c>
      <c r="C125" t="e">
        <f>IF(المطالبات!#REF!&lt;&gt;"", "CMH_01-CLM-" &amp; TEXT(المطالبات!#REF!, "000"), "")</f>
        <v>#REF!</v>
      </c>
      <c r="D125" t="s">
        <v>281</v>
      </c>
      <c r="E125" t="s">
        <v>278</v>
      </c>
      <c r="F125" t="e">
        <f>IF(C125&lt;&gt;"", C125 &amp; "-TECHREPORT.pdf", "")</f>
        <v>#REF!</v>
      </c>
      <c r="G125" t="s">
        <v>279</v>
      </c>
    </row>
    <row r="126" spans="1:7">
      <c r="A126">
        <v>123</v>
      </c>
      <c r="B126" t="e">
        <f>IF(المطالبات!#REF!&lt;&gt;"", "مطالبة", "")</f>
        <v>#REF!</v>
      </c>
      <c r="C126" t="e">
        <f>IF(المطالبات!#REF!&lt;&gt;"", "CMH_01-CLM-" &amp; TEXT(المطالبات!#REF!, "000"), "")</f>
        <v>#REF!</v>
      </c>
      <c r="D126" t="s">
        <v>239</v>
      </c>
      <c r="E126" t="s">
        <v>283</v>
      </c>
      <c r="F126" t="e">
        <f>IF(C126&lt;&gt;"", C126 &amp; "-APPROVAL.pdf", "")</f>
        <v>#REF!</v>
      </c>
      <c r="G126" t="s">
        <v>284</v>
      </c>
    </row>
    <row r="127" spans="1:7">
      <c r="A127">
        <v>124</v>
      </c>
      <c r="B127" t="e">
        <f>IF(المطالبات!#REF!&lt;&gt;"", "مطالبة", "")</f>
        <v>#REF!</v>
      </c>
      <c r="C127" t="e">
        <f>IF(المطالبات!#REF!&lt;&gt;"", "CMH_01-CLM-" &amp; TEXT(المطالبات!#REF!, "000"), "")</f>
        <v>#REF!</v>
      </c>
      <c r="D127" t="s">
        <v>285</v>
      </c>
      <c r="E127" t="s">
        <v>283</v>
      </c>
      <c r="F127" t="e">
        <f>IF(C127&lt;&gt;"", C127 &amp; "-CERTIFICATE.pdf", "")</f>
        <v>#REF!</v>
      </c>
      <c r="G127" t="s">
        <v>286</v>
      </c>
    </row>
    <row r="128" spans="1:7">
      <c r="A128">
        <v>125</v>
      </c>
      <c r="B128" t="e">
        <f>IF(المطالبات!#REF!&lt;&gt;"", "مطالبة", "")</f>
        <v>#REF!</v>
      </c>
      <c r="C128" t="e">
        <f>IF(المطالبات!#REF!&lt;&gt;"", "CMH_01-CLM-" &amp; TEXT(المطالبات!#REF!, "000"), "")</f>
        <v>#REF!</v>
      </c>
      <c r="D128" t="s">
        <v>277</v>
      </c>
      <c r="E128" t="s">
        <v>278</v>
      </c>
      <c r="F128" t="e">
        <f>IF(C128&lt;&gt;"", C128 &amp; "-INVOICE.pdf", "")</f>
        <v>#REF!</v>
      </c>
      <c r="G128" t="s">
        <v>279</v>
      </c>
    </row>
    <row r="129" spans="1:7">
      <c r="A129">
        <v>126</v>
      </c>
      <c r="B129" t="e">
        <f>IF(المطالبات!#REF!&lt;&gt;"", "مطالبة", "")</f>
        <v>#REF!</v>
      </c>
      <c r="C129" t="e">
        <f>IF(المطالبات!#REF!&lt;&gt;"", "CMH_01-CLM-" &amp; TEXT(المطالبات!#REF!, "000"), "")</f>
        <v>#REF!</v>
      </c>
      <c r="D129" t="s">
        <v>281</v>
      </c>
      <c r="E129" t="s">
        <v>278</v>
      </c>
      <c r="F129" t="e">
        <f>IF(C129&lt;&gt;"", C129 &amp; "-TECHREPORT.pdf", "")</f>
        <v>#REF!</v>
      </c>
      <c r="G129" t="s">
        <v>279</v>
      </c>
    </row>
    <row r="130" spans="1:7">
      <c r="A130">
        <v>127</v>
      </c>
      <c r="B130" t="e">
        <f>IF(المطالبات!#REF!&lt;&gt;"", "مطالبة", "")</f>
        <v>#REF!</v>
      </c>
      <c r="C130" t="e">
        <f>IF(المطالبات!#REF!&lt;&gt;"", "CMH_01-CLM-" &amp; TEXT(المطالبات!#REF!, "000"), "")</f>
        <v>#REF!</v>
      </c>
      <c r="D130" t="s">
        <v>239</v>
      </c>
      <c r="E130" t="s">
        <v>283</v>
      </c>
      <c r="F130" t="e">
        <f>IF(C130&lt;&gt;"", C130 &amp; "-APPROVAL.pdf", "")</f>
        <v>#REF!</v>
      </c>
      <c r="G130" t="s">
        <v>284</v>
      </c>
    </row>
    <row r="131" spans="1:7">
      <c r="A131">
        <v>128</v>
      </c>
      <c r="B131" t="e">
        <f>IF(المطالبات!#REF!&lt;&gt;"", "مطالبة", "")</f>
        <v>#REF!</v>
      </c>
      <c r="C131" t="e">
        <f>IF(المطالبات!#REF!&lt;&gt;"", "CMH_01-CLM-" &amp; TEXT(المطالبات!#REF!, "000"), "")</f>
        <v>#REF!</v>
      </c>
      <c r="D131" t="s">
        <v>285</v>
      </c>
      <c r="E131" t="s">
        <v>283</v>
      </c>
      <c r="F131" t="e">
        <f>IF(C131&lt;&gt;"", C131 &amp; "-CERTIFICATE.pdf", "")</f>
        <v>#REF!</v>
      </c>
      <c r="G131" t="s">
        <v>286</v>
      </c>
    </row>
    <row r="132" spans="1:7">
      <c r="A132">
        <v>129</v>
      </c>
      <c r="B132" t="e">
        <f>IF(المطالبات!#REF!&lt;&gt;"", "مطالبة", "")</f>
        <v>#REF!</v>
      </c>
      <c r="C132" t="e">
        <f>IF(المطالبات!#REF!&lt;&gt;"", "CMH_01-CLM-" &amp; TEXT(المطالبات!#REF!, "000"), "")</f>
        <v>#REF!</v>
      </c>
      <c r="D132" t="s">
        <v>277</v>
      </c>
      <c r="E132" t="s">
        <v>278</v>
      </c>
      <c r="F132" t="e">
        <f>IF(C132&lt;&gt;"", C132 &amp; "-INVOICE.pdf", "")</f>
        <v>#REF!</v>
      </c>
      <c r="G132" t="s">
        <v>279</v>
      </c>
    </row>
    <row r="133" spans="1:7">
      <c r="A133">
        <v>130</v>
      </c>
      <c r="B133" t="e">
        <f>IF(المطالبات!#REF!&lt;&gt;"", "مطالبة", "")</f>
        <v>#REF!</v>
      </c>
      <c r="C133" t="e">
        <f>IF(المطالبات!#REF!&lt;&gt;"", "CMH_01-CLM-" &amp; TEXT(المطالبات!#REF!, "000"), "")</f>
        <v>#REF!</v>
      </c>
      <c r="D133" t="s">
        <v>281</v>
      </c>
      <c r="E133" t="s">
        <v>278</v>
      </c>
      <c r="F133" t="e">
        <f>IF(C133&lt;&gt;"", C133 &amp; "-TECHREPORT.pdf", "")</f>
        <v>#REF!</v>
      </c>
      <c r="G133" t="s">
        <v>279</v>
      </c>
    </row>
    <row r="134" spans="1:7">
      <c r="A134">
        <v>131</v>
      </c>
      <c r="B134" t="e">
        <f>IF(المطالبات!#REF!&lt;&gt;"", "مطالبة", "")</f>
        <v>#REF!</v>
      </c>
      <c r="C134" t="e">
        <f>IF(المطالبات!#REF!&lt;&gt;"", "CMH_01-CLM-" &amp; TEXT(المطالبات!#REF!, "000"), "")</f>
        <v>#REF!</v>
      </c>
      <c r="D134" t="s">
        <v>239</v>
      </c>
      <c r="E134" t="s">
        <v>283</v>
      </c>
      <c r="F134" t="e">
        <f>IF(C134&lt;&gt;"", C134 &amp; "-APPROVAL.pdf", "")</f>
        <v>#REF!</v>
      </c>
      <c r="G134" t="s">
        <v>284</v>
      </c>
    </row>
    <row r="135" spans="1:7">
      <c r="A135">
        <v>132</v>
      </c>
      <c r="B135" t="e">
        <f>IF(المطالبات!#REF!&lt;&gt;"", "مطالبة", "")</f>
        <v>#REF!</v>
      </c>
      <c r="C135" t="e">
        <f>IF(المطالبات!#REF!&lt;&gt;"", "CMH_01-CLM-" &amp; TEXT(المطالبات!#REF!, "000"), "")</f>
        <v>#REF!</v>
      </c>
      <c r="D135" t="s">
        <v>285</v>
      </c>
      <c r="E135" t="s">
        <v>283</v>
      </c>
      <c r="F135" t="e">
        <f>IF(C135&lt;&gt;"", C135 &amp; "-CERTIFICATE.pdf", "")</f>
        <v>#REF!</v>
      </c>
      <c r="G135" t="s">
        <v>286</v>
      </c>
    </row>
    <row r="136" spans="1:7">
      <c r="A136">
        <v>133</v>
      </c>
      <c r="B136" t="e">
        <f>IF(المطالبات!#REF!&lt;&gt;"", "مطالبة", "")</f>
        <v>#REF!</v>
      </c>
      <c r="C136" t="e">
        <f>IF(المطالبات!#REF!&lt;&gt;"", "CMH_01-CLM-" &amp; TEXT(المطالبات!#REF!, "000"), "")</f>
        <v>#REF!</v>
      </c>
      <c r="D136" t="s">
        <v>277</v>
      </c>
      <c r="E136" t="s">
        <v>278</v>
      </c>
      <c r="F136" t="e">
        <f>IF(C136&lt;&gt;"", C136 &amp; "-INVOICE.pdf", "")</f>
        <v>#REF!</v>
      </c>
      <c r="G136" t="s">
        <v>279</v>
      </c>
    </row>
    <row r="137" spans="1:7">
      <c r="A137">
        <v>134</v>
      </c>
      <c r="B137" t="e">
        <f>IF(المطالبات!#REF!&lt;&gt;"", "مطالبة", "")</f>
        <v>#REF!</v>
      </c>
      <c r="C137" t="e">
        <f>IF(المطالبات!#REF!&lt;&gt;"", "CMH_01-CLM-" &amp; TEXT(المطالبات!#REF!, "000"), "")</f>
        <v>#REF!</v>
      </c>
      <c r="D137" t="s">
        <v>281</v>
      </c>
      <c r="E137" t="s">
        <v>278</v>
      </c>
      <c r="F137" t="e">
        <f>IF(C137&lt;&gt;"", C137 &amp; "-TECHREPORT.pdf", "")</f>
        <v>#REF!</v>
      </c>
      <c r="G137" t="s">
        <v>279</v>
      </c>
    </row>
    <row r="138" spans="1:7">
      <c r="A138">
        <v>135</v>
      </c>
      <c r="B138" t="e">
        <f>IF(المطالبات!#REF!&lt;&gt;"", "مطالبة", "")</f>
        <v>#REF!</v>
      </c>
      <c r="C138" t="e">
        <f>IF(المطالبات!#REF!&lt;&gt;"", "CMH_01-CLM-" &amp; TEXT(المطالبات!#REF!, "000"), "")</f>
        <v>#REF!</v>
      </c>
      <c r="D138" t="s">
        <v>239</v>
      </c>
      <c r="E138" t="s">
        <v>283</v>
      </c>
      <c r="F138" t="e">
        <f>IF(C138&lt;&gt;"", C138 &amp; "-APPROVAL.pdf", "")</f>
        <v>#REF!</v>
      </c>
      <c r="G138" t="s">
        <v>284</v>
      </c>
    </row>
    <row r="139" spans="1:7">
      <c r="A139">
        <v>136</v>
      </c>
      <c r="B139" t="e">
        <f>IF(المطالبات!#REF!&lt;&gt;"", "مطالبة", "")</f>
        <v>#REF!</v>
      </c>
      <c r="C139" t="e">
        <f>IF(المطالبات!#REF!&lt;&gt;"", "CMH_01-CLM-" &amp; TEXT(المطالبات!#REF!, "000"), "")</f>
        <v>#REF!</v>
      </c>
      <c r="D139" t="s">
        <v>285</v>
      </c>
      <c r="E139" t="s">
        <v>283</v>
      </c>
      <c r="F139" t="e">
        <f>IF(C139&lt;&gt;"", C139 &amp; "-CERTIFICATE.pdf", "")</f>
        <v>#REF!</v>
      </c>
      <c r="G139" t="s">
        <v>286</v>
      </c>
    </row>
    <row r="140" spans="1:7">
      <c r="A140">
        <v>137</v>
      </c>
      <c r="B140" t="e">
        <f>IF(المطالبات!#REF!&lt;&gt;"", "مطالبة", "")</f>
        <v>#REF!</v>
      </c>
      <c r="C140" t="e">
        <f>IF(المطالبات!#REF!&lt;&gt;"", "CMH_01-CLM-" &amp; TEXT(المطالبات!#REF!, "000"), "")</f>
        <v>#REF!</v>
      </c>
      <c r="D140" t="s">
        <v>277</v>
      </c>
      <c r="E140" t="s">
        <v>278</v>
      </c>
      <c r="F140" t="e">
        <f>IF(C140&lt;&gt;"", C140 &amp; "-INVOICE.pdf", "")</f>
        <v>#REF!</v>
      </c>
      <c r="G140" t="s">
        <v>279</v>
      </c>
    </row>
    <row r="141" spans="1:7">
      <c r="A141">
        <v>138</v>
      </c>
      <c r="B141" t="e">
        <f>IF(المطالبات!#REF!&lt;&gt;"", "مطالبة", "")</f>
        <v>#REF!</v>
      </c>
      <c r="C141" t="e">
        <f>IF(المطالبات!#REF!&lt;&gt;"", "CMH_01-CLM-" &amp; TEXT(المطالبات!#REF!, "000"), "")</f>
        <v>#REF!</v>
      </c>
      <c r="D141" t="s">
        <v>281</v>
      </c>
      <c r="E141" t="s">
        <v>278</v>
      </c>
      <c r="F141" t="e">
        <f>IF(C141&lt;&gt;"", C141 &amp; "-TECHREPORT.pdf", "")</f>
        <v>#REF!</v>
      </c>
      <c r="G141" t="s">
        <v>279</v>
      </c>
    </row>
    <row r="142" spans="1:7">
      <c r="A142">
        <v>139</v>
      </c>
      <c r="B142" t="e">
        <f>IF(المطالبات!#REF!&lt;&gt;"", "مطالبة", "")</f>
        <v>#REF!</v>
      </c>
      <c r="C142" t="e">
        <f>IF(المطالبات!#REF!&lt;&gt;"", "CMH_01-CLM-" &amp; TEXT(المطالبات!#REF!, "000"), "")</f>
        <v>#REF!</v>
      </c>
      <c r="D142" t="s">
        <v>239</v>
      </c>
      <c r="E142" t="s">
        <v>283</v>
      </c>
      <c r="F142" t="e">
        <f>IF(C142&lt;&gt;"", C142 &amp; "-APPROVAL.pdf", "")</f>
        <v>#REF!</v>
      </c>
      <c r="G142" t="s">
        <v>284</v>
      </c>
    </row>
    <row r="143" spans="1:7">
      <c r="A143">
        <v>140</v>
      </c>
      <c r="B143" t="e">
        <f>IF(المطالبات!#REF!&lt;&gt;"", "مطالبة", "")</f>
        <v>#REF!</v>
      </c>
      <c r="C143" t="e">
        <f>IF(المطالبات!#REF!&lt;&gt;"", "CMH_01-CLM-" &amp; TEXT(المطالبات!#REF!, "000"), "")</f>
        <v>#REF!</v>
      </c>
      <c r="D143" t="s">
        <v>285</v>
      </c>
      <c r="E143" t="s">
        <v>283</v>
      </c>
      <c r="F143" t="e">
        <f>IF(C143&lt;&gt;"", C143 &amp; "-CERTIFICATE.pdf", "")</f>
        <v>#REF!</v>
      </c>
      <c r="G143" t="s">
        <v>286</v>
      </c>
    </row>
    <row r="144" spans="1:7">
      <c r="A144">
        <v>141</v>
      </c>
      <c r="B144" t="str">
        <f>IF(المطالبات!C24&lt;&gt;"", "مطالبة", "")</f>
        <v/>
      </c>
      <c r="C144" t="str">
        <f>IF(المطالبات!C24&lt;&gt;"", "CMH_01-CLM-" &amp; TEXT(المطالبات!A24, "000"), "")</f>
        <v/>
      </c>
      <c r="D144" t="s">
        <v>277</v>
      </c>
      <c r="E144" t="s">
        <v>278</v>
      </c>
      <c r="F144" t="str">
        <f>IF(C144&lt;&gt;"", C144 &amp; "-INVOICE.pdf", "")</f>
        <v/>
      </c>
      <c r="G144" t="s">
        <v>279</v>
      </c>
    </row>
    <row r="145" spans="1:7">
      <c r="A145">
        <v>142</v>
      </c>
      <c r="B145" t="str">
        <f>IF(المطالبات!C24&lt;&gt;"", "مطالبة", "")</f>
        <v/>
      </c>
      <c r="C145" t="str">
        <f>IF(المطالبات!C24&lt;&gt;"", "CMH_01-CLM-" &amp; TEXT(المطالبات!A24, "000"), "")</f>
        <v/>
      </c>
      <c r="D145" t="s">
        <v>281</v>
      </c>
      <c r="E145" t="s">
        <v>278</v>
      </c>
      <c r="F145" t="str">
        <f>IF(C145&lt;&gt;"", C145 &amp; "-TECHREPORT.pdf", "")</f>
        <v/>
      </c>
      <c r="G145" t="s">
        <v>279</v>
      </c>
    </row>
    <row r="146" spans="1:7">
      <c r="A146">
        <v>143</v>
      </c>
      <c r="B146" t="str">
        <f>IF(المطالبات!C24&lt;&gt;"", "مطالبة", "")</f>
        <v/>
      </c>
      <c r="C146" t="str">
        <f>IF(المطالبات!C24&lt;&gt;"", "CMH_01-CLM-" &amp; TEXT(المطالبات!A24, "000"), "")</f>
        <v/>
      </c>
      <c r="D146" t="s">
        <v>239</v>
      </c>
      <c r="E146" t="s">
        <v>283</v>
      </c>
      <c r="F146" t="str">
        <f>IF(C146&lt;&gt;"", C146 &amp; "-APPROVAL.pdf", "")</f>
        <v/>
      </c>
      <c r="G146" t="s">
        <v>284</v>
      </c>
    </row>
    <row r="147" spans="1:7">
      <c r="A147">
        <v>144</v>
      </c>
      <c r="B147" t="str">
        <f>IF(المطالبات!C24&lt;&gt;"", "مطالبة", "")</f>
        <v/>
      </c>
      <c r="C147" t="str">
        <f>IF(المطالبات!C24&lt;&gt;"", "CMH_01-CLM-" &amp; TEXT(المطالبات!A24, "000"), "")</f>
        <v/>
      </c>
      <c r="D147" t="s">
        <v>285</v>
      </c>
      <c r="E147" t="s">
        <v>283</v>
      </c>
      <c r="F147" t="str">
        <f>IF(C147&lt;&gt;"", C147 &amp; "-CERTIFICATE.pdf", "")</f>
        <v/>
      </c>
      <c r="G147" t="s">
        <v>286</v>
      </c>
    </row>
    <row r="148" spans="1:7">
      <c r="A148">
        <v>145</v>
      </c>
      <c r="B148" t="str">
        <f>IF(المطالبات!C25&lt;&gt;"", "مطالبة", "")</f>
        <v/>
      </c>
      <c r="C148" t="str">
        <f>IF(المطالبات!C25&lt;&gt;"", "CMH_01-CLM-" &amp; TEXT(المطالبات!A25, "000"), "")</f>
        <v/>
      </c>
      <c r="D148" t="s">
        <v>277</v>
      </c>
      <c r="E148" t="s">
        <v>278</v>
      </c>
      <c r="F148" t="str">
        <f>IF(C148&lt;&gt;"", C148 &amp; "-INVOICE.pdf", "")</f>
        <v/>
      </c>
      <c r="G148" t="s">
        <v>279</v>
      </c>
    </row>
    <row r="149" spans="1:7">
      <c r="A149">
        <v>146</v>
      </c>
      <c r="B149" t="str">
        <f>IF(المطالبات!C25&lt;&gt;"", "مطالبة", "")</f>
        <v/>
      </c>
      <c r="C149" t="str">
        <f>IF(المطالبات!C25&lt;&gt;"", "CMH_01-CLM-" &amp; TEXT(المطالبات!A25, "000"), "")</f>
        <v/>
      </c>
      <c r="D149" t="s">
        <v>281</v>
      </c>
      <c r="E149" t="s">
        <v>278</v>
      </c>
      <c r="F149" t="str">
        <f>IF(C149&lt;&gt;"", C149 &amp; "-TECHREPORT.pdf", "")</f>
        <v/>
      </c>
      <c r="G149" t="s">
        <v>279</v>
      </c>
    </row>
    <row r="150" spans="1:7">
      <c r="A150">
        <v>147</v>
      </c>
      <c r="B150" t="str">
        <f>IF(المطالبات!C25&lt;&gt;"", "مطالبة", "")</f>
        <v/>
      </c>
      <c r="C150" t="str">
        <f>IF(المطالبات!C25&lt;&gt;"", "CMH_01-CLM-" &amp; TEXT(المطالبات!A25, "000"), "")</f>
        <v/>
      </c>
      <c r="D150" t="s">
        <v>239</v>
      </c>
      <c r="E150" t="s">
        <v>283</v>
      </c>
      <c r="F150" t="str">
        <f>IF(C150&lt;&gt;"", C150 &amp; "-APPROVAL.pdf", "")</f>
        <v/>
      </c>
      <c r="G150" t="s">
        <v>284</v>
      </c>
    </row>
    <row r="151" spans="1:7">
      <c r="A151">
        <v>148</v>
      </c>
      <c r="B151" t="str">
        <f>IF(المطالبات!C25&lt;&gt;"", "مطالبة", "")</f>
        <v/>
      </c>
      <c r="C151" t="str">
        <f>IF(المطالبات!C25&lt;&gt;"", "CMH_01-CLM-" &amp; TEXT(المطالبات!A25, "000"), "")</f>
        <v/>
      </c>
      <c r="D151" t="s">
        <v>285</v>
      </c>
      <c r="E151" t="s">
        <v>283</v>
      </c>
      <c r="F151" t="str">
        <f>IF(C151&lt;&gt;"", C151 &amp; "-CERTIFICATE.pdf", "")</f>
        <v/>
      </c>
      <c r="G151" t="s">
        <v>286</v>
      </c>
    </row>
    <row r="152" spans="1:7">
      <c r="A152">
        <v>149</v>
      </c>
      <c r="B152" t="str">
        <f>IF(المطالبات!C26&lt;&gt;"", "مطالبة", "")</f>
        <v/>
      </c>
      <c r="C152" t="str">
        <f>IF(المطالبات!C26&lt;&gt;"", "CMH_01-CLM-" &amp; TEXT(المطالبات!A26, "000"), "")</f>
        <v/>
      </c>
      <c r="D152" t="s">
        <v>277</v>
      </c>
      <c r="E152" t="s">
        <v>278</v>
      </c>
      <c r="F152" t="str">
        <f>IF(C152&lt;&gt;"", C152 &amp; "-INVOICE.pdf", "")</f>
        <v/>
      </c>
      <c r="G152" t="s">
        <v>279</v>
      </c>
    </row>
    <row r="153" spans="1:7">
      <c r="A153">
        <v>150</v>
      </c>
      <c r="B153" t="str">
        <f>IF(المطالبات!C26&lt;&gt;"", "مطالبة", "")</f>
        <v/>
      </c>
      <c r="C153" t="str">
        <f>IF(المطالبات!C26&lt;&gt;"", "CMH_01-CLM-" &amp; TEXT(المطالبات!A26, "000"), "")</f>
        <v/>
      </c>
      <c r="D153" t="s">
        <v>281</v>
      </c>
      <c r="E153" t="s">
        <v>278</v>
      </c>
      <c r="F153" t="str">
        <f>IF(C153&lt;&gt;"", C153 &amp; "-TECHREPORT.pdf", "")</f>
        <v/>
      </c>
      <c r="G153" t="s">
        <v>279</v>
      </c>
    </row>
    <row r="154" spans="1:7">
      <c r="A154">
        <v>151</v>
      </c>
      <c r="B154" t="str">
        <f>IF(المطالبات!C26&lt;&gt;"", "مطالبة", "")</f>
        <v/>
      </c>
      <c r="C154" t="str">
        <f>IF(المطالبات!C26&lt;&gt;"", "CMH_01-CLM-" &amp; TEXT(المطالبات!A26, "000"), "")</f>
        <v/>
      </c>
      <c r="D154" t="s">
        <v>239</v>
      </c>
      <c r="E154" t="s">
        <v>283</v>
      </c>
      <c r="F154" t="str">
        <f>IF(C154&lt;&gt;"", C154 &amp; "-APPROVAL.pdf", "")</f>
        <v/>
      </c>
      <c r="G154" t="s">
        <v>284</v>
      </c>
    </row>
    <row r="155" spans="1:7">
      <c r="A155">
        <v>152</v>
      </c>
      <c r="B155" t="str">
        <f>IF(المطالبات!C26&lt;&gt;"", "مطالبة", "")</f>
        <v/>
      </c>
      <c r="C155" t="str">
        <f>IF(المطالبات!C26&lt;&gt;"", "CMH_01-CLM-" &amp; TEXT(المطالبات!A26, "000"), "")</f>
        <v/>
      </c>
      <c r="D155" t="s">
        <v>285</v>
      </c>
      <c r="E155" t="s">
        <v>283</v>
      </c>
      <c r="F155" t="str">
        <f>IF(C155&lt;&gt;"", C155 &amp; "-CERTIFICATE.pdf", "")</f>
        <v/>
      </c>
      <c r="G155" t="s">
        <v>286</v>
      </c>
    </row>
    <row r="156" spans="1:7">
      <c r="A156">
        <v>153</v>
      </c>
      <c r="B156" t="str">
        <f>IF(المطالبات!C27&lt;&gt;"", "مطالبة", "")</f>
        <v/>
      </c>
      <c r="C156" t="str">
        <f>IF(المطالبات!C27&lt;&gt;"", "CMH_01-CLM-" &amp; TEXT(المطالبات!A27, "000"), "")</f>
        <v/>
      </c>
      <c r="D156" t="s">
        <v>277</v>
      </c>
      <c r="E156" t="s">
        <v>278</v>
      </c>
      <c r="F156" t="str">
        <f>IF(C156&lt;&gt;"", C156 &amp; "-INVOICE.pdf", "")</f>
        <v/>
      </c>
      <c r="G156" t="s">
        <v>279</v>
      </c>
    </row>
    <row r="157" spans="1:7">
      <c r="A157">
        <v>154</v>
      </c>
      <c r="B157" t="str">
        <f>IF(المطالبات!C27&lt;&gt;"", "مطالبة", "")</f>
        <v/>
      </c>
      <c r="C157" t="str">
        <f>IF(المطالبات!C27&lt;&gt;"", "CMH_01-CLM-" &amp; TEXT(المطالبات!A27, "000"), "")</f>
        <v/>
      </c>
      <c r="D157" t="s">
        <v>281</v>
      </c>
      <c r="E157" t="s">
        <v>278</v>
      </c>
      <c r="F157" t="str">
        <f>IF(C157&lt;&gt;"", C157 &amp; "-TECHREPORT.pdf", "")</f>
        <v/>
      </c>
      <c r="G157" t="s">
        <v>279</v>
      </c>
    </row>
    <row r="158" spans="1:7">
      <c r="A158">
        <v>155</v>
      </c>
      <c r="B158" t="str">
        <f>IF(المطالبات!C27&lt;&gt;"", "مطالبة", "")</f>
        <v/>
      </c>
      <c r="C158" t="str">
        <f>IF(المطالبات!C27&lt;&gt;"", "CMH_01-CLM-" &amp; TEXT(المطالبات!A27, "000"), "")</f>
        <v/>
      </c>
      <c r="D158" t="s">
        <v>239</v>
      </c>
      <c r="E158" t="s">
        <v>283</v>
      </c>
      <c r="F158" t="str">
        <f>IF(C158&lt;&gt;"", C158 &amp; "-APPROVAL.pdf", "")</f>
        <v/>
      </c>
      <c r="G158" t="s">
        <v>284</v>
      </c>
    </row>
    <row r="159" spans="1:7">
      <c r="A159">
        <v>156</v>
      </c>
      <c r="B159" t="str">
        <f>IF(المطالبات!C27&lt;&gt;"", "مطالبة", "")</f>
        <v/>
      </c>
      <c r="C159" t="str">
        <f>IF(المطالبات!C27&lt;&gt;"", "CMH_01-CLM-" &amp; TEXT(المطالبات!A27, "000"), "")</f>
        <v/>
      </c>
      <c r="D159" t="s">
        <v>285</v>
      </c>
      <c r="E159" t="s">
        <v>283</v>
      </c>
      <c r="F159" t="str">
        <f>IF(C159&lt;&gt;"", C159 &amp; "-CERTIFICATE.pdf", "")</f>
        <v/>
      </c>
      <c r="G159" t="s">
        <v>286</v>
      </c>
    </row>
    <row r="160" spans="1:7">
      <c r="A160">
        <v>157</v>
      </c>
      <c r="B160" t="str">
        <f>IF(المطالبات!C28&lt;&gt;"", "مطالبة", "")</f>
        <v/>
      </c>
      <c r="C160" t="str">
        <f>IF(المطالبات!C28&lt;&gt;"", "CMH_01-CLM-" &amp; TEXT(المطالبات!A28, "000"), "")</f>
        <v/>
      </c>
      <c r="D160" t="s">
        <v>277</v>
      </c>
      <c r="E160" t="s">
        <v>278</v>
      </c>
      <c r="F160" t="str">
        <f>IF(C160&lt;&gt;"", C160 &amp; "-INVOICE.pdf", "")</f>
        <v/>
      </c>
      <c r="G160" t="s">
        <v>279</v>
      </c>
    </row>
    <row r="161" spans="1:7">
      <c r="A161">
        <v>158</v>
      </c>
      <c r="B161" t="str">
        <f>IF(المطالبات!C28&lt;&gt;"", "مطالبة", "")</f>
        <v/>
      </c>
      <c r="C161" t="str">
        <f>IF(المطالبات!C28&lt;&gt;"", "CMH_01-CLM-" &amp; TEXT(المطالبات!A28, "000"), "")</f>
        <v/>
      </c>
      <c r="D161" t="s">
        <v>281</v>
      </c>
      <c r="E161" t="s">
        <v>278</v>
      </c>
      <c r="F161" t="str">
        <f>IF(C161&lt;&gt;"", C161 &amp; "-TECHREPORT.pdf", "")</f>
        <v/>
      </c>
      <c r="G161" t="s">
        <v>279</v>
      </c>
    </row>
    <row r="162" spans="1:7">
      <c r="A162">
        <v>159</v>
      </c>
      <c r="B162" t="str">
        <f>IF(المطالبات!C28&lt;&gt;"", "مطالبة", "")</f>
        <v/>
      </c>
      <c r="C162" t="str">
        <f>IF(المطالبات!C28&lt;&gt;"", "CMH_01-CLM-" &amp; TEXT(المطالبات!A28, "000"), "")</f>
        <v/>
      </c>
      <c r="D162" t="s">
        <v>239</v>
      </c>
      <c r="E162" t="s">
        <v>283</v>
      </c>
      <c r="F162" t="str">
        <f>IF(C162&lt;&gt;"", C162 &amp; "-APPROVAL.pdf", "")</f>
        <v/>
      </c>
      <c r="G162" t="s">
        <v>284</v>
      </c>
    </row>
    <row r="163" spans="1:7">
      <c r="A163">
        <v>160</v>
      </c>
      <c r="B163" t="str">
        <f>IF(المطالبات!C28&lt;&gt;"", "مطالبة", "")</f>
        <v/>
      </c>
      <c r="C163" t="str">
        <f>IF(المطالبات!C28&lt;&gt;"", "CMH_01-CLM-" &amp; TEXT(المطالبات!A28, "000"), "")</f>
        <v/>
      </c>
      <c r="D163" t="s">
        <v>285</v>
      </c>
      <c r="E163" t="s">
        <v>283</v>
      </c>
      <c r="F163" t="str">
        <f>IF(C163&lt;&gt;"", C163 &amp; "-CERTIFICATE.pdf", "")</f>
        <v/>
      </c>
      <c r="G163" t="s">
        <v>286</v>
      </c>
    </row>
    <row r="164" spans="1:7">
      <c r="A164">
        <v>161</v>
      </c>
      <c r="B164" t="str">
        <f>IF(المطالبات!C29&lt;&gt;"", "مطالبة", "")</f>
        <v/>
      </c>
      <c r="C164" t="str">
        <f>IF(المطالبات!C29&lt;&gt;"", "CMH_01-CLM-" &amp; TEXT(المطالبات!A29, "000"), "")</f>
        <v/>
      </c>
      <c r="D164" t="s">
        <v>277</v>
      </c>
      <c r="E164" t="s">
        <v>278</v>
      </c>
      <c r="F164" t="str">
        <f>IF(C164&lt;&gt;"", C164 &amp; "-INVOICE.pdf", "")</f>
        <v/>
      </c>
      <c r="G164" t="s">
        <v>279</v>
      </c>
    </row>
    <row r="165" spans="1:7">
      <c r="A165">
        <v>162</v>
      </c>
      <c r="B165" t="str">
        <f>IF(المطالبات!C29&lt;&gt;"", "مطالبة", "")</f>
        <v/>
      </c>
      <c r="C165" t="str">
        <f>IF(المطالبات!C29&lt;&gt;"", "CMH_01-CLM-" &amp; TEXT(المطالبات!A29, "000"), "")</f>
        <v/>
      </c>
      <c r="D165" t="s">
        <v>281</v>
      </c>
      <c r="E165" t="s">
        <v>278</v>
      </c>
      <c r="F165" t="str">
        <f>IF(C165&lt;&gt;"", C165 &amp; "-TECHREPORT.pdf", "")</f>
        <v/>
      </c>
      <c r="G165" t="s">
        <v>279</v>
      </c>
    </row>
    <row r="166" spans="1:7">
      <c r="A166">
        <v>163</v>
      </c>
      <c r="B166" t="str">
        <f>IF(المطالبات!C29&lt;&gt;"", "مطالبة", "")</f>
        <v/>
      </c>
      <c r="C166" t="str">
        <f>IF(المطالبات!C29&lt;&gt;"", "CMH_01-CLM-" &amp; TEXT(المطالبات!A29, "000"), "")</f>
        <v/>
      </c>
      <c r="D166" t="s">
        <v>239</v>
      </c>
      <c r="E166" t="s">
        <v>283</v>
      </c>
      <c r="F166" t="str">
        <f>IF(C166&lt;&gt;"", C166 &amp; "-APPROVAL.pdf", "")</f>
        <v/>
      </c>
      <c r="G166" t="s">
        <v>284</v>
      </c>
    </row>
    <row r="167" spans="1:7">
      <c r="A167">
        <v>164</v>
      </c>
      <c r="B167" t="str">
        <f>IF(المطالبات!C29&lt;&gt;"", "مطالبة", "")</f>
        <v/>
      </c>
      <c r="C167" t="str">
        <f>IF(المطالبات!C29&lt;&gt;"", "CMH_01-CLM-" &amp; TEXT(المطالبات!A29, "000"), "")</f>
        <v/>
      </c>
      <c r="D167" t="s">
        <v>285</v>
      </c>
      <c r="E167" t="s">
        <v>283</v>
      </c>
      <c r="F167" t="str">
        <f>IF(C167&lt;&gt;"", C167 &amp; "-CERTIFICATE.pdf", "")</f>
        <v/>
      </c>
      <c r="G167" t="s">
        <v>286</v>
      </c>
    </row>
    <row r="168" spans="1:7">
      <c r="A168">
        <v>165</v>
      </c>
      <c r="B168" t="str">
        <f>IF(المطالبات!C30&lt;&gt;"", "مطالبة", "")</f>
        <v/>
      </c>
      <c r="C168" t="str">
        <f>IF(المطالبات!C30&lt;&gt;"", "CMH_01-CLM-" &amp; TEXT(المطالبات!A30, "000"), "")</f>
        <v/>
      </c>
      <c r="D168" t="s">
        <v>277</v>
      </c>
      <c r="E168" t="s">
        <v>278</v>
      </c>
      <c r="F168" t="str">
        <f>IF(C168&lt;&gt;"", C168 &amp; "-INVOICE.pdf", "")</f>
        <v/>
      </c>
      <c r="G168" t="s">
        <v>279</v>
      </c>
    </row>
    <row r="169" spans="1:7">
      <c r="A169">
        <v>166</v>
      </c>
      <c r="B169" t="str">
        <f>IF(المطالبات!C30&lt;&gt;"", "مطالبة", "")</f>
        <v/>
      </c>
      <c r="C169" t="str">
        <f>IF(المطالبات!C30&lt;&gt;"", "CMH_01-CLM-" &amp; TEXT(المطالبات!A30, "000"), "")</f>
        <v/>
      </c>
      <c r="D169" t="s">
        <v>281</v>
      </c>
      <c r="E169" t="s">
        <v>278</v>
      </c>
      <c r="F169" t="str">
        <f>IF(C169&lt;&gt;"", C169 &amp; "-TECHREPORT.pdf", "")</f>
        <v/>
      </c>
      <c r="G169" t="s">
        <v>279</v>
      </c>
    </row>
    <row r="170" spans="1:7">
      <c r="A170">
        <v>167</v>
      </c>
      <c r="B170" t="str">
        <f>IF(المطالبات!C30&lt;&gt;"", "مطالبة", "")</f>
        <v/>
      </c>
      <c r="C170" t="str">
        <f>IF(المطالبات!C30&lt;&gt;"", "CMH_01-CLM-" &amp; TEXT(المطالبات!A30, "000"), "")</f>
        <v/>
      </c>
      <c r="D170" t="s">
        <v>239</v>
      </c>
      <c r="E170" t="s">
        <v>283</v>
      </c>
      <c r="F170" t="str">
        <f>IF(C170&lt;&gt;"", C170 &amp; "-APPROVAL.pdf", "")</f>
        <v/>
      </c>
      <c r="G170" t="s">
        <v>284</v>
      </c>
    </row>
    <row r="171" spans="1:7">
      <c r="A171">
        <v>168</v>
      </c>
      <c r="B171" t="str">
        <f>IF(المطالبات!C30&lt;&gt;"", "مطالبة", "")</f>
        <v/>
      </c>
      <c r="C171" t="str">
        <f>IF(المطالبات!C30&lt;&gt;"", "CMH_01-CLM-" &amp; TEXT(المطالبات!A30, "000"), "")</f>
        <v/>
      </c>
      <c r="D171" t="s">
        <v>285</v>
      </c>
      <c r="E171" t="s">
        <v>283</v>
      </c>
      <c r="F171" t="str">
        <f>IF(C171&lt;&gt;"", C171 &amp; "-CERTIFICATE.pdf", "")</f>
        <v/>
      </c>
      <c r="G171" t="s">
        <v>286</v>
      </c>
    </row>
    <row r="172" spans="1:7">
      <c r="A172">
        <v>169</v>
      </c>
      <c r="B172" t="str">
        <f>IF(المطالبات!C31&lt;&gt;"", "مطالبة", "")</f>
        <v/>
      </c>
      <c r="C172" t="str">
        <f>IF(المطالبات!C31&lt;&gt;"", "CMH_01-CLM-" &amp; TEXT(المطالبات!A31, "000"), "")</f>
        <v/>
      </c>
      <c r="D172" t="s">
        <v>277</v>
      </c>
      <c r="E172" t="s">
        <v>278</v>
      </c>
      <c r="F172" t="str">
        <f>IF(C172&lt;&gt;"", C172 &amp; "-INVOICE.pdf", "")</f>
        <v/>
      </c>
      <c r="G172" t="s">
        <v>279</v>
      </c>
    </row>
    <row r="173" spans="1:7">
      <c r="A173">
        <v>170</v>
      </c>
      <c r="B173" t="str">
        <f>IF(المطالبات!C31&lt;&gt;"", "مطالبة", "")</f>
        <v/>
      </c>
      <c r="C173" t="str">
        <f>IF(المطالبات!C31&lt;&gt;"", "CMH_01-CLM-" &amp; TEXT(المطالبات!A31, "000"), "")</f>
        <v/>
      </c>
      <c r="D173" t="s">
        <v>281</v>
      </c>
      <c r="E173" t="s">
        <v>278</v>
      </c>
      <c r="F173" t="str">
        <f>IF(C173&lt;&gt;"", C173 &amp; "-TECHREPORT.pdf", "")</f>
        <v/>
      </c>
      <c r="G173" t="s">
        <v>279</v>
      </c>
    </row>
    <row r="174" spans="1:7">
      <c r="A174">
        <v>171</v>
      </c>
      <c r="B174" t="str">
        <f>IF(المطالبات!C31&lt;&gt;"", "مطالبة", "")</f>
        <v/>
      </c>
      <c r="C174" t="str">
        <f>IF(المطالبات!C31&lt;&gt;"", "CMH_01-CLM-" &amp; TEXT(المطالبات!A31, "000"), "")</f>
        <v/>
      </c>
      <c r="D174" t="s">
        <v>239</v>
      </c>
      <c r="E174" t="s">
        <v>283</v>
      </c>
      <c r="F174" t="str">
        <f>IF(C174&lt;&gt;"", C174 &amp; "-APPROVAL.pdf", "")</f>
        <v/>
      </c>
      <c r="G174" t="s">
        <v>284</v>
      </c>
    </row>
    <row r="175" spans="1:7">
      <c r="A175">
        <v>172</v>
      </c>
      <c r="B175" t="str">
        <f>IF(المطالبات!C31&lt;&gt;"", "مطالبة", "")</f>
        <v/>
      </c>
      <c r="C175" t="str">
        <f>IF(المطالبات!C31&lt;&gt;"", "CMH_01-CLM-" &amp; TEXT(المطالبات!A31, "000"), "")</f>
        <v/>
      </c>
      <c r="D175" t="s">
        <v>285</v>
      </c>
      <c r="E175" t="s">
        <v>283</v>
      </c>
      <c r="F175" t="str">
        <f>IF(C175&lt;&gt;"", C175 &amp; "-CERTIFICATE.pdf", "")</f>
        <v/>
      </c>
      <c r="G175" t="s">
        <v>286</v>
      </c>
    </row>
    <row r="176" spans="1:7">
      <c r="A176">
        <v>173</v>
      </c>
      <c r="B176" t="str">
        <f>IF(المطالبات!C32&lt;&gt;"", "مطالبة", "")</f>
        <v/>
      </c>
      <c r="C176" t="str">
        <f>IF(المطالبات!C32&lt;&gt;"", "CMH_01-CLM-" &amp; TEXT(المطالبات!A32, "000"), "")</f>
        <v/>
      </c>
      <c r="D176" t="s">
        <v>277</v>
      </c>
      <c r="E176" t="s">
        <v>278</v>
      </c>
      <c r="F176" t="str">
        <f>IF(C176&lt;&gt;"", C176 &amp; "-INVOICE.pdf", "")</f>
        <v/>
      </c>
      <c r="G176" t="s">
        <v>279</v>
      </c>
    </row>
    <row r="177" spans="1:7">
      <c r="A177">
        <v>174</v>
      </c>
      <c r="B177" t="str">
        <f>IF(المطالبات!C32&lt;&gt;"", "مطالبة", "")</f>
        <v/>
      </c>
      <c r="C177" t="str">
        <f>IF(المطالبات!C32&lt;&gt;"", "CMH_01-CLM-" &amp; TEXT(المطالبات!A32, "000"), "")</f>
        <v/>
      </c>
      <c r="D177" t="s">
        <v>281</v>
      </c>
      <c r="E177" t="s">
        <v>278</v>
      </c>
      <c r="F177" t="str">
        <f>IF(C177&lt;&gt;"", C177 &amp; "-TECHREPORT.pdf", "")</f>
        <v/>
      </c>
      <c r="G177" t="s">
        <v>279</v>
      </c>
    </row>
    <row r="178" spans="1:7">
      <c r="A178">
        <v>175</v>
      </c>
      <c r="B178" t="str">
        <f>IF(المطالبات!C32&lt;&gt;"", "مطالبة", "")</f>
        <v/>
      </c>
      <c r="C178" t="str">
        <f>IF(المطالبات!C32&lt;&gt;"", "CMH_01-CLM-" &amp; TEXT(المطالبات!A32, "000"), "")</f>
        <v/>
      </c>
      <c r="D178" t="s">
        <v>239</v>
      </c>
      <c r="E178" t="s">
        <v>283</v>
      </c>
      <c r="F178" t="str">
        <f>IF(C178&lt;&gt;"", C178 &amp; "-APPROVAL.pdf", "")</f>
        <v/>
      </c>
      <c r="G178" t="s">
        <v>284</v>
      </c>
    </row>
    <row r="179" spans="1:7">
      <c r="A179">
        <v>176</v>
      </c>
      <c r="B179" t="str">
        <f>IF(المطالبات!C32&lt;&gt;"", "مطالبة", "")</f>
        <v/>
      </c>
      <c r="C179" t="str">
        <f>IF(المطالبات!C32&lt;&gt;"", "CMH_01-CLM-" &amp; TEXT(المطالبات!A32, "000"), "")</f>
        <v/>
      </c>
      <c r="D179" t="s">
        <v>285</v>
      </c>
      <c r="E179" t="s">
        <v>283</v>
      </c>
      <c r="F179" t="str">
        <f>IF(C179&lt;&gt;"", C179 &amp; "-CERTIFICATE.pdf", "")</f>
        <v/>
      </c>
      <c r="G179" t="s">
        <v>286</v>
      </c>
    </row>
    <row r="180" spans="1:7">
      <c r="A180">
        <v>177</v>
      </c>
      <c r="B180" t="str">
        <f>IF(المطالبات!C33&lt;&gt;"", "مطالبة", "")</f>
        <v/>
      </c>
      <c r="C180" t="str">
        <f>IF(المطالبات!C33&lt;&gt;"", "CMH_01-CLM-" &amp; TEXT(المطالبات!A33, "000"), "")</f>
        <v/>
      </c>
      <c r="D180" t="s">
        <v>277</v>
      </c>
      <c r="E180" t="s">
        <v>278</v>
      </c>
      <c r="F180" t="str">
        <f>IF(C180&lt;&gt;"", C180 &amp; "-INVOICE.pdf", "")</f>
        <v/>
      </c>
      <c r="G180" t="s">
        <v>279</v>
      </c>
    </row>
    <row r="181" spans="1:7">
      <c r="A181">
        <v>178</v>
      </c>
      <c r="B181" t="str">
        <f>IF(المطالبات!C33&lt;&gt;"", "مطالبة", "")</f>
        <v/>
      </c>
      <c r="C181" t="str">
        <f>IF(المطالبات!C33&lt;&gt;"", "CMH_01-CLM-" &amp; TEXT(المطالبات!A33, "000"), "")</f>
        <v/>
      </c>
      <c r="D181" t="s">
        <v>281</v>
      </c>
      <c r="E181" t="s">
        <v>278</v>
      </c>
      <c r="F181" t="str">
        <f>IF(C181&lt;&gt;"", C181 &amp; "-TECHREPORT.pdf", "")</f>
        <v/>
      </c>
      <c r="G181" t="s">
        <v>279</v>
      </c>
    </row>
    <row r="182" spans="1:7">
      <c r="A182">
        <v>179</v>
      </c>
      <c r="B182" t="str">
        <f>IF(المطالبات!C33&lt;&gt;"", "مطالبة", "")</f>
        <v/>
      </c>
      <c r="C182" t="str">
        <f>IF(المطالبات!C33&lt;&gt;"", "CMH_01-CLM-" &amp; TEXT(المطالبات!A33, "000"), "")</f>
        <v/>
      </c>
      <c r="D182" t="s">
        <v>239</v>
      </c>
      <c r="E182" t="s">
        <v>283</v>
      </c>
      <c r="F182" t="str">
        <f>IF(C182&lt;&gt;"", C182 &amp; "-APPROVAL.pdf", "")</f>
        <v/>
      </c>
      <c r="G182" t="s">
        <v>284</v>
      </c>
    </row>
    <row r="183" spans="1:7">
      <c r="A183">
        <v>180</v>
      </c>
      <c r="B183" t="str">
        <f>IF(المطالبات!C33&lt;&gt;"", "مطالبة", "")</f>
        <v/>
      </c>
      <c r="C183" t="str">
        <f>IF(المطالبات!C33&lt;&gt;"", "CMH_01-CLM-" &amp; TEXT(المطالبات!A33, "000"), "")</f>
        <v/>
      </c>
      <c r="D183" t="s">
        <v>285</v>
      </c>
      <c r="E183" t="s">
        <v>283</v>
      </c>
      <c r="F183" t="str">
        <f>IF(C183&lt;&gt;"", C183 &amp; "-CERTIFICATE.pdf", "")</f>
        <v/>
      </c>
      <c r="G183" t="s">
        <v>286</v>
      </c>
    </row>
    <row r="184" spans="1:7">
      <c r="A184">
        <v>181</v>
      </c>
      <c r="B184" t="str">
        <f>IF(المطالبات!C34&lt;&gt;"", "مطالبة", "")</f>
        <v/>
      </c>
      <c r="C184" t="str">
        <f>IF(المطالبات!C34&lt;&gt;"", "CMH_01-CLM-" &amp; TEXT(المطالبات!A34, "000"), "")</f>
        <v/>
      </c>
      <c r="D184" t="s">
        <v>277</v>
      </c>
      <c r="E184" t="s">
        <v>278</v>
      </c>
      <c r="F184" t="str">
        <f>IF(C184&lt;&gt;"", C184 &amp; "-INVOICE.pdf", "")</f>
        <v/>
      </c>
      <c r="G184" t="s">
        <v>279</v>
      </c>
    </row>
    <row r="185" spans="1:7">
      <c r="A185">
        <v>182</v>
      </c>
      <c r="B185" t="str">
        <f>IF(المطالبات!C34&lt;&gt;"", "مطالبة", "")</f>
        <v/>
      </c>
      <c r="C185" t="str">
        <f>IF(المطالبات!C34&lt;&gt;"", "CMH_01-CLM-" &amp; TEXT(المطالبات!A34, "000"), "")</f>
        <v/>
      </c>
      <c r="D185" t="s">
        <v>281</v>
      </c>
      <c r="E185" t="s">
        <v>278</v>
      </c>
      <c r="F185" t="str">
        <f>IF(C185&lt;&gt;"", C185 &amp; "-TECHREPORT.pdf", "")</f>
        <v/>
      </c>
      <c r="G185" t="s">
        <v>279</v>
      </c>
    </row>
    <row r="186" spans="1:7">
      <c r="A186">
        <v>183</v>
      </c>
      <c r="B186" t="str">
        <f>IF(المطالبات!C34&lt;&gt;"", "مطالبة", "")</f>
        <v/>
      </c>
      <c r="C186" t="str">
        <f>IF(المطالبات!C34&lt;&gt;"", "CMH_01-CLM-" &amp; TEXT(المطالبات!A34, "000"), "")</f>
        <v/>
      </c>
      <c r="D186" t="s">
        <v>239</v>
      </c>
      <c r="E186" t="s">
        <v>283</v>
      </c>
      <c r="F186" t="str">
        <f>IF(C186&lt;&gt;"", C186 &amp; "-APPROVAL.pdf", "")</f>
        <v/>
      </c>
      <c r="G186" t="s">
        <v>284</v>
      </c>
    </row>
    <row r="187" spans="1:7">
      <c r="A187">
        <v>184</v>
      </c>
      <c r="B187" t="str">
        <f>IF(المطالبات!C34&lt;&gt;"", "مطالبة", "")</f>
        <v/>
      </c>
      <c r="C187" t="str">
        <f>IF(المطالبات!C34&lt;&gt;"", "CMH_01-CLM-" &amp; TEXT(المطالبات!A34, "000"), "")</f>
        <v/>
      </c>
      <c r="D187" t="s">
        <v>285</v>
      </c>
      <c r="E187" t="s">
        <v>283</v>
      </c>
      <c r="F187" t="str">
        <f>IF(C187&lt;&gt;"", C187 &amp; "-CERTIFICATE.pdf", "")</f>
        <v/>
      </c>
      <c r="G187" t="s">
        <v>286</v>
      </c>
    </row>
    <row r="188" spans="1:7">
      <c r="A188">
        <v>185</v>
      </c>
      <c r="B188" t="str">
        <f>IF(المطالبات!C35&lt;&gt;"", "مطالبة", "")</f>
        <v/>
      </c>
      <c r="C188" t="str">
        <f>IF(المطالبات!C35&lt;&gt;"", "CMH_01-CLM-" &amp; TEXT(المطالبات!A35, "000"), "")</f>
        <v/>
      </c>
      <c r="D188" t="s">
        <v>277</v>
      </c>
      <c r="E188" t="s">
        <v>278</v>
      </c>
      <c r="F188" t="str">
        <f>IF(C188&lt;&gt;"", C188 &amp; "-INVOICE.pdf", "")</f>
        <v/>
      </c>
      <c r="G188" t="s">
        <v>279</v>
      </c>
    </row>
    <row r="189" spans="1:7">
      <c r="A189">
        <v>186</v>
      </c>
      <c r="B189" t="str">
        <f>IF(المطالبات!C35&lt;&gt;"", "مطالبة", "")</f>
        <v/>
      </c>
      <c r="C189" t="str">
        <f>IF(المطالبات!C35&lt;&gt;"", "CMH_01-CLM-" &amp; TEXT(المطالبات!A35, "000"), "")</f>
        <v/>
      </c>
      <c r="D189" t="s">
        <v>281</v>
      </c>
      <c r="E189" t="s">
        <v>278</v>
      </c>
      <c r="F189" t="str">
        <f>IF(C189&lt;&gt;"", C189 &amp; "-TECHREPORT.pdf", "")</f>
        <v/>
      </c>
      <c r="G189" t="s">
        <v>279</v>
      </c>
    </row>
    <row r="190" spans="1:7">
      <c r="A190">
        <v>187</v>
      </c>
      <c r="B190" t="str">
        <f>IF(المطالبات!C35&lt;&gt;"", "مطالبة", "")</f>
        <v/>
      </c>
      <c r="C190" t="str">
        <f>IF(المطالبات!C35&lt;&gt;"", "CMH_01-CLM-" &amp; TEXT(المطالبات!A35, "000"), "")</f>
        <v/>
      </c>
      <c r="D190" t="s">
        <v>239</v>
      </c>
      <c r="E190" t="s">
        <v>283</v>
      </c>
      <c r="F190" t="str">
        <f>IF(C190&lt;&gt;"", C190 &amp; "-APPROVAL.pdf", "")</f>
        <v/>
      </c>
      <c r="G190" t="s">
        <v>284</v>
      </c>
    </row>
    <row r="191" spans="1:7">
      <c r="A191">
        <v>188</v>
      </c>
      <c r="B191" t="str">
        <f>IF(المطالبات!C35&lt;&gt;"", "مطالبة", "")</f>
        <v/>
      </c>
      <c r="C191" t="str">
        <f>IF(المطالبات!C35&lt;&gt;"", "CMH_01-CLM-" &amp; TEXT(المطالبات!A35, "000"), "")</f>
        <v/>
      </c>
      <c r="D191" t="s">
        <v>285</v>
      </c>
      <c r="E191" t="s">
        <v>283</v>
      </c>
      <c r="F191" t="str">
        <f>IF(C191&lt;&gt;"", C191 &amp; "-CERTIFICATE.pdf", "")</f>
        <v/>
      </c>
      <c r="G191" t="s">
        <v>286</v>
      </c>
    </row>
    <row r="192" spans="1:7">
      <c r="A192">
        <v>189</v>
      </c>
      <c r="B192" t="str">
        <f>IF(المطالبات!C36&lt;&gt;"", "مطالبة", "")</f>
        <v/>
      </c>
      <c r="C192" t="str">
        <f>IF(المطالبات!C36&lt;&gt;"", "CMH_01-CLM-" &amp; TEXT(المطالبات!A36, "000"), "")</f>
        <v/>
      </c>
      <c r="D192" t="s">
        <v>277</v>
      </c>
      <c r="E192" t="s">
        <v>278</v>
      </c>
      <c r="F192" t="str">
        <f>IF(C192&lt;&gt;"", C192 &amp; "-INVOICE.pdf", "")</f>
        <v/>
      </c>
      <c r="G192" t="s">
        <v>279</v>
      </c>
    </row>
    <row r="193" spans="1:7">
      <c r="A193">
        <v>190</v>
      </c>
      <c r="B193" t="str">
        <f>IF(المطالبات!C36&lt;&gt;"", "مطالبة", "")</f>
        <v/>
      </c>
      <c r="C193" t="str">
        <f>IF(المطالبات!C36&lt;&gt;"", "CMH_01-CLM-" &amp; TEXT(المطالبات!A36, "000"), "")</f>
        <v/>
      </c>
      <c r="D193" t="s">
        <v>281</v>
      </c>
      <c r="E193" t="s">
        <v>278</v>
      </c>
      <c r="F193" t="str">
        <f>IF(C193&lt;&gt;"", C193 &amp; "-TECHREPORT.pdf", "")</f>
        <v/>
      </c>
      <c r="G193" t="s">
        <v>279</v>
      </c>
    </row>
    <row r="194" spans="1:7">
      <c r="A194">
        <v>191</v>
      </c>
      <c r="B194" t="str">
        <f>IF(المطالبات!C36&lt;&gt;"", "مطالبة", "")</f>
        <v/>
      </c>
      <c r="C194" t="str">
        <f>IF(المطالبات!C36&lt;&gt;"", "CMH_01-CLM-" &amp; TEXT(المطالبات!A36, "000"), "")</f>
        <v/>
      </c>
      <c r="D194" t="s">
        <v>239</v>
      </c>
      <c r="E194" t="s">
        <v>283</v>
      </c>
      <c r="F194" t="str">
        <f>IF(C194&lt;&gt;"", C194 &amp; "-APPROVAL.pdf", "")</f>
        <v/>
      </c>
      <c r="G194" t="s">
        <v>284</v>
      </c>
    </row>
    <row r="195" spans="1:7">
      <c r="A195">
        <v>192</v>
      </c>
      <c r="B195" t="str">
        <f>IF(المطالبات!C36&lt;&gt;"", "مطالبة", "")</f>
        <v/>
      </c>
      <c r="C195" t="str">
        <f>IF(المطالبات!C36&lt;&gt;"", "CMH_01-CLM-" &amp; TEXT(المطالبات!A36, "000"), "")</f>
        <v/>
      </c>
      <c r="D195" t="s">
        <v>285</v>
      </c>
      <c r="E195" t="s">
        <v>283</v>
      </c>
      <c r="F195" t="str">
        <f>IF(C195&lt;&gt;"", C195 &amp; "-CERTIFICATE.pdf", "")</f>
        <v/>
      </c>
      <c r="G195" t="s">
        <v>286</v>
      </c>
    </row>
    <row r="196" spans="1:7">
      <c r="A196">
        <v>193</v>
      </c>
      <c r="B196" t="str">
        <f>IF(المطالبات!C37&lt;&gt;"", "مطالبة", "")</f>
        <v/>
      </c>
      <c r="C196" t="str">
        <f>IF(المطالبات!C37&lt;&gt;"", "CMH_01-CLM-" &amp; TEXT(المطالبات!A37, "000"), "")</f>
        <v/>
      </c>
      <c r="D196" t="s">
        <v>277</v>
      </c>
      <c r="E196" t="s">
        <v>278</v>
      </c>
      <c r="F196" t="str">
        <f>IF(C196&lt;&gt;"", C196 &amp; "-INVOICE.pdf", "")</f>
        <v/>
      </c>
      <c r="G196" t="s">
        <v>279</v>
      </c>
    </row>
    <row r="197" spans="1:7">
      <c r="A197">
        <v>194</v>
      </c>
      <c r="B197" t="str">
        <f>IF(المطالبات!C37&lt;&gt;"", "مطالبة", "")</f>
        <v/>
      </c>
      <c r="C197" t="str">
        <f>IF(المطالبات!C37&lt;&gt;"", "CMH_01-CLM-" &amp; TEXT(المطالبات!A37, "000"), "")</f>
        <v/>
      </c>
      <c r="D197" t="s">
        <v>281</v>
      </c>
      <c r="E197" t="s">
        <v>278</v>
      </c>
      <c r="F197" t="str">
        <f>IF(C197&lt;&gt;"", C197 &amp; "-TECHREPORT.pdf", "")</f>
        <v/>
      </c>
      <c r="G197" t="s">
        <v>279</v>
      </c>
    </row>
    <row r="198" spans="1:7">
      <c r="A198">
        <v>195</v>
      </c>
      <c r="B198" t="str">
        <f>IF(المطالبات!C37&lt;&gt;"", "مطالبة", "")</f>
        <v/>
      </c>
      <c r="C198" t="str">
        <f>IF(المطالبات!C37&lt;&gt;"", "CMH_01-CLM-" &amp; TEXT(المطالبات!A37, "000"), "")</f>
        <v/>
      </c>
      <c r="D198" t="s">
        <v>239</v>
      </c>
      <c r="E198" t="s">
        <v>283</v>
      </c>
      <c r="F198" t="str">
        <f>IF(C198&lt;&gt;"", C198 &amp; "-APPROVAL.pdf", "")</f>
        <v/>
      </c>
      <c r="G198" t="s">
        <v>284</v>
      </c>
    </row>
    <row r="199" spans="1:7">
      <c r="A199">
        <v>196</v>
      </c>
      <c r="B199" t="str">
        <f>IF(المطالبات!C37&lt;&gt;"", "مطالبة", "")</f>
        <v/>
      </c>
      <c r="C199" t="str">
        <f>IF(المطالبات!C37&lt;&gt;"", "CMH_01-CLM-" &amp; TEXT(المطالبات!A37, "000"), "")</f>
        <v/>
      </c>
      <c r="D199" t="s">
        <v>285</v>
      </c>
      <c r="E199" t="s">
        <v>283</v>
      </c>
      <c r="F199" t="str">
        <f>IF(C199&lt;&gt;"", C199 &amp; "-CERTIFICATE.pdf", "")</f>
        <v/>
      </c>
      <c r="G199" t="s">
        <v>286</v>
      </c>
    </row>
    <row r="200" spans="1:7">
      <c r="A200">
        <v>197</v>
      </c>
      <c r="B200" t="str">
        <f>IF(المطالبات!C38&lt;&gt;"", "مطالبة", "")</f>
        <v/>
      </c>
      <c r="C200" t="str">
        <f>IF(المطالبات!C38&lt;&gt;"", "CMH_01-CLM-" &amp; TEXT(المطالبات!A38, "000"), "")</f>
        <v/>
      </c>
      <c r="D200" t="s">
        <v>277</v>
      </c>
      <c r="E200" t="s">
        <v>278</v>
      </c>
      <c r="F200" t="str">
        <f>IF(C200&lt;&gt;"", C200 &amp; "-INVOICE.pdf", "")</f>
        <v/>
      </c>
      <c r="G200" t="s">
        <v>279</v>
      </c>
    </row>
    <row r="201" spans="1:7">
      <c r="A201">
        <v>198</v>
      </c>
      <c r="B201" t="str">
        <f>IF(المطالبات!C38&lt;&gt;"", "مطالبة", "")</f>
        <v/>
      </c>
      <c r="C201" t="str">
        <f>IF(المطالبات!C38&lt;&gt;"", "CMH_01-CLM-" &amp; TEXT(المطالبات!A38, "000"), "")</f>
        <v/>
      </c>
      <c r="D201" t="s">
        <v>281</v>
      </c>
      <c r="E201" t="s">
        <v>278</v>
      </c>
      <c r="F201" t="str">
        <f>IF(C201&lt;&gt;"", C201 &amp; "-TECHREPORT.pdf", "")</f>
        <v/>
      </c>
      <c r="G201" t="s">
        <v>279</v>
      </c>
    </row>
    <row r="202" spans="1:7">
      <c r="A202">
        <v>199</v>
      </c>
      <c r="B202" t="str">
        <f>IF(المطالبات!C38&lt;&gt;"", "مطالبة", "")</f>
        <v/>
      </c>
      <c r="C202" t="str">
        <f>IF(المطالبات!C38&lt;&gt;"", "CMH_01-CLM-" &amp; TEXT(المطالبات!A38, "000"), "")</f>
        <v/>
      </c>
      <c r="D202" t="s">
        <v>239</v>
      </c>
      <c r="E202" t="s">
        <v>283</v>
      </c>
      <c r="F202" t="str">
        <f>IF(C202&lt;&gt;"", C202 &amp; "-APPROVAL.pdf", "")</f>
        <v/>
      </c>
      <c r="G202" t="s">
        <v>284</v>
      </c>
    </row>
    <row r="203" spans="1:7">
      <c r="A203">
        <v>200</v>
      </c>
      <c r="B203" t="str">
        <f>IF(المطالبات!C38&lt;&gt;"", "مطالبة", "")</f>
        <v/>
      </c>
      <c r="C203" t="str">
        <f>IF(المطالبات!C38&lt;&gt;"", "CMH_01-CLM-" &amp; TEXT(المطالبات!A38, "000"), "")</f>
        <v/>
      </c>
      <c r="D203" t="s">
        <v>285</v>
      </c>
      <c r="E203" t="s">
        <v>283</v>
      </c>
      <c r="F203" t="str">
        <f>IF(C203&lt;&gt;"", C203 &amp; "-CERTIFICATE.pdf", "")</f>
        <v/>
      </c>
      <c r="G203" t="s">
        <v>286</v>
      </c>
    </row>
    <row r="204" spans="1:7">
      <c r="A204">
        <v>201</v>
      </c>
      <c r="B204" t="str">
        <f>IF('أوامر التغيير'!B9&lt;&gt;"", "أمر تغيير", "")</f>
        <v>أمر تغيير</v>
      </c>
      <c r="C204" t="str">
        <f>IF('أوامر التغيير'!B9&lt;&gt;"", "CMH_01-VO-" &amp; TEXT('أوامر التغيير'!A9, "000"), "")</f>
        <v>CMH_01-VO-001</v>
      </c>
      <c r="D204" t="s">
        <v>287</v>
      </c>
      <c r="E204" t="s">
        <v>278</v>
      </c>
      <c r="F204" t="str">
        <f>IF(C204&lt;&gt;"", C204 &amp; ".pdf", "")</f>
        <v>CMH_01-VO-001.pdf</v>
      </c>
      <c r="G204" t="s">
        <v>288</v>
      </c>
    </row>
    <row r="205" spans="1:7">
      <c r="A205">
        <v>202</v>
      </c>
      <c r="B205" t="str">
        <f>IF('أوامر التغيير'!B9&lt;&gt;"", "أمر تغيير", "")</f>
        <v>أمر تغيير</v>
      </c>
      <c r="C205" t="str">
        <f>IF('أوامر التغيير'!B9&lt;&gt;"", "CMH_01-VO-" &amp; TEXT('أوامر التغيير'!A9, "000"), "")</f>
        <v>CMH_01-VO-001</v>
      </c>
      <c r="D205" t="s">
        <v>289</v>
      </c>
      <c r="E205" t="s">
        <v>278</v>
      </c>
      <c r="F205" t="str">
        <f>IF(C205&lt;&gt;"", C205 &amp; "-APPROVAL.pdf", "")</f>
        <v>CMH_01-VO-001-APPROVAL.pdf</v>
      </c>
      <c r="G205" t="s">
        <v>288</v>
      </c>
    </row>
    <row r="206" spans="1:7">
      <c r="A206">
        <v>203</v>
      </c>
      <c r="B206" t="str">
        <f>IF('أوامر التغيير'!B10&lt;&gt;"", "أمر تغيير", "")</f>
        <v>أمر تغيير</v>
      </c>
      <c r="C206" t="str">
        <f>IF('أوامر التغيير'!B10&lt;&gt;"", "CMH_01-VO-" &amp; TEXT('أوامر التغيير'!A10, "000"), "")</f>
        <v>CMH_01-VO-001</v>
      </c>
      <c r="D206" t="s">
        <v>287</v>
      </c>
      <c r="E206" t="s">
        <v>278</v>
      </c>
      <c r="F206" t="str">
        <f>IF(C206&lt;&gt;"", C206 &amp; ".pdf", "")</f>
        <v>CMH_01-VO-001.pdf</v>
      </c>
      <c r="G206" t="s">
        <v>288</v>
      </c>
    </row>
    <row r="207" spans="1:7">
      <c r="A207">
        <v>204</v>
      </c>
      <c r="B207" t="str">
        <f>IF('أوامر التغيير'!B10&lt;&gt;"", "أمر تغيير", "")</f>
        <v>أمر تغيير</v>
      </c>
      <c r="C207" t="str">
        <f>IF('أوامر التغيير'!B10&lt;&gt;"", "CMH_01-VO-" &amp; TEXT('أوامر التغيير'!A10, "000"), "")</f>
        <v>CMH_01-VO-001</v>
      </c>
      <c r="D207" t="s">
        <v>289</v>
      </c>
      <c r="E207" t="s">
        <v>278</v>
      </c>
      <c r="F207" t="str">
        <f>IF(C207&lt;&gt;"", C207 &amp; "-APPROVAL.pdf", "")</f>
        <v>CMH_01-VO-001-APPROVAL.pdf</v>
      </c>
      <c r="G207" t="s">
        <v>288</v>
      </c>
    </row>
    <row r="208" spans="1:7">
      <c r="A208">
        <v>205</v>
      </c>
      <c r="B208" t="str">
        <f>IF('أوامر التغيير'!B11&lt;&gt;"", "أمر تغيير", "")</f>
        <v/>
      </c>
      <c r="C208" t="str">
        <f>IF('أوامر التغيير'!B11&lt;&gt;"", "CMH_01-VO-" &amp; TEXT('أوامر التغيير'!A11, "000"), "")</f>
        <v/>
      </c>
      <c r="D208" t="s">
        <v>287</v>
      </c>
      <c r="E208" t="s">
        <v>278</v>
      </c>
      <c r="F208" t="str">
        <f>IF(C208&lt;&gt;"", C208 &amp; ".pdf", "")</f>
        <v/>
      </c>
      <c r="G208" t="s">
        <v>288</v>
      </c>
    </row>
    <row r="209" spans="1:7">
      <c r="A209">
        <v>206</v>
      </c>
      <c r="B209" t="str">
        <f>IF('أوامر التغيير'!B11&lt;&gt;"", "أمر تغيير", "")</f>
        <v/>
      </c>
      <c r="C209" t="str">
        <f>IF('أوامر التغيير'!B11&lt;&gt;"", "CMH_01-VO-" &amp; TEXT('أوامر التغيير'!A11, "000"), "")</f>
        <v/>
      </c>
      <c r="D209" t="s">
        <v>289</v>
      </c>
      <c r="E209" t="s">
        <v>278</v>
      </c>
      <c r="F209" t="str">
        <f>IF(C209&lt;&gt;"", C209 &amp; "-APPROVAL.pdf", "")</f>
        <v/>
      </c>
      <c r="G209" t="s">
        <v>288</v>
      </c>
    </row>
    <row r="210" spans="1:7">
      <c r="A210">
        <v>207</v>
      </c>
      <c r="B210" t="str">
        <f>IF('أوامر التغيير'!B12&lt;&gt;"", "أمر تغيير", "")</f>
        <v>أمر تغيير</v>
      </c>
      <c r="C210" t="str">
        <f>IF('أوامر التغيير'!B12&lt;&gt;"", "CMH_01-VO-" &amp; TEXT('أوامر التغيير'!A12, "000"), "")</f>
        <v>CMH_01-VO-003</v>
      </c>
      <c r="D210" t="s">
        <v>287</v>
      </c>
      <c r="E210" t="s">
        <v>278</v>
      </c>
      <c r="F210" t="str">
        <f>IF(C210&lt;&gt;"", C210 &amp; ".pdf", "")</f>
        <v>CMH_01-VO-003.pdf</v>
      </c>
      <c r="G210" t="s">
        <v>288</v>
      </c>
    </row>
    <row r="211" spans="1:7">
      <c r="A211">
        <v>208</v>
      </c>
      <c r="B211" t="str">
        <f>IF('أوامر التغيير'!B12&lt;&gt;"", "أمر تغيير", "")</f>
        <v>أمر تغيير</v>
      </c>
      <c r="C211" t="str">
        <f>IF('أوامر التغيير'!B12&lt;&gt;"", "CMH_01-VO-" &amp; TEXT('أوامر التغيير'!A12, "000"), "")</f>
        <v>CMH_01-VO-003</v>
      </c>
      <c r="D211" t="s">
        <v>289</v>
      </c>
      <c r="E211" t="s">
        <v>278</v>
      </c>
      <c r="F211" t="str">
        <f>IF(C211&lt;&gt;"", C211 &amp; "-APPROVAL.pdf", "")</f>
        <v>CMH_01-VO-003-APPROVAL.pdf</v>
      </c>
      <c r="G211" t="s">
        <v>288</v>
      </c>
    </row>
    <row r="212" spans="1:7">
      <c r="A212">
        <v>209</v>
      </c>
      <c r="B212" t="str">
        <f>IF('أوامر التغيير'!B13&lt;&gt;"", "أمر تغيير", "")</f>
        <v>أمر تغيير</v>
      </c>
      <c r="C212" t="str">
        <f>IF('أوامر التغيير'!B13&lt;&gt;"", "CMH_01-VO-" &amp; TEXT('أوامر التغيير'!A13, "000"), "")</f>
        <v>CMH_01-VO-004</v>
      </c>
      <c r="D212" t="s">
        <v>287</v>
      </c>
      <c r="E212" t="s">
        <v>278</v>
      </c>
      <c r="F212" t="str">
        <f>IF(C212&lt;&gt;"", C212 &amp; ".pdf", "")</f>
        <v>CMH_01-VO-004.pdf</v>
      </c>
      <c r="G212" t="s">
        <v>288</v>
      </c>
    </row>
    <row r="213" spans="1:7">
      <c r="A213">
        <v>210</v>
      </c>
      <c r="B213" t="str">
        <f>IF('أوامر التغيير'!B13&lt;&gt;"", "أمر تغيير", "")</f>
        <v>أمر تغيير</v>
      </c>
      <c r="C213" t="str">
        <f>IF('أوامر التغيير'!B13&lt;&gt;"", "CMH_01-VO-" &amp; TEXT('أوامر التغيير'!A13, "000"), "")</f>
        <v>CMH_01-VO-004</v>
      </c>
      <c r="D213" t="s">
        <v>289</v>
      </c>
      <c r="E213" t="s">
        <v>278</v>
      </c>
      <c r="F213" t="str">
        <f>IF(C213&lt;&gt;"", C213 &amp; "-APPROVAL.pdf", "")</f>
        <v>CMH_01-VO-004-APPROVAL.pdf</v>
      </c>
      <c r="G213" t="s">
        <v>288</v>
      </c>
    </row>
    <row r="214" spans="1:7">
      <c r="A214">
        <v>211</v>
      </c>
      <c r="B214" t="str">
        <f>IF('أوامر التغيير'!B14&lt;&gt;"", "أمر تغيير", "")</f>
        <v>أمر تغيير</v>
      </c>
      <c r="C214" t="str">
        <f>IF('أوامر التغيير'!B14&lt;&gt;"", "CMH_01-VO-" &amp; TEXT('أوامر التغيير'!A14, "000"), "")</f>
        <v>CMH_01-VO-005</v>
      </c>
      <c r="D214" t="s">
        <v>287</v>
      </c>
      <c r="E214" t="s">
        <v>278</v>
      </c>
      <c r="F214" t="str">
        <f>IF(C214&lt;&gt;"", C214 &amp; ".pdf", "")</f>
        <v>CMH_01-VO-005.pdf</v>
      </c>
      <c r="G214" t="s">
        <v>288</v>
      </c>
    </row>
    <row r="215" spans="1:7">
      <c r="A215">
        <v>212</v>
      </c>
      <c r="B215" t="str">
        <f>IF('أوامر التغيير'!B14&lt;&gt;"", "أمر تغيير", "")</f>
        <v>أمر تغيير</v>
      </c>
      <c r="C215" t="str">
        <f>IF('أوامر التغيير'!B14&lt;&gt;"", "CMH_01-VO-" &amp; TEXT('أوامر التغيير'!A14, "000"), "")</f>
        <v>CMH_01-VO-005</v>
      </c>
      <c r="D215" t="s">
        <v>289</v>
      </c>
      <c r="E215" t="s">
        <v>278</v>
      </c>
      <c r="F215" t="str">
        <f>IF(C215&lt;&gt;"", C215 &amp; "-APPROVAL.pdf", "")</f>
        <v>CMH_01-VO-005-APPROVAL.pdf</v>
      </c>
      <c r="G215" t="s">
        <v>288</v>
      </c>
    </row>
    <row r="216" spans="1:7">
      <c r="A216">
        <v>213</v>
      </c>
      <c r="B216" t="str">
        <f>IF('أوامر التغيير'!B15&lt;&gt;"", "أمر تغيير", "")</f>
        <v/>
      </c>
      <c r="C216" t="str">
        <f>IF('أوامر التغيير'!B15&lt;&gt;"", "CMH_01-VO-" &amp; TEXT('أوامر التغيير'!A15, "000"), "")</f>
        <v/>
      </c>
      <c r="D216" t="s">
        <v>287</v>
      </c>
      <c r="E216" t="s">
        <v>278</v>
      </c>
      <c r="F216" t="str">
        <f>IF(C216&lt;&gt;"", C216 &amp; ".pdf", "")</f>
        <v/>
      </c>
      <c r="G216" t="s">
        <v>288</v>
      </c>
    </row>
    <row r="217" spans="1:7">
      <c r="A217">
        <v>214</v>
      </c>
      <c r="B217" t="str">
        <f>IF('أوامر التغيير'!B15&lt;&gt;"", "أمر تغيير", "")</f>
        <v/>
      </c>
      <c r="C217" t="str">
        <f>IF('أوامر التغيير'!B15&lt;&gt;"", "CMH_01-VO-" &amp; TEXT('أوامر التغيير'!A15, "000"), "")</f>
        <v/>
      </c>
      <c r="D217" t="s">
        <v>289</v>
      </c>
      <c r="E217" t="s">
        <v>278</v>
      </c>
      <c r="F217" t="str">
        <f>IF(C217&lt;&gt;"", C217 &amp; "-APPROVAL.pdf", "")</f>
        <v/>
      </c>
      <c r="G217" t="s">
        <v>288</v>
      </c>
    </row>
    <row r="218" spans="1:7">
      <c r="A218">
        <v>215</v>
      </c>
      <c r="B218" t="str">
        <f>IF('أوامر التغيير'!B16&lt;&gt;"", "أمر تغيير", "")</f>
        <v/>
      </c>
      <c r="C218" t="str">
        <f>IF('أوامر التغيير'!B16&lt;&gt;"", "CMH_01-VO-" &amp; TEXT('أوامر التغيير'!A16, "000"), "")</f>
        <v/>
      </c>
      <c r="D218" t="s">
        <v>287</v>
      </c>
      <c r="E218" t="s">
        <v>278</v>
      </c>
      <c r="F218" t="str">
        <f>IF(C218&lt;&gt;"", C218 &amp; ".pdf", "")</f>
        <v/>
      </c>
      <c r="G218" t="s">
        <v>288</v>
      </c>
    </row>
    <row r="219" spans="1:7">
      <c r="A219">
        <v>216</v>
      </c>
      <c r="B219" t="str">
        <f>IF('أوامر التغيير'!B16&lt;&gt;"", "أمر تغيير", "")</f>
        <v/>
      </c>
      <c r="C219" t="str">
        <f>IF('أوامر التغيير'!B16&lt;&gt;"", "CMH_01-VO-" &amp; TEXT('أوامر التغيير'!A16, "000"), "")</f>
        <v/>
      </c>
      <c r="D219" t="s">
        <v>289</v>
      </c>
      <c r="E219" t="s">
        <v>278</v>
      </c>
      <c r="F219" t="str">
        <f>IF(C219&lt;&gt;"", C219 &amp; "-APPROVAL.pdf", "")</f>
        <v/>
      </c>
      <c r="G219" t="s">
        <v>288</v>
      </c>
    </row>
    <row r="220" spans="1:7">
      <c r="A220">
        <v>217</v>
      </c>
      <c r="B220" t="str">
        <f>IF('أوامر التغيير'!B17&lt;&gt;"", "أمر تغيير", "")</f>
        <v/>
      </c>
      <c r="C220" t="str">
        <f>IF('أوامر التغيير'!B17&lt;&gt;"", "CMH_01-VO-" &amp; TEXT('أوامر التغيير'!A17, "000"), "")</f>
        <v/>
      </c>
      <c r="D220" t="s">
        <v>287</v>
      </c>
      <c r="E220" t="s">
        <v>278</v>
      </c>
      <c r="F220" t="str">
        <f>IF(C220&lt;&gt;"", C220 &amp; ".pdf", "")</f>
        <v/>
      </c>
      <c r="G220" t="s">
        <v>288</v>
      </c>
    </row>
    <row r="221" spans="1:7">
      <c r="A221">
        <v>218</v>
      </c>
      <c r="B221" t="str">
        <f>IF('أوامر التغيير'!B17&lt;&gt;"", "أمر تغيير", "")</f>
        <v/>
      </c>
      <c r="C221" t="str">
        <f>IF('أوامر التغيير'!B17&lt;&gt;"", "CMH_01-VO-" &amp; TEXT('أوامر التغيير'!A17, "000"), "")</f>
        <v/>
      </c>
      <c r="D221" t="s">
        <v>289</v>
      </c>
      <c r="E221" t="s">
        <v>278</v>
      </c>
      <c r="F221" t="str">
        <f>IF(C221&lt;&gt;"", C221 &amp; "-APPROVAL.pdf", "")</f>
        <v/>
      </c>
      <c r="G221" t="s">
        <v>288</v>
      </c>
    </row>
    <row r="222" spans="1:7">
      <c r="A222">
        <v>219</v>
      </c>
      <c r="B222" t="str">
        <f>IF('أوامر التغيير'!B18&lt;&gt;"", "أمر تغيير", "")</f>
        <v/>
      </c>
      <c r="C222" t="str">
        <f>IF('أوامر التغيير'!B18&lt;&gt;"", "CMH_01-VO-" &amp; TEXT('أوامر التغيير'!A18, "000"), "")</f>
        <v/>
      </c>
      <c r="D222" t="s">
        <v>287</v>
      </c>
      <c r="E222" t="s">
        <v>278</v>
      </c>
      <c r="F222" t="str">
        <f>IF(C222&lt;&gt;"", C222 &amp; ".pdf", "")</f>
        <v/>
      </c>
      <c r="G222" t="s">
        <v>288</v>
      </c>
    </row>
    <row r="223" spans="1:7">
      <c r="A223">
        <v>220</v>
      </c>
      <c r="B223" t="str">
        <f>IF('أوامر التغيير'!B18&lt;&gt;"", "أمر تغيير", "")</f>
        <v/>
      </c>
      <c r="C223" t="str">
        <f>IF('أوامر التغيير'!B18&lt;&gt;"", "CMH_01-VO-" &amp; TEXT('أوامر التغيير'!A18, "000"), "")</f>
        <v/>
      </c>
      <c r="D223" t="s">
        <v>289</v>
      </c>
      <c r="E223" t="s">
        <v>278</v>
      </c>
      <c r="F223" t="str">
        <f>IF(C223&lt;&gt;"", C223 &amp; "-APPROVAL.pdf", "")</f>
        <v/>
      </c>
      <c r="G223" t="s">
        <v>288</v>
      </c>
    </row>
    <row r="224" spans="1:7">
      <c r="A224">
        <v>221</v>
      </c>
      <c r="B224" t="e">
        <f>IF('أوامر التغيير'!#REF!&lt;&gt;"", "أمر تغيير", "")</f>
        <v>#REF!</v>
      </c>
      <c r="C224" t="e">
        <f>IF('أوامر التغيير'!#REF!&lt;&gt;"", "CMH_01-VO-" &amp; TEXT('أوامر التغيير'!#REF!, "000"), "")</f>
        <v>#REF!</v>
      </c>
      <c r="D224" t="s">
        <v>287</v>
      </c>
      <c r="E224" t="s">
        <v>278</v>
      </c>
      <c r="F224" t="e">
        <f>IF(C224&lt;&gt;"", C224 &amp; ".pdf", "")</f>
        <v>#REF!</v>
      </c>
      <c r="G224" t="s">
        <v>288</v>
      </c>
    </row>
    <row r="225" spans="1:7">
      <c r="A225">
        <v>222</v>
      </c>
      <c r="B225" t="e">
        <f>IF('أوامر التغيير'!#REF!&lt;&gt;"", "أمر تغيير", "")</f>
        <v>#REF!</v>
      </c>
      <c r="C225" t="e">
        <f>IF('أوامر التغيير'!#REF!&lt;&gt;"", "CMH_01-VO-" &amp; TEXT('أوامر التغيير'!#REF!, "000"), "")</f>
        <v>#REF!</v>
      </c>
      <c r="D225" t="s">
        <v>289</v>
      </c>
      <c r="E225" t="s">
        <v>278</v>
      </c>
      <c r="F225" t="e">
        <f>IF(C225&lt;&gt;"", C225 &amp; "-APPROVAL.pdf", "")</f>
        <v>#REF!</v>
      </c>
      <c r="G225" t="s">
        <v>288</v>
      </c>
    </row>
    <row r="226" spans="1:7">
      <c r="A226">
        <v>223</v>
      </c>
      <c r="B226" t="e">
        <f>IF('أوامر التغيير'!#REF!&lt;&gt;"", "أمر تغيير", "")</f>
        <v>#REF!</v>
      </c>
      <c r="C226" t="e">
        <f>IF('أوامر التغيير'!#REF!&lt;&gt;"", "CMH_01-VO-" &amp; TEXT('أوامر التغيير'!#REF!, "000"), "")</f>
        <v>#REF!</v>
      </c>
      <c r="D226" t="s">
        <v>287</v>
      </c>
      <c r="E226" t="s">
        <v>278</v>
      </c>
      <c r="F226" t="e">
        <f>IF(C226&lt;&gt;"", C226 &amp; ".pdf", "")</f>
        <v>#REF!</v>
      </c>
      <c r="G226" t="s">
        <v>288</v>
      </c>
    </row>
    <row r="227" spans="1:7">
      <c r="A227">
        <v>224</v>
      </c>
      <c r="B227" t="e">
        <f>IF('أوامر التغيير'!#REF!&lt;&gt;"", "أمر تغيير", "")</f>
        <v>#REF!</v>
      </c>
      <c r="C227" t="e">
        <f>IF('أوامر التغيير'!#REF!&lt;&gt;"", "CMH_01-VO-" &amp; TEXT('أوامر التغيير'!#REF!, "000"), "")</f>
        <v>#REF!</v>
      </c>
      <c r="D227" t="s">
        <v>289</v>
      </c>
      <c r="E227" t="s">
        <v>278</v>
      </c>
      <c r="F227" t="e">
        <f>IF(C227&lt;&gt;"", C227 &amp; "-APPROVAL.pdf", "")</f>
        <v>#REF!</v>
      </c>
      <c r="G227" t="s">
        <v>288</v>
      </c>
    </row>
    <row r="228" spans="1:7">
      <c r="A228">
        <v>225</v>
      </c>
      <c r="B228" t="e">
        <f>IF('أوامر التغيير'!#REF!&lt;&gt;"", "أمر تغيير", "")</f>
        <v>#REF!</v>
      </c>
      <c r="C228" t="e">
        <f>IF('أوامر التغيير'!#REF!&lt;&gt;"", "CMH_01-VO-" &amp; TEXT('أوامر التغيير'!#REF!, "000"), "")</f>
        <v>#REF!</v>
      </c>
      <c r="D228" t="s">
        <v>287</v>
      </c>
      <c r="E228" t="s">
        <v>278</v>
      </c>
      <c r="F228" t="e">
        <f>IF(C228&lt;&gt;"", C228 &amp; ".pdf", "")</f>
        <v>#REF!</v>
      </c>
      <c r="G228" t="s">
        <v>288</v>
      </c>
    </row>
    <row r="229" spans="1:7">
      <c r="A229">
        <v>226</v>
      </c>
      <c r="B229" t="e">
        <f>IF('أوامر التغيير'!#REF!&lt;&gt;"", "أمر تغيير", "")</f>
        <v>#REF!</v>
      </c>
      <c r="C229" t="e">
        <f>IF('أوامر التغيير'!#REF!&lt;&gt;"", "CMH_01-VO-" &amp; TEXT('أوامر التغيير'!#REF!, "000"), "")</f>
        <v>#REF!</v>
      </c>
      <c r="D229" t="s">
        <v>289</v>
      </c>
      <c r="E229" t="s">
        <v>278</v>
      </c>
      <c r="F229" t="e">
        <f>IF(C229&lt;&gt;"", C229 &amp; "-APPROVAL.pdf", "")</f>
        <v>#REF!</v>
      </c>
      <c r="G229" t="s">
        <v>288</v>
      </c>
    </row>
    <row r="230" spans="1:7">
      <c r="A230">
        <v>227</v>
      </c>
      <c r="B230" t="e">
        <f>IF('أوامر التغيير'!#REF!&lt;&gt;"", "أمر تغيير", "")</f>
        <v>#REF!</v>
      </c>
      <c r="C230" t="e">
        <f>IF('أوامر التغيير'!#REF!&lt;&gt;"", "CMH_01-VO-" &amp; TEXT('أوامر التغيير'!#REF!, "000"), "")</f>
        <v>#REF!</v>
      </c>
      <c r="D230" t="s">
        <v>287</v>
      </c>
      <c r="E230" t="s">
        <v>278</v>
      </c>
      <c r="F230" t="e">
        <f>IF(C230&lt;&gt;"", C230 &amp; ".pdf", "")</f>
        <v>#REF!</v>
      </c>
      <c r="G230" t="s">
        <v>288</v>
      </c>
    </row>
    <row r="231" spans="1:7">
      <c r="A231">
        <v>228</v>
      </c>
      <c r="B231" t="e">
        <f>IF('أوامر التغيير'!#REF!&lt;&gt;"", "أمر تغيير", "")</f>
        <v>#REF!</v>
      </c>
      <c r="C231" t="e">
        <f>IF('أوامر التغيير'!#REF!&lt;&gt;"", "CMH_01-VO-" &amp; TEXT('أوامر التغيير'!#REF!, "000"), "")</f>
        <v>#REF!</v>
      </c>
      <c r="D231" t="s">
        <v>289</v>
      </c>
      <c r="E231" t="s">
        <v>278</v>
      </c>
      <c r="F231" t="e">
        <f>IF(C231&lt;&gt;"", C231 &amp; "-APPROVAL.pdf", "")</f>
        <v>#REF!</v>
      </c>
      <c r="G231" t="s">
        <v>288</v>
      </c>
    </row>
    <row r="232" spans="1:7">
      <c r="A232">
        <v>229</v>
      </c>
      <c r="B232" t="e">
        <f>IF('أوامر التغيير'!#REF!&lt;&gt;"", "أمر تغيير", "")</f>
        <v>#REF!</v>
      </c>
      <c r="C232" t="e">
        <f>IF('أوامر التغيير'!#REF!&lt;&gt;"", "CMH_01-VO-" &amp; TEXT('أوامر التغيير'!#REF!, "000"), "")</f>
        <v>#REF!</v>
      </c>
      <c r="D232" t="s">
        <v>287</v>
      </c>
      <c r="E232" t="s">
        <v>278</v>
      </c>
      <c r="F232" t="e">
        <f>IF(C232&lt;&gt;"", C232 &amp; ".pdf", "")</f>
        <v>#REF!</v>
      </c>
      <c r="G232" t="s">
        <v>288</v>
      </c>
    </row>
    <row r="233" spans="1:7">
      <c r="A233">
        <v>230</v>
      </c>
      <c r="B233" t="e">
        <f>IF('أوامر التغيير'!#REF!&lt;&gt;"", "أمر تغيير", "")</f>
        <v>#REF!</v>
      </c>
      <c r="C233" t="e">
        <f>IF('أوامر التغيير'!#REF!&lt;&gt;"", "CMH_01-VO-" &amp; TEXT('أوامر التغيير'!#REF!, "000"), "")</f>
        <v>#REF!</v>
      </c>
      <c r="D233" t="s">
        <v>289</v>
      </c>
      <c r="E233" t="s">
        <v>278</v>
      </c>
      <c r="F233" t="e">
        <f>IF(C233&lt;&gt;"", C233 &amp; "-APPROVAL.pdf", "")</f>
        <v>#REF!</v>
      </c>
      <c r="G233" t="s">
        <v>288</v>
      </c>
    </row>
  </sheetData>
  <mergeCells count="7">
    <mergeCell ref="K2:M2"/>
    <mergeCell ref="A2:I2"/>
    <mergeCell ref="K4:M4"/>
    <mergeCell ref="K5:M5"/>
    <mergeCell ref="A1:I1"/>
    <mergeCell ref="K3:M3"/>
    <mergeCell ref="K1:N1"/>
  </mergeCells>
  <conditionalFormatting sqref="H4:H233">
    <cfRule type="expression" dxfId="2" priority="1">
      <formula>AND($E4="إجباري", $H4="مفقود")</formula>
    </cfRule>
    <cfRule type="expression" dxfId="1" priority="2">
      <formula>$H4="موجود"</formula>
    </cfRule>
    <cfRule type="expression" dxfId="0" priority="3">
      <formula>$H4="لا ينطبق"</formula>
    </cfRule>
  </conditionalFormatting>
  <dataValidations count="1">
    <dataValidation type="list" allowBlank="1" sqref="H4:H233" xr:uid="{00000000-0002-0000-0D00-000000000000}">
      <formula1>"موجود,مفقود,لا ينطبق"</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ابدأ هنا</vt:lpstr>
      <vt:lpstr>العقد</vt:lpstr>
      <vt:lpstr>بنود العقد</vt:lpstr>
      <vt:lpstr>المطالبات</vt:lpstr>
      <vt:lpstr>بنود المطالبات</vt:lpstr>
      <vt:lpstr>الملخص التراكمي</vt:lpstr>
      <vt:lpstr>أوامر التغيير</vt:lpstr>
      <vt:lpstr>بنود أوامر التغيير</vt:lpstr>
      <vt:lpstr>المستخدمون</vt:lpstr>
      <vt:lpstr>الجاهزية</vt:lpstr>
      <vt:lpstr>سجل الحركة</vt:lpstr>
      <vt:lpstr>Sheet1</vt:lpstr>
      <vt:lpstr>مراجع</vt:lpstr>
      <vt:lpstr>سجل المرفقات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2026-04-26T10:32:44Z</dcterms:created>
  <dcterms:modified xsi:type="dcterms:W3CDTF">2026-05-06T10:46:09Z</dcterms:modified>
</cp:coreProperties>
</file>